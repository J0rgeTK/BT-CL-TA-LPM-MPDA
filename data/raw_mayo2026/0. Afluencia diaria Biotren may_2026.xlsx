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. Informe de Gestión Mensual/2026/1. Biotren/5. mayo/"/>
    </mc:Choice>
  </mc:AlternateContent>
  <xr:revisionPtr revIDLastSave="21" documentId="13_ncr:1_{C97F4FDE-CF66-4F15-BEE0-ADB07F71568E}" xr6:coauthVersionLast="47" xr6:coauthVersionMax="47" xr10:uidLastSave="{59CF39B4-6CE4-47A2-AF53-DC7ABBB1BEC5}"/>
  <bookViews>
    <workbookView xWindow="-120" yWindow="-120" windowWidth="29040" windowHeight="15720" tabRatio="506" activeTab="1" xr2:uid="{00000000-000D-0000-FFFF-FFFF00000000}"/>
  </bookViews>
  <sheets>
    <sheet name="Resumen" sheetId="1" r:id="rId1"/>
    <sheet name="Afluencia diaria Biotren abr-26" sheetId="2" r:id="rId2"/>
    <sheet name="Afxcontrato SINTEG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8" i="2" l="1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C3" i="2" l="1"/>
  <c r="AL7" i="2"/>
  <c r="A7" i="2"/>
  <c r="AK38" i="2"/>
  <c r="AX32" i="2" l="1"/>
  <c r="AY32" i="2" s="1"/>
  <c r="AZ32" i="2" s="1"/>
  <c r="AZ33" i="2" s="1"/>
  <c r="AH38" i="2"/>
  <c r="AI38" i="2"/>
  <c r="AJ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N38" i="2"/>
  <c r="AO38" i="2"/>
  <c r="AP38" i="2"/>
  <c r="AQ38" i="2"/>
  <c r="AR38" i="2"/>
  <c r="AS38" i="2"/>
  <c r="AT38" i="2"/>
  <c r="AU38" i="2"/>
  <c r="AV38" i="2"/>
  <c r="AL38" i="2" l="1"/>
  <c r="C71" i="2"/>
  <c r="D71" i="2"/>
  <c r="E71" i="2"/>
  <c r="F71" i="2"/>
  <c r="AC71" i="2"/>
  <c r="AE71" i="2"/>
  <c r="AF71" i="2"/>
  <c r="AG71" i="2"/>
  <c r="AM7" i="2" l="1"/>
  <c r="AM38" i="2" s="1"/>
  <c r="AW7" i="2" l="1"/>
  <c r="AW38" i="2" s="1"/>
  <c r="B30" i="1"/>
  <c r="B17" i="1" l="1"/>
  <c r="B19" i="1"/>
  <c r="B22" i="1"/>
  <c r="B16" i="1"/>
  <c r="B6" i="1"/>
  <c r="B20" i="1"/>
  <c r="B25" i="1"/>
  <c r="B27" i="1"/>
  <c r="B28" i="1"/>
  <c r="B29" i="1"/>
  <c r="B18" i="1"/>
  <c r="B14" i="1"/>
  <c r="B13" i="1"/>
  <c r="B12" i="1"/>
  <c r="B11" i="1"/>
  <c r="B9" i="1"/>
  <c r="B7" i="1"/>
  <c r="B10" i="1"/>
  <c r="B8" i="1"/>
  <c r="B26" i="1"/>
  <c r="B24" i="1"/>
  <c r="B23" i="1"/>
  <c r="B21" i="1"/>
  <c r="B15" i="1"/>
  <c r="B5" i="1"/>
  <c r="B3" i="1"/>
  <c r="B4" i="1" l="1"/>
  <c r="B2" i="1" s="1"/>
</calcChain>
</file>

<file path=xl/sharedStrings.xml><?xml version="1.0" encoding="utf-8"?>
<sst xmlns="http://schemas.openxmlformats.org/spreadsheetml/2006/main" count="161" uniqueCount="79">
  <si>
    <t>Pasajeros</t>
  </si>
  <si>
    <t>Normales</t>
  </si>
  <si>
    <t>Tercera Edad</t>
  </si>
  <si>
    <t>Estudiantes</t>
  </si>
  <si>
    <t>Convenio EFE</t>
  </si>
  <si>
    <t>Convenio Asmar</t>
  </si>
  <si>
    <t>Convenio Armada</t>
  </si>
  <si>
    <t>Convenio Ewos</t>
  </si>
  <si>
    <t>Convenio Sodimac</t>
  </si>
  <si>
    <t>Convenio San Ignacio</t>
  </si>
  <si>
    <t>Convenio Muni Thno</t>
  </si>
  <si>
    <t>Convenio Serviu</t>
  </si>
  <si>
    <t>Convenio Mop</t>
  </si>
  <si>
    <t>Convenio Est Basico</t>
  </si>
  <si>
    <t>Convenio Discapacitados</t>
  </si>
  <si>
    <t>Delegaciones</t>
  </si>
  <si>
    <t>Correos de Chile</t>
  </si>
  <si>
    <t>Fun. Full</t>
  </si>
  <si>
    <t>Funcionarios</t>
  </si>
  <si>
    <t>Hosp. Higueras</t>
  </si>
  <si>
    <t>Conv. Colectivo</t>
  </si>
  <si>
    <t>Camanchaca</t>
  </si>
  <si>
    <t>Pto. Coronel</t>
  </si>
  <si>
    <t>Carabineros</t>
  </si>
  <si>
    <t>Orizon</t>
  </si>
  <si>
    <t>Gendarmeria</t>
  </si>
  <si>
    <t>Conaf</t>
  </si>
  <si>
    <t>M.Coronel</t>
  </si>
  <si>
    <t>Multas</t>
  </si>
  <si>
    <t>AFLUENCIA DIARIA BIOTREN POR TARJETAS</t>
  </si>
  <si>
    <t>Monedero</t>
  </si>
  <si>
    <t>Estudiante</t>
  </si>
  <si>
    <t>Est. Básico</t>
  </si>
  <si>
    <t>Adulto Mayor</t>
  </si>
  <si>
    <t>Armada</t>
  </si>
  <si>
    <t>Sodimac</t>
  </si>
  <si>
    <t>ASMAR</t>
  </si>
  <si>
    <t>EWOS</t>
  </si>
  <si>
    <t>San Ignacio</t>
  </si>
  <si>
    <t>M. Thno.</t>
  </si>
  <si>
    <t>SERVIU</t>
  </si>
  <si>
    <t>MOP</t>
  </si>
  <si>
    <t>M. Hualpén</t>
  </si>
  <si>
    <t>Correos Chile</t>
  </si>
  <si>
    <t>M. Coronel</t>
  </si>
  <si>
    <t>SII</t>
  </si>
  <si>
    <t>CGE</t>
  </si>
  <si>
    <t>CONAF</t>
  </si>
  <si>
    <t>Gendarmería</t>
  </si>
  <si>
    <t>Inst. Madera</t>
  </si>
  <si>
    <t>Banco Estado</t>
  </si>
  <si>
    <t>Funcionario</t>
  </si>
  <si>
    <t>Fun. EFE</t>
  </si>
  <si>
    <t>Discapacitados</t>
  </si>
  <si>
    <t>Convenio Colec.</t>
  </si>
  <si>
    <t>DIA</t>
  </si>
  <si>
    <t>FECHA</t>
  </si>
  <si>
    <t xml:space="preserve">TOTAL AFLUENCIA </t>
  </si>
  <si>
    <t xml:space="preserve">Afluencias + Multas </t>
  </si>
  <si>
    <t>CARGA ($) 2020</t>
  </si>
  <si>
    <t>TOTAL AFLUENCIA 2020  (+ Multas)</t>
  </si>
  <si>
    <t>DIF.</t>
  </si>
  <si>
    <t>%</t>
  </si>
  <si>
    <t>PM</t>
  </si>
  <si>
    <t>PT</t>
  </si>
  <si>
    <t>PP</t>
  </si>
  <si>
    <t>Total</t>
  </si>
  <si>
    <t>Día</t>
  </si>
  <si>
    <t>Salidas sin Entrada</t>
  </si>
  <si>
    <t>Capacidades Diferentes</t>
  </si>
  <si>
    <t>Estudiante Básica</t>
  </si>
  <si>
    <t>Convenios Colectivos</t>
  </si>
  <si>
    <t>Funcionario Normal</t>
  </si>
  <si>
    <t>Funcionario Full</t>
  </si>
  <si>
    <t>Compensación 3</t>
  </si>
  <si>
    <t>Compensacion 3</t>
  </si>
  <si>
    <t>Afluencias + Multas +SSE</t>
  </si>
  <si>
    <t/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</si>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</sst>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4" formatCode="_ &quot;$&quot;* #,##0.00_ ;_ &quot;$&quot;* \-#,##0.00_ ;_ &quot;$&quot;* &quot;-&quot;??_ ;_ @_ "/>
    <numFmt numFmtId="164" formatCode="_-* #,##0.00\ &quot;Pts&quot;_-;\-* #,##0.00\ &quot;Pts&quot;_-;_-* &quot;-&quot;??\ &quot;Pts&quot;_-;_-@_-"/>
    <numFmt numFmtId="165" formatCode="[$-C0A]mmmm\-yy;@"/>
    <numFmt numFmtId="166" formatCode="[$-340A]dddd"/>
    <numFmt numFmtId="167" formatCode="_-* #,##0\ _P_t_s_-;\-* #,##0\ _P_t_s_-;_-* &quot;-&quot;\ _P_t_s_-;_-@_-"/>
    <numFmt numFmtId="168" formatCode="_-[$$-340A]\ * #,##0_-;\-[$$-340A]\ * #,##0_-;_-[$$-340A]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Verdana"/>
      <family val="2"/>
    </font>
    <font>
      <b/>
      <i/>
      <sz val="10"/>
      <name val="Verdana"/>
      <family val="2"/>
    </font>
    <font>
      <sz val="10"/>
      <color theme="0"/>
      <name val="Verdana"/>
      <family val="2"/>
    </font>
    <font>
      <b/>
      <sz val="9"/>
      <name val="Arial"/>
      <family val="2"/>
    </font>
    <font>
      <b/>
      <sz val="9"/>
      <color rgb="FF333333"/>
      <name val="Arial"/>
      <family val="2"/>
    </font>
    <font>
      <b/>
      <sz val="9"/>
      <color rgb="FF333333"/>
      <name val="Helvetica"/>
      <family val="2"/>
    </font>
    <font>
      <b/>
      <sz val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9"/>
      <color indexed="8"/>
      <name val="Verdana"/>
      <family val="2"/>
    </font>
    <font>
      <b/>
      <sz val="9"/>
      <color theme="6"/>
      <name val="Verdana"/>
      <family val="2"/>
    </font>
    <font>
      <b/>
      <sz val="8"/>
      <color theme="0"/>
      <name val="Verdana"/>
      <family val="2"/>
    </font>
    <font>
      <b/>
      <sz val="9"/>
      <color theme="0"/>
      <name val="Century Gothic"/>
      <family val="2"/>
    </font>
    <font>
      <sz val="9"/>
      <color theme="0"/>
      <name val="Verdana"/>
      <family val="2"/>
    </font>
    <font>
      <b/>
      <sz val="9"/>
      <color theme="0"/>
      <name val="Verdan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012854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ck">
        <color rgb="FFF4F4F4"/>
      </bottom>
      <diagonal/>
    </border>
    <border>
      <left/>
      <right/>
      <top/>
      <bottom style="medium">
        <color rgb="FFF4F4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1" fillId="0" borderId="0"/>
  </cellStyleXfs>
  <cellXfs count="57">
    <xf numFmtId="0" fontId="0" fillId="0" borderId="0" xfId="0"/>
    <xf numFmtId="1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/>
    <xf numFmtId="3" fontId="2" fillId="2" borderId="3" xfId="1" applyNumberFormat="1" applyFont="1" applyFill="1" applyBorder="1" applyAlignment="1">
      <alignment horizontal="center"/>
    </xf>
    <xf numFmtId="3" fontId="4" fillId="0" borderId="5" xfId="1" applyNumberFormat="1" applyFont="1" applyFill="1" applyBorder="1" applyAlignment="1">
      <alignment horizontal="center"/>
    </xf>
    <xf numFmtId="3" fontId="4" fillId="0" borderId="6" xfId="1" applyNumberFormat="1" applyFont="1" applyFill="1" applyBorder="1" applyAlignment="1">
      <alignment horizontal="center"/>
    </xf>
    <xf numFmtId="3" fontId="4" fillId="0" borderId="8" xfId="1" applyNumberFormat="1" applyFont="1" applyFill="1" applyBorder="1" applyAlignment="1">
      <alignment horizontal="center"/>
    </xf>
    <xf numFmtId="0" fontId="3" fillId="0" borderId="7" xfId="0" applyFont="1" applyBorder="1"/>
    <xf numFmtId="3" fontId="4" fillId="0" borderId="9" xfId="1" applyNumberFormat="1" applyFont="1" applyFill="1" applyBorder="1" applyAlignment="1">
      <alignment horizontal="center"/>
    </xf>
    <xf numFmtId="3" fontId="4" fillId="0" borderId="10" xfId="1" applyNumberFormat="1" applyFont="1" applyFill="1" applyBorder="1" applyAlignment="1">
      <alignment horizontal="center"/>
    </xf>
    <xf numFmtId="3" fontId="4" fillId="0" borderId="11" xfId="1" applyNumberFormat="1" applyFont="1" applyFill="1" applyBorder="1" applyAlignment="1">
      <alignment horizontal="center"/>
    </xf>
    <xf numFmtId="0" fontId="5" fillId="0" borderId="0" xfId="2" applyFont="1"/>
    <xf numFmtId="0" fontId="6" fillId="0" borderId="0" xfId="2" applyFont="1"/>
    <xf numFmtId="0" fontId="7" fillId="0" borderId="0" xfId="2" applyFont="1"/>
    <xf numFmtId="0" fontId="9" fillId="4" borderId="12" xfId="2" applyFont="1" applyFill="1" applyBorder="1" applyAlignment="1">
      <alignment horizontal="left" wrapText="1"/>
    </xf>
    <xf numFmtId="0" fontId="10" fillId="4" borderId="13" xfId="2" applyFont="1" applyFill="1" applyBorder="1" applyAlignment="1">
      <alignment horizontal="left" wrapText="1"/>
    </xf>
    <xf numFmtId="0" fontId="11" fillId="2" borderId="14" xfId="2" applyFont="1" applyFill="1" applyBorder="1" applyAlignment="1">
      <alignment horizontal="center" vertical="center" wrapText="1"/>
    </xf>
    <xf numFmtId="0" fontId="11" fillId="3" borderId="16" xfId="2" applyFont="1" applyFill="1" applyBorder="1" applyAlignment="1">
      <alignment horizontal="center" vertical="center" wrapText="1"/>
    </xf>
    <xf numFmtId="0" fontId="11" fillId="2" borderId="16" xfId="2" applyFont="1" applyFill="1" applyBorder="1" applyAlignment="1">
      <alignment horizontal="center" vertical="center" wrapText="1"/>
    </xf>
    <xf numFmtId="0" fontId="11" fillId="2" borderId="18" xfId="2" applyFont="1" applyFill="1" applyBorder="1" applyAlignment="1">
      <alignment horizontal="center" vertical="center" wrapText="1"/>
    </xf>
    <xf numFmtId="0" fontId="11" fillId="2" borderId="19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textRotation="90"/>
    </xf>
    <xf numFmtId="0" fontId="5" fillId="0" borderId="0" xfId="2" applyFont="1" applyAlignment="1">
      <alignment textRotation="90"/>
    </xf>
    <xf numFmtId="166" fontId="12" fillId="0" borderId="14" xfId="2" applyNumberFormat="1" applyFont="1" applyBorder="1" applyAlignment="1">
      <alignment horizontal="left"/>
    </xf>
    <xf numFmtId="14" fontId="12" fillId="0" borderId="20" xfId="2" applyNumberFormat="1" applyFont="1" applyBorder="1" applyAlignment="1">
      <alignment horizontal="center"/>
    </xf>
    <xf numFmtId="168" fontId="14" fillId="5" borderId="14" xfId="4" applyNumberFormat="1" applyFont="1" applyFill="1" applyBorder="1" applyAlignment="1">
      <alignment horizontal="center" vertical="top" wrapText="1"/>
    </xf>
    <xf numFmtId="0" fontId="13" fillId="2" borderId="20" xfId="2" applyFont="1" applyFill="1" applyBorder="1" applyAlignment="1">
      <alignment horizontal="center"/>
    </xf>
    <xf numFmtId="0" fontId="13" fillId="0" borderId="14" xfId="2" applyFont="1" applyBorder="1" applyAlignment="1">
      <alignment horizontal="center"/>
    </xf>
    <xf numFmtId="9" fontId="13" fillId="6" borderId="14" xfId="5" applyFont="1" applyFill="1" applyBorder="1" applyAlignment="1">
      <alignment horizontal="center" vertical="center" wrapText="1"/>
    </xf>
    <xf numFmtId="1" fontId="15" fillId="7" borderId="19" xfId="2" applyNumberFormat="1" applyFont="1" applyFill="1" applyBorder="1" applyAlignment="1">
      <alignment horizontal="center" vertical="top" wrapText="1"/>
    </xf>
    <xf numFmtId="9" fontId="15" fillId="7" borderId="19" xfId="5" applyFont="1" applyFill="1" applyBorder="1" applyAlignment="1">
      <alignment horizontal="center" vertical="top" wrapText="1"/>
    </xf>
    <xf numFmtId="1" fontId="15" fillId="8" borderId="19" xfId="2" applyNumberFormat="1" applyFont="1" applyFill="1" applyBorder="1" applyAlignment="1">
      <alignment horizontal="center" vertical="top" wrapText="1"/>
    </xf>
    <xf numFmtId="9" fontId="15" fillId="8" borderId="19" xfId="5" applyFont="1" applyFill="1" applyBorder="1" applyAlignment="1">
      <alignment horizontal="center" vertical="top" wrapText="1"/>
    </xf>
    <xf numFmtId="0" fontId="12" fillId="0" borderId="14" xfId="2" applyFont="1" applyBorder="1"/>
    <xf numFmtId="1" fontId="5" fillId="0" borderId="0" xfId="2" applyNumberFormat="1" applyFont="1"/>
    <xf numFmtId="0" fontId="3" fillId="0" borderId="4" xfId="0" applyFont="1" applyBorder="1"/>
    <xf numFmtId="14" fontId="5" fillId="0" borderId="0" xfId="2" applyNumberFormat="1" applyFont="1"/>
    <xf numFmtId="14" fontId="0" fillId="0" borderId="0" xfId="0" applyNumberFormat="1"/>
    <xf numFmtId="41" fontId="0" fillId="0" borderId="0" xfId="6" applyFont="1"/>
    <xf numFmtId="41" fontId="5" fillId="0" borderId="14" xfId="2" applyNumberFormat="1" applyFont="1" applyBorder="1"/>
    <xf numFmtId="41" fontId="5" fillId="0" borderId="0" xfId="6" applyFont="1"/>
    <xf numFmtId="0" fontId="16" fillId="9" borderId="22" xfId="2" applyFont="1" applyFill="1" applyBorder="1" applyAlignment="1">
      <alignment horizontal="center" vertical="center" textRotation="90" wrapText="1"/>
    </xf>
    <xf numFmtId="0" fontId="17" fillId="9" borderId="16" xfId="2" applyFont="1" applyFill="1" applyBorder="1" applyAlignment="1">
      <alignment horizontal="center" vertical="center" textRotation="180"/>
    </xf>
    <xf numFmtId="0" fontId="16" fillId="9" borderId="17" xfId="2" applyFont="1" applyFill="1" applyBorder="1" applyAlignment="1">
      <alignment horizontal="center" vertical="center" wrapText="1"/>
    </xf>
    <xf numFmtId="0" fontId="16" fillId="9" borderId="14" xfId="2" applyFont="1" applyFill="1" applyBorder="1" applyAlignment="1">
      <alignment horizontal="center" vertical="center" wrapText="1"/>
    </xf>
    <xf numFmtId="0" fontId="16" fillId="9" borderId="15" xfId="2" applyFont="1" applyFill="1" applyBorder="1" applyAlignment="1">
      <alignment horizontal="center" vertical="center" wrapText="1"/>
    </xf>
    <xf numFmtId="167" fontId="18" fillId="9" borderId="14" xfId="3" applyFont="1" applyFill="1" applyBorder="1" applyAlignment="1">
      <alignment horizontal="center" vertical="top" wrapText="1"/>
    </xf>
    <xf numFmtId="167" fontId="13" fillId="10" borderId="21" xfId="3" applyFont="1" applyFill="1" applyBorder="1" applyAlignment="1">
      <alignment horizontal="center" vertical="top" wrapText="1"/>
    </xf>
    <xf numFmtId="167" fontId="19" fillId="9" borderId="14" xfId="3" applyFont="1" applyFill="1" applyBorder="1" applyAlignment="1">
      <alignment horizontal="center" vertical="center" wrapText="1"/>
    </xf>
    <xf numFmtId="0" fontId="9" fillId="4" borderId="0" xfId="2" applyFont="1" applyFill="1" applyAlignment="1">
      <alignment horizontal="left" wrapText="1"/>
    </xf>
    <xf numFmtId="0" fontId="16" fillId="9" borderId="0" xfId="2" applyFont="1" applyFill="1" applyAlignment="1">
      <alignment horizontal="center" vertical="center" textRotation="90" wrapText="1"/>
    </xf>
    <xf numFmtId="41" fontId="5" fillId="0" borderId="21" xfId="2" applyNumberFormat="1" applyFont="1" applyBorder="1" applyAlignment="1">
      <alignment horizontal="center"/>
    </xf>
    <xf numFmtId="41" fontId="5" fillId="0" borderId="0" xfId="2" applyNumberFormat="1" applyFont="1"/>
    <xf numFmtId="0" fontId="5" fillId="0" borderId="14" xfId="2" applyFont="1" applyBorder="1" applyAlignment="1">
      <alignment horizontal="right"/>
    </xf>
    <xf numFmtId="167" fontId="19" fillId="9" borderId="14" xfId="3" applyFont="1" applyFill="1" applyBorder="1" applyAlignment="1">
      <alignment horizontal="center" vertical="center" wrapText="1"/>
    </xf>
    <xf numFmtId="167" fontId="5" fillId="0" borderId="0" xfId="2" applyNumberFormat="1" applyFont="1"/>
    <xf numFmtId="165" fontId="8" fillId="0" borderId="0" xfId="2" applyNumberFormat="1" applyFont="1" applyAlignment="1">
      <alignment horizontal="left"/>
    </xf>
  </cellXfs>
  <cellStyles count="8">
    <cellStyle name="Millares [0]" xfId="6" builtinId="6"/>
    <cellStyle name="Millares [0] 2" xfId="3" xr:uid="{00000000-0005-0000-0000-000001000000}"/>
    <cellStyle name="Moneda" xfId="1" builtinId="4"/>
    <cellStyle name="Moneda 2" xfId="4" xr:uid="{00000000-0005-0000-0000-000003000000}"/>
    <cellStyle name="Normal" xfId="0" builtinId="0"/>
    <cellStyle name="Normal 2" xfId="2" xr:uid="{00000000-0005-0000-0000-000005000000}"/>
    <cellStyle name="Normal 3" xfId="7" xr:uid="{00000000-0005-0000-0000-000006000000}"/>
    <cellStyle name="Porcentaje 2" xfId="5" xr:uid="{00000000-0005-0000-0000-000007000000}"/>
  </cellStyles>
  <dxfs count="6"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012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668857</xdr:colOff>
      <xdr:row>4</xdr:row>
      <xdr:rowOff>18186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800100</xdr:colOff>
      <xdr:row>99</xdr:row>
      <xdr:rowOff>76200</xdr:rowOff>
    </xdr:from>
    <xdr:to>
      <xdr:col>66</xdr:col>
      <xdr:colOff>128485</xdr:colOff>
      <xdr:row>135</xdr:row>
      <xdr:rowOff>13535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AE6647-DC77-429D-A6B6-66288CB0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11334750"/>
          <a:ext cx="11482285" cy="5423735"/>
        </a:xfrm>
        <a:prstGeom prst="rect">
          <a:avLst/>
        </a:prstGeom>
      </xdr:spPr>
    </xdr:pic>
    <xdr:clientData/>
  </xdr:twoCellAnchor>
  <xdr:twoCellAnchor editAs="oneCell">
    <xdr:from>
      <xdr:col>68</xdr:col>
      <xdr:colOff>72737</xdr:colOff>
      <xdr:row>131</xdr:row>
      <xdr:rowOff>48349</xdr:rowOff>
    </xdr:from>
    <xdr:to>
      <xdr:col>86</xdr:col>
      <xdr:colOff>2063</xdr:colOff>
      <xdr:row>147</xdr:row>
      <xdr:rowOff>37277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95B034-8C83-4DFB-9583-845D4F16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94887" y="16183699"/>
          <a:ext cx="11587926" cy="2427328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76200</xdr:colOff>
      <xdr:row>112</xdr:row>
      <xdr:rowOff>148366</xdr:rowOff>
    </xdr:from>
    <xdr:to>
      <xdr:col>38</xdr:col>
      <xdr:colOff>6043</xdr:colOff>
      <xdr:row>115</xdr:row>
      <xdr:rowOff>122196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175140-F624-4C9D-86EC-0547001C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13388116"/>
          <a:ext cx="952156" cy="431033"/>
        </a:xfrm>
        <a:prstGeom prst="rect">
          <a:avLst/>
        </a:prstGeom>
      </xdr:spPr>
    </xdr:pic>
    <xdr:clientData/>
  </xdr:twoCellAnchor>
  <xdr:twoCellAnchor editAs="oneCell">
    <xdr:from>
      <xdr:col>50</xdr:col>
      <xdr:colOff>57150</xdr:colOff>
      <xdr:row>99</xdr:row>
      <xdr:rowOff>76200</xdr:rowOff>
    </xdr:from>
    <xdr:to>
      <xdr:col>69</xdr:col>
      <xdr:colOff>573137</xdr:colOff>
      <xdr:row>132</xdr:row>
      <xdr:rowOff>42055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2A2807-13A5-4DAA-9F87-EADD35B3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20700" y="11334750"/>
          <a:ext cx="11612611" cy="4995053"/>
        </a:xfrm>
        <a:prstGeom prst="rect">
          <a:avLst/>
        </a:prstGeom>
      </xdr:spPr>
    </xdr:pic>
    <xdr:clientData/>
  </xdr:twoCellAnchor>
  <xdr:twoCellAnchor editAs="oneCell">
    <xdr:from>
      <xdr:col>52</xdr:col>
      <xdr:colOff>190500</xdr:colOff>
      <xdr:row>143</xdr:row>
      <xdr:rowOff>81356</xdr:rowOff>
    </xdr:from>
    <xdr:to>
      <xdr:col>70</xdr:col>
      <xdr:colOff>157843</xdr:colOff>
      <xdr:row>157</xdr:row>
      <xdr:rowOff>9036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A965DEC-E0F3-434B-9C85-8FB44EF8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49450" y="18045506"/>
          <a:ext cx="11625944" cy="2061281"/>
        </a:xfrm>
        <a:prstGeom prst="rect">
          <a:avLst/>
        </a:prstGeom>
      </xdr:spPr>
    </xdr:pic>
    <xdr:clientData/>
  </xdr:twoCellAnchor>
  <xdr:twoCellAnchor editAs="oneCell">
    <xdr:from>
      <xdr:col>36</xdr:col>
      <xdr:colOff>670112</xdr:colOff>
      <xdr:row>108</xdr:row>
      <xdr:rowOff>69476</xdr:rowOff>
    </xdr:from>
    <xdr:to>
      <xdr:col>38</xdr:col>
      <xdr:colOff>244012</xdr:colOff>
      <xdr:row>111</xdr:row>
      <xdr:rowOff>75017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16418A2-1E7A-46CA-8E6B-FBDF02EC3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95012" y="12699626"/>
          <a:ext cx="1402700" cy="462743"/>
        </a:xfrm>
        <a:prstGeom prst="rect">
          <a:avLst/>
        </a:prstGeom>
      </xdr:spPr>
    </xdr:pic>
    <xdr:clientData/>
  </xdr:twoCellAnchor>
  <xdr:twoCellAnchor editAs="oneCell">
    <xdr:from>
      <xdr:col>67</xdr:col>
      <xdr:colOff>632012</xdr:colOff>
      <xdr:row>99</xdr:row>
      <xdr:rowOff>58271</xdr:rowOff>
    </xdr:from>
    <xdr:to>
      <xdr:col>86</xdr:col>
      <xdr:colOff>20013</xdr:colOff>
      <xdr:row>132</xdr:row>
      <xdr:rowOff>22780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A415D9-18E2-458F-9772-ADF03BBA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06462" y="11316821"/>
          <a:ext cx="11694300" cy="4993707"/>
        </a:xfrm>
        <a:prstGeom prst="rect">
          <a:avLst/>
        </a:prstGeom>
      </xdr:spPr>
    </xdr:pic>
    <xdr:clientData/>
  </xdr:twoCellAnchor>
  <xdr:twoCellAnchor editAs="oneCell">
    <xdr:from>
      <xdr:col>67</xdr:col>
      <xdr:colOff>643217</xdr:colOff>
      <xdr:row>99</xdr:row>
      <xdr:rowOff>76200</xdr:rowOff>
    </xdr:from>
    <xdr:to>
      <xdr:col>86</xdr:col>
      <xdr:colOff>21694</xdr:colOff>
      <xdr:row>113</xdr:row>
      <xdr:rowOff>79287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6A087FA-858C-46C1-934C-3F88963D1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817667" y="11334750"/>
          <a:ext cx="11684776" cy="2136688"/>
        </a:xfrm>
        <a:prstGeom prst="rect">
          <a:avLst/>
        </a:prstGeom>
      </xdr:spPr>
    </xdr:pic>
    <xdr:clientData/>
  </xdr:twoCellAnchor>
  <xdr:twoCellAnchor editAs="oneCell">
    <xdr:from>
      <xdr:col>36</xdr:col>
      <xdr:colOff>491938</xdr:colOff>
      <xdr:row>105</xdr:row>
      <xdr:rowOff>11205</xdr:rowOff>
    </xdr:from>
    <xdr:to>
      <xdr:col>37</xdr:col>
      <xdr:colOff>836495</xdr:colOff>
      <xdr:row>107</xdr:row>
      <xdr:rowOff>91725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D939835-3B08-407C-A62F-C35CA5DE6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16838" y="12184155"/>
          <a:ext cx="1144657" cy="385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60960</xdr:rowOff>
    </xdr:from>
    <xdr:to>
      <xdr:col>10</xdr:col>
      <xdr:colOff>583377</xdr:colOff>
      <xdr:row>44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78880"/>
          <a:ext cx="8508177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Normal="100" workbookViewId="0">
      <selection activeCell="B2" sqref="B2:B30"/>
    </sheetView>
  </sheetViews>
  <sheetFormatPr baseColWidth="10" defaultColWidth="11.42578125" defaultRowHeight="15" x14ac:dyDescent="0.25"/>
  <cols>
    <col min="1" max="1" width="22.7109375" customWidth="1"/>
  </cols>
  <sheetData>
    <row r="1" spans="1:6" ht="15.75" thickBot="1" x14ac:dyDescent="0.3">
      <c r="B1" s="1"/>
    </row>
    <row r="2" spans="1:6" ht="15.75" thickBot="1" x14ac:dyDescent="0.3">
      <c r="A2" s="2" t="s">
        <v>0</v>
      </c>
      <c r="B2" s="3">
        <f t="shared" ref="B2" si="0">SUM(B3:B30)</f>
        <v>1039422</v>
      </c>
    </row>
    <row r="3" spans="1:6" x14ac:dyDescent="0.25">
      <c r="A3" s="35" t="s">
        <v>1</v>
      </c>
      <c r="B3" s="4">
        <f>'Afluencia diaria Biotren abr-26'!C38</f>
        <v>640272</v>
      </c>
    </row>
    <row r="4" spans="1:6" x14ac:dyDescent="0.25">
      <c r="A4" s="7" t="s">
        <v>2</v>
      </c>
      <c r="B4" s="6">
        <f>'Afluencia diaria Biotren abr-26'!F38</f>
        <v>65434</v>
      </c>
    </row>
    <row r="5" spans="1:6" x14ac:dyDescent="0.25">
      <c r="A5" s="7" t="s">
        <v>3</v>
      </c>
      <c r="B5" s="6">
        <f>'Afluencia diaria Biotren abr-26'!D38</f>
        <v>244905</v>
      </c>
    </row>
    <row r="6" spans="1:6" x14ac:dyDescent="0.25">
      <c r="A6" s="7" t="s">
        <v>4</v>
      </c>
      <c r="B6" s="6">
        <f>'Afluencia diaria Biotren abr-26'!AD38</f>
        <v>0</v>
      </c>
    </row>
    <row r="7" spans="1:6" x14ac:dyDescent="0.25">
      <c r="A7" s="7" t="s">
        <v>5</v>
      </c>
      <c r="B7" s="6">
        <f>'Afluencia diaria Biotren abr-26'!M38</f>
        <v>0</v>
      </c>
    </row>
    <row r="8" spans="1:6" x14ac:dyDescent="0.25">
      <c r="A8" s="7" t="s">
        <v>6</v>
      </c>
      <c r="B8" s="6">
        <f>'Afluencia diaria Biotren abr-26'!K38</f>
        <v>0</v>
      </c>
    </row>
    <row r="9" spans="1:6" x14ac:dyDescent="0.25">
      <c r="A9" s="7" t="s">
        <v>7</v>
      </c>
      <c r="B9" s="8">
        <f>'Afluencia diaria Biotren abr-26'!N38</f>
        <v>0</v>
      </c>
      <c r="F9" t="s">
        <v>78</v>
      </c>
    </row>
    <row r="10" spans="1:6" x14ac:dyDescent="0.25">
      <c r="A10" s="7" t="s">
        <v>8</v>
      </c>
      <c r="B10" s="8">
        <f>'Afluencia diaria Biotren abr-26'!L38</f>
        <v>0</v>
      </c>
    </row>
    <row r="11" spans="1:6" x14ac:dyDescent="0.25">
      <c r="A11" s="7" t="s">
        <v>9</v>
      </c>
      <c r="B11" s="8">
        <f>'Afluencia diaria Biotren abr-26'!O38</f>
        <v>0</v>
      </c>
    </row>
    <row r="12" spans="1:6" x14ac:dyDescent="0.25">
      <c r="A12" s="7" t="s">
        <v>10</v>
      </c>
      <c r="B12" s="8">
        <f>'Afluencia diaria Biotren abr-26'!P38</f>
        <v>0</v>
      </c>
    </row>
    <row r="13" spans="1:6" x14ac:dyDescent="0.25">
      <c r="A13" s="7" t="s">
        <v>11</v>
      </c>
      <c r="B13" s="8">
        <f>'Afluencia diaria Biotren abr-26'!Q38</f>
        <v>0</v>
      </c>
    </row>
    <row r="14" spans="1:6" x14ac:dyDescent="0.25">
      <c r="A14" s="7" t="s">
        <v>12</v>
      </c>
      <c r="B14" s="8">
        <f>'Afluencia diaria Biotren abr-26'!R38</f>
        <v>0</v>
      </c>
    </row>
    <row r="15" spans="1:6" x14ac:dyDescent="0.25">
      <c r="A15" s="7" t="s">
        <v>13</v>
      </c>
      <c r="B15" s="8">
        <f>'Afluencia diaria Biotren abr-26'!E38</f>
        <v>18189</v>
      </c>
    </row>
    <row r="16" spans="1:6" x14ac:dyDescent="0.25">
      <c r="A16" s="7" t="s">
        <v>14</v>
      </c>
      <c r="B16" s="5">
        <f>'Afluencia diaria Biotren abr-26'!AE38</f>
        <v>29852</v>
      </c>
    </row>
    <row r="17" spans="1:2" x14ac:dyDescent="0.25">
      <c r="A17" s="7" t="s">
        <v>15</v>
      </c>
      <c r="B17" s="5">
        <f>'Afluencia diaria Biotren abr-26'!AH38</f>
        <v>0</v>
      </c>
    </row>
    <row r="18" spans="1:2" x14ac:dyDescent="0.25">
      <c r="A18" s="7" t="s">
        <v>16</v>
      </c>
      <c r="B18" s="9">
        <f>'Afluencia diaria Biotren abr-26'!T38</f>
        <v>0</v>
      </c>
    </row>
    <row r="19" spans="1:2" x14ac:dyDescent="0.25">
      <c r="A19" s="7" t="s">
        <v>17</v>
      </c>
      <c r="B19" s="5">
        <f>'Afluencia diaria Biotren abr-26'!AG38</f>
        <v>508</v>
      </c>
    </row>
    <row r="20" spans="1:2" x14ac:dyDescent="0.25">
      <c r="A20" s="7" t="s">
        <v>18</v>
      </c>
      <c r="B20" s="5">
        <f>'Afluencia diaria Biotren abr-26'!AC38</f>
        <v>8629</v>
      </c>
    </row>
    <row r="21" spans="1:2" x14ac:dyDescent="0.25">
      <c r="A21" s="7" t="s">
        <v>19</v>
      </c>
      <c r="B21" s="5">
        <f>'Afluencia diaria Biotren abr-26'!G38</f>
        <v>0</v>
      </c>
    </row>
    <row r="22" spans="1:2" x14ac:dyDescent="0.25">
      <c r="A22" s="7" t="s">
        <v>20</v>
      </c>
      <c r="B22" s="5">
        <f>'Afluencia diaria Biotren abr-26'!AF38</f>
        <v>3482</v>
      </c>
    </row>
    <row r="23" spans="1:2" x14ac:dyDescent="0.25">
      <c r="A23" s="7" t="s">
        <v>21</v>
      </c>
      <c r="B23" s="5">
        <f>'Afluencia diaria Biotren abr-26'!H38</f>
        <v>0</v>
      </c>
    </row>
    <row r="24" spans="1:2" x14ac:dyDescent="0.25">
      <c r="A24" s="7" t="s">
        <v>22</v>
      </c>
      <c r="B24" s="5">
        <f>'Afluencia diaria Biotren abr-26'!I38</f>
        <v>0</v>
      </c>
    </row>
    <row r="25" spans="1:2" x14ac:dyDescent="0.25">
      <c r="A25" s="7" t="s">
        <v>23</v>
      </c>
      <c r="B25" s="10">
        <f>'Afluencia diaria Biotren abr-26'!Z38</f>
        <v>0</v>
      </c>
    </row>
    <row r="26" spans="1:2" x14ac:dyDescent="0.25">
      <c r="A26" s="7" t="s">
        <v>24</v>
      </c>
      <c r="B26" s="10">
        <f>'Afluencia diaria Biotren abr-26'!J38</f>
        <v>0</v>
      </c>
    </row>
    <row r="27" spans="1:2" x14ac:dyDescent="0.25">
      <c r="A27" s="7" t="s">
        <v>25</v>
      </c>
      <c r="B27" s="10">
        <f>'Afluencia diaria Biotren abr-26'!Y38</f>
        <v>0</v>
      </c>
    </row>
    <row r="28" spans="1:2" x14ac:dyDescent="0.25">
      <c r="A28" s="7" t="s">
        <v>26</v>
      </c>
      <c r="B28" s="10">
        <f>'Afluencia diaria Biotren abr-26'!X38</f>
        <v>0</v>
      </c>
    </row>
    <row r="29" spans="1:2" x14ac:dyDescent="0.25">
      <c r="A29" s="7" t="s">
        <v>27</v>
      </c>
      <c r="B29" s="10">
        <f>'Afluencia diaria Biotren abr-26'!U38</f>
        <v>0</v>
      </c>
    </row>
    <row r="30" spans="1:2" x14ac:dyDescent="0.25">
      <c r="A30" s="7" t="s">
        <v>28</v>
      </c>
      <c r="B30" s="10">
        <f>'Afluencia diaria Biotren abr-26'!AK38</f>
        <v>28151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Z112"/>
  <sheetViews>
    <sheetView showGridLines="0" tabSelected="1" zoomScale="70" zoomScaleNormal="70" workbookViewId="0">
      <selection activeCell="B6" sqref="B6"/>
    </sheetView>
  </sheetViews>
  <sheetFormatPr baseColWidth="10" defaultColWidth="9.28515625" defaultRowHeight="12.75" x14ac:dyDescent="0.2"/>
  <cols>
    <col min="1" max="1" width="12.5703125" style="11" bestFit="1" customWidth="1"/>
    <col min="2" max="2" width="14.5703125" style="11" customWidth="1"/>
    <col min="3" max="3" width="15.5703125" style="11" customWidth="1"/>
    <col min="4" max="4" width="13" style="11" bestFit="1" customWidth="1"/>
    <col min="5" max="5" width="26" style="11" bestFit="1" customWidth="1"/>
    <col min="6" max="6" width="18.5703125" style="11" customWidth="1"/>
    <col min="7" max="7" width="11.42578125" style="11" hidden="1" customWidth="1"/>
    <col min="8" max="8" width="17.7109375" style="11" hidden="1" customWidth="1"/>
    <col min="9" max="9" width="20.42578125" style="11" hidden="1" customWidth="1"/>
    <col min="10" max="10" width="15.5703125" style="11" hidden="1" customWidth="1"/>
    <col min="11" max="11" width="8.5703125" style="11" hidden="1" customWidth="1"/>
    <col min="12" max="12" width="9.5703125" style="11" hidden="1" customWidth="1"/>
    <col min="13" max="13" width="7" style="11" hidden="1" customWidth="1"/>
    <col min="14" max="14" width="7.140625" style="11" hidden="1" customWidth="1"/>
    <col min="15" max="15" width="6.85546875" style="11" hidden="1" customWidth="1"/>
    <col min="16" max="16" width="7.7109375" style="11" hidden="1" customWidth="1"/>
    <col min="17" max="17" width="7.140625" style="11" hidden="1" customWidth="1"/>
    <col min="18" max="18" width="5.85546875" style="11" hidden="1" customWidth="1"/>
    <col min="19" max="19" width="7.85546875" style="11" hidden="1" customWidth="1"/>
    <col min="20" max="20" width="7.7109375" style="11" hidden="1" customWidth="1"/>
    <col min="21" max="21" width="7.28515625" style="11" hidden="1" customWidth="1"/>
    <col min="22" max="23" width="5.5703125" style="11" hidden="1" customWidth="1"/>
    <col min="24" max="24" width="6.5703125" style="11" hidden="1" customWidth="1"/>
    <col min="25" max="25" width="7.140625" style="11" hidden="1" customWidth="1"/>
    <col min="26" max="26" width="9.85546875" style="11" hidden="1" customWidth="1"/>
    <col min="27" max="27" width="7.140625" style="11" hidden="1" customWidth="1"/>
    <col min="28" max="28" width="0.28515625" style="11" hidden="1" customWidth="1"/>
    <col min="29" max="29" width="13.5703125" style="11" customWidth="1"/>
    <col min="30" max="30" width="8.5703125" style="11" hidden="1" customWidth="1"/>
    <col min="31" max="31" width="11.7109375" style="11" bestFit="1" customWidth="1"/>
    <col min="32" max="32" width="10.42578125" style="11" bestFit="1" customWidth="1"/>
    <col min="33" max="33" width="9.5703125" style="11" bestFit="1" customWidth="1"/>
    <col min="34" max="34" width="5.85546875" style="11" hidden="1" customWidth="1"/>
    <col min="35" max="35" width="7.7109375" style="11" hidden="1" customWidth="1"/>
    <col min="36" max="36" width="5.28515625" style="11" hidden="1" customWidth="1"/>
    <col min="37" max="37" width="11.7109375" style="11" customWidth="1"/>
    <col min="38" max="39" width="14.85546875" style="11" bestFit="1" customWidth="1"/>
    <col min="40" max="40" width="11.7109375" style="11" hidden="1" customWidth="1"/>
    <col min="41" max="41" width="10" style="11" hidden="1" customWidth="1"/>
    <col min="42" max="42" width="8.7109375" style="11" hidden="1" customWidth="1"/>
    <col min="43" max="43" width="11.28515625" style="11" hidden="1" customWidth="1"/>
    <col min="44" max="46" width="9.28515625" style="11" hidden="1" customWidth="1"/>
    <col min="47" max="47" width="9.7109375" style="11" hidden="1" customWidth="1"/>
    <col min="48" max="48" width="9.28515625" style="11" hidden="1" customWidth="1"/>
    <col min="49" max="49" width="15" style="11" customWidth="1"/>
    <col min="50" max="51" width="12.42578125" style="11" hidden="1" customWidth="1"/>
    <col min="52" max="52" width="17" style="11" hidden="1" customWidth="1"/>
    <col min="53" max="257" width="9.28515625" style="11"/>
    <col min="258" max="258" width="8.7109375" style="11" bestFit="1" customWidth="1"/>
    <col min="259" max="259" width="14.5703125" style="11" customWidth="1"/>
    <col min="260" max="260" width="12.85546875" style="11" customWidth="1"/>
    <col min="261" max="261" width="12" style="11" bestFit="1" customWidth="1"/>
    <col min="262" max="262" width="9.85546875" style="11" bestFit="1" customWidth="1"/>
    <col min="263" max="263" width="10.7109375" style="11" bestFit="1" customWidth="1"/>
    <col min="264" max="264" width="8.28515625" style="11" bestFit="1" customWidth="1"/>
    <col min="265" max="265" width="9.7109375" style="11" bestFit="1" customWidth="1"/>
    <col min="266" max="266" width="7.7109375" style="11" bestFit="1" customWidth="1"/>
    <col min="267" max="267" width="6.28515625" style="11" bestFit="1" customWidth="1"/>
    <col min="268" max="269" width="9.7109375" style="11" bestFit="1" customWidth="1"/>
    <col min="270" max="271" width="7.7109375" style="11" bestFit="1" customWidth="1"/>
    <col min="272" max="272" width="6.7109375" style="11" bestFit="1" customWidth="1"/>
    <col min="273" max="275" width="7.7109375" style="11" bestFit="1" customWidth="1"/>
    <col min="276" max="276" width="7.5703125" style="11" bestFit="1" customWidth="1"/>
    <col min="277" max="277" width="7.7109375" style="11" bestFit="1" customWidth="1"/>
    <col min="278" max="278" width="7.28515625" style="11" bestFit="1" customWidth="1"/>
    <col min="279" max="280" width="5.140625" style="11" bestFit="1" customWidth="1"/>
    <col min="281" max="282" width="6.85546875" style="11" bestFit="1" customWidth="1"/>
    <col min="283" max="283" width="9.7109375" style="11" bestFit="1" customWidth="1"/>
    <col min="284" max="284" width="6.85546875" style="11" bestFit="1" customWidth="1"/>
    <col min="285" max="285" width="6.5703125" style="11" bestFit="1" customWidth="1"/>
    <col min="286" max="286" width="9.7109375" style="11" bestFit="1" customWidth="1"/>
    <col min="287" max="287" width="7.7109375" style="11" bestFit="1" customWidth="1"/>
    <col min="288" max="288" width="10.7109375" style="11" bestFit="1" customWidth="1"/>
    <col min="289" max="289" width="9.7109375" style="11" bestFit="1" customWidth="1"/>
    <col min="290" max="290" width="7.85546875" style="11" bestFit="1" customWidth="1"/>
    <col min="291" max="291" width="8" style="11" bestFit="1" customWidth="1"/>
    <col min="292" max="292" width="10.7109375" style="11" bestFit="1" customWidth="1"/>
    <col min="293" max="293" width="16.28515625" style="11" bestFit="1" customWidth="1"/>
    <col min="294" max="295" width="12.140625" style="11" bestFit="1" customWidth="1"/>
    <col min="296" max="304" width="0" style="11" hidden="1" customWidth="1"/>
    <col min="305" max="513" width="9.28515625" style="11"/>
    <col min="514" max="514" width="8.7109375" style="11" bestFit="1" customWidth="1"/>
    <col min="515" max="515" width="14.5703125" style="11" customWidth="1"/>
    <col min="516" max="516" width="12.85546875" style="11" customWidth="1"/>
    <col min="517" max="517" width="12" style="11" bestFit="1" customWidth="1"/>
    <col min="518" max="518" width="9.85546875" style="11" bestFit="1" customWidth="1"/>
    <col min="519" max="519" width="10.7109375" style="11" bestFit="1" customWidth="1"/>
    <col min="520" max="520" width="8.28515625" style="11" bestFit="1" customWidth="1"/>
    <col min="521" max="521" width="9.7109375" style="11" bestFit="1" customWidth="1"/>
    <col min="522" max="522" width="7.7109375" style="11" bestFit="1" customWidth="1"/>
    <col min="523" max="523" width="6.28515625" style="11" bestFit="1" customWidth="1"/>
    <col min="524" max="525" width="9.7109375" style="11" bestFit="1" customWidth="1"/>
    <col min="526" max="527" width="7.7109375" style="11" bestFit="1" customWidth="1"/>
    <col min="528" max="528" width="6.7109375" style="11" bestFit="1" customWidth="1"/>
    <col min="529" max="531" width="7.7109375" style="11" bestFit="1" customWidth="1"/>
    <col min="532" max="532" width="7.5703125" style="11" bestFit="1" customWidth="1"/>
    <col min="533" max="533" width="7.7109375" style="11" bestFit="1" customWidth="1"/>
    <col min="534" max="534" width="7.28515625" style="11" bestFit="1" customWidth="1"/>
    <col min="535" max="536" width="5.140625" style="11" bestFit="1" customWidth="1"/>
    <col min="537" max="538" width="6.85546875" style="11" bestFit="1" customWidth="1"/>
    <col min="539" max="539" width="9.7109375" style="11" bestFit="1" customWidth="1"/>
    <col min="540" max="540" width="6.85546875" style="11" bestFit="1" customWidth="1"/>
    <col min="541" max="541" width="6.5703125" style="11" bestFit="1" customWidth="1"/>
    <col min="542" max="542" width="9.7109375" style="11" bestFit="1" customWidth="1"/>
    <col min="543" max="543" width="7.7109375" style="11" bestFit="1" customWidth="1"/>
    <col min="544" max="544" width="10.7109375" style="11" bestFit="1" customWidth="1"/>
    <col min="545" max="545" width="9.7109375" style="11" bestFit="1" customWidth="1"/>
    <col min="546" max="546" width="7.85546875" style="11" bestFit="1" customWidth="1"/>
    <col min="547" max="547" width="8" style="11" bestFit="1" customWidth="1"/>
    <col min="548" max="548" width="10.7109375" style="11" bestFit="1" customWidth="1"/>
    <col min="549" max="549" width="16.28515625" style="11" bestFit="1" customWidth="1"/>
    <col min="550" max="551" width="12.140625" style="11" bestFit="1" customWidth="1"/>
    <col min="552" max="560" width="0" style="11" hidden="1" customWidth="1"/>
    <col min="561" max="769" width="9.28515625" style="11"/>
    <col min="770" max="770" width="8.7109375" style="11" bestFit="1" customWidth="1"/>
    <col min="771" max="771" width="14.5703125" style="11" customWidth="1"/>
    <col min="772" max="772" width="12.85546875" style="11" customWidth="1"/>
    <col min="773" max="773" width="12" style="11" bestFit="1" customWidth="1"/>
    <col min="774" max="774" width="9.85546875" style="11" bestFit="1" customWidth="1"/>
    <col min="775" max="775" width="10.7109375" style="11" bestFit="1" customWidth="1"/>
    <col min="776" max="776" width="8.28515625" style="11" bestFit="1" customWidth="1"/>
    <col min="777" max="777" width="9.7109375" style="11" bestFit="1" customWidth="1"/>
    <col min="778" max="778" width="7.7109375" style="11" bestFit="1" customWidth="1"/>
    <col min="779" max="779" width="6.28515625" style="11" bestFit="1" customWidth="1"/>
    <col min="780" max="781" width="9.7109375" style="11" bestFit="1" customWidth="1"/>
    <col min="782" max="783" width="7.7109375" style="11" bestFit="1" customWidth="1"/>
    <col min="784" max="784" width="6.7109375" style="11" bestFit="1" customWidth="1"/>
    <col min="785" max="787" width="7.7109375" style="11" bestFit="1" customWidth="1"/>
    <col min="788" max="788" width="7.5703125" style="11" bestFit="1" customWidth="1"/>
    <col min="789" max="789" width="7.7109375" style="11" bestFit="1" customWidth="1"/>
    <col min="790" max="790" width="7.28515625" style="11" bestFit="1" customWidth="1"/>
    <col min="791" max="792" width="5.140625" style="11" bestFit="1" customWidth="1"/>
    <col min="793" max="794" width="6.85546875" style="11" bestFit="1" customWidth="1"/>
    <col min="795" max="795" width="9.7109375" style="11" bestFit="1" customWidth="1"/>
    <col min="796" max="796" width="6.85546875" style="11" bestFit="1" customWidth="1"/>
    <col min="797" max="797" width="6.5703125" style="11" bestFit="1" customWidth="1"/>
    <col min="798" max="798" width="9.7109375" style="11" bestFit="1" customWidth="1"/>
    <col min="799" max="799" width="7.7109375" style="11" bestFit="1" customWidth="1"/>
    <col min="800" max="800" width="10.7109375" style="11" bestFit="1" customWidth="1"/>
    <col min="801" max="801" width="9.7109375" style="11" bestFit="1" customWidth="1"/>
    <col min="802" max="802" width="7.85546875" style="11" bestFit="1" customWidth="1"/>
    <col min="803" max="803" width="8" style="11" bestFit="1" customWidth="1"/>
    <col min="804" max="804" width="10.7109375" style="11" bestFit="1" customWidth="1"/>
    <col min="805" max="805" width="16.28515625" style="11" bestFit="1" customWidth="1"/>
    <col min="806" max="807" width="12.140625" style="11" bestFit="1" customWidth="1"/>
    <col min="808" max="816" width="0" style="11" hidden="1" customWidth="1"/>
    <col min="817" max="1025" width="9.28515625" style="11"/>
    <col min="1026" max="1026" width="8.7109375" style="11" bestFit="1" customWidth="1"/>
    <col min="1027" max="1027" width="14.5703125" style="11" customWidth="1"/>
    <col min="1028" max="1028" width="12.85546875" style="11" customWidth="1"/>
    <col min="1029" max="1029" width="12" style="11" bestFit="1" customWidth="1"/>
    <col min="1030" max="1030" width="9.85546875" style="11" bestFit="1" customWidth="1"/>
    <col min="1031" max="1031" width="10.7109375" style="11" bestFit="1" customWidth="1"/>
    <col min="1032" max="1032" width="8.28515625" style="11" bestFit="1" customWidth="1"/>
    <col min="1033" max="1033" width="9.7109375" style="11" bestFit="1" customWidth="1"/>
    <col min="1034" max="1034" width="7.7109375" style="11" bestFit="1" customWidth="1"/>
    <col min="1035" max="1035" width="6.28515625" style="11" bestFit="1" customWidth="1"/>
    <col min="1036" max="1037" width="9.7109375" style="11" bestFit="1" customWidth="1"/>
    <col min="1038" max="1039" width="7.7109375" style="11" bestFit="1" customWidth="1"/>
    <col min="1040" max="1040" width="6.7109375" style="11" bestFit="1" customWidth="1"/>
    <col min="1041" max="1043" width="7.7109375" style="11" bestFit="1" customWidth="1"/>
    <col min="1044" max="1044" width="7.5703125" style="11" bestFit="1" customWidth="1"/>
    <col min="1045" max="1045" width="7.7109375" style="11" bestFit="1" customWidth="1"/>
    <col min="1046" max="1046" width="7.28515625" style="11" bestFit="1" customWidth="1"/>
    <col min="1047" max="1048" width="5.140625" style="11" bestFit="1" customWidth="1"/>
    <col min="1049" max="1050" width="6.85546875" style="11" bestFit="1" customWidth="1"/>
    <col min="1051" max="1051" width="9.7109375" style="11" bestFit="1" customWidth="1"/>
    <col min="1052" max="1052" width="6.85546875" style="11" bestFit="1" customWidth="1"/>
    <col min="1053" max="1053" width="6.5703125" style="11" bestFit="1" customWidth="1"/>
    <col min="1054" max="1054" width="9.7109375" style="11" bestFit="1" customWidth="1"/>
    <col min="1055" max="1055" width="7.7109375" style="11" bestFit="1" customWidth="1"/>
    <col min="1056" max="1056" width="10.7109375" style="11" bestFit="1" customWidth="1"/>
    <col min="1057" max="1057" width="9.7109375" style="11" bestFit="1" customWidth="1"/>
    <col min="1058" max="1058" width="7.85546875" style="11" bestFit="1" customWidth="1"/>
    <col min="1059" max="1059" width="8" style="11" bestFit="1" customWidth="1"/>
    <col min="1060" max="1060" width="10.7109375" style="11" bestFit="1" customWidth="1"/>
    <col min="1061" max="1061" width="16.28515625" style="11" bestFit="1" customWidth="1"/>
    <col min="1062" max="1063" width="12.140625" style="11" bestFit="1" customWidth="1"/>
    <col min="1064" max="1072" width="0" style="11" hidden="1" customWidth="1"/>
    <col min="1073" max="1281" width="9.28515625" style="11"/>
    <col min="1282" max="1282" width="8.7109375" style="11" bestFit="1" customWidth="1"/>
    <col min="1283" max="1283" width="14.5703125" style="11" customWidth="1"/>
    <col min="1284" max="1284" width="12.85546875" style="11" customWidth="1"/>
    <col min="1285" max="1285" width="12" style="11" bestFit="1" customWidth="1"/>
    <col min="1286" max="1286" width="9.85546875" style="11" bestFit="1" customWidth="1"/>
    <col min="1287" max="1287" width="10.7109375" style="11" bestFit="1" customWidth="1"/>
    <col min="1288" max="1288" width="8.28515625" style="11" bestFit="1" customWidth="1"/>
    <col min="1289" max="1289" width="9.7109375" style="11" bestFit="1" customWidth="1"/>
    <col min="1290" max="1290" width="7.7109375" style="11" bestFit="1" customWidth="1"/>
    <col min="1291" max="1291" width="6.28515625" style="11" bestFit="1" customWidth="1"/>
    <col min="1292" max="1293" width="9.7109375" style="11" bestFit="1" customWidth="1"/>
    <col min="1294" max="1295" width="7.7109375" style="11" bestFit="1" customWidth="1"/>
    <col min="1296" max="1296" width="6.7109375" style="11" bestFit="1" customWidth="1"/>
    <col min="1297" max="1299" width="7.7109375" style="11" bestFit="1" customWidth="1"/>
    <col min="1300" max="1300" width="7.5703125" style="11" bestFit="1" customWidth="1"/>
    <col min="1301" max="1301" width="7.7109375" style="11" bestFit="1" customWidth="1"/>
    <col min="1302" max="1302" width="7.28515625" style="11" bestFit="1" customWidth="1"/>
    <col min="1303" max="1304" width="5.140625" style="11" bestFit="1" customWidth="1"/>
    <col min="1305" max="1306" width="6.85546875" style="11" bestFit="1" customWidth="1"/>
    <col min="1307" max="1307" width="9.7109375" style="11" bestFit="1" customWidth="1"/>
    <col min="1308" max="1308" width="6.85546875" style="11" bestFit="1" customWidth="1"/>
    <col min="1309" max="1309" width="6.5703125" style="11" bestFit="1" customWidth="1"/>
    <col min="1310" max="1310" width="9.7109375" style="11" bestFit="1" customWidth="1"/>
    <col min="1311" max="1311" width="7.7109375" style="11" bestFit="1" customWidth="1"/>
    <col min="1312" max="1312" width="10.7109375" style="11" bestFit="1" customWidth="1"/>
    <col min="1313" max="1313" width="9.7109375" style="11" bestFit="1" customWidth="1"/>
    <col min="1314" max="1314" width="7.85546875" style="11" bestFit="1" customWidth="1"/>
    <col min="1315" max="1315" width="8" style="11" bestFit="1" customWidth="1"/>
    <col min="1316" max="1316" width="10.7109375" style="11" bestFit="1" customWidth="1"/>
    <col min="1317" max="1317" width="16.28515625" style="11" bestFit="1" customWidth="1"/>
    <col min="1318" max="1319" width="12.140625" style="11" bestFit="1" customWidth="1"/>
    <col min="1320" max="1328" width="0" style="11" hidden="1" customWidth="1"/>
    <col min="1329" max="1537" width="9.28515625" style="11"/>
    <col min="1538" max="1538" width="8.7109375" style="11" bestFit="1" customWidth="1"/>
    <col min="1539" max="1539" width="14.5703125" style="11" customWidth="1"/>
    <col min="1540" max="1540" width="12.85546875" style="11" customWidth="1"/>
    <col min="1541" max="1541" width="12" style="11" bestFit="1" customWidth="1"/>
    <col min="1542" max="1542" width="9.85546875" style="11" bestFit="1" customWidth="1"/>
    <col min="1543" max="1543" width="10.7109375" style="11" bestFit="1" customWidth="1"/>
    <col min="1544" max="1544" width="8.28515625" style="11" bestFit="1" customWidth="1"/>
    <col min="1545" max="1545" width="9.7109375" style="11" bestFit="1" customWidth="1"/>
    <col min="1546" max="1546" width="7.7109375" style="11" bestFit="1" customWidth="1"/>
    <col min="1547" max="1547" width="6.28515625" style="11" bestFit="1" customWidth="1"/>
    <col min="1548" max="1549" width="9.7109375" style="11" bestFit="1" customWidth="1"/>
    <col min="1550" max="1551" width="7.7109375" style="11" bestFit="1" customWidth="1"/>
    <col min="1552" max="1552" width="6.7109375" style="11" bestFit="1" customWidth="1"/>
    <col min="1553" max="1555" width="7.7109375" style="11" bestFit="1" customWidth="1"/>
    <col min="1556" max="1556" width="7.5703125" style="11" bestFit="1" customWidth="1"/>
    <col min="1557" max="1557" width="7.7109375" style="11" bestFit="1" customWidth="1"/>
    <col min="1558" max="1558" width="7.28515625" style="11" bestFit="1" customWidth="1"/>
    <col min="1559" max="1560" width="5.140625" style="11" bestFit="1" customWidth="1"/>
    <col min="1561" max="1562" width="6.85546875" style="11" bestFit="1" customWidth="1"/>
    <col min="1563" max="1563" width="9.7109375" style="11" bestFit="1" customWidth="1"/>
    <col min="1564" max="1564" width="6.85546875" style="11" bestFit="1" customWidth="1"/>
    <col min="1565" max="1565" width="6.5703125" style="11" bestFit="1" customWidth="1"/>
    <col min="1566" max="1566" width="9.7109375" style="11" bestFit="1" customWidth="1"/>
    <col min="1567" max="1567" width="7.7109375" style="11" bestFit="1" customWidth="1"/>
    <col min="1568" max="1568" width="10.7109375" style="11" bestFit="1" customWidth="1"/>
    <col min="1569" max="1569" width="9.7109375" style="11" bestFit="1" customWidth="1"/>
    <col min="1570" max="1570" width="7.85546875" style="11" bestFit="1" customWidth="1"/>
    <col min="1571" max="1571" width="8" style="11" bestFit="1" customWidth="1"/>
    <col min="1572" max="1572" width="10.7109375" style="11" bestFit="1" customWidth="1"/>
    <col min="1573" max="1573" width="16.28515625" style="11" bestFit="1" customWidth="1"/>
    <col min="1574" max="1575" width="12.140625" style="11" bestFit="1" customWidth="1"/>
    <col min="1576" max="1584" width="0" style="11" hidden="1" customWidth="1"/>
    <col min="1585" max="1793" width="9.28515625" style="11"/>
    <col min="1794" max="1794" width="8.7109375" style="11" bestFit="1" customWidth="1"/>
    <col min="1795" max="1795" width="14.5703125" style="11" customWidth="1"/>
    <col min="1796" max="1796" width="12.85546875" style="11" customWidth="1"/>
    <col min="1797" max="1797" width="12" style="11" bestFit="1" customWidth="1"/>
    <col min="1798" max="1798" width="9.85546875" style="11" bestFit="1" customWidth="1"/>
    <col min="1799" max="1799" width="10.7109375" style="11" bestFit="1" customWidth="1"/>
    <col min="1800" max="1800" width="8.28515625" style="11" bestFit="1" customWidth="1"/>
    <col min="1801" max="1801" width="9.7109375" style="11" bestFit="1" customWidth="1"/>
    <col min="1802" max="1802" width="7.7109375" style="11" bestFit="1" customWidth="1"/>
    <col min="1803" max="1803" width="6.28515625" style="11" bestFit="1" customWidth="1"/>
    <col min="1804" max="1805" width="9.7109375" style="11" bestFit="1" customWidth="1"/>
    <col min="1806" max="1807" width="7.7109375" style="11" bestFit="1" customWidth="1"/>
    <col min="1808" max="1808" width="6.7109375" style="11" bestFit="1" customWidth="1"/>
    <col min="1809" max="1811" width="7.7109375" style="11" bestFit="1" customWidth="1"/>
    <col min="1812" max="1812" width="7.5703125" style="11" bestFit="1" customWidth="1"/>
    <col min="1813" max="1813" width="7.7109375" style="11" bestFit="1" customWidth="1"/>
    <col min="1814" max="1814" width="7.28515625" style="11" bestFit="1" customWidth="1"/>
    <col min="1815" max="1816" width="5.140625" style="11" bestFit="1" customWidth="1"/>
    <col min="1817" max="1818" width="6.85546875" style="11" bestFit="1" customWidth="1"/>
    <col min="1819" max="1819" width="9.7109375" style="11" bestFit="1" customWidth="1"/>
    <col min="1820" max="1820" width="6.85546875" style="11" bestFit="1" customWidth="1"/>
    <col min="1821" max="1821" width="6.5703125" style="11" bestFit="1" customWidth="1"/>
    <col min="1822" max="1822" width="9.7109375" style="11" bestFit="1" customWidth="1"/>
    <col min="1823" max="1823" width="7.7109375" style="11" bestFit="1" customWidth="1"/>
    <col min="1824" max="1824" width="10.7109375" style="11" bestFit="1" customWidth="1"/>
    <col min="1825" max="1825" width="9.7109375" style="11" bestFit="1" customWidth="1"/>
    <col min="1826" max="1826" width="7.85546875" style="11" bestFit="1" customWidth="1"/>
    <col min="1827" max="1827" width="8" style="11" bestFit="1" customWidth="1"/>
    <col min="1828" max="1828" width="10.7109375" style="11" bestFit="1" customWidth="1"/>
    <col min="1829" max="1829" width="16.28515625" style="11" bestFit="1" customWidth="1"/>
    <col min="1830" max="1831" width="12.140625" style="11" bestFit="1" customWidth="1"/>
    <col min="1832" max="1840" width="0" style="11" hidden="1" customWidth="1"/>
    <col min="1841" max="2049" width="9.28515625" style="11"/>
    <col min="2050" max="2050" width="8.7109375" style="11" bestFit="1" customWidth="1"/>
    <col min="2051" max="2051" width="14.5703125" style="11" customWidth="1"/>
    <col min="2052" max="2052" width="12.85546875" style="11" customWidth="1"/>
    <col min="2053" max="2053" width="12" style="11" bestFit="1" customWidth="1"/>
    <col min="2054" max="2054" width="9.85546875" style="11" bestFit="1" customWidth="1"/>
    <col min="2055" max="2055" width="10.7109375" style="11" bestFit="1" customWidth="1"/>
    <col min="2056" max="2056" width="8.28515625" style="11" bestFit="1" customWidth="1"/>
    <col min="2057" max="2057" width="9.7109375" style="11" bestFit="1" customWidth="1"/>
    <col min="2058" max="2058" width="7.7109375" style="11" bestFit="1" customWidth="1"/>
    <col min="2059" max="2059" width="6.28515625" style="11" bestFit="1" customWidth="1"/>
    <col min="2060" max="2061" width="9.7109375" style="11" bestFit="1" customWidth="1"/>
    <col min="2062" max="2063" width="7.7109375" style="11" bestFit="1" customWidth="1"/>
    <col min="2064" max="2064" width="6.7109375" style="11" bestFit="1" customWidth="1"/>
    <col min="2065" max="2067" width="7.7109375" style="11" bestFit="1" customWidth="1"/>
    <col min="2068" max="2068" width="7.5703125" style="11" bestFit="1" customWidth="1"/>
    <col min="2069" max="2069" width="7.7109375" style="11" bestFit="1" customWidth="1"/>
    <col min="2070" max="2070" width="7.28515625" style="11" bestFit="1" customWidth="1"/>
    <col min="2071" max="2072" width="5.140625" style="11" bestFit="1" customWidth="1"/>
    <col min="2073" max="2074" width="6.85546875" style="11" bestFit="1" customWidth="1"/>
    <col min="2075" max="2075" width="9.7109375" style="11" bestFit="1" customWidth="1"/>
    <col min="2076" max="2076" width="6.85546875" style="11" bestFit="1" customWidth="1"/>
    <col min="2077" max="2077" width="6.5703125" style="11" bestFit="1" customWidth="1"/>
    <col min="2078" max="2078" width="9.7109375" style="11" bestFit="1" customWidth="1"/>
    <col min="2079" max="2079" width="7.7109375" style="11" bestFit="1" customWidth="1"/>
    <col min="2080" max="2080" width="10.7109375" style="11" bestFit="1" customWidth="1"/>
    <col min="2081" max="2081" width="9.7109375" style="11" bestFit="1" customWidth="1"/>
    <col min="2082" max="2082" width="7.85546875" style="11" bestFit="1" customWidth="1"/>
    <col min="2083" max="2083" width="8" style="11" bestFit="1" customWidth="1"/>
    <col min="2084" max="2084" width="10.7109375" style="11" bestFit="1" customWidth="1"/>
    <col min="2085" max="2085" width="16.28515625" style="11" bestFit="1" customWidth="1"/>
    <col min="2086" max="2087" width="12.140625" style="11" bestFit="1" customWidth="1"/>
    <col min="2088" max="2096" width="0" style="11" hidden="1" customWidth="1"/>
    <col min="2097" max="2305" width="9.28515625" style="11"/>
    <col min="2306" max="2306" width="8.7109375" style="11" bestFit="1" customWidth="1"/>
    <col min="2307" max="2307" width="14.5703125" style="11" customWidth="1"/>
    <col min="2308" max="2308" width="12.85546875" style="11" customWidth="1"/>
    <col min="2309" max="2309" width="12" style="11" bestFit="1" customWidth="1"/>
    <col min="2310" max="2310" width="9.85546875" style="11" bestFit="1" customWidth="1"/>
    <col min="2311" max="2311" width="10.7109375" style="11" bestFit="1" customWidth="1"/>
    <col min="2312" max="2312" width="8.28515625" style="11" bestFit="1" customWidth="1"/>
    <col min="2313" max="2313" width="9.7109375" style="11" bestFit="1" customWidth="1"/>
    <col min="2314" max="2314" width="7.7109375" style="11" bestFit="1" customWidth="1"/>
    <col min="2315" max="2315" width="6.28515625" style="11" bestFit="1" customWidth="1"/>
    <col min="2316" max="2317" width="9.7109375" style="11" bestFit="1" customWidth="1"/>
    <col min="2318" max="2319" width="7.7109375" style="11" bestFit="1" customWidth="1"/>
    <col min="2320" max="2320" width="6.7109375" style="11" bestFit="1" customWidth="1"/>
    <col min="2321" max="2323" width="7.7109375" style="11" bestFit="1" customWidth="1"/>
    <col min="2324" max="2324" width="7.5703125" style="11" bestFit="1" customWidth="1"/>
    <col min="2325" max="2325" width="7.7109375" style="11" bestFit="1" customWidth="1"/>
    <col min="2326" max="2326" width="7.28515625" style="11" bestFit="1" customWidth="1"/>
    <col min="2327" max="2328" width="5.140625" style="11" bestFit="1" customWidth="1"/>
    <col min="2329" max="2330" width="6.85546875" style="11" bestFit="1" customWidth="1"/>
    <col min="2331" max="2331" width="9.7109375" style="11" bestFit="1" customWidth="1"/>
    <col min="2332" max="2332" width="6.85546875" style="11" bestFit="1" customWidth="1"/>
    <col min="2333" max="2333" width="6.5703125" style="11" bestFit="1" customWidth="1"/>
    <col min="2334" max="2334" width="9.7109375" style="11" bestFit="1" customWidth="1"/>
    <col min="2335" max="2335" width="7.7109375" style="11" bestFit="1" customWidth="1"/>
    <col min="2336" max="2336" width="10.7109375" style="11" bestFit="1" customWidth="1"/>
    <col min="2337" max="2337" width="9.7109375" style="11" bestFit="1" customWidth="1"/>
    <col min="2338" max="2338" width="7.85546875" style="11" bestFit="1" customWidth="1"/>
    <col min="2339" max="2339" width="8" style="11" bestFit="1" customWidth="1"/>
    <col min="2340" max="2340" width="10.7109375" style="11" bestFit="1" customWidth="1"/>
    <col min="2341" max="2341" width="16.28515625" style="11" bestFit="1" customWidth="1"/>
    <col min="2342" max="2343" width="12.140625" style="11" bestFit="1" customWidth="1"/>
    <col min="2344" max="2352" width="0" style="11" hidden="1" customWidth="1"/>
    <col min="2353" max="2561" width="9.28515625" style="11"/>
    <col min="2562" max="2562" width="8.7109375" style="11" bestFit="1" customWidth="1"/>
    <col min="2563" max="2563" width="14.5703125" style="11" customWidth="1"/>
    <col min="2564" max="2564" width="12.85546875" style="11" customWidth="1"/>
    <col min="2565" max="2565" width="12" style="11" bestFit="1" customWidth="1"/>
    <col min="2566" max="2566" width="9.85546875" style="11" bestFit="1" customWidth="1"/>
    <col min="2567" max="2567" width="10.7109375" style="11" bestFit="1" customWidth="1"/>
    <col min="2568" max="2568" width="8.28515625" style="11" bestFit="1" customWidth="1"/>
    <col min="2569" max="2569" width="9.7109375" style="11" bestFit="1" customWidth="1"/>
    <col min="2570" max="2570" width="7.7109375" style="11" bestFit="1" customWidth="1"/>
    <col min="2571" max="2571" width="6.28515625" style="11" bestFit="1" customWidth="1"/>
    <col min="2572" max="2573" width="9.7109375" style="11" bestFit="1" customWidth="1"/>
    <col min="2574" max="2575" width="7.7109375" style="11" bestFit="1" customWidth="1"/>
    <col min="2576" max="2576" width="6.7109375" style="11" bestFit="1" customWidth="1"/>
    <col min="2577" max="2579" width="7.7109375" style="11" bestFit="1" customWidth="1"/>
    <col min="2580" max="2580" width="7.5703125" style="11" bestFit="1" customWidth="1"/>
    <col min="2581" max="2581" width="7.7109375" style="11" bestFit="1" customWidth="1"/>
    <col min="2582" max="2582" width="7.28515625" style="11" bestFit="1" customWidth="1"/>
    <col min="2583" max="2584" width="5.140625" style="11" bestFit="1" customWidth="1"/>
    <col min="2585" max="2586" width="6.85546875" style="11" bestFit="1" customWidth="1"/>
    <col min="2587" max="2587" width="9.7109375" style="11" bestFit="1" customWidth="1"/>
    <col min="2588" max="2588" width="6.85546875" style="11" bestFit="1" customWidth="1"/>
    <col min="2589" max="2589" width="6.5703125" style="11" bestFit="1" customWidth="1"/>
    <col min="2590" max="2590" width="9.7109375" style="11" bestFit="1" customWidth="1"/>
    <col min="2591" max="2591" width="7.7109375" style="11" bestFit="1" customWidth="1"/>
    <col min="2592" max="2592" width="10.7109375" style="11" bestFit="1" customWidth="1"/>
    <col min="2593" max="2593" width="9.7109375" style="11" bestFit="1" customWidth="1"/>
    <col min="2594" max="2594" width="7.85546875" style="11" bestFit="1" customWidth="1"/>
    <col min="2595" max="2595" width="8" style="11" bestFit="1" customWidth="1"/>
    <col min="2596" max="2596" width="10.7109375" style="11" bestFit="1" customWidth="1"/>
    <col min="2597" max="2597" width="16.28515625" style="11" bestFit="1" customWidth="1"/>
    <col min="2598" max="2599" width="12.140625" style="11" bestFit="1" customWidth="1"/>
    <col min="2600" max="2608" width="0" style="11" hidden="1" customWidth="1"/>
    <col min="2609" max="2817" width="9.28515625" style="11"/>
    <col min="2818" max="2818" width="8.7109375" style="11" bestFit="1" customWidth="1"/>
    <col min="2819" max="2819" width="14.5703125" style="11" customWidth="1"/>
    <col min="2820" max="2820" width="12.85546875" style="11" customWidth="1"/>
    <col min="2821" max="2821" width="12" style="11" bestFit="1" customWidth="1"/>
    <col min="2822" max="2822" width="9.85546875" style="11" bestFit="1" customWidth="1"/>
    <col min="2823" max="2823" width="10.7109375" style="11" bestFit="1" customWidth="1"/>
    <col min="2824" max="2824" width="8.28515625" style="11" bestFit="1" customWidth="1"/>
    <col min="2825" max="2825" width="9.7109375" style="11" bestFit="1" customWidth="1"/>
    <col min="2826" max="2826" width="7.7109375" style="11" bestFit="1" customWidth="1"/>
    <col min="2827" max="2827" width="6.28515625" style="11" bestFit="1" customWidth="1"/>
    <col min="2828" max="2829" width="9.7109375" style="11" bestFit="1" customWidth="1"/>
    <col min="2830" max="2831" width="7.7109375" style="11" bestFit="1" customWidth="1"/>
    <col min="2832" max="2832" width="6.7109375" style="11" bestFit="1" customWidth="1"/>
    <col min="2833" max="2835" width="7.7109375" style="11" bestFit="1" customWidth="1"/>
    <col min="2836" max="2836" width="7.5703125" style="11" bestFit="1" customWidth="1"/>
    <col min="2837" max="2837" width="7.7109375" style="11" bestFit="1" customWidth="1"/>
    <col min="2838" max="2838" width="7.28515625" style="11" bestFit="1" customWidth="1"/>
    <col min="2839" max="2840" width="5.140625" style="11" bestFit="1" customWidth="1"/>
    <col min="2841" max="2842" width="6.85546875" style="11" bestFit="1" customWidth="1"/>
    <col min="2843" max="2843" width="9.7109375" style="11" bestFit="1" customWidth="1"/>
    <col min="2844" max="2844" width="6.85546875" style="11" bestFit="1" customWidth="1"/>
    <col min="2845" max="2845" width="6.5703125" style="11" bestFit="1" customWidth="1"/>
    <col min="2846" max="2846" width="9.7109375" style="11" bestFit="1" customWidth="1"/>
    <col min="2847" max="2847" width="7.7109375" style="11" bestFit="1" customWidth="1"/>
    <col min="2848" max="2848" width="10.7109375" style="11" bestFit="1" customWidth="1"/>
    <col min="2849" max="2849" width="9.7109375" style="11" bestFit="1" customWidth="1"/>
    <col min="2850" max="2850" width="7.85546875" style="11" bestFit="1" customWidth="1"/>
    <col min="2851" max="2851" width="8" style="11" bestFit="1" customWidth="1"/>
    <col min="2852" max="2852" width="10.7109375" style="11" bestFit="1" customWidth="1"/>
    <col min="2853" max="2853" width="16.28515625" style="11" bestFit="1" customWidth="1"/>
    <col min="2854" max="2855" width="12.140625" style="11" bestFit="1" customWidth="1"/>
    <col min="2856" max="2864" width="0" style="11" hidden="1" customWidth="1"/>
    <col min="2865" max="3073" width="9.28515625" style="11"/>
    <col min="3074" max="3074" width="8.7109375" style="11" bestFit="1" customWidth="1"/>
    <col min="3075" max="3075" width="14.5703125" style="11" customWidth="1"/>
    <col min="3076" max="3076" width="12.85546875" style="11" customWidth="1"/>
    <col min="3077" max="3077" width="12" style="11" bestFit="1" customWidth="1"/>
    <col min="3078" max="3078" width="9.85546875" style="11" bestFit="1" customWidth="1"/>
    <col min="3079" max="3079" width="10.7109375" style="11" bestFit="1" customWidth="1"/>
    <col min="3080" max="3080" width="8.28515625" style="11" bestFit="1" customWidth="1"/>
    <col min="3081" max="3081" width="9.7109375" style="11" bestFit="1" customWidth="1"/>
    <col min="3082" max="3082" width="7.7109375" style="11" bestFit="1" customWidth="1"/>
    <col min="3083" max="3083" width="6.28515625" style="11" bestFit="1" customWidth="1"/>
    <col min="3084" max="3085" width="9.7109375" style="11" bestFit="1" customWidth="1"/>
    <col min="3086" max="3087" width="7.7109375" style="11" bestFit="1" customWidth="1"/>
    <col min="3088" max="3088" width="6.7109375" style="11" bestFit="1" customWidth="1"/>
    <col min="3089" max="3091" width="7.7109375" style="11" bestFit="1" customWidth="1"/>
    <col min="3092" max="3092" width="7.5703125" style="11" bestFit="1" customWidth="1"/>
    <col min="3093" max="3093" width="7.7109375" style="11" bestFit="1" customWidth="1"/>
    <col min="3094" max="3094" width="7.28515625" style="11" bestFit="1" customWidth="1"/>
    <col min="3095" max="3096" width="5.140625" style="11" bestFit="1" customWidth="1"/>
    <col min="3097" max="3098" width="6.85546875" style="11" bestFit="1" customWidth="1"/>
    <col min="3099" max="3099" width="9.7109375" style="11" bestFit="1" customWidth="1"/>
    <col min="3100" max="3100" width="6.85546875" style="11" bestFit="1" customWidth="1"/>
    <col min="3101" max="3101" width="6.5703125" style="11" bestFit="1" customWidth="1"/>
    <col min="3102" max="3102" width="9.7109375" style="11" bestFit="1" customWidth="1"/>
    <col min="3103" max="3103" width="7.7109375" style="11" bestFit="1" customWidth="1"/>
    <col min="3104" max="3104" width="10.7109375" style="11" bestFit="1" customWidth="1"/>
    <col min="3105" max="3105" width="9.7109375" style="11" bestFit="1" customWidth="1"/>
    <col min="3106" max="3106" width="7.85546875" style="11" bestFit="1" customWidth="1"/>
    <col min="3107" max="3107" width="8" style="11" bestFit="1" customWidth="1"/>
    <col min="3108" max="3108" width="10.7109375" style="11" bestFit="1" customWidth="1"/>
    <col min="3109" max="3109" width="16.28515625" style="11" bestFit="1" customWidth="1"/>
    <col min="3110" max="3111" width="12.140625" style="11" bestFit="1" customWidth="1"/>
    <col min="3112" max="3120" width="0" style="11" hidden="1" customWidth="1"/>
    <col min="3121" max="3329" width="9.28515625" style="11"/>
    <col min="3330" max="3330" width="8.7109375" style="11" bestFit="1" customWidth="1"/>
    <col min="3331" max="3331" width="14.5703125" style="11" customWidth="1"/>
    <col min="3332" max="3332" width="12.85546875" style="11" customWidth="1"/>
    <col min="3333" max="3333" width="12" style="11" bestFit="1" customWidth="1"/>
    <col min="3334" max="3334" width="9.85546875" style="11" bestFit="1" customWidth="1"/>
    <col min="3335" max="3335" width="10.7109375" style="11" bestFit="1" customWidth="1"/>
    <col min="3336" max="3336" width="8.28515625" style="11" bestFit="1" customWidth="1"/>
    <col min="3337" max="3337" width="9.7109375" style="11" bestFit="1" customWidth="1"/>
    <col min="3338" max="3338" width="7.7109375" style="11" bestFit="1" customWidth="1"/>
    <col min="3339" max="3339" width="6.28515625" style="11" bestFit="1" customWidth="1"/>
    <col min="3340" max="3341" width="9.7109375" style="11" bestFit="1" customWidth="1"/>
    <col min="3342" max="3343" width="7.7109375" style="11" bestFit="1" customWidth="1"/>
    <col min="3344" max="3344" width="6.7109375" style="11" bestFit="1" customWidth="1"/>
    <col min="3345" max="3347" width="7.7109375" style="11" bestFit="1" customWidth="1"/>
    <col min="3348" max="3348" width="7.5703125" style="11" bestFit="1" customWidth="1"/>
    <col min="3349" max="3349" width="7.7109375" style="11" bestFit="1" customWidth="1"/>
    <col min="3350" max="3350" width="7.28515625" style="11" bestFit="1" customWidth="1"/>
    <col min="3351" max="3352" width="5.140625" style="11" bestFit="1" customWidth="1"/>
    <col min="3353" max="3354" width="6.85546875" style="11" bestFit="1" customWidth="1"/>
    <col min="3355" max="3355" width="9.7109375" style="11" bestFit="1" customWidth="1"/>
    <col min="3356" max="3356" width="6.85546875" style="11" bestFit="1" customWidth="1"/>
    <col min="3357" max="3357" width="6.5703125" style="11" bestFit="1" customWidth="1"/>
    <col min="3358" max="3358" width="9.7109375" style="11" bestFit="1" customWidth="1"/>
    <col min="3359" max="3359" width="7.7109375" style="11" bestFit="1" customWidth="1"/>
    <col min="3360" max="3360" width="10.7109375" style="11" bestFit="1" customWidth="1"/>
    <col min="3361" max="3361" width="9.7109375" style="11" bestFit="1" customWidth="1"/>
    <col min="3362" max="3362" width="7.85546875" style="11" bestFit="1" customWidth="1"/>
    <col min="3363" max="3363" width="8" style="11" bestFit="1" customWidth="1"/>
    <col min="3364" max="3364" width="10.7109375" style="11" bestFit="1" customWidth="1"/>
    <col min="3365" max="3365" width="16.28515625" style="11" bestFit="1" customWidth="1"/>
    <col min="3366" max="3367" width="12.140625" style="11" bestFit="1" customWidth="1"/>
    <col min="3368" max="3376" width="0" style="11" hidden="1" customWidth="1"/>
    <col min="3377" max="3585" width="9.28515625" style="11"/>
    <col min="3586" max="3586" width="8.7109375" style="11" bestFit="1" customWidth="1"/>
    <col min="3587" max="3587" width="14.5703125" style="11" customWidth="1"/>
    <col min="3588" max="3588" width="12.85546875" style="11" customWidth="1"/>
    <col min="3589" max="3589" width="12" style="11" bestFit="1" customWidth="1"/>
    <col min="3590" max="3590" width="9.85546875" style="11" bestFit="1" customWidth="1"/>
    <col min="3591" max="3591" width="10.7109375" style="11" bestFit="1" customWidth="1"/>
    <col min="3592" max="3592" width="8.28515625" style="11" bestFit="1" customWidth="1"/>
    <col min="3593" max="3593" width="9.7109375" style="11" bestFit="1" customWidth="1"/>
    <col min="3594" max="3594" width="7.7109375" style="11" bestFit="1" customWidth="1"/>
    <col min="3595" max="3595" width="6.28515625" style="11" bestFit="1" customWidth="1"/>
    <col min="3596" max="3597" width="9.7109375" style="11" bestFit="1" customWidth="1"/>
    <col min="3598" max="3599" width="7.7109375" style="11" bestFit="1" customWidth="1"/>
    <col min="3600" max="3600" width="6.7109375" style="11" bestFit="1" customWidth="1"/>
    <col min="3601" max="3603" width="7.7109375" style="11" bestFit="1" customWidth="1"/>
    <col min="3604" max="3604" width="7.5703125" style="11" bestFit="1" customWidth="1"/>
    <col min="3605" max="3605" width="7.7109375" style="11" bestFit="1" customWidth="1"/>
    <col min="3606" max="3606" width="7.28515625" style="11" bestFit="1" customWidth="1"/>
    <col min="3607" max="3608" width="5.140625" style="11" bestFit="1" customWidth="1"/>
    <col min="3609" max="3610" width="6.85546875" style="11" bestFit="1" customWidth="1"/>
    <col min="3611" max="3611" width="9.7109375" style="11" bestFit="1" customWidth="1"/>
    <col min="3612" max="3612" width="6.85546875" style="11" bestFit="1" customWidth="1"/>
    <col min="3613" max="3613" width="6.5703125" style="11" bestFit="1" customWidth="1"/>
    <col min="3614" max="3614" width="9.7109375" style="11" bestFit="1" customWidth="1"/>
    <col min="3615" max="3615" width="7.7109375" style="11" bestFit="1" customWidth="1"/>
    <col min="3616" max="3616" width="10.7109375" style="11" bestFit="1" customWidth="1"/>
    <col min="3617" max="3617" width="9.7109375" style="11" bestFit="1" customWidth="1"/>
    <col min="3618" max="3618" width="7.85546875" style="11" bestFit="1" customWidth="1"/>
    <col min="3619" max="3619" width="8" style="11" bestFit="1" customWidth="1"/>
    <col min="3620" max="3620" width="10.7109375" style="11" bestFit="1" customWidth="1"/>
    <col min="3621" max="3621" width="16.28515625" style="11" bestFit="1" customWidth="1"/>
    <col min="3622" max="3623" width="12.140625" style="11" bestFit="1" customWidth="1"/>
    <col min="3624" max="3632" width="0" style="11" hidden="1" customWidth="1"/>
    <col min="3633" max="3841" width="9.28515625" style="11"/>
    <col min="3842" max="3842" width="8.7109375" style="11" bestFit="1" customWidth="1"/>
    <col min="3843" max="3843" width="14.5703125" style="11" customWidth="1"/>
    <col min="3844" max="3844" width="12.85546875" style="11" customWidth="1"/>
    <col min="3845" max="3845" width="12" style="11" bestFit="1" customWidth="1"/>
    <col min="3846" max="3846" width="9.85546875" style="11" bestFit="1" customWidth="1"/>
    <col min="3847" max="3847" width="10.7109375" style="11" bestFit="1" customWidth="1"/>
    <col min="3848" max="3848" width="8.28515625" style="11" bestFit="1" customWidth="1"/>
    <col min="3849" max="3849" width="9.7109375" style="11" bestFit="1" customWidth="1"/>
    <col min="3850" max="3850" width="7.7109375" style="11" bestFit="1" customWidth="1"/>
    <col min="3851" max="3851" width="6.28515625" style="11" bestFit="1" customWidth="1"/>
    <col min="3852" max="3853" width="9.7109375" style="11" bestFit="1" customWidth="1"/>
    <col min="3854" max="3855" width="7.7109375" style="11" bestFit="1" customWidth="1"/>
    <col min="3856" max="3856" width="6.7109375" style="11" bestFit="1" customWidth="1"/>
    <col min="3857" max="3859" width="7.7109375" style="11" bestFit="1" customWidth="1"/>
    <col min="3860" max="3860" width="7.5703125" style="11" bestFit="1" customWidth="1"/>
    <col min="3861" max="3861" width="7.7109375" style="11" bestFit="1" customWidth="1"/>
    <col min="3862" max="3862" width="7.28515625" style="11" bestFit="1" customWidth="1"/>
    <col min="3863" max="3864" width="5.140625" style="11" bestFit="1" customWidth="1"/>
    <col min="3865" max="3866" width="6.85546875" style="11" bestFit="1" customWidth="1"/>
    <col min="3867" max="3867" width="9.7109375" style="11" bestFit="1" customWidth="1"/>
    <col min="3868" max="3868" width="6.85546875" style="11" bestFit="1" customWidth="1"/>
    <col min="3869" max="3869" width="6.5703125" style="11" bestFit="1" customWidth="1"/>
    <col min="3870" max="3870" width="9.7109375" style="11" bestFit="1" customWidth="1"/>
    <col min="3871" max="3871" width="7.7109375" style="11" bestFit="1" customWidth="1"/>
    <col min="3872" max="3872" width="10.7109375" style="11" bestFit="1" customWidth="1"/>
    <col min="3873" max="3873" width="9.7109375" style="11" bestFit="1" customWidth="1"/>
    <col min="3874" max="3874" width="7.85546875" style="11" bestFit="1" customWidth="1"/>
    <col min="3875" max="3875" width="8" style="11" bestFit="1" customWidth="1"/>
    <col min="3876" max="3876" width="10.7109375" style="11" bestFit="1" customWidth="1"/>
    <col min="3877" max="3877" width="16.28515625" style="11" bestFit="1" customWidth="1"/>
    <col min="3878" max="3879" width="12.140625" style="11" bestFit="1" customWidth="1"/>
    <col min="3880" max="3888" width="0" style="11" hidden="1" customWidth="1"/>
    <col min="3889" max="4097" width="9.28515625" style="11"/>
    <col min="4098" max="4098" width="8.7109375" style="11" bestFit="1" customWidth="1"/>
    <col min="4099" max="4099" width="14.5703125" style="11" customWidth="1"/>
    <col min="4100" max="4100" width="12.85546875" style="11" customWidth="1"/>
    <col min="4101" max="4101" width="12" style="11" bestFit="1" customWidth="1"/>
    <col min="4102" max="4102" width="9.85546875" style="11" bestFit="1" customWidth="1"/>
    <col min="4103" max="4103" width="10.7109375" style="11" bestFit="1" customWidth="1"/>
    <col min="4104" max="4104" width="8.28515625" style="11" bestFit="1" customWidth="1"/>
    <col min="4105" max="4105" width="9.7109375" style="11" bestFit="1" customWidth="1"/>
    <col min="4106" max="4106" width="7.7109375" style="11" bestFit="1" customWidth="1"/>
    <col min="4107" max="4107" width="6.28515625" style="11" bestFit="1" customWidth="1"/>
    <col min="4108" max="4109" width="9.7109375" style="11" bestFit="1" customWidth="1"/>
    <col min="4110" max="4111" width="7.7109375" style="11" bestFit="1" customWidth="1"/>
    <col min="4112" max="4112" width="6.7109375" style="11" bestFit="1" customWidth="1"/>
    <col min="4113" max="4115" width="7.7109375" style="11" bestFit="1" customWidth="1"/>
    <col min="4116" max="4116" width="7.5703125" style="11" bestFit="1" customWidth="1"/>
    <col min="4117" max="4117" width="7.7109375" style="11" bestFit="1" customWidth="1"/>
    <col min="4118" max="4118" width="7.28515625" style="11" bestFit="1" customWidth="1"/>
    <col min="4119" max="4120" width="5.140625" style="11" bestFit="1" customWidth="1"/>
    <col min="4121" max="4122" width="6.85546875" style="11" bestFit="1" customWidth="1"/>
    <col min="4123" max="4123" width="9.7109375" style="11" bestFit="1" customWidth="1"/>
    <col min="4124" max="4124" width="6.85546875" style="11" bestFit="1" customWidth="1"/>
    <col min="4125" max="4125" width="6.5703125" style="11" bestFit="1" customWidth="1"/>
    <col min="4126" max="4126" width="9.7109375" style="11" bestFit="1" customWidth="1"/>
    <col min="4127" max="4127" width="7.7109375" style="11" bestFit="1" customWidth="1"/>
    <col min="4128" max="4128" width="10.7109375" style="11" bestFit="1" customWidth="1"/>
    <col min="4129" max="4129" width="9.7109375" style="11" bestFit="1" customWidth="1"/>
    <col min="4130" max="4130" width="7.85546875" style="11" bestFit="1" customWidth="1"/>
    <col min="4131" max="4131" width="8" style="11" bestFit="1" customWidth="1"/>
    <col min="4132" max="4132" width="10.7109375" style="11" bestFit="1" customWidth="1"/>
    <col min="4133" max="4133" width="16.28515625" style="11" bestFit="1" customWidth="1"/>
    <col min="4134" max="4135" width="12.140625" style="11" bestFit="1" customWidth="1"/>
    <col min="4136" max="4144" width="0" style="11" hidden="1" customWidth="1"/>
    <col min="4145" max="4353" width="9.28515625" style="11"/>
    <col min="4354" max="4354" width="8.7109375" style="11" bestFit="1" customWidth="1"/>
    <col min="4355" max="4355" width="14.5703125" style="11" customWidth="1"/>
    <col min="4356" max="4356" width="12.85546875" style="11" customWidth="1"/>
    <col min="4357" max="4357" width="12" style="11" bestFit="1" customWidth="1"/>
    <col min="4358" max="4358" width="9.85546875" style="11" bestFit="1" customWidth="1"/>
    <col min="4359" max="4359" width="10.7109375" style="11" bestFit="1" customWidth="1"/>
    <col min="4360" max="4360" width="8.28515625" style="11" bestFit="1" customWidth="1"/>
    <col min="4361" max="4361" width="9.7109375" style="11" bestFit="1" customWidth="1"/>
    <col min="4362" max="4362" width="7.7109375" style="11" bestFit="1" customWidth="1"/>
    <col min="4363" max="4363" width="6.28515625" style="11" bestFit="1" customWidth="1"/>
    <col min="4364" max="4365" width="9.7109375" style="11" bestFit="1" customWidth="1"/>
    <col min="4366" max="4367" width="7.7109375" style="11" bestFit="1" customWidth="1"/>
    <col min="4368" max="4368" width="6.7109375" style="11" bestFit="1" customWidth="1"/>
    <col min="4369" max="4371" width="7.7109375" style="11" bestFit="1" customWidth="1"/>
    <col min="4372" max="4372" width="7.5703125" style="11" bestFit="1" customWidth="1"/>
    <col min="4373" max="4373" width="7.7109375" style="11" bestFit="1" customWidth="1"/>
    <col min="4374" max="4374" width="7.28515625" style="11" bestFit="1" customWidth="1"/>
    <col min="4375" max="4376" width="5.140625" style="11" bestFit="1" customWidth="1"/>
    <col min="4377" max="4378" width="6.85546875" style="11" bestFit="1" customWidth="1"/>
    <col min="4379" max="4379" width="9.7109375" style="11" bestFit="1" customWidth="1"/>
    <col min="4380" max="4380" width="6.85546875" style="11" bestFit="1" customWidth="1"/>
    <col min="4381" max="4381" width="6.5703125" style="11" bestFit="1" customWidth="1"/>
    <col min="4382" max="4382" width="9.7109375" style="11" bestFit="1" customWidth="1"/>
    <col min="4383" max="4383" width="7.7109375" style="11" bestFit="1" customWidth="1"/>
    <col min="4384" max="4384" width="10.7109375" style="11" bestFit="1" customWidth="1"/>
    <col min="4385" max="4385" width="9.7109375" style="11" bestFit="1" customWidth="1"/>
    <col min="4386" max="4386" width="7.85546875" style="11" bestFit="1" customWidth="1"/>
    <col min="4387" max="4387" width="8" style="11" bestFit="1" customWidth="1"/>
    <col min="4388" max="4388" width="10.7109375" style="11" bestFit="1" customWidth="1"/>
    <col min="4389" max="4389" width="16.28515625" style="11" bestFit="1" customWidth="1"/>
    <col min="4390" max="4391" width="12.140625" style="11" bestFit="1" customWidth="1"/>
    <col min="4392" max="4400" width="0" style="11" hidden="1" customWidth="1"/>
    <col min="4401" max="4609" width="9.28515625" style="11"/>
    <col min="4610" max="4610" width="8.7109375" style="11" bestFit="1" customWidth="1"/>
    <col min="4611" max="4611" width="14.5703125" style="11" customWidth="1"/>
    <col min="4612" max="4612" width="12.85546875" style="11" customWidth="1"/>
    <col min="4613" max="4613" width="12" style="11" bestFit="1" customWidth="1"/>
    <col min="4614" max="4614" width="9.85546875" style="11" bestFit="1" customWidth="1"/>
    <col min="4615" max="4615" width="10.7109375" style="11" bestFit="1" customWidth="1"/>
    <col min="4616" max="4616" width="8.28515625" style="11" bestFit="1" customWidth="1"/>
    <col min="4617" max="4617" width="9.7109375" style="11" bestFit="1" customWidth="1"/>
    <col min="4618" max="4618" width="7.7109375" style="11" bestFit="1" customWidth="1"/>
    <col min="4619" max="4619" width="6.28515625" style="11" bestFit="1" customWidth="1"/>
    <col min="4620" max="4621" width="9.7109375" style="11" bestFit="1" customWidth="1"/>
    <col min="4622" max="4623" width="7.7109375" style="11" bestFit="1" customWidth="1"/>
    <col min="4624" max="4624" width="6.7109375" style="11" bestFit="1" customWidth="1"/>
    <col min="4625" max="4627" width="7.7109375" style="11" bestFit="1" customWidth="1"/>
    <col min="4628" max="4628" width="7.5703125" style="11" bestFit="1" customWidth="1"/>
    <col min="4629" max="4629" width="7.7109375" style="11" bestFit="1" customWidth="1"/>
    <col min="4630" max="4630" width="7.28515625" style="11" bestFit="1" customWidth="1"/>
    <col min="4631" max="4632" width="5.140625" style="11" bestFit="1" customWidth="1"/>
    <col min="4633" max="4634" width="6.85546875" style="11" bestFit="1" customWidth="1"/>
    <col min="4635" max="4635" width="9.7109375" style="11" bestFit="1" customWidth="1"/>
    <col min="4636" max="4636" width="6.85546875" style="11" bestFit="1" customWidth="1"/>
    <col min="4637" max="4637" width="6.5703125" style="11" bestFit="1" customWidth="1"/>
    <col min="4638" max="4638" width="9.7109375" style="11" bestFit="1" customWidth="1"/>
    <col min="4639" max="4639" width="7.7109375" style="11" bestFit="1" customWidth="1"/>
    <col min="4640" max="4640" width="10.7109375" style="11" bestFit="1" customWidth="1"/>
    <col min="4641" max="4641" width="9.7109375" style="11" bestFit="1" customWidth="1"/>
    <col min="4642" max="4642" width="7.85546875" style="11" bestFit="1" customWidth="1"/>
    <col min="4643" max="4643" width="8" style="11" bestFit="1" customWidth="1"/>
    <col min="4644" max="4644" width="10.7109375" style="11" bestFit="1" customWidth="1"/>
    <col min="4645" max="4645" width="16.28515625" style="11" bestFit="1" customWidth="1"/>
    <col min="4646" max="4647" width="12.140625" style="11" bestFit="1" customWidth="1"/>
    <col min="4648" max="4656" width="0" style="11" hidden="1" customWidth="1"/>
    <col min="4657" max="4865" width="9.28515625" style="11"/>
    <col min="4866" max="4866" width="8.7109375" style="11" bestFit="1" customWidth="1"/>
    <col min="4867" max="4867" width="14.5703125" style="11" customWidth="1"/>
    <col min="4868" max="4868" width="12.85546875" style="11" customWidth="1"/>
    <col min="4869" max="4869" width="12" style="11" bestFit="1" customWidth="1"/>
    <col min="4870" max="4870" width="9.85546875" style="11" bestFit="1" customWidth="1"/>
    <col min="4871" max="4871" width="10.7109375" style="11" bestFit="1" customWidth="1"/>
    <col min="4872" max="4872" width="8.28515625" style="11" bestFit="1" customWidth="1"/>
    <col min="4873" max="4873" width="9.7109375" style="11" bestFit="1" customWidth="1"/>
    <col min="4874" max="4874" width="7.7109375" style="11" bestFit="1" customWidth="1"/>
    <col min="4875" max="4875" width="6.28515625" style="11" bestFit="1" customWidth="1"/>
    <col min="4876" max="4877" width="9.7109375" style="11" bestFit="1" customWidth="1"/>
    <col min="4878" max="4879" width="7.7109375" style="11" bestFit="1" customWidth="1"/>
    <col min="4880" max="4880" width="6.7109375" style="11" bestFit="1" customWidth="1"/>
    <col min="4881" max="4883" width="7.7109375" style="11" bestFit="1" customWidth="1"/>
    <col min="4884" max="4884" width="7.5703125" style="11" bestFit="1" customWidth="1"/>
    <col min="4885" max="4885" width="7.7109375" style="11" bestFit="1" customWidth="1"/>
    <col min="4886" max="4886" width="7.28515625" style="11" bestFit="1" customWidth="1"/>
    <col min="4887" max="4888" width="5.140625" style="11" bestFit="1" customWidth="1"/>
    <col min="4889" max="4890" width="6.85546875" style="11" bestFit="1" customWidth="1"/>
    <col min="4891" max="4891" width="9.7109375" style="11" bestFit="1" customWidth="1"/>
    <col min="4892" max="4892" width="6.85546875" style="11" bestFit="1" customWidth="1"/>
    <col min="4893" max="4893" width="6.5703125" style="11" bestFit="1" customWidth="1"/>
    <col min="4894" max="4894" width="9.7109375" style="11" bestFit="1" customWidth="1"/>
    <col min="4895" max="4895" width="7.7109375" style="11" bestFit="1" customWidth="1"/>
    <col min="4896" max="4896" width="10.7109375" style="11" bestFit="1" customWidth="1"/>
    <col min="4897" max="4897" width="9.7109375" style="11" bestFit="1" customWidth="1"/>
    <col min="4898" max="4898" width="7.85546875" style="11" bestFit="1" customWidth="1"/>
    <col min="4899" max="4899" width="8" style="11" bestFit="1" customWidth="1"/>
    <col min="4900" max="4900" width="10.7109375" style="11" bestFit="1" customWidth="1"/>
    <col min="4901" max="4901" width="16.28515625" style="11" bestFit="1" customWidth="1"/>
    <col min="4902" max="4903" width="12.140625" style="11" bestFit="1" customWidth="1"/>
    <col min="4904" max="4912" width="0" style="11" hidden="1" customWidth="1"/>
    <col min="4913" max="5121" width="9.28515625" style="11"/>
    <col min="5122" max="5122" width="8.7109375" style="11" bestFit="1" customWidth="1"/>
    <col min="5123" max="5123" width="14.5703125" style="11" customWidth="1"/>
    <col min="5124" max="5124" width="12.85546875" style="11" customWidth="1"/>
    <col min="5125" max="5125" width="12" style="11" bestFit="1" customWidth="1"/>
    <col min="5126" max="5126" width="9.85546875" style="11" bestFit="1" customWidth="1"/>
    <col min="5127" max="5127" width="10.7109375" style="11" bestFit="1" customWidth="1"/>
    <col min="5128" max="5128" width="8.28515625" style="11" bestFit="1" customWidth="1"/>
    <col min="5129" max="5129" width="9.7109375" style="11" bestFit="1" customWidth="1"/>
    <col min="5130" max="5130" width="7.7109375" style="11" bestFit="1" customWidth="1"/>
    <col min="5131" max="5131" width="6.28515625" style="11" bestFit="1" customWidth="1"/>
    <col min="5132" max="5133" width="9.7109375" style="11" bestFit="1" customWidth="1"/>
    <col min="5134" max="5135" width="7.7109375" style="11" bestFit="1" customWidth="1"/>
    <col min="5136" max="5136" width="6.7109375" style="11" bestFit="1" customWidth="1"/>
    <col min="5137" max="5139" width="7.7109375" style="11" bestFit="1" customWidth="1"/>
    <col min="5140" max="5140" width="7.5703125" style="11" bestFit="1" customWidth="1"/>
    <col min="5141" max="5141" width="7.7109375" style="11" bestFit="1" customWidth="1"/>
    <col min="5142" max="5142" width="7.28515625" style="11" bestFit="1" customWidth="1"/>
    <col min="5143" max="5144" width="5.140625" style="11" bestFit="1" customWidth="1"/>
    <col min="5145" max="5146" width="6.85546875" style="11" bestFit="1" customWidth="1"/>
    <col min="5147" max="5147" width="9.7109375" style="11" bestFit="1" customWidth="1"/>
    <col min="5148" max="5148" width="6.85546875" style="11" bestFit="1" customWidth="1"/>
    <col min="5149" max="5149" width="6.5703125" style="11" bestFit="1" customWidth="1"/>
    <col min="5150" max="5150" width="9.7109375" style="11" bestFit="1" customWidth="1"/>
    <col min="5151" max="5151" width="7.7109375" style="11" bestFit="1" customWidth="1"/>
    <col min="5152" max="5152" width="10.7109375" style="11" bestFit="1" customWidth="1"/>
    <col min="5153" max="5153" width="9.7109375" style="11" bestFit="1" customWidth="1"/>
    <col min="5154" max="5154" width="7.85546875" style="11" bestFit="1" customWidth="1"/>
    <col min="5155" max="5155" width="8" style="11" bestFit="1" customWidth="1"/>
    <col min="5156" max="5156" width="10.7109375" style="11" bestFit="1" customWidth="1"/>
    <col min="5157" max="5157" width="16.28515625" style="11" bestFit="1" customWidth="1"/>
    <col min="5158" max="5159" width="12.140625" style="11" bestFit="1" customWidth="1"/>
    <col min="5160" max="5168" width="0" style="11" hidden="1" customWidth="1"/>
    <col min="5169" max="5377" width="9.28515625" style="11"/>
    <col min="5378" max="5378" width="8.7109375" style="11" bestFit="1" customWidth="1"/>
    <col min="5379" max="5379" width="14.5703125" style="11" customWidth="1"/>
    <col min="5380" max="5380" width="12.85546875" style="11" customWidth="1"/>
    <col min="5381" max="5381" width="12" style="11" bestFit="1" customWidth="1"/>
    <col min="5382" max="5382" width="9.85546875" style="11" bestFit="1" customWidth="1"/>
    <col min="5383" max="5383" width="10.7109375" style="11" bestFit="1" customWidth="1"/>
    <col min="5384" max="5384" width="8.28515625" style="11" bestFit="1" customWidth="1"/>
    <col min="5385" max="5385" width="9.7109375" style="11" bestFit="1" customWidth="1"/>
    <col min="5386" max="5386" width="7.7109375" style="11" bestFit="1" customWidth="1"/>
    <col min="5387" max="5387" width="6.28515625" style="11" bestFit="1" customWidth="1"/>
    <col min="5388" max="5389" width="9.7109375" style="11" bestFit="1" customWidth="1"/>
    <col min="5390" max="5391" width="7.7109375" style="11" bestFit="1" customWidth="1"/>
    <col min="5392" max="5392" width="6.7109375" style="11" bestFit="1" customWidth="1"/>
    <col min="5393" max="5395" width="7.7109375" style="11" bestFit="1" customWidth="1"/>
    <col min="5396" max="5396" width="7.5703125" style="11" bestFit="1" customWidth="1"/>
    <col min="5397" max="5397" width="7.7109375" style="11" bestFit="1" customWidth="1"/>
    <col min="5398" max="5398" width="7.28515625" style="11" bestFit="1" customWidth="1"/>
    <col min="5399" max="5400" width="5.140625" style="11" bestFit="1" customWidth="1"/>
    <col min="5401" max="5402" width="6.85546875" style="11" bestFit="1" customWidth="1"/>
    <col min="5403" max="5403" width="9.7109375" style="11" bestFit="1" customWidth="1"/>
    <col min="5404" max="5404" width="6.85546875" style="11" bestFit="1" customWidth="1"/>
    <col min="5405" max="5405" width="6.5703125" style="11" bestFit="1" customWidth="1"/>
    <col min="5406" max="5406" width="9.7109375" style="11" bestFit="1" customWidth="1"/>
    <col min="5407" max="5407" width="7.7109375" style="11" bestFit="1" customWidth="1"/>
    <col min="5408" max="5408" width="10.7109375" style="11" bestFit="1" customWidth="1"/>
    <col min="5409" max="5409" width="9.7109375" style="11" bestFit="1" customWidth="1"/>
    <col min="5410" max="5410" width="7.85546875" style="11" bestFit="1" customWidth="1"/>
    <col min="5411" max="5411" width="8" style="11" bestFit="1" customWidth="1"/>
    <col min="5412" max="5412" width="10.7109375" style="11" bestFit="1" customWidth="1"/>
    <col min="5413" max="5413" width="16.28515625" style="11" bestFit="1" customWidth="1"/>
    <col min="5414" max="5415" width="12.140625" style="11" bestFit="1" customWidth="1"/>
    <col min="5416" max="5424" width="0" style="11" hidden="1" customWidth="1"/>
    <col min="5425" max="5633" width="9.28515625" style="11"/>
    <col min="5634" max="5634" width="8.7109375" style="11" bestFit="1" customWidth="1"/>
    <col min="5635" max="5635" width="14.5703125" style="11" customWidth="1"/>
    <col min="5636" max="5636" width="12.85546875" style="11" customWidth="1"/>
    <col min="5637" max="5637" width="12" style="11" bestFit="1" customWidth="1"/>
    <col min="5638" max="5638" width="9.85546875" style="11" bestFit="1" customWidth="1"/>
    <col min="5639" max="5639" width="10.7109375" style="11" bestFit="1" customWidth="1"/>
    <col min="5640" max="5640" width="8.28515625" style="11" bestFit="1" customWidth="1"/>
    <col min="5641" max="5641" width="9.7109375" style="11" bestFit="1" customWidth="1"/>
    <col min="5642" max="5642" width="7.7109375" style="11" bestFit="1" customWidth="1"/>
    <col min="5643" max="5643" width="6.28515625" style="11" bestFit="1" customWidth="1"/>
    <col min="5644" max="5645" width="9.7109375" style="11" bestFit="1" customWidth="1"/>
    <col min="5646" max="5647" width="7.7109375" style="11" bestFit="1" customWidth="1"/>
    <col min="5648" max="5648" width="6.7109375" style="11" bestFit="1" customWidth="1"/>
    <col min="5649" max="5651" width="7.7109375" style="11" bestFit="1" customWidth="1"/>
    <col min="5652" max="5652" width="7.5703125" style="11" bestFit="1" customWidth="1"/>
    <col min="5653" max="5653" width="7.7109375" style="11" bestFit="1" customWidth="1"/>
    <col min="5654" max="5654" width="7.28515625" style="11" bestFit="1" customWidth="1"/>
    <col min="5655" max="5656" width="5.140625" style="11" bestFit="1" customWidth="1"/>
    <col min="5657" max="5658" width="6.85546875" style="11" bestFit="1" customWidth="1"/>
    <col min="5659" max="5659" width="9.7109375" style="11" bestFit="1" customWidth="1"/>
    <col min="5660" max="5660" width="6.85546875" style="11" bestFit="1" customWidth="1"/>
    <col min="5661" max="5661" width="6.5703125" style="11" bestFit="1" customWidth="1"/>
    <col min="5662" max="5662" width="9.7109375" style="11" bestFit="1" customWidth="1"/>
    <col min="5663" max="5663" width="7.7109375" style="11" bestFit="1" customWidth="1"/>
    <col min="5664" max="5664" width="10.7109375" style="11" bestFit="1" customWidth="1"/>
    <col min="5665" max="5665" width="9.7109375" style="11" bestFit="1" customWidth="1"/>
    <col min="5666" max="5666" width="7.85546875" style="11" bestFit="1" customWidth="1"/>
    <col min="5667" max="5667" width="8" style="11" bestFit="1" customWidth="1"/>
    <col min="5668" max="5668" width="10.7109375" style="11" bestFit="1" customWidth="1"/>
    <col min="5669" max="5669" width="16.28515625" style="11" bestFit="1" customWidth="1"/>
    <col min="5670" max="5671" width="12.140625" style="11" bestFit="1" customWidth="1"/>
    <col min="5672" max="5680" width="0" style="11" hidden="1" customWidth="1"/>
    <col min="5681" max="5889" width="9.28515625" style="11"/>
    <col min="5890" max="5890" width="8.7109375" style="11" bestFit="1" customWidth="1"/>
    <col min="5891" max="5891" width="14.5703125" style="11" customWidth="1"/>
    <col min="5892" max="5892" width="12.85546875" style="11" customWidth="1"/>
    <col min="5893" max="5893" width="12" style="11" bestFit="1" customWidth="1"/>
    <col min="5894" max="5894" width="9.85546875" style="11" bestFit="1" customWidth="1"/>
    <col min="5895" max="5895" width="10.7109375" style="11" bestFit="1" customWidth="1"/>
    <col min="5896" max="5896" width="8.28515625" style="11" bestFit="1" customWidth="1"/>
    <col min="5897" max="5897" width="9.7109375" style="11" bestFit="1" customWidth="1"/>
    <col min="5898" max="5898" width="7.7109375" style="11" bestFit="1" customWidth="1"/>
    <col min="5899" max="5899" width="6.28515625" style="11" bestFit="1" customWidth="1"/>
    <col min="5900" max="5901" width="9.7109375" style="11" bestFit="1" customWidth="1"/>
    <col min="5902" max="5903" width="7.7109375" style="11" bestFit="1" customWidth="1"/>
    <col min="5904" max="5904" width="6.7109375" style="11" bestFit="1" customWidth="1"/>
    <col min="5905" max="5907" width="7.7109375" style="11" bestFit="1" customWidth="1"/>
    <col min="5908" max="5908" width="7.5703125" style="11" bestFit="1" customWidth="1"/>
    <col min="5909" max="5909" width="7.7109375" style="11" bestFit="1" customWidth="1"/>
    <col min="5910" max="5910" width="7.28515625" style="11" bestFit="1" customWidth="1"/>
    <col min="5911" max="5912" width="5.140625" style="11" bestFit="1" customWidth="1"/>
    <col min="5913" max="5914" width="6.85546875" style="11" bestFit="1" customWidth="1"/>
    <col min="5915" max="5915" width="9.7109375" style="11" bestFit="1" customWidth="1"/>
    <col min="5916" max="5916" width="6.85546875" style="11" bestFit="1" customWidth="1"/>
    <col min="5917" max="5917" width="6.5703125" style="11" bestFit="1" customWidth="1"/>
    <col min="5918" max="5918" width="9.7109375" style="11" bestFit="1" customWidth="1"/>
    <col min="5919" max="5919" width="7.7109375" style="11" bestFit="1" customWidth="1"/>
    <col min="5920" max="5920" width="10.7109375" style="11" bestFit="1" customWidth="1"/>
    <col min="5921" max="5921" width="9.7109375" style="11" bestFit="1" customWidth="1"/>
    <col min="5922" max="5922" width="7.85546875" style="11" bestFit="1" customWidth="1"/>
    <col min="5923" max="5923" width="8" style="11" bestFit="1" customWidth="1"/>
    <col min="5924" max="5924" width="10.7109375" style="11" bestFit="1" customWidth="1"/>
    <col min="5925" max="5925" width="16.28515625" style="11" bestFit="1" customWidth="1"/>
    <col min="5926" max="5927" width="12.140625" style="11" bestFit="1" customWidth="1"/>
    <col min="5928" max="5936" width="0" style="11" hidden="1" customWidth="1"/>
    <col min="5937" max="6145" width="9.28515625" style="11"/>
    <col min="6146" max="6146" width="8.7109375" style="11" bestFit="1" customWidth="1"/>
    <col min="6147" max="6147" width="14.5703125" style="11" customWidth="1"/>
    <col min="6148" max="6148" width="12.85546875" style="11" customWidth="1"/>
    <col min="6149" max="6149" width="12" style="11" bestFit="1" customWidth="1"/>
    <col min="6150" max="6150" width="9.85546875" style="11" bestFit="1" customWidth="1"/>
    <col min="6151" max="6151" width="10.7109375" style="11" bestFit="1" customWidth="1"/>
    <col min="6152" max="6152" width="8.28515625" style="11" bestFit="1" customWidth="1"/>
    <col min="6153" max="6153" width="9.7109375" style="11" bestFit="1" customWidth="1"/>
    <col min="6154" max="6154" width="7.7109375" style="11" bestFit="1" customWidth="1"/>
    <col min="6155" max="6155" width="6.28515625" style="11" bestFit="1" customWidth="1"/>
    <col min="6156" max="6157" width="9.7109375" style="11" bestFit="1" customWidth="1"/>
    <col min="6158" max="6159" width="7.7109375" style="11" bestFit="1" customWidth="1"/>
    <col min="6160" max="6160" width="6.7109375" style="11" bestFit="1" customWidth="1"/>
    <col min="6161" max="6163" width="7.7109375" style="11" bestFit="1" customWidth="1"/>
    <col min="6164" max="6164" width="7.5703125" style="11" bestFit="1" customWidth="1"/>
    <col min="6165" max="6165" width="7.7109375" style="11" bestFit="1" customWidth="1"/>
    <col min="6166" max="6166" width="7.28515625" style="11" bestFit="1" customWidth="1"/>
    <col min="6167" max="6168" width="5.140625" style="11" bestFit="1" customWidth="1"/>
    <col min="6169" max="6170" width="6.85546875" style="11" bestFit="1" customWidth="1"/>
    <col min="6171" max="6171" width="9.7109375" style="11" bestFit="1" customWidth="1"/>
    <col min="6172" max="6172" width="6.85546875" style="11" bestFit="1" customWidth="1"/>
    <col min="6173" max="6173" width="6.5703125" style="11" bestFit="1" customWidth="1"/>
    <col min="6174" max="6174" width="9.7109375" style="11" bestFit="1" customWidth="1"/>
    <col min="6175" max="6175" width="7.7109375" style="11" bestFit="1" customWidth="1"/>
    <col min="6176" max="6176" width="10.7109375" style="11" bestFit="1" customWidth="1"/>
    <col min="6177" max="6177" width="9.7109375" style="11" bestFit="1" customWidth="1"/>
    <col min="6178" max="6178" width="7.85546875" style="11" bestFit="1" customWidth="1"/>
    <col min="6179" max="6179" width="8" style="11" bestFit="1" customWidth="1"/>
    <col min="6180" max="6180" width="10.7109375" style="11" bestFit="1" customWidth="1"/>
    <col min="6181" max="6181" width="16.28515625" style="11" bestFit="1" customWidth="1"/>
    <col min="6182" max="6183" width="12.140625" style="11" bestFit="1" customWidth="1"/>
    <col min="6184" max="6192" width="0" style="11" hidden="1" customWidth="1"/>
    <col min="6193" max="6401" width="9.28515625" style="11"/>
    <col min="6402" max="6402" width="8.7109375" style="11" bestFit="1" customWidth="1"/>
    <col min="6403" max="6403" width="14.5703125" style="11" customWidth="1"/>
    <col min="6404" max="6404" width="12.85546875" style="11" customWidth="1"/>
    <col min="6405" max="6405" width="12" style="11" bestFit="1" customWidth="1"/>
    <col min="6406" max="6406" width="9.85546875" style="11" bestFit="1" customWidth="1"/>
    <col min="6407" max="6407" width="10.7109375" style="11" bestFit="1" customWidth="1"/>
    <col min="6408" max="6408" width="8.28515625" style="11" bestFit="1" customWidth="1"/>
    <col min="6409" max="6409" width="9.7109375" style="11" bestFit="1" customWidth="1"/>
    <col min="6410" max="6410" width="7.7109375" style="11" bestFit="1" customWidth="1"/>
    <col min="6411" max="6411" width="6.28515625" style="11" bestFit="1" customWidth="1"/>
    <col min="6412" max="6413" width="9.7109375" style="11" bestFit="1" customWidth="1"/>
    <col min="6414" max="6415" width="7.7109375" style="11" bestFit="1" customWidth="1"/>
    <col min="6416" max="6416" width="6.7109375" style="11" bestFit="1" customWidth="1"/>
    <col min="6417" max="6419" width="7.7109375" style="11" bestFit="1" customWidth="1"/>
    <col min="6420" max="6420" width="7.5703125" style="11" bestFit="1" customWidth="1"/>
    <col min="6421" max="6421" width="7.7109375" style="11" bestFit="1" customWidth="1"/>
    <col min="6422" max="6422" width="7.28515625" style="11" bestFit="1" customWidth="1"/>
    <col min="6423" max="6424" width="5.140625" style="11" bestFit="1" customWidth="1"/>
    <col min="6425" max="6426" width="6.85546875" style="11" bestFit="1" customWidth="1"/>
    <col min="6427" max="6427" width="9.7109375" style="11" bestFit="1" customWidth="1"/>
    <col min="6428" max="6428" width="6.85546875" style="11" bestFit="1" customWidth="1"/>
    <col min="6429" max="6429" width="6.5703125" style="11" bestFit="1" customWidth="1"/>
    <col min="6430" max="6430" width="9.7109375" style="11" bestFit="1" customWidth="1"/>
    <col min="6431" max="6431" width="7.7109375" style="11" bestFit="1" customWidth="1"/>
    <col min="6432" max="6432" width="10.7109375" style="11" bestFit="1" customWidth="1"/>
    <col min="6433" max="6433" width="9.7109375" style="11" bestFit="1" customWidth="1"/>
    <col min="6434" max="6434" width="7.85546875" style="11" bestFit="1" customWidth="1"/>
    <col min="6435" max="6435" width="8" style="11" bestFit="1" customWidth="1"/>
    <col min="6436" max="6436" width="10.7109375" style="11" bestFit="1" customWidth="1"/>
    <col min="6437" max="6437" width="16.28515625" style="11" bestFit="1" customWidth="1"/>
    <col min="6438" max="6439" width="12.140625" style="11" bestFit="1" customWidth="1"/>
    <col min="6440" max="6448" width="0" style="11" hidden="1" customWidth="1"/>
    <col min="6449" max="6657" width="9.28515625" style="11"/>
    <col min="6658" max="6658" width="8.7109375" style="11" bestFit="1" customWidth="1"/>
    <col min="6659" max="6659" width="14.5703125" style="11" customWidth="1"/>
    <col min="6660" max="6660" width="12.85546875" style="11" customWidth="1"/>
    <col min="6661" max="6661" width="12" style="11" bestFit="1" customWidth="1"/>
    <col min="6662" max="6662" width="9.85546875" style="11" bestFit="1" customWidth="1"/>
    <col min="6663" max="6663" width="10.7109375" style="11" bestFit="1" customWidth="1"/>
    <col min="6664" max="6664" width="8.28515625" style="11" bestFit="1" customWidth="1"/>
    <col min="6665" max="6665" width="9.7109375" style="11" bestFit="1" customWidth="1"/>
    <col min="6666" max="6666" width="7.7109375" style="11" bestFit="1" customWidth="1"/>
    <col min="6667" max="6667" width="6.28515625" style="11" bestFit="1" customWidth="1"/>
    <col min="6668" max="6669" width="9.7109375" style="11" bestFit="1" customWidth="1"/>
    <col min="6670" max="6671" width="7.7109375" style="11" bestFit="1" customWidth="1"/>
    <col min="6672" max="6672" width="6.7109375" style="11" bestFit="1" customWidth="1"/>
    <col min="6673" max="6675" width="7.7109375" style="11" bestFit="1" customWidth="1"/>
    <col min="6676" max="6676" width="7.5703125" style="11" bestFit="1" customWidth="1"/>
    <col min="6677" max="6677" width="7.7109375" style="11" bestFit="1" customWidth="1"/>
    <col min="6678" max="6678" width="7.28515625" style="11" bestFit="1" customWidth="1"/>
    <col min="6679" max="6680" width="5.140625" style="11" bestFit="1" customWidth="1"/>
    <col min="6681" max="6682" width="6.85546875" style="11" bestFit="1" customWidth="1"/>
    <col min="6683" max="6683" width="9.7109375" style="11" bestFit="1" customWidth="1"/>
    <col min="6684" max="6684" width="6.85546875" style="11" bestFit="1" customWidth="1"/>
    <col min="6685" max="6685" width="6.5703125" style="11" bestFit="1" customWidth="1"/>
    <col min="6686" max="6686" width="9.7109375" style="11" bestFit="1" customWidth="1"/>
    <col min="6687" max="6687" width="7.7109375" style="11" bestFit="1" customWidth="1"/>
    <col min="6688" max="6688" width="10.7109375" style="11" bestFit="1" customWidth="1"/>
    <col min="6689" max="6689" width="9.7109375" style="11" bestFit="1" customWidth="1"/>
    <col min="6690" max="6690" width="7.85546875" style="11" bestFit="1" customWidth="1"/>
    <col min="6691" max="6691" width="8" style="11" bestFit="1" customWidth="1"/>
    <col min="6692" max="6692" width="10.7109375" style="11" bestFit="1" customWidth="1"/>
    <col min="6693" max="6693" width="16.28515625" style="11" bestFit="1" customWidth="1"/>
    <col min="6694" max="6695" width="12.140625" style="11" bestFit="1" customWidth="1"/>
    <col min="6696" max="6704" width="0" style="11" hidden="1" customWidth="1"/>
    <col min="6705" max="6913" width="9.28515625" style="11"/>
    <col min="6914" max="6914" width="8.7109375" style="11" bestFit="1" customWidth="1"/>
    <col min="6915" max="6915" width="14.5703125" style="11" customWidth="1"/>
    <col min="6916" max="6916" width="12.85546875" style="11" customWidth="1"/>
    <col min="6917" max="6917" width="12" style="11" bestFit="1" customWidth="1"/>
    <col min="6918" max="6918" width="9.85546875" style="11" bestFit="1" customWidth="1"/>
    <col min="6919" max="6919" width="10.7109375" style="11" bestFit="1" customWidth="1"/>
    <col min="6920" max="6920" width="8.28515625" style="11" bestFit="1" customWidth="1"/>
    <col min="6921" max="6921" width="9.7109375" style="11" bestFit="1" customWidth="1"/>
    <col min="6922" max="6922" width="7.7109375" style="11" bestFit="1" customWidth="1"/>
    <col min="6923" max="6923" width="6.28515625" style="11" bestFit="1" customWidth="1"/>
    <col min="6924" max="6925" width="9.7109375" style="11" bestFit="1" customWidth="1"/>
    <col min="6926" max="6927" width="7.7109375" style="11" bestFit="1" customWidth="1"/>
    <col min="6928" max="6928" width="6.7109375" style="11" bestFit="1" customWidth="1"/>
    <col min="6929" max="6931" width="7.7109375" style="11" bestFit="1" customWidth="1"/>
    <col min="6932" max="6932" width="7.5703125" style="11" bestFit="1" customWidth="1"/>
    <col min="6933" max="6933" width="7.7109375" style="11" bestFit="1" customWidth="1"/>
    <col min="6934" max="6934" width="7.28515625" style="11" bestFit="1" customWidth="1"/>
    <col min="6935" max="6936" width="5.140625" style="11" bestFit="1" customWidth="1"/>
    <col min="6937" max="6938" width="6.85546875" style="11" bestFit="1" customWidth="1"/>
    <col min="6939" max="6939" width="9.7109375" style="11" bestFit="1" customWidth="1"/>
    <col min="6940" max="6940" width="6.85546875" style="11" bestFit="1" customWidth="1"/>
    <col min="6941" max="6941" width="6.5703125" style="11" bestFit="1" customWidth="1"/>
    <col min="6942" max="6942" width="9.7109375" style="11" bestFit="1" customWidth="1"/>
    <col min="6943" max="6943" width="7.7109375" style="11" bestFit="1" customWidth="1"/>
    <col min="6944" max="6944" width="10.7109375" style="11" bestFit="1" customWidth="1"/>
    <col min="6945" max="6945" width="9.7109375" style="11" bestFit="1" customWidth="1"/>
    <col min="6946" max="6946" width="7.85546875" style="11" bestFit="1" customWidth="1"/>
    <col min="6947" max="6947" width="8" style="11" bestFit="1" customWidth="1"/>
    <col min="6948" max="6948" width="10.7109375" style="11" bestFit="1" customWidth="1"/>
    <col min="6949" max="6949" width="16.28515625" style="11" bestFit="1" customWidth="1"/>
    <col min="6950" max="6951" width="12.140625" style="11" bestFit="1" customWidth="1"/>
    <col min="6952" max="6960" width="0" style="11" hidden="1" customWidth="1"/>
    <col min="6961" max="7169" width="9.28515625" style="11"/>
    <col min="7170" max="7170" width="8.7109375" style="11" bestFit="1" customWidth="1"/>
    <col min="7171" max="7171" width="14.5703125" style="11" customWidth="1"/>
    <col min="7172" max="7172" width="12.85546875" style="11" customWidth="1"/>
    <col min="7173" max="7173" width="12" style="11" bestFit="1" customWidth="1"/>
    <col min="7174" max="7174" width="9.85546875" style="11" bestFit="1" customWidth="1"/>
    <col min="7175" max="7175" width="10.7109375" style="11" bestFit="1" customWidth="1"/>
    <col min="7176" max="7176" width="8.28515625" style="11" bestFit="1" customWidth="1"/>
    <col min="7177" max="7177" width="9.7109375" style="11" bestFit="1" customWidth="1"/>
    <col min="7178" max="7178" width="7.7109375" style="11" bestFit="1" customWidth="1"/>
    <col min="7179" max="7179" width="6.28515625" style="11" bestFit="1" customWidth="1"/>
    <col min="7180" max="7181" width="9.7109375" style="11" bestFit="1" customWidth="1"/>
    <col min="7182" max="7183" width="7.7109375" style="11" bestFit="1" customWidth="1"/>
    <col min="7184" max="7184" width="6.7109375" style="11" bestFit="1" customWidth="1"/>
    <col min="7185" max="7187" width="7.7109375" style="11" bestFit="1" customWidth="1"/>
    <col min="7188" max="7188" width="7.5703125" style="11" bestFit="1" customWidth="1"/>
    <col min="7189" max="7189" width="7.7109375" style="11" bestFit="1" customWidth="1"/>
    <col min="7190" max="7190" width="7.28515625" style="11" bestFit="1" customWidth="1"/>
    <col min="7191" max="7192" width="5.140625" style="11" bestFit="1" customWidth="1"/>
    <col min="7193" max="7194" width="6.85546875" style="11" bestFit="1" customWidth="1"/>
    <col min="7195" max="7195" width="9.7109375" style="11" bestFit="1" customWidth="1"/>
    <col min="7196" max="7196" width="6.85546875" style="11" bestFit="1" customWidth="1"/>
    <col min="7197" max="7197" width="6.5703125" style="11" bestFit="1" customWidth="1"/>
    <col min="7198" max="7198" width="9.7109375" style="11" bestFit="1" customWidth="1"/>
    <col min="7199" max="7199" width="7.7109375" style="11" bestFit="1" customWidth="1"/>
    <col min="7200" max="7200" width="10.7109375" style="11" bestFit="1" customWidth="1"/>
    <col min="7201" max="7201" width="9.7109375" style="11" bestFit="1" customWidth="1"/>
    <col min="7202" max="7202" width="7.85546875" style="11" bestFit="1" customWidth="1"/>
    <col min="7203" max="7203" width="8" style="11" bestFit="1" customWidth="1"/>
    <col min="7204" max="7204" width="10.7109375" style="11" bestFit="1" customWidth="1"/>
    <col min="7205" max="7205" width="16.28515625" style="11" bestFit="1" customWidth="1"/>
    <col min="7206" max="7207" width="12.140625" style="11" bestFit="1" customWidth="1"/>
    <col min="7208" max="7216" width="0" style="11" hidden="1" customWidth="1"/>
    <col min="7217" max="7425" width="9.28515625" style="11"/>
    <col min="7426" max="7426" width="8.7109375" style="11" bestFit="1" customWidth="1"/>
    <col min="7427" max="7427" width="14.5703125" style="11" customWidth="1"/>
    <col min="7428" max="7428" width="12.85546875" style="11" customWidth="1"/>
    <col min="7429" max="7429" width="12" style="11" bestFit="1" customWidth="1"/>
    <col min="7430" max="7430" width="9.85546875" style="11" bestFit="1" customWidth="1"/>
    <col min="7431" max="7431" width="10.7109375" style="11" bestFit="1" customWidth="1"/>
    <col min="7432" max="7432" width="8.28515625" style="11" bestFit="1" customWidth="1"/>
    <col min="7433" max="7433" width="9.7109375" style="11" bestFit="1" customWidth="1"/>
    <col min="7434" max="7434" width="7.7109375" style="11" bestFit="1" customWidth="1"/>
    <col min="7435" max="7435" width="6.28515625" style="11" bestFit="1" customWidth="1"/>
    <col min="7436" max="7437" width="9.7109375" style="11" bestFit="1" customWidth="1"/>
    <col min="7438" max="7439" width="7.7109375" style="11" bestFit="1" customWidth="1"/>
    <col min="7440" max="7440" width="6.7109375" style="11" bestFit="1" customWidth="1"/>
    <col min="7441" max="7443" width="7.7109375" style="11" bestFit="1" customWidth="1"/>
    <col min="7444" max="7444" width="7.5703125" style="11" bestFit="1" customWidth="1"/>
    <col min="7445" max="7445" width="7.7109375" style="11" bestFit="1" customWidth="1"/>
    <col min="7446" max="7446" width="7.28515625" style="11" bestFit="1" customWidth="1"/>
    <col min="7447" max="7448" width="5.140625" style="11" bestFit="1" customWidth="1"/>
    <col min="7449" max="7450" width="6.85546875" style="11" bestFit="1" customWidth="1"/>
    <col min="7451" max="7451" width="9.7109375" style="11" bestFit="1" customWidth="1"/>
    <col min="7452" max="7452" width="6.85546875" style="11" bestFit="1" customWidth="1"/>
    <col min="7453" max="7453" width="6.5703125" style="11" bestFit="1" customWidth="1"/>
    <col min="7454" max="7454" width="9.7109375" style="11" bestFit="1" customWidth="1"/>
    <col min="7455" max="7455" width="7.7109375" style="11" bestFit="1" customWidth="1"/>
    <col min="7456" max="7456" width="10.7109375" style="11" bestFit="1" customWidth="1"/>
    <col min="7457" max="7457" width="9.7109375" style="11" bestFit="1" customWidth="1"/>
    <col min="7458" max="7458" width="7.85546875" style="11" bestFit="1" customWidth="1"/>
    <col min="7459" max="7459" width="8" style="11" bestFit="1" customWidth="1"/>
    <col min="7460" max="7460" width="10.7109375" style="11" bestFit="1" customWidth="1"/>
    <col min="7461" max="7461" width="16.28515625" style="11" bestFit="1" customWidth="1"/>
    <col min="7462" max="7463" width="12.140625" style="11" bestFit="1" customWidth="1"/>
    <col min="7464" max="7472" width="0" style="11" hidden="1" customWidth="1"/>
    <col min="7473" max="7681" width="9.28515625" style="11"/>
    <col min="7682" max="7682" width="8.7109375" style="11" bestFit="1" customWidth="1"/>
    <col min="7683" max="7683" width="14.5703125" style="11" customWidth="1"/>
    <col min="7684" max="7684" width="12.85546875" style="11" customWidth="1"/>
    <col min="7685" max="7685" width="12" style="11" bestFit="1" customWidth="1"/>
    <col min="7686" max="7686" width="9.85546875" style="11" bestFit="1" customWidth="1"/>
    <col min="7687" max="7687" width="10.7109375" style="11" bestFit="1" customWidth="1"/>
    <col min="7688" max="7688" width="8.28515625" style="11" bestFit="1" customWidth="1"/>
    <col min="7689" max="7689" width="9.7109375" style="11" bestFit="1" customWidth="1"/>
    <col min="7690" max="7690" width="7.7109375" style="11" bestFit="1" customWidth="1"/>
    <col min="7691" max="7691" width="6.28515625" style="11" bestFit="1" customWidth="1"/>
    <col min="7692" max="7693" width="9.7109375" style="11" bestFit="1" customWidth="1"/>
    <col min="7694" max="7695" width="7.7109375" style="11" bestFit="1" customWidth="1"/>
    <col min="7696" max="7696" width="6.7109375" style="11" bestFit="1" customWidth="1"/>
    <col min="7697" max="7699" width="7.7109375" style="11" bestFit="1" customWidth="1"/>
    <col min="7700" max="7700" width="7.5703125" style="11" bestFit="1" customWidth="1"/>
    <col min="7701" max="7701" width="7.7109375" style="11" bestFit="1" customWidth="1"/>
    <col min="7702" max="7702" width="7.28515625" style="11" bestFit="1" customWidth="1"/>
    <col min="7703" max="7704" width="5.140625" style="11" bestFit="1" customWidth="1"/>
    <col min="7705" max="7706" width="6.85546875" style="11" bestFit="1" customWidth="1"/>
    <col min="7707" max="7707" width="9.7109375" style="11" bestFit="1" customWidth="1"/>
    <col min="7708" max="7708" width="6.85546875" style="11" bestFit="1" customWidth="1"/>
    <col min="7709" max="7709" width="6.5703125" style="11" bestFit="1" customWidth="1"/>
    <col min="7710" max="7710" width="9.7109375" style="11" bestFit="1" customWidth="1"/>
    <col min="7711" max="7711" width="7.7109375" style="11" bestFit="1" customWidth="1"/>
    <col min="7712" max="7712" width="10.7109375" style="11" bestFit="1" customWidth="1"/>
    <col min="7713" max="7713" width="9.7109375" style="11" bestFit="1" customWidth="1"/>
    <col min="7714" max="7714" width="7.85546875" style="11" bestFit="1" customWidth="1"/>
    <col min="7715" max="7715" width="8" style="11" bestFit="1" customWidth="1"/>
    <col min="7716" max="7716" width="10.7109375" style="11" bestFit="1" customWidth="1"/>
    <col min="7717" max="7717" width="16.28515625" style="11" bestFit="1" customWidth="1"/>
    <col min="7718" max="7719" width="12.140625" style="11" bestFit="1" customWidth="1"/>
    <col min="7720" max="7728" width="0" style="11" hidden="1" customWidth="1"/>
    <col min="7729" max="7937" width="9.28515625" style="11"/>
    <col min="7938" max="7938" width="8.7109375" style="11" bestFit="1" customWidth="1"/>
    <col min="7939" max="7939" width="14.5703125" style="11" customWidth="1"/>
    <col min="7940" max="7940" width="12.85546875" style="11" customWidth="1"/>
    <col min="7941" max="7941" width="12" style="11" bestFit="1" customWidth="1"/>
    <col min="7942" max="7942" width="9.85546875" style="11" bestFit="1" customWidth="1"/>
    <col min="7943" max="7943" width="10.7109375" style="11" bestFit="1" customWidth="1"/>
    <col min="7944" max="7944" width="8.28515625" style="11" bestFit="1" customWidth="1"/>
    <col min="7945" max="7945" width="9.7109375" style="11" bestFit="1" customWidth="1"/>
    <col min="7946" max="7946" width="7.7109375" style="11" bestFit="1" customWidth="1"/>
    <col min="7947" max="7947" width="6.28515625" style="11" bestFit="1" customWidth="1"/>
    <col min="7948" max="7949" width="9.7109375" style="11" bestFit="1" customWidth="1"/>
    <col min="7950" max="7951" width="7.7109375" style="11" bestFit="1" customWidth="1"/>
    <col min="7952" max="7952" width="6.7109375" style="11" bestFit="1" customWidth="1"/>
    <col min="7953" max="7955" width="7.7109375" style="11" bestFit="1" customWidth="1"/>
    <col min="7956" max="7956" width="7.5703125" style="11" bestFit="1" customWidth="1"/>
    <col min="7957" max="7957" width="7.7109375" style="11" bestFit="1" customWidth="1"/>
    <col min="7958" max="7958" width="7.28515625" style="11" bestFit="1" customWidth="1"/>
    <col min="7959" max="7960" width="5.140625" style="11" bestFit="1" customWidth="1"/>
    <col min="7961" max="7962" width="6.85546875" style="11" bestFit="1" customWidth="1"/>
    <col min="7963" max="7963" width="9.7109375" style="11" bestFit="1" customWidth="1"/>
    <col min="7964" max="7964" width="6.85546875" style="11" bestFit="1" customWidth="1"/>
    <col min="7965" max="7965" width="6.5703125" style="11" bestFit="1" customWidth="1"/>
    <col min="7966" max="7966" width="9.7109375" style="11" bestFit="1" customWidth="1"/>
    <col min="7967" max="7967" width="7.7109375" style="11" bestFit="1" customWidth="1"/>
    <col min="7968" max="7968" width="10.7109375" style="11" bestFit="1" customWidth="1"/>
    <col min="7969" max="7969" width="9.7109375" style="11" bestFit="1" customWidth="1"/>
    <col min="7970" max="7970" width="7.85546875" style="11" bestFit="1" customWidth="1"/>
    <col min="7971" max="7971" width="8" style="11" bestFit="1" customWidth="1"/>
    <col min="7972" max="7972" width="10.7109375" style="11" bestFit="1" customWidth="1"/>
    <col min="7973" max="7973" width="16.28515625" style="11" bestFit="1" customWidth="1"/>
    <col min="7974" max="7975" width="12.140625" style="11" bestFit="1" customWidth="1"/>
    <col min="7976" max="7984" width="0" style="11" hidden="1" customWidth="1"/>
    <col min="7985" max="8193" width="9.28515625" style="11"/>
    <col min="8194" max="8194" width="8.7109375" style="11" bestFit="1" customWidth="1"/>
    <col min="8195" max="8195" width="14.5703125" style="11" customWidth="1"/>
    <col min="8196" max="8196" width="12.85546875" style="11" customWidth="1"/>
    <col min="8197" max="8197" width="12" style="11" bestFit="1" customWidth="1"/>
    <col min="8198" max="8198" width="9.85546875" style="11" bestFit="1" customWidth="1"/>
    <col min="8199" max="8199" width="10.7109375" style="11" bestFit="1" customWidth="1"/>
    <col min="8200" max="8200" width="8.28515625" style="11" bestFit="1" customWidth="1"/>
    <col min="8201" max="8201" width="9.7109375" style="11" bestFit="1" customWidth="1"/>
    <col min="8202" max="8202" width="7.7109375" style="11" bestFit="1" customWidth="1"/>
    <col min="8203" max="8203" width="6.28515625" style="11" bestFit="1" customWidth="1"/>
    <col min="8204" max="8205" width="9.7109375" style="11" bestFit="1" customWidth="1"/>
    <col min="8206" max="8207" width="7.7109375" style="11" bestFit="1" customWidth="1"/>
    <col min="8208" max="8208" width="6.7109375" style="11" bestFit="1" customWidth="1"/>
    <col min="8209" max="8211" width="7.7109375" style="11" bestFit="1" customWidth="1"/>
    <col min="8212" max="8212" width="7.5703125" style="11" bestFit="1" customWidth="1"/>
    <col min="8213" max="8213" width="7.7109375" style="11" bestFit="1" customWidth="1"/>
    <col min="8214" max="8214" width="7.28515625" style="11" bestFit="1" customWidth="1"/>
    <col min="8215" max="8216" width="5.140625" style="11" bestFit="1" customWidth="1"/>
    <col min="8217" max="8218" width="6.85546875" style="11" bestFit="1" customWidth="1"/>
    <col min="8219" max="8219" width="9.7109375" style="11" bestFit="1" customWidth="1"/>
    <col min="8220" max="8220" width="6.85546875" style="11" bestFit="1" customWidth="1"/>
    <col min="8221" max="8221" width="6.5703125" style="11" bestFit="1" customWidth="1"/>
    <col min="8222" max="8222" width="9.7109375" style="11" bestFit="1" customWidth="1"/>
    <col min="8223" max="8223" width="7.7109375" style="11" bestFit="1" customWidth="1"/>
    <col min="8224" max="8224" width="10.7109375" style="11" bestFit="1" customWidth="1"/>
    <col min="8225" max="8225" width="9.7109375" style="11" bestFit="1" customWidth="1"/>
    <col min="8226" max="8226" width="7.85546875" style="11" bestFit="1" customWidth="1"/>
    <col min="8227" max="8227" width="8" style="11" bestFit="1" customWidth="1"/>
    <col min="8228" max="8228" width="10.7109375" style="11" bestFit="1" customWidth="1"/>
    <col min="8229" max="8229" width="16.28515625" style="11" bestFit="1" customWidth="1"/>
    <col min="8230" max="8231" width="12.140625" style="11" bestFit="1" customWidth="1"/>
    <col min="8232" max="8240" width="0" style="11" hidden="1" customWidth="1"/>
    <col min="8241" max="8449" width="9.28515625" style="11"/>
    <col min="8450" max="8450" width="8.7109375" style="11" bestFit="1" customWidth="1"/>
    <col min="8451" max="8451" width="14.5703125" style="11" customWidth="1"/>
    <col min="8452" max="8452" width="12.85546875" style="11" customWidth="1"/>
    <col min="8453" max="8453" width="12" style="11" bestFit="1" customWidth="1"/>
    <col min="8454" max="8454" width="9.85546875" style="11" bestFit="1" customWidth="1"/>
    <col min="8455" max="8455" width="10.7109375" style="11" bestFit="1" customWidth="1"/>
    <col min="8456" max="8456" width="8.28515625" style="11" bestFit="1" customWidth="1"/>
    <col min="8457" max="8457" width="9.7109375" style="11" bestFit="1" customWidth="1"/>
    <col min="8458" max="8458" width="7.7109375" style="11" bestFit="1" customWidth="1"/>
    <col min="8459" max="8459" width="6.28515625" style="11" bestFit="1" customWidth="1"/>
    <col min="8460" max="8461" width="9.7109375" style="11" bestFit="1" customWidth="1"/>
    <col min="8462" max="8463" width="7.7109375" style="11" bestFit="1" customWidth="1"/>
    <col min="8464" max="8464" width="6.7109375" style="11" bestFit="1" customWidth="1"/>
    <col min="8465" max="8467" width="7.7109375" style="11" bestFit="1" customWidth="1"/>
    <col min="8468" max="8468" width="7.5703125" style="11" bestFit="1" customWidth="1"/>
    <col min="8469" max="8469" width="7.7109375" style="11" bestFit="1" customWidth="1"/>
    <col min="8470" max="8470" width="7.28515625" style="11" bestFit="1" customWidth="1"/>
    <col min="8471" max="8472" width="5.140625" style="11" bestFit="1" customWidth="1"/>
    <col min="8473" max="8474" width="6.85546875" style="11" bestFit="1" customWidth="1"/>
    <col min="8475" max="8475" width="9.7109375" style="11" bestFit="1" customWidth="1"/>
    <col min="8476" max="8476" width="6.85546875" style="11" bestFit="1" customWidth="1"/>
    <col min="8477" max="8477" width="6.5703125" style="11" bestFit="1" customWidth="1"/>
    <col min="8478" max="8478" width="9.7109375" style="11" bestFit="1" customWidth="1"/>
    <col min="8479" max="8479" width="7.7109375" style="11" bestFit="1" customWidth="1"/>
    <col min="8480" max="8480" width="10.7109375" style="11" bestFit="1" customWidth="1"/>
    <col min="8481" max="8481" width="9.7109375" style="11" bestFit="1" customWidth="1"/>
    <col min="8482" max="8482" width="7.85546875" style="11" bestFit="1" customWidth="1"/>
    <col min="8483" max="8483" width="8" style="11" bestFit="1" customWidth="1"/>
    <col min="8484" max="8484" width="10.7109375" style="11" bestFit="1" customWidth="1"/>
    <col min="8485" max="8485" width="16.28515625" style="11" bestFit="1" customWidth="1"/>
    <col min="8486" max="8487" width="12.140625" style="11" bestFit="1" customWidth="1"/>
    <col min="8488" max="8496" width="0" style="11" hidden="1" customWidth="1"/>
    <col min="8497" max="8705" width="9.28515625" style="11"/>
    <col min="8706" max="8706" width="8.7109375" style="11" bestFit="1" customWidth="1"/>
    <col min="8707" max="8707" width="14.5703125" style="11" customWidth="1"/>
    <col min="8708" max="8708" width="12.85546875" style="11" customWidth="1"/>
    <col min="8709" max="8709" width="12" style="11" bestFit="1" customWidth="1"/>
    <col min="8710" max="8710" width="9.85546875" style="11" bestFit="1" customWidth="1"/>
    <col min="8711" max="8711" width="10.7109375" style="11" bestFit="1" customWidth="1"/>
    <col min="8712" max="8712" width="8.28515625" style="11" bestFit="1" customWidth="1"/>
    <col min="8713" max="8713" width="9.7109375" style="11" bestFit="1" customWidth="1"/>
    <col min="8714" max="8714" width="7.7109375" style="11" bestFit="1" customWidth="1"/>
    <col min="8715" max="8715" width="6.28515625" style="11" bestFit="1" customWidth="1"/>
    <col min="8716" max="8717" width="9.7109375" style="11" bestFit="1" customWidth="1"/>
    <col min="8718" max="8719" width="7.7109375" style="11" bestFit="1" customWidth="1"/>
    <col min="8720" max="8720" width="6.7109375" style="11" bestFit="1" customWidth="1"/>
    <col min="8721" max="8723" width="7.7109375" style="11" bestFit="1" customWidth="1"/>
    <col min="8724" max="8724" width="7.5703125" style="11" bestFit="1" customWidth="1"/>
    <col min="8725" max="8725" width="7.7109375" style="11" bestFit="1" customWidth="1"/>
    <col min="8726" max="8726" width="7.28515625" style="11" bestFit="1" customWidth="1"/>
    <col min="8727" max="8728" width="5.140625" style="11" bestFit="1" customWidth="1"/>
    <col min="8729" max="8730" width="6.85546875" style="11" bestFit="1" customWidth="1"/>
    <col min="8731" max="8731" width="9.7109375" style="11" bestFit="1" customWidth="1"/>
    <col min="8732" max="8732" width="6.85546875" style="11" bestFit="1" customWidth="1"/>
    <col min="8733" max="8733" width="6.5703125" style="11" bestFit="1" customWidth="1"/>
    <col min="8734" max="8734" width="9.7109375" style="11" bestFit="1" customWidth="1"/>
    <col min="8735" max="8735" width="7.7109375" style="11" bestFit="1" customWidth="1"/>
    <col min="8736" max="8736" width="10.7109375" style="11" bestFit="1" customWidth="1"/>
    <col min="8737" max="8737" width="9.7109375" style="11" bestFit="1" customWidth="1"/>
    <col min="8738" max="8738" width="7.85546875" style="11" bestFit="1" customWidth="1"/>
    <col min="8739" max="8739" width="8" style="11" bestFit="1" customWidth="1"/>
    <col min="8740" max="8740" width="10.7109375" style="11" bestFit="1" customWidth="1"/>
    <col min="8741" max="8741" width="16.28515625" style="11" bestFit="1" customWidth="1"/>
    <col min="8742" max="8743" width="12.140625" style="11" bestFit="1" customWidth="1"/>
    <col min="8744" max="8752" width="0" style="11" hidden="1" customWidth="1"/>
    <col min="8753" max="8961" width="9.28515625" style="11"/>
    <col min="8962" max="8962" width="8.7109375" style="11" bestFit="1" customWidth="1"/>
    <col min="8963" max="8963" width="14.5703125" style="11" customWidth="1"/>
    <col min="8964" max="8964" width="12.85546875" style="11" customWidth="1"/>
    <col min="8965" max="8965" width="12" style="11" bestFit="1" customWidth="1"/>
    <col min="8966" max="8966" width="9.85546875" style="11" bestFit="1" customWidth="1"/>
    <col min="8967" max="8967" width="10.7109375" style="11" bestFit="1" customWidth="1"/>
    <col min="8968" max="8968" width="8.28515625" style="11" bestFit="1" customWidth="1"/>
    <col min="8969" max="8969" width="9.7109375" style="11" bestFit="1" customWidth="1"/>
    <col min="8970" max="8970" width="7.7109375" style="11" bestFit="1" customWidth="1"/>
    <col min="8971" max="8971" width="6.28515625" style="11" bestFit="1" customWidth="1"/>
    <col min="8972" max="8973" width="9.7109375" style="11" bestFit="1" customWidth="1"/>
    <col min="8974" max="8975" width="7.7109375" style="11" bestFit="1" customWidth="1"/>
    <col min="8976" max="8976" width="6.7109375" style="11" bestFit="1" customWidth="1"/>
    <col min="8977" max="8979" width="7.7109375" style="11" bestFit="1" customWidth="1"/>
    <col min="8980" max="8980" width="7.5703125" style="11" bestFit="1" customWidth="1"/>
    <col min="8981" max="8981" width="7.7109375" style="11" bestFit="1" customWidth="1"/>
    <col min="8982" max="8982" width="7.28515625" style="11" bestFit="1" customWidth="1"/>
    <col min="8983" max="8984" width="5.140625" style="11" bestFit="1" customWidth="1"/>
    <col min="8985" max="8986" width="6.85546875" style="11" bestFit="1" customWidth="1"/>
    <col min="8987" max="8987" width="9.7109375" style="11" bestFit="1" customWidth="1"/>
    <col min="8988" max="8988" width="6.85546875" style="11" bestFit="1" customWidth="1"/>
    <col min="8989" max="8989" width="6.5703125" style="11" bestFit="1" customWidth="1"/>
    <col min="8990" max="8990" width="9.7109375" style="11" bestFit="1" customWidth="1"/>
    <col min="8991" max="8991" width="7.7109375" style="11" bestFit="1" customWidth="1"/>
    <col min="8992" max="8992" width="10.7109375" style="11" bestFit="1" customWidth="1"/>
    <col min="8993" max="8993" width="9.7109375" style="11" bestFit="1" customWidth="1"/>
    <col min="8994" max="8994" width="7.85546875" style="11" bestFit="1" customWidth="1"/>
    <col min="8995" max="8995" width="8" style="11" bestFit="1" customWidth="1"/>
    <col min="8996" max="8996" width="10.7109375" style="11" bestFit="1" customWidth="1"/>
    <col min="8997" max="8997" width="16.28515625" style="11" bestFit="1" customWidth="1"/>
    <col min="8998" max="8999" width="12.140625" style="11" bestFit="1" customWidth="1"/>
    <col min="9000" max="9008" width="0" style="11" hidden="1" customWidth="1"/>
    <col min="9009" max="9217" width="9.28515625" style="11"/>
    <col min="9218" max="9218" width="8.7109375" style="11" bestFit="1" customWidth="1"/>
    <col min="9219" max="9219" width="14.5703125" style="11" customWidth="1"/>
    <col min="9220" max="9220" width="12.85546875" style="11" customWidth="1"/>
    <col min="9221" max="9221" width="12" style="11" bestFit="1" customWidth="1"/>
    <col min="9222" max="9222" width="9.85546875" style="11" bestFit="1" customWidth="1"/>
    <col min="9223" max="9223" width="10.7109375" style="11" bestFit="1" customWidth="1"/>
    <col min="9224" max="9224" width="8.28515625" style="11" bestFit="1" customWidth="1"/>
    <col min="9225" max="9225" width="9.7109375" style="11" bestFit="1" customWidth="1"/>
    <col min="9226" max="9226" width="7.7109375" style="11" bestFit="1" customWidth="1"/>
    <col min="9227" max="9227" width="6.28515625" style="11" bestFit="1" customWidth="1"/>
    <col min="9228" max="9229" width="9.7109375" style="11" bestFit="1" customWidth="1"/>
    <col min="9230" max="9231" width="7.7109375" style="11" bestFit="1" customWidth="1"/>
    <col min="9232" max="9232" width="6.7109375" style="11" bestFit="1" customWidth="1"/>
    <col min="9233" max="9235" width="7.7109375" style="11" bestFit="1" customWidth="1"/>
    <col min="9236" max="9236" width="7.5703125" style="11" bestFit="1" customWidth="1"/>
    <col min="9237" max="9237" width="7.7109375" style="11" bestFit="1" customWidth="1"/>
    <col min="9238" max="9238" width="7.28515625" style="11" bestFit="1" customWidth="1"/>
    <col min="9239" max="9240" width="5.140625" style="11" bestFit="1" customWidth="1"/>
    <col min="9241" max="9242" width="6.85546875" style="11" bestFit="1" customWidth="1"/>
    <col min="9243" max="9243" width="9.7109375" style="11" bestFit="1" customWidth="1"/>
    <col min="9244" max="9244" width="6.85546875" style="11" bestFit="1" customWidth="1"/>
    <col min="9245" max="9245" width="6.5703125" style="11" bestFit="1" customWidth="1"/>
    <col min="9246" max="9246" width="9.7109375" style="11" bestFit="1" customWidth="1"/>
    <col min="9247" max="9247" width="7.7109375" style="11" bestFit="1" customWidth="1"/>
    <col min="9248" max="9248" width="10.7109375" style="11" bestFit="1" customWidth="1"/>
    <col min="9249" max="9249" width="9.7109375" style="11" bestFit="1" customWidth="1"/>
    <col min="9250" max="9250" width="7.85546875" style="11" bestFit="1" customWidth="1"/>
    <col min="9251" max="9251" width="8" style="11" bestFit="1" customWidth="1"/>
    <col min="9252" max="9252" width="10.7109375" style="11" bestFit="1" customWidth="1"/>
    <col min="9253" max="9253" width="16.28515625" style="11" bestFit="1" customWidth="1"/>
    <col min="9254" max="9255" width="12.140625" style="11" bestFit="1" customWidth="1"/>
    <col min="9256" max="9264" width="0" style="11" hidden="1" customWidth="1"/>
    <col min="9265" max="9473" width="9.28515625" style="11"/>
    <col min="9474" max="9474" width="8.7109375" style="11" bestFit="1" customWidth="1"/>
    <col min="9475" max="9475" width="14.5703125" style="11" customWidth="1"/>
    <col min="9476" max="9476" width="12.85546875" style="11" customWidth="1"/>
    <col min="9477" max="9477" width="12" style="11" bestFit="1" customWidth="1"/>
    <col min="9478" max="9478" width="9.85546875" style="11" bestFit="1" customWidth="1"/>
    <col min="9479" max="9479" width="10.7109375" style="11" bestFit="1" customWidth="1"/>
    <col min="9480" max="9480" width="8.28515625" style="11" bestFit="1" customWidth="1"/>
    <col min="9481" max="9481" width="9.7109375" style="11" bestFit="1" customWidth="1"/>
    <col min="9482" max="9482" width="7.7109375" style="11" bestFit="1" customWidth="1"/>
    <col min="9483" max="9483" width="6.28515625" style="11" bestFit="1" customWidth="1"/>
    <col min="9484" max="9485" width="9.7109375" style="11" bestFit="1" customWidth="1"/>
    <col min="9486" max="9487" width="7.7109375" style="11" bestFit="1" customWidth="1"/>
    <col min="9488" max="9488" width="6.7109375" style="11" bestFit="1" customWidth="1"/>
    <col min="9489" max="9491" width="7.7109375" style="11" bestFit="1" customWidth="1"/>
    <col min="9492" max="9492" width="7.5703125" style="11" bestFit="1" customWidth="1"/>
    <col min="9493" max="9493" width="7.7109375" style="11" bestFit="1" customWidth="1"/>
    <col min="9494" max="9494" width="7.28515625" style="11" bestFit="1" customWidth="1"/>
    <col min="9495" max="9496" width="5.140625" style="11" bestFit="1" customWidth="1"/>
    <col min="9497" max="9498" width="6.85546875" style="11" bestFit="1" customWidth="1"/>
    <col min="9499" max="9499" width="9.7109375" style="11" bestFit="1" customWidth="1"/>
    <col min="9500" max="9500" width="6.85546875" style="11" bestFit="1" customWidth="1"/>
    <col min="9501" max="9501" width="6.5703125" style="11" bestFit="1" customWidth="1"/>
    <col min="9502" max="9502" width="9.7109375" style="11" bestFit="1" customWidth="1"/>
    <col min="9503" max="9503" width="7.7109375" style="11" bestFit="1" customWidth="1"/>
    <col min="9504" max="9504" width="10.7109375" style="11" bestFit="1" customWidth="1"/>
    <col min="9505" max="9505" width="9.7109375" style="11" bestFit="1" customWidth="1"/>
    <col min="9506" max="9506" width="7.85546875" style="11" bestFit="1" customWidth="1"/>
    <col min="9507" max="9507" width="8" style="11" bestFit="1" customWidth="1"/>
    <col min="9508" max="9508" width="10.7109375" style="11" bestFit="1" customWidth="1"/>
    <col min="9509" max="9509" width="16.28515625" style="11" bestFit="1" customWidth="1"/>
    <col min="9510" max="9511" width="12.140625" style="11" bestFit="1" customWidth="1"/>
    <col min="9512" max="9520" width="0" style="11" hidden="1" customWidth="1"/>
    <col min="9521" max="9729" width="9.28515625" style="11"/>
    <col min="9730" max="9730" width="8.7109375" style="11" bestFit="1" customWidth="1"/>
    <col min="9731" max="9731" width="14.5703125" style="11" customWidth="1"/>
    <col min="9732" max="9732" width="12.85546875" style="11" customWidth="1"/>
    <col min="9733" max="9733" width="12" style="11" bestFit="1" customWidth="1"/>
    <col min="9734" max="9734" width="9.85546875" style="11" bestFit="1" customWidth="1"/>
    <col min="9735" max="9735" width="10.7109375" style="11" bestFit="1" customWidth="1"/>
    <col min="9736" max="9736" width="8.28515625" style="11" bestFit="1" customWidth="1"/>
    <col min="9737" max="9737" width="9.7109375" style="11" bestFit="1" customWidth="1"/>
    <col min="9738" max="9738" width="7.7109375" style="11" bestFit="1" customWidth="1"/>
    <col min="9739" max="9739" width="6.28515625" style="11" bestFit="1" customWidth="1"/>
    <col min="9740" max="9741" width="9.7109375" style="11" bestFit="1" customWidth="1"/>
    <col min="9742" max="9743" width="7.7109375" style="11" bestFit="1" customWidth="1"/>
    <col min="9744" max="9744" width="6.7109375" style="11" bestFit="1" customWidth="1"/>
    <col min="9745" max="9747" width="7.7109375" style="11" bestFit="1" customWidth="1"/>
    <col min="9748" max="9748" width="7.5703125" style="11" bestFit="1" customWidth="1"/>
    <col min="9749" max="9749" width="7.7109375" style="11" bestFit="1" customWidth="1"/>
    <col min="9750" max="9750" width="7.28515625" style="11" bestFit="1" customWidth="1"/>
    <col min="9751" max="9752" width="5.140625" style="11" bestFit="1" customWidth="1"/>
    <col min="9753" max="9754" width="6.85546875" style="11" bestFit="1" customWidth="1"/>
    <col min="9755" max="9755" width="9.7109375" style="11" bestFit="1" customWidth="1"/>
    <col min="9756" max="9756" width="6.85546875" style="11" bestFit="1" customWidth="1"/>
    <col min="9757" max="9757" width="6.5703125" style="11" bestFit="1" customWidth="1"/>
    <col min="9758" max="9758" width="9.7109375" style="11" bestFit="1" customWidth="1"/>
    <col min="9759" max="9759" width="7.7109375" style="11" bestFit="1" customWidth="1"/>
    <col min="9760" max="9760" width="10.7109375" style="11" bestFit="1" customWidth="1"/>
    <col min="9761" max="9761" width="9.7109375" style="11" bestFit="1" customWidth="1"/>
    <col min="9762" max="9762" width="7.85546875" style="11" bestFit="1" customWidth="1"/>
    <col min="9763" max="9763" width="8" style="11" bestFit="1" customWidth="1"/>
    <col min="9764" max="9764" width="10.7109375" style="11" bestFit="1" customWidth="1"/>
    <col min="9765" max="9765" width="16.28515625" style="11" bestFit="1" customWidth="1"/>
    <col min="9766" max="9767" width="12.140625" style="11" bestFit="1" customWidth="1"/>
    <col min="9768" max="9776" width="0" style="11" hidden="1" customWidth="1"/>
    <col min="9777" max="9985" width="9.28515625" style="11"/>
    <col min="9986" max="9986" width="8.7109375" style="11" bestFit="1" customWidth="1"/>
    <col min="9987" max="9987" width="14.5703125" style="11" customWidth="1"/>
    <col min="9988" max="9988" width="12.85546875" style="11" customWidth="1"/>
    <col min="9989" max="9989" width="12" style="11" bestFit="1" customWidth="1"/>
    <col min="9990" max="9990" width="9.85546875" style="11" bestFit="1" customWidth="1"/>
    <col min="9991" max="9991" width="10.7109375" style="11" bestFit="1" customWidth="1"/>
    <col min="9992" max="9992" width="8.28515625" style="11" bestFit="1" customWidth="1"/>
    <col min="9993" max="9993" width="9.7109375" style="11" bestFit="1" customWidth="1"/>
    <col min="9994" max="9994" width="7.7109375" style="11" bestFit="1" customWidth="1"/>
    <col min="9995" max="9995" width="6.28515625" style="11" bestFit="1" customWidth="1"/>
    <col min="9996" max="9997" width="9.7109375" style="11" bestFit="1" customWidth="1"/>
    <col min="9998" max="9999" width="7.7109375" style="11" bestFit="1" customWidth="1"/>
    <col min="10000" max="10000" width="6.7109375" style="11" bestFit="1" customWidth="1"/>
    <col min="10001" max="10003" width="7.7109375" style="11" bestFit="1" customWidth="1"/>
    <col min="10004" max="10004" width="7.5703125" style="11" bestFit="1" customWidth="1"/>
    <col min="10005" max="10005" width="7.7109375" style="11" bestFit="1" customWidth="1"/>
    <col min="10006" max="10006" width="7.28515625" style="11" bestFit="1" customWidth="1"/>
    <col min="10007" max="10008" width="5.140625" style="11" bestFit="1" customWidth="1"/>
    <col min="10009" max="10010" width="6.85546875" style="11" bestFit="1" customWidth="1"/>
    <col min="10011" max="10011" width="9.7109375" style="11" bestFit="1" customWidth="1"/>
    <col min="10012" max="10012" width="6.85546875" style="11" bestFit="1" customWidth="1"/>
    <col min="10013" max="10013" width="6.5703125" style="11" bestFit="1" customWidth="1"/>
    <col min="10014" max="10014" width="9.7109375" style="11" bestFit="1" customWidth="1"/>
    <col min="10015" max="10015" width="7.7109375" style="11" bestFit="1" customWidth="1"/>
    <col min="10016" max="10016" width="10.7109375" style="11" bestFit="1" customWidth="1"/>
    <col min="10017" max="10017" width="9.7109375" style="11" bestFit="1" customWidth="1"/>
    <col min="10018" max="10018" width="7.85546875" style="11" bestFit="1" customWidth="1"/>
    <col min="10019" max="10019" width="8" style="11" bestFit="1" customWidth="1"/>
    <col min="10020" max="10020" width="10.7109375" style="11" bestFit="1" customWidth="1"/>
    <col min="10021" max="10021" width="16.28515625" style="11" bestFit="1" customWidth="1"/>
    <col min="10022" max="10023" width="12.140625" style="11" bestFit="1" customWidth="1"/>
    <col min="10024" max="10032" width="0" style="11" hidden="1" customWidth="1"/>
    <col min="10033" max="10241" width="9.28515625" style="11"/>
    <col min="10242" max="10242" width="8.7109375" style="11" bestFit="1" customWidth="1"/>
    <col min="10243" max="10243" width="14.5703125" style="11" customWidth="1"/>
    <col min="10244" max="10244" width="12.85546875" style="11" customWidth="1"/>
    <col min="10245" max="10245" width="12" style="11" bestFit="1" customWidth="1"/>
    <col min="10246" max="10246" width="9.85546875" style="11" bestFit="1" customWidth="1"/>
    <col min="10247" max="10247" width="10.7109375" style="11" bestFit="1" customWidth="1"/>
    <col min="10248" max="10248" width="8.28515625" style="11" bestFit="1" customWidth="1"/>
    <col min="10249" max="10249" width="9.7109375" style="11" bestFit="1" customWidth="1"/>
    <col min="10250" max="10250" width="7.7109375" style="11" bestFit="1" customWidth="1"/>
    <col min="10251" max="10251" width="6.28515625" style="11" bestFit="1" customWidth="1"/>
    <col min="10252" max="10253" width="9.7109375" style="11" bestFit="1" customWidth="1"/>
    <col min="10254" max="10255" width="7.7109375" style="11" bestFit="1" customWidth="1"/>
    <col min="10256" max="10256" width="6.7109375" style="11" bestFit="1" customWidth="1"/>
    <col min="10257" max="10259" width="7.7109375" style="11" bestFit="1" customWidth="1"/>
    <col min="10260" max="10260" width="7.5703125" style="11" bestFit="1" customWidth="1"/>
    <col min="10261" max="10261" width="7.7109375" style="11" bestFit="1" customWidth="1"/>
    <col min="10262" max="10262" width="7.28515625" style="11" bestFit="1" customWidth="1"/>
    <col min="10263" max="10264" width="5.140625" style="11" bestFit="1" customWidth="1"/>
    <col min="10265" max="10266" width="6.85546875" style="11" bestFit="1" customWidth="1"/>
    <col min="10267" max="10267" width="9.7109375" style="11" bestFit="1" customWidth="1"/>
    <col min="10268" max="10268" width="6.85546875" style="11" bestFit="1" customWidth="1"/>
    <col min="10269" max="10269" width="6.5703125" style="11" bestFit="1" customWidth="1"/>
    <col min="10270" max="10270" width="9.7109375" style="11" bestFit="1" customWidth="1"/>
    <col min="10271" max="10271" width="7.7109375" style="11" bestFit="1" customWidth="1"/>
    <col min="10272" max="10272" width="10.7109375" style="11" bestFit="1" customWidth="1"/>
    <col min="10273" max="10273" width="9.7109375" style="11" bestFit="1" customWidth="1"/>
    <col min="10274" max="10274" width="7.85546875" style="11" bestFit="1" customWidth="1"/>
    <col min="10275" max="10275" width="8" style="11" bestFit="1" customWidth="1"/>
    <col min="10276" max="10276" width="10.7109375" style="11" bestFit="1" customWidth="1"/>
    <col min="10277" max="10277" width="16.28515625" style="11" bestFit="1" customWidth="1"/>
    <col min="10278" max="10279" width="12.140625" style="11" bestFit="1" customWidth="1"/>
    <col min="10280" max="10288" width="0" style="11" hidden="1" customWidth="1"/>
    <col min="10289" max="10497" width="9.28515625" style="11"/>
    <col min="10498" max="10498" width="8.7109375" style="11" bestFit="1" customWidth="1"/>
    <col min="10499" max="10499" width="14.5703125" style="11" customWidth="1"/>
    <col min="10500" max="10500" width="12.85546875" style="11" customWidth="1"/>
    <col min="10501" max="10501" width="12" style="11" bestFit="1" customWidth="1"/>
    <col min="10502" max="10502" width="9.85546875" style="11" bestFit="1" customWidth="1"/>
    <col min="10503" max="10503" width="10.7109375" style="11" bestFit="1" customWidth="1"/>
    <col min="10504" max="10504" width="8.28515625" style="11" bestFit="1" customWidth="1"/>
    <col min="10505" max="10505" width="9.7109375" style="11" bestFit="1" customWidth="1"/>
    <col min="10506" max="10506" width="7.7109375" style="11" bestFit="1" customWidth="1"/>
    <col min="10507" max="10507" width="6.28515625" style="11" bestFit="1" customWidth="1"/>
    <col min="10508" max="10509" width="9.7109375" style="11" bestFit="1" customWidth="1"/>
    <col min="10510" max="10511" width="7.7109375" style="11" bestFit="1" customWidth="1"/>
    <col min="10512" max="10512" width="6.7109375" style="11" bestFit="1" customWidth="1"/>
    <col min="10513" max="10515" width="7.7109375" style="11" bestFit="1" customWidth="1"/>
    <col min="10516" max="10516" width="7.5703125" style="11" bestFit="1" customWidth="1"/>
    <col min="10517" max="10517" width="7.7109375" style="11" bestFit="1" customWidth="1"/>
    <col min="10518" max="10518" width="7.28515625" style="11" bestFit="1" customWidth="1"/>
    <col min="10519" max="10520" width="5.140625" style="11" bestFit="1" customWidth="1"/>
    <col min="10521" max="10522" width="6.85546875" style="11" bestFit="1" customWidth="1"/>
    <col min="10523" max="10523" width="9.7109375" style="11" bestFit="1" customWidth="1"/>
    <col min="10524" max="10524" width="6.85546875" style="11" bestFit="1" customWidth="1"/>
    <col min="10525" max="10525" width="6.5703125" style="11" bestFit="1" customWidth="1"/>
    <col min="10526" max="10526" width="9.7109375" style="11" bestFit="1" customWidth="1"/>
    <col min="10527" max="10527" width="7.7109375" style="11" bestFit="1" customWidth="1"/>
    <col min="10528" max="10528" width="10.7109375" style="11" bestFit="1" customWidth="1"/>
    <col min="10529" max="10529" width="9.7109375" style="11" bestFit="1" customWidth="1"/>
    <col min="10530" max="10530" width="7.85546875" style="11" bestFit="1" customWidth="1"/>
    <col min="10531" max="10531" width="8" style="11" bestFit="1" customWidth="1"/>
    <col min="10532" max="10532" width="10.7109375" style="11" bestFit="1" customWidth="1"/>
    <col min="10533" max="10533" width="16.28515625" style="11" bestFit="1" customWidth="1"/>
    <col min="10534" max="10535" width="12.140625" style="11" bestFit="1" customWidth="1"/>
    <col min="10536" max="10544" width="0" style="11" hidden="1" customWidth="1"/>
    <col min="10545" max="10753" width="9.28515625" style="11"/>
    <col min="10754" max="10754" width="8.7109375" style="11" bestFit="1" customWidth="1"/>
    <col min="10755" max="10755" width="14.5703125" style="11" customWidth="1"/>
    <col min="10756" max="10756" width="12.85546875" style="11" customWidth="1"/>
    <col min="10757" max="10757" width="12" style="11" bestFit="1" customWidth="1"/>
    <col min="10758" max="10758" width="9.85546875" style="11" bestFit="1" customWidth="1"/>
    <col min="10759" max="10759" width="10.7109375" style="11" bestFit="1" customWidth="1"/>
    <col min="10760" max="10760" width="8.28515625" style="11" bestFit="1" customWidth="1"/>
    <col min="10761" max="10761" width="9.7109375" style="11" bestFit="1" customWidth="1"/>
    <col min="10762" max="10762" width="7.7109375" style="11" bestFit="1" customWidth="1"/>
    <col min="10763" max="10763" width="6.28515625" style="11" bestFit="1" customWidth="1"/>
    <col min="10764" max="10765" width="9.7109375" style="11" bestFit="1" customWidth="1"/>
    <col min="10766" max="10767" width="7.7109375" style="11" bestFit="1" customWidth="1"/>
    <col min="10768" max="10768" width="6.7109375" style="11" bestFit="1" customWidth="1"/>
    <col min="10769" max="10771" width="7.7109375" style="11" bestFit="1" customWidth="1"/>
    <col min="10772" max="10772" width="7.5703125" style="11" bestFit="1" customWidth="1"/>
    <col min="10773" max="10773" width="7.7109375" style="11" bestFit="1" customWidth="1"/>
    <col min="10774" max="10774" width="7.28515625" style="11" bestFit="1" customWidth="1"/>
    <col min="10775" max="10776" width="5.140625" style="11" bestFit="1" customWidth="1"/>
    <col min="10777" max="10778" width="6.85546875" style="11" bestFit="1" customWidth="1"/>
    <col min="10779" max="10779" width="9.7109375" style="11" bestFit="1" customWidth="1"/>
    <col min="10780" max="10780" width="6.85546875" style="11" bestFit="1" customWidth="1"/>
    <col min="10781" max="10781" width="6.5703125" style="11" bestFit="1" customWidth="1"/>
    <col min="10782" max="10782" width="9.7109375" style="11" bestFit="1" customWidth="1"/>
    <col min="10783" max="10783" width="7.7109375" style="11" bestFit="1" customWidth="1"/>
    <col min="10784" max="10784" width="10.7109375" style="11" bestFit="1" customWidth="1"/>
    <col min="10785" max="10785" width="9.7109375" style="11" bestFit="1" customWidth="1"/>
    <col min="10786" max="10786" width="7.85546875" style="11" bestFit="1" customWidth="1"/>
    <col min="10787" max="10787" width="8" style="11" bestFit="1" customWidth="1"/>
    <col min="10788" max="10788" width="10.7109375" style="11" bestFit="1" customWidth="1"/>
    <col min="10789" max="10789" width="16.28515625" style="11" bestFit="1" customWidth="1"/>
    <col min="10790" max="10791" width="12.140625" style="11" bestFit="1" customWidth="1"/>
    <col min="10792" max="10800" width="0" style="11" hidden="1" customWidth="1"/>
    <col min="10801" max="11009" width="9.28515625" style="11"/>
    <col min="11010" max="11010" width="8.7109375" style="11" bestFit="1" customWidth="1"/>
    <col min="11011" max="11011" width="14.5703125" style="11" customWidth="1"/>
    <col min="11012" max="11012" width="12.85546875" style="11" customWidth="1"/>
    <col min="11013" max="11013" width="12" style="11" bestFit="1" customWidth="1"/>
    <col min="11014" max="11014" width="9.85546875" style="11" bestFit="1" customWidth="1"/>
    <col min="11015" max="11015" width="10.7109375" style="11" bestFit="1" customWidth="1"/>
    <col min="11016" max="11016" width="8.28515625" style="11" bestFit="1" customWidth="1"/>
    <col min="11017" max="11017" width="9.7109375" style="11" bestFit="1" customWidth="1"/>
    <col min="11018" max="11018" width="7.7109375" style="11" bestFit="1" customWidth="1"/>
    <col min="11019" max="11019" width="6.28515625" style="11" bestFit="1" customWidth="1"/>
    <col min="11020" max="11021" width="9.7109375" style="11" bestFit="1" customWidth="1"/>
    <col min="11022" max="11023" width="7.7109375" style="11" bestFit="1" customWidth="1"/>
    <col min="11024" max="11024" width="6.7109375" style="11" bestFit="1" customWidth="1"/>
    <col min="11025" max="11027" width="7.7109375" style="11" bestFit="1" customWidth="1"/>
    <col min="11028" max="11028" width="7.5703125" style="11" bestFit="1" customWidth="1"/>
    <col min="11029" max="11029" width="7.7109375" style="11" bestFit="1" customWidth="1"/>
    <col min="11030" max="11030" width="7.28515625" style="11" bestFit="1" customWidth="1"/>
    <col min="11031" max="11032" width="5.140625" style="11" bestFit="1" customWidth="1"/>
    <col min="11033" max="11034" width="6.85546875" style="11" bestFit="1" customWidth="1"/>
    <col min="11035" max="11035" width="9.7109375" style="11" bestFit="1" customWidth="1"/>
    <col min="11036" max="11036" width="6.85546875" style="11" bestFit="1" customWidth="1"/>
    <col min="11037" max="11037" width="6.5703125" style="11" bestFit="1" customWidth="1"/>
    <col min="11038" max="11038" width="9.7109375" style="11" bestFit="1" customWidth="1"/>
    <col min="11039" max="11039" width="7.7109375" style="11" bestFit="1" customWidth="1"/>
    <col min="11040" max="11040" width="10.7109375" style="11" bestFit="1" customWidth="1"/>
    <col min="11041" max="11041" width="9.7109375" style="11" bestFit="1" customWidth="1"/>
    <col min="11042" max="11042" width="7.85546875" style="11" bestFit="1" customWidth="1"/>
    <col min="11043" max="11043" width="8" style="11" bestFit="1" customWidth="1"/>
    <col min="11044" max="11044" width="10.7109375" style="11" bestFit="1" customWidth="1"/>
    <col min="11045" max="11045" width="16.28515625" style="11" bestFit="1" customWidth="1"/>
    <col min="11046" max="11047" width="12.140625" style="11" bestFit="1" customWidth="1"/>
    <col min="11048" max="11056" width="0" style="11" hidden="1" customWidth="1"/>
    <col min="11057" max="11265" width="9.28515625" style="11"/>
    <col min="11266" max="11266" width="8.7109375" style="11" bestFit="1" customWidth="1"/>
    <col min="11267" max="11267" width="14.5703125" style="11" customWidth="1"/>
    <col min="11268" max="11268" width="12.85546875" style="11" customWidth="1"/>
    <col min="11269" max="11269" width="12" style="11" bestFit="1" customWidth="1"/>
    <col min="11270" max="11270" width="9.85546875" style="11" bestFit="1" customWidth="1"/>
    <col min="11271" max="11271" width="10.7109375" style="11" bestFit="1" customWidth="1"/>
    <col min="11272" max="11272" width="8.28515625" style="11" bestFit="1" customWidth="1"/>
    <col min="11273" max="11273" width="9.7109375" style="11" bestFit="1" customWidth="1"/>
    <col min="11274" max="11274" width="7.7109375" style="11" bestFit="1" customWidth="1"/>
    <col min="11275" max="11275" width="6.28515625" style="11" bestFit="1" customWidth="1"/>
    <col min="11276" max="11277" width="9.7109375" style="11" bestFit="1" customWidth="1"/>
    <col min="11278" max="11279" width="7.7109375" style="11" bestFit="1" customWidth="1"/>
    <col min="11280" max="11280" width="6.7109375" style="11" bestFit="1" customWidth="1"/>
    <col min="11281" max="11283" width="7.7109375" style="11" bestFit="1" customWidth="1"/>
    <col min="11284" max="11284" width="7.5703125" style="11" bestFit="1" customWidth="1"/>
    <col min="11285" max="11285" width="7.7109375" style="11" bestFit="1" customWidth="1"/>
    <col min="11286" max="11286" width="7.28515625" style="11" bestFit="1" customWidth="1"/>
    <col min="11287" max="11288" width="5.140625" style="11" bestFit="1" customWidth="1"/>
    <col min="11289" max="11290" width="6.85546875" style="11" bestFit="1" customWidth="1"/>
    <col min="11291" max="11291" width="9.7109375" style="11" bestFit="1" customWidth="1"/>
    <col min="11292" max="11292" width="6.85546875" style="11" bestFit="1" customWidth="1"/>
    <col min="11293" max="11293" width="6.5703125" style="11" bestFit="1" customWidth="1"/>
    <col min="11294" max="11294" width="9.7109375" style="11" bestFit="1" customWidth="1"/>
    <col min="11295" max="11295" width="7.7109375" style="11" bestFit="1" customWidth="1"/>
    <col min="11296" max="11296" width="10.7109375" style="11" bestFit="1" customWidth="1"/>
    <col min="11297" max="11297" width="9.7109375" style="11" bestFit="1" customWidth="1"/>
    <col min="11298" max="11298" width="7.85546875" style="11" bestFit="1" customWidth="1"/>
    <col min="11299" max="11299" width="8" style="11" bestFit="1" customWidth="1"/>
    <col min="11300" max="11300" width="10.7109375" style="11" bestFit="1" customWidth="1"/>
    <col min="11301" max="11301" width="16.28515625" style="11" bestFit="1" customWidth="1"/>
    <col min="11302" max="11303" width="12.140625" style="11" bestFit="1" customWidth="1"/>
    <col min="11304" max="11312" width="0" style="11" hidden="1" customWidth="1"/>
    <col min="11313" max="11521" width="9.28515625" style="11"/>
    <col min="11522" max="11522" width="8.7109375" style="11" bestFit="1" customWidth="1"/>
    <col min="11523" max="11523" width="14.5703125" style="11" customWidth="1"/>
    <col min="11524" max="11524" width="12.85546875" style="11" customWidth="1"/>
    <col min="11525" max="11525" width="12" style="11" bestFit="1" customWidth="1"/>
    <col min="11526" max="11526" width="9.85546875" style="11" bestFit="1" customWidth="1"/>
    <col min="11527" max="11527" width="10.7109375" style="11" bestFit="1" customWidth="1"/>
    <col min="11528" max="11528" width="8.28515625" style="11" bestFit="1" customWidth="1"/>
    <col min="11529" max="11529" width="9.7109375" style="11" bestFit="1" customWidth="1"/>
    <col min="11530" max="11530" width="7.7109375" style="11" bestFit="1" customWidth="1"/>
    <col min="11531" max="11531" width="6.28515625" style="11" bestFit="1" customWidth="1"/>
    <col min="11532" max="11533" width="9.7109375" style="11" bestFit="1" customWidth="1"/>
    <col min="11534" max="11535" width="7.7109375" style="11" bestFit="1" customWidth="1"/>
    <col min="11536" max="11536" width="6.7109375" style="11" bestFit="1" customWidth="1"/>
    <col min="11537" max="11539" width="7.7109375" style="11" bestFit="1" customWidth="1"/>
    <col min="11540" max="11540" width="7.5703125" style="11" bestFit="1" customWidth="1"/>
    <col min="11541" max="11541" width="7.7109375" style="11" bestFit="1" customWidth="1"/>
    <col min="11542" max="11542" width="7.28515625" style="11" bestFit="1" customWidth="1"/>
    <col min="11543" max="11544" width="5.140625" style="11" bestFit="1" customWidth="1"/>
    <col min="11545" max="11546" width="6.85546875" style="11" bestFit="1" customWidth="1"/>
    <col min="11547" max="11547" width="9.7109375" style="11" bestFit="1" customWidth="1"/>
    <col min="11548" max="11548" width="6.85546875" style="11" bestFit="1" customWidth="1"/>
    <col min="11549" max="11549" width="6.5703125" style="11" bestFit="1" customWidth="1"/>
    <col min="11550" max="11550" width="9.7109375" style="11" bestFit="1" customWidth="1"/>
    <col min="11551" max="11551" width="7.7109375" style="11" bestFit="1" customWidth="1"/>
    <col min="11552" max="11552" width="10.7109375" style="11" bestFit="1" customWidth="1"/>
    <col min="11553" max="11553" width="9.7109375" style="11" bestFit="1" customWidth="1"/>
    <col min="11554" max="11554" width="7.85546875" style="11" bestFit="1" customWidth="1"/>
    <col min="11555" max="11555" width="8" style="11" bestFit="1" customWidth="1"/>
    <col min="11556" max="11556" width="10.7109375" style="11" bestFit="1" customWidth="1"/>
    <col min="11557" max="11557" width="16.28515625" style="11" bestFit="1" customWidth="1"/>
    <col min="11558" max="11559" width="12.140625" style="11" bestFit="1" customWidth="1"/>
    <col min="11560" max="11568" width="0" style="11" hidden="1" customWidth="1"/>
    <col min="11569" max="11777" width="9.28515625" style="11"/>
    <col min="11778" max="11778" width="8.7109375" style="11" bestFit="1" customWidth="1"/>
    <col min="11779" max="11779" width="14.5703125" style="11" customWidth="1"/>
    <col min="11780" max="11780" width="12.85546875" style="11" customWidth="1"/>
    <col min="11781" max="11781" width="12" style="11" bestFit="1" customWidth="1"/>
    <col min="11782" max="11782" width="9.85546875" style="11" bestFit="1" customWidth="1"/>
    <col min="11783" max="11783" width="10.7109375" style="11" bestFit="1" customWidth="1"/>
    <col min="11784" max="11784" width="8.28515625" style="11" bestFit="1" customWidth="1"/>
    <col min="11785" max="11785" width="9.7109375" style="11" bestFit="1" customWidth="1"/>
    <col min="11786" max="11786" width="7.7109375" style="11" bestFit="1" customWidth="1"/>
    <col min="11787" max="11787" width="6.28515625" style="11" bestFit="1" customWidth="1"/>
    <col min="11788" max="11789" width="9.7109375" style="11" bestFit="1" customWidth="1"/>
    <col min="11790" max="11791" width="7.7109375" style="11" bestFit="1" customWidth="1"/>
    <col min="11792" max="11792" width="6.7109375" style="11" bestFit="1" customWidth="1"/>
    <col min="11793" max="11795" width="7.7109375" style="11" bestFit="1" customWidth="1"/>
    <col min="11796" max="11796" width="7.5703125" style="11" bestFit="1" customWidth="1"/>
    <col min="11797" max="11797" width="7.7109375" style="11" bestFit="1" customWidth="1"/>
    <col min="11798" max="11798" width="7.28515625" style="11" bestFit="1" customWidth="1"/>
    <col min="11799" max="11800" width="5.140625" style="11" bestFit="1" customWidth="1"/>
    <col min="11801" max="11802" width="6.85546875" style="11" bestFit="1" customWidth="1"/>
    <col min="11803" max="11803" width="9.7109375" style="11" bestFit="1" customWidth="1"/>
    <col min="11804" max="11804" width="6.85546875" style="11" bestFit="1" customWidth="1"/>
    <col min="11805" max="11805" width="6.5703125" style="11" bestFit="1" customWidth="1"/>
    <col min="11806" max="11806" width="9.7109375" style="11" bestFit="1" customWidth="1"/>
    <col min="11807" max="11807" width="7.7109375" style="11" bestFit="1" customWidth="1"/>
    <col min="11808" max="11808" width="10.7109375" style="11" bestFit="1" customWidth="1"/>
    <col min="11809" max="11809" width="9.7109375" style="11" bestFit="1" customWidth="1"/>
    <col min="11810" max="11810" width="7.85546875" style="11" bestFit="1" customWidth="1"/>
    <col min="11811" max="11811" width="8" style="11" bestFit="1" customWidth="1"/>
    <col min="11812" max="11812" width="10.7109375" style="11" bestFit="1" customWidth="1"/>
    <col min="11813" max="11813" width="16.28515625" style="11" bestFit="1" customWidth="1"/>
    <col min="11814" max="11815" width="12.140625" style="11" bestFit="1" customWidth="1"/>
    <col min="11816" max="11824" width="0" style="11" hidden="1" customWidth="1"/>
    <col min="11825" max="12033" width="9.28515625" style="11"/>
    <col min="12034" max="12034" width="8.7109375" style="11" bestFit="1" customWidth="1"/>
    <col min="12035" max="12035" width="14.5703125" style="11" customWidth="1"/>
    <col min="12036" max="12036" width="12.85546875" style="11" customWidth="1"/>
    <col min="12037" max="12037" width="12" style="11" bestFit="1" customWidth="1"/>
    <col min="12038" max="12038" width="9.85546875" style="11" bestFit="1" customWidth="1"/>
    <col min="12039" max="12039" width="10.7109375" style="11" bestFit="1" customWidth="1"/>
    <col min="12040" max="12040" width="8.28515625" style="11" bestFit="1" customWidth="1"/>
    <col min="12041" max="12041" width="9.7109375" style="11" bestFit="1" customWidth="1"/>
    <col min="12042" max="12042" width="7.7109375" style="11" bestFit="1" customWidth="1"/>
    <col min="12043" max="12043" width="6.28515625" style="11" bestFit="1" customWidth="1"/>
    <col min="12044" max="12045" width="9.7109375" style="11" bestFit="1" customWidth="1"/>
    <col min="12046" max="12047" width="7.7109375" style="11" bestFit="1" customWidth="1"/>
    <col min="12048" max="12048" width="6.7109375" style="11" bestFit="1" customWidth="1"/>
    <col min="12049" max="12051" width="7.7109375" style="11" bestFit="1" customWidth="1"/>
    <col min="12052" max="12052" width="7.5703125" style="11" bestFit="1" customWidth="1"/>
    <col min="12053" max="12053" width="7.7109375" style="11" bestFit="1" customWidth="1"/>
    <col min="12054" max="12054" width="7.28515625" style="11" bestFit="1" customWidth="1"/>
    <col min="12055" max="12056" width="5.140625" style="11" bestFit="1" customWidth="1"/>
    <col min="12057" max="12058" width="6.85546875" style="11" bestFit="1" customWidth="1"/>
    <col min="12059" max="12059" width="9.7109375" style="11" bestFit="1" customWidth="1"/>
    <col min="12060" max="12060" width="6.85546875" style="11" bestFit="1" customWidth="1"/>
    <col min="12061" max="12061" width="6.5703125" style="11" bestFit="1" customWidth="1"/>
    <col min="12062" max="12062" width="9.7109375" style="11" bestFit="1" customWidth="1"/>
    <col min="12063" max="12063" width="7.7109375" style="11" bestFit="1" customWidth="1"/>
    <col min="12064" max="12064" width="10.7109375" style="11" bestFit="1" customWidth="1"/>
    <col min="12065" max="12065" width="9.7109375" style="11" bestFit="1" customWidth="1"/>
    <col min="12066" max="12066" width="7.85546875" style="11" bestFit="1" customWidth="1"/>
    <col min="12067" max="12067" width="8" style="11" bestFit="1" customWidth="1"/>
    <col min="12068" max="12068" width="10.7109375" style="11" bestFit="1" customWidth="1"/>
    <col min="12069" max="12069" width="16.28515625" style="11" bestFit="1" customWidth="1"/>
    <col min="12070" max="12071" width="12.140625" style="11" bestFit="1" customWidth="1"/>
    <col min="12072" max="12080" width="0" style="11" hidden="1" customWidth="1"/>
    <col min="12081" max="12289" width="9.28515625" style="11"/>
    <col min="12290" max="12290" width="8.7109375" style="11" bestFit="1" customWidth="1"/>
    <col min="12291" max="12291" width="14.5703125" style="11" customWidth="1"/>
    <col min="12292" max="12292" width="12.85546875" style="11" customWidth="1"/>
    <col min="12293" max="12293" width="12" style="11" bestFit="1" customWidth="1"/>
    <col min="12294" max="12294" width="9.85546875" style="11" bestFit="1" customWidth="1"/>
    <col min="12295" max="12295" width="10.7109375" style="11" bestFit="1" customWidth="1"/>
    <col min="12296" max="12296" width="8.28515625" style="11" bestFit="1" customWidth="1"/>
    <col min="12297" max="12297" width="9.7109375" style="11" bestFit="1" customWidth="1"/>
    <col min="12298" max="12298" width="7.7109375" style="11" bestFit="1" customWidth="1"/>
    <col min="12299" max="12299" width="6.28515625" style="11" bestFit="1" customWidth="1"/>
    <col min="12300" max="12301" width="9.7109375" style="11" bestFit="1" customWidth="1"/>
    <col min="12302" max="12303" width="7.7109375" style="11" bestFit="1" customWidth="1"/>
    <col min="12304" max="12304" width="6.7109375" style="11" bestFit="1" customWidth="1"/>
    <col min="12305" max="12307" width="7.7109375" style="11" bestFit="1" customWidth="1"/>
    <col min="12308" max="12308" width="7.5703125" style="11" bestFit="1" customWidth="1"/>
    <col min="12309" max="12309" width="7.7109375" style="11" bestFit="1" customWidth="1"/>
    <col min="12310" max="12310" width="7.28515625" style="11" bestFit="1" customWidth="1"/>
    <col min="12311" max="12312" width="5.140625" style="11" bestFit="1" customWidth="1"/>
    <col min="12313" max="12314" width="6.85546875" style="11" bestFit="1" customWidth="1"/>
    <col min="12315" max="12315" width="9.7109375" style="11" bestFit="1" customWidth="1"/>
    <col min="12316" max="12316" width="6.85546875" style="11" bestFit="1" customWidth="1"/>
    <col min="12317" max="12317" width="6.5703125" style="11" bestFit="1" customWidth="1"/>
    <col min="12318" max="12318" width="9.7109375" style="11" bestFit="1" customWidth="1"/>
    <col min="12319" max="12319" width="7.7109375" style="11" bestFit="1" customWidth="1"/>
    <col min="12320" max="12320" width="10.7109375" style="11" bestFit="1" customWidth="1"/>
    <col min="12321" max="12321" width="9.7109375" style="11" bestFit="1" customWidth="1"/>
    <col min="12322" max="12322" width="7.85546875" style="11" bestFit="1" customWidth="1"/>
    <col min="12323" max="12323" width="8" style="11" bestFit="1" customWidth="1"/>
    <col min="12324" max="12324" width="10.7109375" style="11" bestFit="1" customWidth="1"/>
    <col min="12325" max="12325" width="16.28515625" style="11" bestFit="1" customWidth="1"/>
    <col min="12326" max="12327" width="12.140625" style="11" bestFit="1" customWidth="1"/>
    <col min="12328" max="12336" width="0" style="11" hidden="1" customWidth="1"/>
    <col min="12337" max="12545" width="9.28515625" style="11"/>
    <col min="12546" max="12546" width="8.7109375" style="11" bestFit="1" customWidth="1"/>
    <col min="12547" max="12547" width="14.5703125" style="11" customWidth="1"/>
    <col min="12548" max="12548" width="12.85546875" style="11" customWidth="1"/>
    <col min="12549" max="12549" width="12" style="11" bestFit="1" customWidth="1"/>
    <col min="12550" max="12550" width="9.85546875" style="11" bestFit="1" customWidth="1"/>
    <col min="12551" max="12551" width="10.7109375" style="11" bestFit="1" customWidth="1"/>
    <col min="12552" max="12552" width="8.28515625" style="11" bestFit="1" customWidth="1"/>
    <col min="12553" max="12553" width="9.7109375" style="11" bestFit="1" customWidth="1"/>
    <col min="12554" max="12554" width="7.7109375" style="11" bestFit="1" customWidth="1"/>
    <col min="12555" max="12555" width="6.28515625" style="11" bestFit="1" customWidth="1"/>
    <col min="12556" max="12557" width="9.7109375" style="11" bestFit="1" customWidth="1"/>
    <col min="12558" max="12559" width="7.7109375" style="11" bestFit="1" customWidth="1"/>
    <col min="12560" max="12560" width="6.7109375" style="11" bestFit="1" customWidth="1"/>
    <col min="12561" max="12563" width="7.7109375" style="11" bestFit="1" customWidth="1"/>
    <col min="12564" max="12564" width="7.5703125" style="11" bestFit="1" customWidth="1"/>
    <col min="12565" max="12565" width="7.7109375" style="11" bestFit="1" customWidth="1"/>
    <col min="12566" max="12566" width="7.28515625" style="11" bestFit="1" customWidth="1"/>
    <col min="12567" max="12568" width="5.140625" style="11" bestFit="1" customWidth="1"/>
    <col min="12569" max="12570" width="6.85546875" style="11" bestFit="1" customWidth="1"/>
    <col min="12571" max="12571" width="9.7109375" style="11" bestFit="1" customWidth="1"/>
    <col min="12572" max="12572" width="6.85546875" style="11" bestFit="1" customWidth="1"/>
    <col min="12573" max="12573" width="6.5703125" style="11" bestFit="1" customWidth="1"/>
    <col min="12574" max="12574" width="9.7109375" style="11" bestFit="1" customWidth="1"/>
    <col min="12575" max="12575" width="7.7109375" style="11" bestFit="1" customWidth="1"/>
    <col min="12576" max="12576" width="10.7109375" style="11" bestFit="1" customWidth="1"/>
    <col min="12577" max="12577" width="9.7109375" style="11" bestFit="1" customWidth="1"/>
    <col min="12578" max="12578" width="7.85546875" style="11" bestFit="1" customWidth="1"/>
    <col min="12579" max="12579" width="8" style="11" bestFit="1" customWidth="1"/>
    <col min="12580" max="12580" width="10.7109375" style="11" bestFit="1" customWidth="1"/>
    <col min="12581" max="12581" width="16.28515625" style="11" bestFit="1" customWidth="1"/>
    <col min="12582" max="12583" width="12.140625" style="11" bestFit="1" customWidth="1"/>
    <col min="12584" max="12592" width="0" style="11" hidden="1" customWidth="1"/>
    <col min="12593" max="12801" width="9.28515625" style="11"/>
    <col min="12802" max="12802" width="8.7109375" style="11" bestFit="1" customWidth="1"/>
    <col min="12803" max="12803" width="14.5703125" style="11" customWidth="1"/>
    <col min="12804" max="12804" width="12.85546875" style="11" customWidth="1"/>
    <col min="12805" max="12805" width="12" style="11" bestFit="1" customWidth="1"/>
    <col min="12806" max="12806" width="9.85546875" style="11" bestFit="1" customWidth="1"/>
    <col min="12807" max="12807" width="10.7109375" style="11" bestFit="1" customWidth="1"/>
    <col min="12808" max="12808" width="8.28515625" style="11" bestFit="1" customWidth="1"/>
    <col min="12809" max="12809" width="9.7109375" style="11" bestFit="1" customWidth="1"/>
    <col min="12810" max="12810" width="7.7109375" style="11" bestFit="1" customWidth="1"/>
    <col min="12811" max="12811" width="6.28515625" style="11" bestFit="1" customWidth="1"/>
    <col min="12812" max="12813" width="9.7109375" style="11" bestFit="1" customWidth="1"/>
    <col min="12814" max="12815" width="7.7109375" style="11" bestFit="1" customWidth="1"/>
    <col min="12816" max="12816" width="6.7109375" style="11" bestFit="1" customWidth="1"/>
    <col min="12817" max="12819" width="7.7109375" style="11" bestFit="1" customWidth="1"/>
    <col min="12820" max="12820" width="7.5703125" style="11" bestFit="1" customWidth="1"/>
    <col min="12821" max="12821" width="7.7109375" style="11" bestFit="1" customWidth="1"/>
    <col min="12822" max="12822" width="7.28515625" style="11" bestFit="1" customWidth="1"/>
    <col min="12823" max="12824" width="5.140625" style="11" bestFit="1" customWidth="1"/>
    <col min="12825" max="12826" width="6.85546875" style="11" bestFit="1" customWidth="1"/>
    <col min="12827" max="12827" width="9.7109375" style="11" bestFit="1" customWidth="1"/>
    <col min="12828" max="12828" width="6.85546875" style="11" bestFit="1" customWidth="1"/>
    <col min="12829" max="12829" width="6.5703125" style="11" bestFit="1" customWidth="1"/>
    <col min="12830" max="12830" width="9.7109375" style="11" bestFit="1" customWidth="1"/>
    <col min="12831" max="12831" width="7.7109375" style="11" bestFit="1" customWidth="1"/>
    <col min="12832" max="12832" width="10.7109375" style="11" bestFit="1" customWidth="1"/>
    <col min="12833" max="12833" width="9.7109375" style="11" bestFit="1" customWidth="1"/>
    <col min="12834" max="12834" width="7.85546875" style="11" bestFit="1" customWidth="1"/>
    <col min="12835" max="12835" width="8" style="11" bestFit="1" customWidth="1"/>
    <col min="12836" max="12836" width="10.7109375" style="11" bestFit="1" customWidth="1"/>
    <col min="12837" max="12837" width="16.28515625" style="11" bestFit="1" customWidth="1"/>
    <col min="12838" max="12839" width="12.140625" style="11" bestFit="1" customWidth="1"/>
    <col min="12840" max="12848" width="0" style="11" hidden="1" customWidth="1"/>
    <col min="12849" max="13057" width="9.28515625" style="11"/>
    <col min="13058" max="13058" width="8.7109375" style="11" bestFit="1" customWidth="1"/>
    <col min="13059" max="13059" width="14.5703125" style="11" customWidth="1"/>
    <col min="13060" max="13060" width="12.85546875" style="11" customWidth="1"/>
    <col min="13061" max="13061" width="12" style="11" bestFit="1" customWidth="1"/>
    <col min="13062" max="13062" width="9.85546875" style="11" bestFit="1" customWidth="1"/>
    <col min="13063" max="13063" width="10.7109375" style="11" bestFit="1" customWidth="1"/>
    <col min="13064" max="13064" width="8.28515625" style="11" bestFit="1" customWidth="1"/>
    <col min="13065" max="13065" width="9.7109375" style="11" bestFit="1" customWidth="1"/>
    <col min="13066" max="13066" width="7.7109375" style="11" bestFit="1" customWidth="1"/>
    <col min="13067" max="13067" width="6.28515625" style="11" bestFit="1" customWidth="1"/>
    <col min="13068" max="13069" width="9.7109375" style="11" bestFit="1" customWidth="1"/>
    <col min="13070" max="13071" width="7.7109375" style="11" bestFit="1" customWidth="1"/>
    <col min="13072" max="13072" width="6.7109375" style="11" bestFit="1" customWidth="1"/>
    <col min="13073" max="13075" width="7.7109375" style="11" bestFit="1" customWidth="1"/>
    <col min="13076" max="13076" width="7.5703125" style="11" bestFit="1" customWidth="1"/>
    <col min="13077" max="13077" width="7.7109375" style="11" bestFit="1" customWidth="1"/>
    <col min="13078" max="13078" width="7.28515625" style="11" bestFit="1" customWidth="1"/>
    <col min="13079" max="13080" width="5.140625" style="11" bestFit="1" customWidth="1"/>
    <col min="13081" max="13082" width="6.85546875" style="11" bestFit="1" customWidth="1"/>
    <col min="13083" max="13083" width="9.7109375" style="11" bestFit="1" customWidth="1"/>
    <col min="13084" max="13084" width="6.85546875" style="11" bestFit="1" customWidth="1"/>
    <col min="13085" max="13085" width="6.5703125" style="11" bestFit="1" customWidth="1"/>
    <col min="13086" max="13086" width="9.7109375" style="11" bestFit="1" customWidth="1"/>
    <col min="13087" max="13087" width="7.7109375" style="11" bestFit="1" customWidth="1"/>
    <col min="13088" max="13088" width="10.7109375" style="11" bestFit="1" customWidth="1"/>
    <col min="13089" max="13089" width="9.7109375" style="11" bestFit="1" customWidth="1"/>
    <col min="13090" max="13090" width="7.85546875" style="11" bestFit="1" customWidth="1"/>
    <col min="13091" max="13091" width="8" style="11" bestFit="1" customWidth="1"/>
    <col min="13092" max="13092" width="10.7109375" style="11" bestFit="1" customWidth="1"/>
    <col min="13093" max="13093" width="16.28515625" style="11" bestFit="1" customWidth="1"/>
    <col min="13094" max="13095" width="12.140625" style="11" bestFit="1" customWidth="1"/>
    <col min="13096" max="13104" width="0" style="11" hidden="1" customWidth="1"/>
    <col min="13105" max="13313" width="9.28515625" style="11"/>
    <col min="13314" max="13314" width="8.7109375" style="11" bestFit="1" customWidth="1"/>
    <col min="13315" max="13315" width="14.5703125" style="11" customWidth="1"/>
    <col min="13316" max="13316" width="12.85546875" style="11" customWidth="1"/>
    <col min="13317" max="13317" width="12" style="11" bestFit="1" customWidth="1"/>
    <col min="13318" max="13318" width="9.85546875" style="11" bestFit="1" customWidth="1"/>
    <col min="13319" max="13319" width="10.7109375" style="11" bestFit="1" customWidth="1"/>
    <col min="13320" max="13320" width="8.28515625" style="11" bestFit="1" customWidth="1"/>
    <col min="13321" max="13321" width="9.7109375" style="11" bestFit="1" customWidth="1"/>
    <col min="13322" max="13322" width="7.7109375" style="11" bestFit="1" customWidth="1"/>
    <col min="13323" max="13323" width="6.28515625" style="11" bestFit="1" customWidth="1"/>
    <col min="13324" max="13325" width="9.7109375" style="11" bestFit="1" customWidth="1"/>
    <col min="13326" max="13327" width="7.7109375" style="11" bestFit="1" customWidth="1"/>
    <col min="13328" max="13328" width="6.7109375" style="11" bestFit="1" customWidth="1"/>
    <col min="13329" max="13331" width="7.7109375" style="11" bestFit="1" customWidth="1"/>
    <col min="13332" max="13332" width="7.5703125" style="11" bestFit="1" customWidth="1"/>
    <col min="13333" max="13333" width="7.7109375" style="11" bestFit="1" customWidth="1"/>
    <col min="13334" max="13334" width="7.28515625" style="11" bestFit="1" customWidth="1"/>
    <col min="13335" max="13336" width="5.140625" style="11" bestFit="1" customWidth="1"/>
    <col min="13337" max="13338" width="6.85546875" style="11" bestFit="1" customWidth="1"/>
    <col min="13339" max="13339" width="9.7109375" style="11" bestFit="1" customWidth="1"/>
    <col min="13340" max="13340" width="6.85546875" style="11" bestFit="1" customWidth="1"/>
    <col min="13341" max="13341" width="6.5703125" style="11" bestFit="1" customWidth="1"/>
    <col min="13342" max="13342" width="9.7109375" style="11" bestFit="1" customWidth="1"/>
    <col min="13343" max="13343" width="7.7109375" style="11" bestFit="1" customWidth="1"/>
    <col min="13344" max="13344" width="10.7109375" style="11" bestFit="1" customWidth="1"/>
    <col min="13345" max="13345" width="9.7109375" style="11" bestFit="1" customWidth="1"/>
    <col min="13346" max="13346" width="7.85546875" style="11" bestFit="1" customWidth="1"/>
    <col min="13347" max="13347" width="8" style="11" bestFit="1" customWidth="1"/>
    <col min="13348" max="13348" width="10.7109375" style="11" bestFit="1" customWidth="1"/>
    <col min="13349" max="13349" width="16.28515625" style="11" bestFit="1" customWidth="1"/>
    <col min="13350" max="13351" width="12.140625" style="11" bestFit="1" customWidth="1"/>
    <col min="13352" max="13360" width="0" style="11" hidden="1" customWidth="1"/>
    <col min="13361" max="13569" width="9.28515625" style="11"/>
    <col min="13570" max="13570" width="8.7109375" style="11" bestFit="1" customWidth="1"/>
    <col min="13571" max="13571" width="14.5703125" style="11" customWidth="1"/>
    <col min="13572" max="13572" width="12.85546875" style="11" customWidth="1"/>
    <col min="13573" max="13573" width="12" style="11" bestFit="1" customWidth="1"/>
    <col min="13574" max="13574" width="9.85546875" style="11" bestFit="1" customWidth="1"/>
    <col min="13575" max="13575" width="10.7109375" style="11" bestFit="1" customWidth="1"/>
    <col min="13576" max="13576" width="8.28515625" style="11" bestFit="1" customWidth="1"/>
    <col min="13577" max="13577" width="9.7109375" style="11" bestFit="1" customWidth="1"/>
    <col min="13578" max="13578" width="7.7109375" style="11" bestFit="1" customWidth="1"/>
    <col min="13579" max="13579" width="6.28515625" style="11" bestFit="1" customWidth="1"/>
    <col min="13580" max="13581" width="9.7109375" style="11" bestFit="1" customWidth="1"/>
    <col min="13582" max="13583" width="7.7109375" style="11" bestFit="1" customWidth="1"/>
    <col min="13584" max="13584" width="6.7109375" style="11" bestFit="1" customWidth="1"/>
    <col min="13585" max="13587" width="7.7109375" style="11" bestFit="1" customWidth="1"/>
    <col min="13588" max="13588" width="7.5703125" style="11" bestFit="1" customWidth="1"/>
    <col min="13589" max="13589" width="7.7109375" style="11" bestFit="1" customWidth="1"/>
    <col min="13590" max="13590" width="7.28515625" style="11" bestFit="1" customWidth="1"/>
    <col min="13591" max="13592" width="5.140625" style="11" bestFit="1" customWidth="1"/>
    <col min="13593" max="13594" width="6.85546875" style="11" bestFit="1" customWidth="1"/>
    <col min="13595" max="13595" width="9.7109375" style="11" bestFit="1" customWidth="1"/>
    <col min="13596" max="13596" width="6.85546875" style="11" bestFit="1" customWidth="1"/>
    <col min="13597" max="13597" width="6.5703125" style="11" bestFit="1" customWidth="1"/>
    <col min="13598" max="13598" width="9.7109375" style="11" bestFit="1" customWidth="1"/>
    <col min="13599" max="13599" width="7.7109375" style="11" bestFit="1" customWidth="1"/>
    <col min="13600" max="13600" width="10.7109375" style="11" bestFit="1" customWidth="1"/>
    <col min="13601" max="13601" width="9.7109375" style="11" bestFit="1" customWidth="1"/>
    <col min="13602" max="13602" width="7.85546875" style="11" bestFit="1" customWidth="1"/>
    <col min="13603" max="13603" width="8" style="11" bestFit="1" customWidth="1"/>
    <col min="13604" max="13604" width="10.7109375" style="11" bestFit="1" customWidth="1"/>
    <col min="13605" max="13605" width="16.28515625" style="11" bestFit="1" customWidth="1"/>
    <col min="13606" max="13607" width="12.140625" style="11" bestFit="1" customWidth="1"/>
    <col min="13608" max="13616" width="0" style="11" hidden="1" customWidth="1"/>
    <col min="13617" max="13825" width="9.28515625" style="11"/>
    <col min="13826" max="13826" width="8.7109375" style="11" bestFit="1" customWidth="1"/>
    <col min="13827" max="13827" width="14.5703125" style="11" customWidth="1"/>
    <col min="13828" max="13828" width="12.85546875" style="11" customWidth="1"/>
    <col min="13829" max="13829" width="12" style="11" bestFit="1" customWidth="1"/>
    <col min="13830" max="13830" width="9.85546875" style="11" bestFit="1" customWidth="1"/>
    <col min="13831" max="13831" width="10.7109375" style="11" bestFit="1" customWidth="1"/>
    <col min="13832" max="13832" width="8.28515625" style="11" bestFit="1" customWidth="1"/>
    <col min="13833" max="13833" width="9.7109375" style="11" bestFit="1" customWidth="1"/>
    <col min="13834" max="13834" width="7.7109375" style="11" bestFit="1" customWidth="1"/>
    <col min="13835" max="13835" width="6.28515625" style="11" bestFit="1" customWidth="1"/>
    <col min="13836" max="13837" width="9.7109375" style="11" bestFit="1" customWidth="1"/>
    <col min="13838" max="13839" width="7.7109375" style="11" bestFit="1" customWidth="1"/>
    <col min="13840" max="13840" width="6.7109375" style="11" bestFit="1" customWidth="1"/>
    <col min="13841" max="13843" width="7.7109375" style="11" bestFit="1" customWidth="1"/>
    <col min="13844" max="13844" width="7.5703125" style="11" bestFit="1" customWidth="1"/>
    <col min="13845" max="13845" width="7.7109375" style="11" bestFit="1" customWidth="1"/>
    <col min="13846" max="13846" width="7.28515625" style="11" bestFit="1" customWidth="1"/>
    <col min="13847" max="13848" width="5.140625" style="11" bestFit="1" customWidth="1"/>
    <col min="13849" max="13850" width="6.85546875" style="11" bestFit="1" customWidth="1"/>
    <col min="13851" max="13851" width="9.7109375" style="11" bestFit="1" customWidth="1"/>
    <col min="13852" max="13852" width="6.85546875" style="11" bestFit="1" customWidth="1"/>
    <col min="13853" max="13853" width="6.5703125" style="11" bestFit="1" customWidth="1"/>
    <col min="13854" max="13854" width="9.7109375" style="11" bestFit="1" customWidth="1"/>
    <col min="13855" max="13855" width="7.7109375" style="11" bestFit="1" customWidth="1"/>
    <col min="13856" max="13856" width="10.7109375" style="11" bestFit="1" customWidth="1"/>
    <col min="13857" max="13857" width="9.7109375" style="11" bestFit="1" customWidth="1"/>
    <col min="13858" max="13858" width="7.85546875" style="11" bestFit="1" customWidth="1"/>
    <col min="13859" max="13859" width="8" style="11" bestFit="1" customWidth="1"/>
    <col min="13860" max="13860" width="10.7109375" style="11" bestFit="1" customWidth="1"/>
    <col min="13861" max="13861" width="16.28515625" style="11" bestFit="1" customWidth="1"/>
    <col min="13862" max="13863" width="12.140625" style="11" bestFit="1" customWidth="1"/>
    <col min="13864" max="13872" width="0" style="11" hidden="1" customWidth="1"/>
    <col min="13873" max="14081" width="9.28515625" style="11"/>
    <col min="14082" max="14082" width="8.7109375" style="11" bestFit="1" customWidth="1"/>
    <col min="14083" max="14083" width="14.5703125" style="11" customWidth="1"/>
    <col min="14084" max="14084" width="12.85546875" style="11" customWidth="1"/>
    <col min="14085" max="14085" width="12" style="11" bestFit="1" customWidth="1"/>
    <col min="14086" max="14086" width="9.85546875" style="11" bestFit="1" customWidth="1"/>
    <col min="14087" max="14087" width="10.7109375" style="11" bestFit="1" customWidth="1"/>
    <col min="14088" max="14088" width="8.28515625" style="11" bestFit="1" customWidth="1"/>
    <col min="14089" max="14089" width="9.7109375" style="11" bestFit="1" customWidth="1"/>
    <col min="14090" max="14090" width="7.7109375" style="11" bestFit="1" customWidth="1"/>
    <col min="14091" max="14091" width="6.28515625" style="11" bestFit="1" customWidth="1"/>
    <col min="14092" max="14093" width="9.7109375" style="11" bestFit="1" customWidth="1"/>
    <col min="14094" max="14095" width="7.7109375" style="11" bestFit="1" customWidth="1"/>
    <col min="14096" max="14096" width="6.7109375" style="11" bestFit="1" customWidth="1"/>
    <col min="14097" max="14099" width="7.7109375" style="11" bestFit="1" customWidth="1"/>
    <col min="14100" max="14100" width="7.5703125" style="11" bestFit="1" customWidth="1"/>
    <col min="14101" max="14101" width="7.7109375" style="11" bestFit="1" customWidth="1"/>
    <col min="14102" max="14102" width="7.28515625" style="11" bestFit="1" customWidth="1"/>
    <col min="14103" max="14104" width="5.140625" style="11" bestFit="1" customWidth="1"/>
    <col min="14105" max="14106" width="6.85546875" style="11" bestFit="1" customWidth="1"/>
    <col min="14107" max="14107" width="9.7109375" style="11" bestFit="1" customWidth="1"/>
    <col min="14108" max="14108" width="6.85546875" style="11" bestFit="1" customWidth="1"/>
    <col min="14109" max="14109" width="6.5703125" style="11" bestFit="1" customWidth="1"/>
    <col min="14110" max="14110" width="9.7109375" style="11" bestFit="1" customWidth="1"/>
    <col min="14111" max="14111" width="7.7109375" style="11" bestFit="1" customWidth="1"/>
    <col min="14112" max="14112" width="10.7109375" style="11" bestFit="1" customWidth="1"/>
    <col min="14113" max="14113" width="9.7109375" style="11" bestFit="1" customWidth="1"/>
    <col min="14114" max="14114" width="7.85546875" style="11" bestFit="1" customWidth="1"/>
    <col min="14115" max="14115" width="8" style="11" bestFit="1" customWidth="1"/>
    <col min="14116" max="14116" width="10.7109375" style="11" bestFit="1" customWidth="1"/>
    <col min="14117" max="14117" width="16.28515625" style="11" bestFit="1" customWidth="1"/>
    <col min="14118" max="14119" width="12.140625" style="11" bestFit="1" customWidth="1"/>
    <col min="14120" max="14128" width="0" style="11" hidden="1" customWidth="1"/>
    <col min="14129" max="14337" width="9.28515625" style="11"/>
    <col min="14338" max="14338" width="8.7109375" style="11" bestFit="1" customWidth="1"/>
    <col min="14339" max="14339" width="14.5703125" style="11" customWidth="1"/>
    <col min="14340" max="14340" width="12.85546875" style="11" customWidth="1"/>
    <col min="14341" max="14341" width="12" style="11" bestFit="1" customWidth="1"/>
    <col min="14342" max="14342" width="9.85546875" style="11" bestFit="1" customWidth="1"/>
    <col min="14343" max="14343" width="10.7109375" style="11" bestFit="1" customWidth="1"/>
    <col min="14344" max="14344" width="8.28515625" style="11" bestFit="1" customWidth="1"/>
    <col min="14345" max="14345" width="9.7109375" style="11" bestFit="1" customWidth="1"/>
    <col min="14346" max="14346" width="7.7109375" style="11" bestFit="1" customWidth="1"/>
    <col min="14347" max="14347" width="6.28515625" style="11" bestFit="1" customWidth="1"/>
    <col min="14348" max="14349" width="9.7109375" style="11" bestFit="1" customWidth="1"/>
    <col min="14350" max="14351" width="7.7109375" style="11" bestFit="1" customWidth="1"/>
    <col min="14352" max="14352" width="6.7109375" style="11" bestFit="1" customWidth="1"/>
    <col min="14353" max="14355" width="7.7109375" style="11" bestFit="1" customWidth="1"/>
    <col min="14356" max="14356" width="7.5703125" style="11" bestFit="1" customWidth="1"/>
    <col min="14357" max="14357" width="7.7109375" style="11" bestFit="1" customWidth="1"/>
    <col min="14358" max="14358" width="7.28515625" style="11" bestFit="1" customWidth="1"/>
    <col min="14359" max="14360" width="5.140625" style="11" bestFit="1" customWidth="1"/>
    <col min="14361" max="14362" width="6.85546875" style="11" bestFit="1" customWidth="1"/>
    <col min="14363" max="14363" width="9.7109375" style="11" bestFit="1" customWidth="1"/>
    <col min="14364" max="14364" width="6.85546875" style="11" bestFit="1" customWidth="1"/>
    <col min="14365" max="14365" width="6.5703125" style="11" bestFit="1" customWidth="1"/>
    <col min="14366" max="14366" width="9.7109375" style="11" bestFit="1" customWidth="1"/>
    <col min="14367" max="14367" width="7.7109375" style="11" bestFit="1" customWidth="1"/>
    <col min="14368" max="14368" width="10.7109375" style="11" bestFit="1" customWidth="1"/>
    <col min="14369" max="14369" width="9.7109375" style="11" bestFit="1" customWidth="1"/>
    <col min="14370" max="14370" width="7.85546875" style="11" bestFit="1" customWidth="1"/>
    <col min="14371" max="14371" width="8" style="11" bestFit="1" customWidth="1"/>
    <col min="14372" max="14372" width="10.7109375" style="11" bestFit="1" customWidth="1"/>
    <col min="14373" max="14373" width="16.28515625" style="11" bestFit="1" customWidth="1"/>
    <col min="14374" max="14375" width="12.140625" style="11" bestFit="1" customWidth="1"/>
    <col min="14376" max="14384" width="0" style="11" hidden="1" customWidth="1"/>
    <col min="14385" max="14593" width="9.28515625" style="11"/>
    <col min="14594" max="14594" width="8.7109375" style="11" bestFit="1" customWidth="1"/>
    <col min="14595" max="14595" width="14.5703125" style="11" customWidth="1"/>
    <col min="14596" max="14596" width="12.85546875" style="11" customWidth="1"/>
    <col min="14597" max="14597" width="12" style="11" bestFit="1" customWidth="1"/>
    <col min="14598" max="14598" width="9.85546875" style="11" bestFit="1" customWidth="1"/>
    <col min="14599" max="14599" width="10.7109375" style="11" bestFit="1" customWidth="1"/>
    <col min="14600" max="14600" width="8.28515625" style="11" bestFit="1" customWidth="1"/>
    <col min="14601" max="14601" width="9.7109375" style="11" bestFit="1" customWidth="1"/>
    <col min="14602" max="14602" width="7.7109375" style="11" bestFit="1" customWidth="1"/>
    <col min="14603" max="14603" width="6.28515625" style="11" bestFit="1" customWidth="1"/>
    <col min="14604" max="14605" width="9.7109375" style="11" bestFit="1" customWidth="1"/>
    <col min="14606" max="14607" width="7.7109375" style="11" bestFit="1" customWidth="1"/>
    <col min="14608" max="14608" width="6.7109375" style="11" bestFit="1" customWidth="1"/>
    <col min="14609" max="14611" width="7.7109375" style="11" bestFit="1" customWidth="1"/>
    <col min="14612" max="14612" width="7.5703125" style="11" bestFit="1" customWidth="1"/>
    <col min="14613" max="14613" width="7.7109375" style="11" bestFit="1" customWidth="1"/>
    <col min="14614" max="14614" width="7.28515625" style="11" bestFit="1" customWidth="1"/>
    <col min="14615" max="14616" width="5.140625" style="11" bestFit="1" customWidth="1"/>
    <col min="14617" max="14618" width="6.85546875" style="11" bestFit="1" customWidth="1"/>
    <col min="14619" max="14619" width="9.7109375" style="11" bestFit="1" customWidth="1"/>
    <col min="14620" max="14620" width="6.85546875" style="11" bestFit="1" customWidth="1"/>
    <col min="14621" max="14621" width="6.5703125" style="11" bestFit="1" customWidth="1"/>
    <col min="14622" max="14622" width="9.7109375" style="11" bestFit="1" customWidth="1"/>
    <col min="14623" max="14623" width="7.7109375" style="11" bestFit="1" customWidth="1"/>
    <col min="14624" max="14624" width="10.7109375" style="11" bestFit="1" customWidth="1"/>
    <col min="14625" max="14625" width="9.7109375" style="11" bestFit="1" customWidth="1"/>
    <col min="14626" max="14626" width="7.85546875" style="11" bestFit="1" customWidth="1"/>
    <col min="14627" max="14627" width="8" style="11" bestFit="1" customWidth="1"/>
    <col min="14628" max="14628" width="10.7109375" style="11" bestFit="1" customWidth="1"/>
    <col min="14629" max="14629" width="16.28515625" style="11" bestFit="1" customWidth="1"/>
    <col min="14630" max="14631" width="12.140625" style="11" bestFit="1" customWidth="1"/>
    <col min="14632" max="14640" width="0" style="11" hidden="1" customWidth="1"/>
    <col min="14641" max="14849" width="9.28515625" style="11"/>
    <col min="14850" max="14850" width="8.7109375" style="11" bestFit="1" customWidth="1"/>
    <col min="14851" max="14851" width="14.5703125" style="11" customWidth="1"/>
    <col min="14852" max="14852" width="12.85546875" style="11" customWidth="1"/>
    <col min="14853" max="14853" width="12" style="11" bestFit="1" customWidth="1"/>
    <col min="14854" max="14854" width="9.85546875" style="11" bestFit="1" customWidth="1"/>
    <col min="14855" max="14855" width="10.7109375" style="11" bestFit="1" customWidth="1"/>
    <col min="14856" max="14856" width="8.28515625" style="11" bestFit="1" customWidth="1"/>
    <col min="14857" max="14857" width="9.7109375" style="11" bestFit="1" customWidth="1"/>
    <col min="14858" max="14858" width="7.7109375" style="11" bestFit="1" customWidth="1"/>
    <col min="14859" max="14859" width="6.28515625" style="11" bestFit="1" customWidth="1"/>
    <col min="14860" max="14861" width="9.7109375" style="11" bestFit="1" customWidth="1"/>
    <col min="14862" max="14863" width="7.7109375" style="11" bestFit="1" customWidth="1"/>
    <col min="14864" max="14864" width="6.7109375" style="11" bestFit="1" customWidth="1"/>
    <col min="14865" max="14867" width="7.7109375" style="11" bestFit="1" customWidth="1"/>
    <col min="14868" max="14868" width="7.5703125" style="11" bestFit="1" customWidth="1"/>
    <col min="14869" max="14869" width="7.7109375" style="11" bestFit="1" customWidth="1"/>
    <col min="14870" max="14870" width="7.28515625" style="11" bestFit="1" customWidth="1"/>
    <col min="14871" max="14872" width="5.140625" style="11" bestFit="1" customWidth="1"/>
    <col min="14873" max="14874" width="6.85546875" style="11" bestFit="1" customWidth="1"/>
    <col min="14875" max="14875" width="9.7109375" style="11" bestFit="1" customWidth="1"/>
    <col min="14876" max="14876" width="6.85546875" style="11" bestFit="1" customWidth="1"/>
    <col min="14877" max="14877" width="6.5703125" style="11" bestFit="1" customWidth="1"/>
    <col min="14878" max="14878" width="9.7109375" style="11" bestFit="1" customWidth="1"/>
    <col min="14879" max="14879" width="7.7109375" style="11" bestFit="1" customWidth="1"/>
    <col min="14880" max="14880" width="10.7109375" style="11" bestFit="1" customWidth="1"/>
    <col min="14881" max="14881" width="9.7109375" style="11" bestFit="1" customWidth="1"/>
    <col min="14882" max="14882" width="7.85546875" style="11" bestFit="1" customWidth="1"/>
    <col min="14883" max="14883" width="8" style="11" bestFit="1" customWidth="1"/>
    <col min="14884" max="14884" width="10.7109375" style="11" bestFit="1" customWidth="1"/>
    <col min="14885" max="14885" width="16.28515625" style="11" bestFit="1" customWidth="1"/>
    <col min="14886" max="14887" width="12.140625" style="11" bestFit="1" customWidth="1"/>
    <col min="14888" max="14896" width="0" style="11" hidden="1" customWidth="1"/>
    <col min="14897" max="15105" width="9.28515625" style="11"/>
    <col min="15106" max="15106" width="8.7109375" style="11" bestFit="1" customWidth="1"/>
    <col min="15107" max="15107" width="14.5703125" style="11" customWidth="1"/>
    <col min="15108" max="15108" width="12.85546875" style="11" customWidth="1"/>
    <col min="15109" max="15109" width="12" style="11" bestFit="1" customWidth="1"/>
    <col min="15110" max="15110" width="9.85546875" style="11" bestFit="1" customWidth="1"/>
    <col min="15111" max="15111" width="10.7109375" style="11" bestFit="1" customWidth="1"/>
    <col min="15112" max="15112" width="8.28515625" style="11" bestFit="1" customWidth="1"/>
    <col min="15113" max="15113" width="9.7109375" style="11" bestFit="1" customWidth="1"/>
    <col min="15114" max="15114" width="7.7109375" style="11" bestFit="1" customWidth="1"/>
    <col min="15115" max="15115" width="6.28515625" style="11" bestFit="1" customWidth="1"/>
    <col min="15116" max="15117" width="9.7109375" style="11" bestFit="1" customWidth="1"/>
    <col min="15118" max="15119" width="7.7109375" style="11" bestFit="1" customWidth="1"/>
    <col min="15120" max="15120" width="6.7109375" style="11" bestFit="1" customWidth="1"/>
    <col min="15121" max="15123" width="7.7109375" style="11" bestFit="1" customWidth="1"/>
    <col min="15124" max="15124" width="7.5703125" style="11" bestFit="1" customWidth="1"/>
    <col min="15125" max="15125" width="7.7109375" style="11" bestFit="1" customWidth="1"/>
    <col min="15126" max="15126" width="7.28515625" style="11" bestFit="1" customWidth="1"/>
    <col min="15127" max="15128" width="5.140625" style="11" bestFit="1" customWidth="1"/>
    <col min="15129" max="15130" width="6.85546875" style="11" bestFit="1" customWidth="1"/>
    <col min="15131" max="15131" width="9.7109375" style="11" bestFit="1" customWidth="1"/>
    <col min="15132" max="15132" width="6.85546875" style="11" bestFit="1" customWidth="1"/>
    <col min="15133" max="15133" width="6.5703125" style="11" bestFit="1" customWidth="1"/>
    <col min="15134" max="15134" width="9.7109375" style="11" bestFit="1" customWidth="1"/>
    <col min="15135" max="15135" width="7.7109375" style="11" bestFit="1" customWidth="1"/>
    <col min="15136" max="15136" width="10.7109375" style="11" bestFit="1" customWidth="1"/>
    <col min="15137" max="15137" width="9.7109375" style="11" bestFit="1" customWidth="1"/>
    <col min="15138" max="15138" width="7.85546875" style="11" bestFit="1" customWidth="1"/>
    <col min="15139" max="15139" width="8" style="11" bestFit="1" customWidth="1"/>
    <col min="15140" max="15140" width="10.7109375" style="11" bestFit="1" customWidth="1"/>
    <col min="15141" max="15141" width="16.28515625" style="11" bestFit="1" customWidth="1"/>
    <col min="15142" max="15143" width="12.140625" style="11" bestFit="1" customWidth="1"/>
    <col min="15144" max="15152" width="0" style="11" hidden="1" customWidth="1"/>
    <col min="15153" max="15361" width="9.28515625" style="11"/>
    <col min="15362" max="15362" width="8.7109375" style="11" bestFit="1" customWidth="1"/>
    <col min="15363" max="15363" width="14.5703125" style="11" customWidth="1"/>
    <col min="15364" max="15364" width="12.85546875" style="11" customWidth="1"/>
    <col min="15365" max="15365" width="12" style="11" bestFit="1" customWidth="1"/>
    <col min="15366" max="15366" width="9.85546875" style="11" bestFit="1" customWidth="1"/>
    <col min="15367" max="15367" width="10.7109375" style="11" bestFit="1" customWidth="1"/>
    <col min="15368" max="15368" width="8.28515625" style="11" bestFit="1" customWidth="1"/>
    <col min="15369" max="15369" width="9.7109375" style="11" bestFit="1" customWidth="1"/>
    <col min="15370" max="15370" width="7.7109375" style="11" bestFit="1" customWidth="1"/>
    <col min="15371" max="15371" width="6.28515625" style="11" bestFit="1" customWidth="1"/>
    <col min="15372" max="15373" width="9.7109375" style="11" bestFit="1" customWidth="1"/>
    <col min="15374" max="15375" width="7.7109375" style="11" bestFit="1" customWidth="1"/>
    <col min="15376" max="15376" width="6.7109375" style="11" bestFit="1" customWidth="1"/>
    <col min="15377" max="15379" width="7.7109375" style="11" bestFit="1" customWidth="1"/>
    <col min="15380" max="15380" width="7.5703125" style="11" bestFit="1" customWidth="1"/>
    <col min="15381" max="15381" width="7.7109375" style="11" bestFit="1" customWidth="1"/>
    <col min="15382" max="15382" width="7.28515625" style="11" bestFit="1" customWidth="1"/>
    <col min="15383" max="15384" width="5.140625" style="11" bestFit="1" customWidth="1"/>
    <col min="15385" max="15386" width="6.85546875" style="11" bestFit="1" customWidth="1"/>
    <col min="15387" max="15387" width="9.7109375" style="11" bestFit="1" customWidth="1"/>
    <col min="15388" max="15388" width="6.85546875" style="11" bestFit="1" customWidth="1"/>
    <col min="15389" max="15389" width="6.5703125" style="11" bestFit="1" customWidth="1"/>
    <col min="15390" max="15390" width="9.7109375" style="11" bestFit="1" customWidth="1"/>
    <col min="15391" max="15391" width="7.7109375" style="11" bestFit="1" customWidth="1"/>
    <col min="15392" max="15392" width="10.7109375" style="11" bestFit="1" customWidth="1"/>
    <col min="15393" max="15393" width="9.7109375" style="11" bestFit="1" customWidth="1"/>
    <col min="15394" max="15394" width="7.85546875" style="11" bestFit="1" customWidth="1"/>
    <col min="15395" max="15395" width="8" style="11" bestFit="1" customWidth="1"/>
    <col min="15396" max="15396" width="10.7109375" style="11" bestFit="1" customWidth="1"/>
    <col min="15397" max="15397" width="16.28515625" style="11" bestFit="1" customWidth="1"/>
    <col min="15398" max="15399" width="12.140625" style="11" bestFit="1" customWidth="1"/>
    <col min="15400" max="15408" width="0" style="11" hidden="1" customWidth="1"/>
    <col min="15409" max="15617" width="9.28515625" style="11"/>
    <col min="15618" max="15618" width="8.7109375" style="11" bestFit="1" customWidth="1"/>
    <col min="15619" max="15619" width="14.5703125" style="11" customWidth="1"/>
    <col min="15620" max="15620" width="12.85546875" style="11" customWidth="1"/>
    <col min="15621" max="15621" width="12" style="11" bestFit="1" customWidth="1"/>
    <col min="15622" max="15622" width="9.85546875" style="11" bestFit="1" customWidth="1"/>
    <col min="15623" max="15623" width="10.7109375" style="11" bestFit="1" customWidth="1"/>
    <col min="15624" max="15624" width="8.28515625" style="11" bestFit="1" customWidth="1"/>
    <col min="15625" max="15625" width="9.7109375" style="11" bestFit="1" customWidth="1"/>
    <col min="15626" max="15626" width="7.7109375" style="11" bestFit="1" customWidth="1"/>
    <col min="15627" max="15627" width="6.28515625" style="11" bestFit="1" customWidth="1"/>
    <col min="15628" max="15629" width="9.7109375" style="11" bestFit="1" customWidth="1"/>
    <col min="15630" max="15631" width="7.7109375" style="11" bestFit="1" customWidth="1"/>
    <col min="15632" max="15632" width="6.7109375" style="11" bestFit="1" customWidth="1"/>
    <col min="15633" max="15635" width="7.7109375" style="11" bestFit="1" customWidth="1"/>
    <col min="15636" max="15636" width="7.5703125" style="11" bestFit="1" customWidth="1"/>
    <col min="15637" max="15637" width="7.7109375" style="11" bestFit="1" customWidth="1"/>
    <col min="15638" max="15638" width="7.28515625" style="11" bestFit="1" customWidth="1"/>
    <col min="15639" max="15640" width="5.140625" style="11" bestFit="1" customWidth="1"/>
    <col min="15641" max="15642" width="6.85546875" style="11" bestFit="1" customWidth="1"/>
    <col min="15643" max="15643" width="9.7109375" style="11" bestFit="1" customWidth="1"/>
    <col min="15644" max="15644" width="6.85546875" style="11" bestFit="1" customWidth="1"/>
    <col min="15645" max="15645" width="6.5703125" style="11" bestFit="1" customWidth="1"/>
    <col min="15646" max="15646" width="9.7109375" style="11" bestFit="1" customWidth="1"/>
    <col min="15647" max="15647" width="7.7109375" style="11" bestFit="1" customWidth="1"/>
    <col min="15648" max="15648" width="10.7109375" style="11" bestFit="1" customWidth="1"/>
    <col min="15649" max="15649" width="9.7109375" style="11" bestFit="1" customWidth="1"/>
    <col min="15650" max="15650" width="7.85546875" style="11" bestFit="1" customWidth="1"/>
    <col min="15651" max="15651" width="8" style="11" bestFit="1" customWidth="1"/>
    <col min="15652" max="15652" width="10.7109375" style="11" bestFit="1" customWidth="1"/>
    <col min="15653" max="15653" width="16.28515625" style="11" bestFit="1" customWidth="1"/>
    <col min="15654" max="15655" width="12.140625" style="11" bestFit="1" customWidth="1"/>
    <col min="15656" max="15664" width="0" style="11" hidden="1" customWidth="1"/>
    <col min="15665" max="15873" width="9.28515625" style="11"/>
    <col min="15874" max="15874" width="8.7109375" style="11" bestFit="1" customWidth="1"/>
    <col min="15875" max="15875" width="14.5703125" style="11" customWidth="1"/>
    <col min="15876" max="15876" width="12.85546875" style="11" customWidth="1"/>
    <col min="15877" max="15877" width="12" style="11" bestFit="1" customWidth="1"/>
    <col min="15878" max="15878" width="9.85546875" style="11" bestFit="1" customWidth="1"/>
    <col min="15879" max="15879" width="10.7109375" style="11" bestFit="1" customWidth="1"/>
    <col min="15880" max="15880" width="8.28515625" style="11" bestFit="1" customWidth="1"/>
    <col min="15881" max="15881" width="9.7109375" style="11" bestFit="1" customWidth="1"/>
    <col min="15882" max="15882" width="7.7109375" style="11" bestFit="1" customWidth="1"/>
    <col min="15883" max="15883" width="6.28515625" style="11" bestFit="1" customWidth="1"/>
    <col min="15884" max="15885" width="9.7109375" style="11" bestFit="1" customWidth="1"/>
    <col min="15886" max="15887" width="7.7109375" style="11" bestFit="1" customWidth="1"/>
    <col min="15888" max="15888" width="6.7109375" style="11" bestFit="1" customWidth="1"/>
    <col min="15889" max="15891" width="7.7109375" style="11" bestFit="1" customWidth="1"/>
    <col min="15892" max="15892" width="7.5703125" style="11" bestFit="1" customWidth="1"/>
    <col min="15893" max="15893" width="7.7109375" style="11" bestFit="1" customWidth="1"/>
    <col min="15894" max="15894" width="7.28515625" style="11" bestFit="1" customWidth="1"/>
    <col min="15895" max="15896" width="5.140625" style="11" bestFit="1" customWidth="1"/>
    <col min="15897" max="15898" width="6.85546875" style="11" bestFit="1" customWidth="1"/>
    <col min="15899" max="15899" width="9.7109375" style="11" bestFit="1" customWidth="1"/>
    <col min="15900" max="15900" width="6.85546875" style="11" bestFit="1" customWidth="1"/>
    <col min="15901" max="15901" width="6.5703125" style="11" bestFit="1" customWidth="1"/>
    <col min="15902" max="15902" width="9.7109375" style="11" bestFit="1" customWidth="1"/>
    <col min="15903" max="15903" width="7.7109375" style="11" bestFit="1" customWidth="1"/>
    <col min="15904" max="15904" width="10.7109375" style="11" bestFit="1" customWidth="1"/>
    <col min="15905" max="15905" width="9.7109375" style="11" bestFit="1" customWidth="1"/>
    <col min="15906" max="15906" width="7.85546875" style="11" bestFit="1" customWidth="1"/>
    <col min="15907" max="15907" width="8" style="11" bestFit="1" customWidth="1"/>
    <col min="15908" max="15908" width="10.7109375" style="11" bestFit="1" customWidth="1"/>
    <col min="15909" max="15909" width="16.28515625" style="11" bestFit="1" customWidth="1"/>
    <col min="15910" max="15911" width="12.140625" style="11" bestFit="1" customWidth="1"/>
    <col min="15912" max="15920" width="0" style="11" hidden="1" customWidth="1"/>
    <col min="15921" max="16129" width="9.28515625" style="11"/>
    <col min="16130" max="16130" width="8.7109375" style="11" bestFit="1" customWidth="1"/>
    <col min="16131" max="16131" width="14.5703125" style="11" customWidth="1"/>
    <col min="16132" max="16132" width="12.85546875" style="11" customWidth="1"/>
    <col min="16133" max="16133" width="12" style="11" bestFit="1" customWidth="1"/>
    <col min="16134" max="16134" width="9.85546875" style="11" bestFit="1" customWidth="1"/>
    <col min="16135" max="16135" width="10.7109375" style="11" bestFit="1" customWidth="1"/>
    <col min="16136" max="16136" width="8.28515625" style="11" bestFit="1" customWidth="1"/>
    <col min="16137" max="16137" width="9.7109375" style="11" bestFit="1" customWidth="1"/>
    <col min="16138" max="16138" width="7.7109375" style="11" bestFit="1" customWidth="1"/>
    <col min="16139" max="16139" width="6.28515625" style="11" bestFit="1" customWidth="1"/>
    <col min="16140" max="16141" width="9.7109375" style="11" bestFit="1" customWidth="1"/>
    <col min="16142" max="16143" width="7.7109375" style="11" bestFit="1" customWidth="1"/>
    <col min="16144" max="16144" width="6.7109375" style="11" bestFit="1" customWidth="1"/>
    <col min="16145" max="16147" width="7.7109375" style="11" bestFit="1" customWidth="1"/>
    <col min="16148" max="16148" width="7.5703125" style="11" bestFit="1" customWidth="1"/>
    <col min="16149" max="16149" width="7.7109375" style="11" bestFit="1" customWidth="1"/>
    <col min="16150" max="16150" width="7.28515625" style="11" bestFit="1" customWidth="1"/>
    <col min="16151" max="16152" width="5.140625" style="11" bestFit="1" customWidth="1"/>
    <col min="16153" max="16154" width="6.85546875" style="11" bestFit="1" customWidth="1"/>
    <col min="16155" max="16155" width="9.7109375" style="11" bestFit="1" customWidth="1"/>
    <col min="16156" max="16156" width="6.85546875" style="11" bestFit="1" customWidth="1"/>
    <col min="16157" max="16157" width="6.5703125" style="11" bestFit="1" customWidth="1"/>
    <col min="16158" max="16158" width="9.7109375" style="11" bestFit="1" customWidth="1"/>
    <col min="16159" max="16159" width="7.7109375" style="11" bestFit="1" customWidth="1"/>
    <col min="16160" max="16160" width="10.7109375" style="11" bestFit="1" customWidth="1"/>
    <col min="16161" max="16161" width="9.7109375" style="11" bestFit="1" customWidth="1"/>
    <col min="16162" max="16162" width="7.85546875" style="11" bestFit="1" customWidth="1"/>
    <col min="16163" max="16163" width="8" style="11" bestFit="1" customWidth="1"/>
    <col min="16164" max="16164" width="10.7109375" style="11" bestFit="1" customWidth="1"/>
    <col min="16165" max="16165" width="16.28515625" style="11" bestFit="1" customWidth="1"/>
    <col min="16166" max="16167" width="12.140625" style="11" bestFit="1" customWidth="1"/>
    <col min="16168" max="16176" width="0" style="11" hidden="1" customWidth="1"/>
    <col min="16177" max="16384" width="9.28515625" style="11"/>
  </cols>
  <sheetData>
    <row r="2" spans="1:49" x14ac:dyDescent="0.2">
      <c r="C2" s="12" t="s">
        <v>29</v>
      </c>
      <c r="E2" s="12"/>
      <c r="F2" s="12"/>
      <c r="G2" s="12"/>
      <c r="I2" s="13"/>
    </row>
    <row r="3" spans="1:49" x14ac:dyDescent="0.2">
      <c r="C3" s="56">
        <f>B7</f>
        <v>46143</v>
      </c>
      <c r="D3" s="56"/>
      <c r="E3" s="56"/>
      <c r="F3" s="56"/>
      <c r="G3" s="56"/>
    </row>
    <row r="4" spans="1:49" ht="13.5" thickBot="1" x14ac:dyDescent="0.25"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49"/>
    </row>
    <row r="5" spans="1:49" ht="133.5" thickTop="1" thickBot="1" x14ac:dyDescent="0.25">
      <c r="C5" s="15" t="s">
        <v>30</v>
      </c>
      <c r="D5" s="15" t="s">
        <v>31</v>
      </c>
      <c r="E5" s="15" t="s">
        <v>32</v>
      </c>
      <c r="F5" s="15" t="s">
        <v>33</v>
      </c>
      <c r="G5" s="15" t="s">
        <v>19</v>
      </c>
      <c r="H5" s="15" t="s">
        <v>21</v>
      </c>
      <c r="I5" s="15" t="s">
        <v>22</v>
      </c>
      <c r="J5" s="15" t="s">
        <v>24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45</v>
      </c>
      <c r="W5" s="15" t="s">
        <v>46</v>
      </c>
      <c r="X5" s="15" t="s">
        <v>47</v>
      </c>
      <c r="Y5" s="15" t="s">
        <v>48</v>
      </c>
      <c r="Z5" s="15" t="s">
        <v>23</v>
      </c>
      <c r="AA5" s="15" t="s">
        <v>49</v>
      </c>
      <c r="AB5" s="15" t="s">
        <v>50</v>
      </c>
      <c r="AC5" s="15" t="s">
        <v>51</v>
      </c>
      <c r="AD5" s="15" t="s">
        <v>52</v>
      </c>
      <c r="AE5" s="15" t="s">
        <v>53</v>
      </c>
      <c r="AF5" s="15" t="s">
        <v>54</v>
      </c>
      <c r="AG5" s="15" t="s">
        <v>17</v>
      </c>
      <c r="AH5" s="15" t="s">
        <v>15</v>
      </c>
      <c r="AI5" s="15"/>
      <c r="AJ5" s="15" t="s">
        <v>28</v>
      </c>
      <c r="AK5" s="15"/>
      <c r="AL5" s="15"/>
    </row>
    <row r="6" spans="1:49" s="22" customFormat="1" ht="85.5" x14ac:dyDescent="0.25">
      <c r="A6" s="44" t="s">
        <v>55</v>
      </c>
      <c r="B6" s="45" t="s">
        <v>56</v>
      </c>
      <c r="C6" s="41" t="s">
        <v>30</v>
      </c>
      <c r="D6" s="41" t="s">
        <v>31</v>
      </c>
      <c r="E6" s="41" t="s">
        <v>32</v>
      </c>
      <c r="F6" s="41" t="s">
        <v>33</v>
      </c>
      <c r="G6" s="41" t="s">
        <v>19</v>
      </c>
      <c r="H6" s="41" t="s">
        <v>21</v>
      </c>
      <c r="I6" s="41" t="s">
        <v>22</v>
      </c>
      <c r="J6" s="41" t="s">
        <v>24</v>
      </c>
      <c r="K6" s="41" t="s">
        <v>34</v>
      </c>
      <c r="L6" s="41" t="s">
        <v>35</v>
      </c>
      <c r="M6" s="41" t="s">
        <v>36</v>
      </c>
      <c r="N6" s="41" t="s">
        <v>37</v>
      </c>
      <c r="O6" s="41" t="s">
        <v>38</v>
      </c>
      <c r="P6" s="41" t="s">
        <v>39</v>
      </c>
      <c r="Q6" s="41" t="s">
        <v>40</v>
      </c>
      <c r="R6" s="41" t="s">
        <v>41</v>
      </c>
      <c r="S6" s="41" t="s">
        <v>42</v>
      </c>
      <c r="T6" s="41" t="s">
        <v>43</v>
      </c>
      <c r="U6" s="41" t="s">
        <v>44</v>
      </c>
      <c r="V6" s="41" t="s">
        <v>45</v>
      </c>
      <c r="W6" s="41" t="s">
        <v>46</v>
      </c>
      <c r="X6" s="41" t="s">
        <v>47</v>
      </c>
      <c r="Y6" s="41" t="s">
        <v>48</v>
      </c>
      <c r="Z6" s="41" t="s">
        <v>23</v>
      </c>
      <c r="AA6" s="41" t="s">
        <v>49</v>
      </c>
      <c r="AB6" s="41" t="s">
        <v>50</v>
      </c>
      <c r="AC6" s="41" t="s">
        <v>51</v>
      </c>
      <c r="AD6" s="41" t="s">
        <v>52</v>
      </c>
      <c r="AE6" s="41" t="s">
        <v>53</v>
      </c>
      <c r="AF6" s="41" t="s">
        <v>54</v>
      </c>
      <c r="AG6" s="41" t="s">
        <v>17</v>
      </c>
      <c r="AH6" s="41" t="s">
        <v>15</v>
      </c>
      <c r="AI6" s="50" t="s">
        <v>75</v>
      </c>
      <c r="AJ6" s="42" t="s">
        <v>28</v>
      </c>
      <c r="AK6" s="42" t="s">
        <v>68</v>
      </c>
      <c r="AL6" s="43" t="s">
        <v>57</v>
      </c>
      <c r="AM6" s="43" t="s">
        <v>58</v>
      </c>
      <c r="AN6" s="17" t="s">
        <v>59</v>
      </c>
      <c r="AO6" s="18" t="s">
        <v>60</v>
      </c>
      <c r="AP6" s="16" t="s">
        <v>61</v>
      </c>
      <c r="AQ6" s="16" t="s">
        <v>62</v>
      </c>
      <c r="AR6" s="19" t="s">
        <v>63</v>
      </c>
      <c r="AS6" s="19" t="s">
        <v>62</v>
      </c>
      <c r="AT6" s="19" t="s">
        <v>64</v>
      </c>
      <c r="AU6" s="20" t="s">
        <v>62</v>
      </c>
      <c r="AV6" s="21" t="s">
        <v>65</v>
      </c>
      <c r="AW6" s="43" t="s">
        <v>76</v>
      </c>
    </row>
    <row r="7" spans="1:49" x14ac:dyDescent="0.2">
      <c r="A7" s="23">
        <f>B7</f>
        <v>46143</v>
      </c>
      <c r="B7" s="24">
        <v>46143</v>
      </c>
      <c r="C7" s="39">
        <v>327</v>
      </c>
      <c r="D7" s="39">
        <v>41</v>
      </c>
      <c r="E7" s="39">
        <v>3</v>
      </c>
      <c r="F7" s="39">
        <v>21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v>3</v>
      </c>
      <c r="AD7" s="39"/>
      <c r="AE7" s="53">
        <v>8</v>
      </c>
      <c r="AF7" s="39">
        <v>7</v>
      </c>
      <c r="AG7" s="39">
        <v>6</v>
      </c>
      <c r="AH7" s="39"/>
      <c r="AI7" s="39"/>
      <c r="AJ7" s="39"/>
      <c r="AK7" s="51">
        <v>17</v>
      </c>
      <c r="AL7" s="47">
        <f>SUM(C7:AG7)</f>
        <v>416</v>
      </c>
      <c r="AM7" s="46">
        <f>AL7</f>
        <v>416</v>
      </c>
      <c r="AN7" s="25"/>
      <c r="AO7" s="26"/>
      <c r="AP7" s="27"/>
      <c r="AQ7" s="28"/>
      <c r="AR7" s="29"/>
      <c r="AS7" s="30"/>
      <c r="AT7" s="31"/>
      <c r="AU7" s="32"/>
      <c r="AV7" s="33"/>
      <c r="AW7" s="46">
        <f>AL7+AK7</f>
        <v>433</v>
      </c>
    </row>
    <row r="8" spans="1:49" x14ac:dyDescent="0.2">
      <c r="A8" s="23">
        <f t="shared" ref="A8:A37" si="0">B8</f>
        <v>46144</v>
      </c>
      <c r="B8" s="24">
        <v>46144</v>
      </c>
      <c r="C8" s="39">
        <v>13699</v>
      </c>
      <c r="D8" s="39">
        <v>3282</v>
      </c>
      <c r="E8" s="39">
        <v>274</v>
      </c>
      <c r="F8" s="39">
        <v>1104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v>159</v>
      </c>
      <c r="AD8" s="39"/>
      <c r="AE8" s="53">
        <v>458</v>
      </c>
      <c r="AF8" s="39">
        <v>52</v>
      </c>
      <c r="AG8" s="39">
        <v>8</v>
      </c>
      <c r="AH8" s="39"/>
      <c r="AI8" s="39"/>
      <c r="AJ8" s="39"/>
      <c r="AK8" s="51">
        <v>793</v>
      </c>
      <c r="AL8" s="47">
        <f t="shared" ref="AL8:AL37" si="1">SUM(C8:AG8)</f>
        <v>19036</v>
      </c>
      <c r="AM8" s="46">
        <f t="shared" ref="AM8:AM37" si="2">AL8</f>
        <v>19036</v>
      </c>
      <c r="AN8" s="25"/>
      <c r="AO8" s="26"/>
      <c r="AP8" s="27"/>
      <c r="AQ8" s="28"/>
      <c r="AR8" s="29"/>
      <c r="AS8" s="30"/>
      <c r="AT8" s="31"/>
      <c r="AU8" s="32"/>
      <c r="AV8" s="33"/>
      <c r="AW8" s="46">
        <f t="shared" ref="AW8:AW37" si="3">AL8+AK8</f>
        <v>19829</v>
      </c>
    </row>
    <row r="9" spans="1:49" x14ac:dyDescent="0.2">
      <c r="A9" s="23">
        <f t="shared" si="0"/>
        <v>46145</v>
      </c>
      <c r="B9" s="24">
        <v>46145</v>
      </c>
      <c r="C9" s="39">
        <v>5025</v>
      </c>
      <c r="D9" s="39">
        <v>1404</v>
      </c>
      <c r="E9" s="39">
        <v>119</v>
      </c>
      <c r="F9" s="39">
        <v>381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v>72</v>
      </c>
      <c r="AD9" s="39"/>
      <c r="AE9" s="53">
        <v>167</v>
      </c>
      <c r="AF9" s="39">
        <v>34</v>
      </c>
      <c r="AG9" s="39">
        <v>7</v>
      </c>
      <c r="AH9" s="39"/>
      <c r="AI9" s="39"/>
      <c r="AJ9" s="39"/>
      <c r="AK9" s="51">
        <v>347</v>
      </c>
      <c r="AL9" s="47">
        <f t="shared" si="1"/>
        <v>7209</v>
      </c>
      <c r="AM9" s="46">
        <f t="shared" si="2"/>
        <v>7209</v>
      </c>
      <c r="AN9" s="25"/>
      <c r="AO9" s="26"/>
      <c r="AP9" s="27"/>
      <c r="AQ9" s="28"/>
      <c r="AR9" s="29"/>
      <c r="AS9" s="30"/>
      <c r="AT9" s="31"/>
      <c r="AU9" s="32"/>
      <c r="AV9" s="33"/>
      <c r="AW9" s="46">
        <f t="shared" si="3"/>
        <v>7556</v>
      </c>
    </row>
    <row r="10" spans="1:49" x14ac:dyDescent="0.2">
      <c r="A10" s="23">
        <f t="shared" si="0"/>
        <v>46146</v>
      </c>
      <c r="B10" s="24">
        <v>46146</v>
      </c>
      <c r="C10" s="39">
        <v>30530</v>
      </c>
      <c r="D10" s="39">
        <v>12927</v>
      </c>
      <c r="E10" s="39">
        <v>780</v>
      </c>
      <c r="F10" s="39">
        <v>3152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v>442</v>
      </c>
      <c r="AD10" s="39"/>
      <c r="AE10" s="53">
        <v>1496</v>
      </c>
      <c r="AF10" s="39">
        <v>167</v>
      </c>
      <c r="AG10" s="39">
        <v>22</v>
      </c>
      <c r="AH10" s="39"/>
      <c r="AI10" s="39"/>
      <c r="AJ10" s="39"/>
      <c r="AK10" s="51">
        <v>1323</v>
      </c>
      <c r="AL10" s="47">
        <f t="shared" si="1"/>
        <v>49516</v>
      </c>
      <c r="AM10" s="46">
        <f t="shared" si="2"/>
        <v>49516</v>
      </c>
      <c r="AN10" s="25"/>
      <c r="AO10" s="26"/>
      <c r="AP10" s="27"/>
      <c r="AQ10" s="28"/>
      <c r="AR10" s="29"/>
      <c r="AS10" s="30"/>
      <c r="AT10" s="31"/>
      <c r="AU10" s="32"/>
      <c r="AV10" s="33"/>
      <c r="AW10" s="46">
        <f t="shared" si="3"/>
        <v>50839</v>
      </c>
    </row>
    <row r="11" spans="1:49" x14ac:dyDescent="0.2">
      <c r="A11" s="23">
        <f t="shared" si="0"/>
        <v>46147</v>
      </c>
      <c r="B11" s="24">
        <v>46147</v>
      </c>
      <c r="C11" s="39">
        <v>29798</v>
      </c>
      <c r="D11" s="39">
        <v>12766</v>
      </c>
      <c r="E11" s="39">
        <v>786</v>
      </c>
      <c r="F11" s="39">
        <v>2995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v>414</v>
      </c>
      <c r="AD11" s="39"/>
      <c r="AE11" s="53">
        <v>1434</v>
      </c>
      <c r="AF11" s="39">
        <v>177</v>
      </c>
      <c r="AG11" s="39">
        <v>22</v>
      </c>
      <c r="AH11" s="39"/>
      <c r="AI11" s="39"/>
      <c r="AJ11" s="39"/>
      <c r="AK11" s="51">
        <v>1089</v>
      </c>
      <c r="AL11" s="47">
        <f t="shared" si="1"/>
        <v>48392</v>
      </c>
      <c r="AM11" s="46">
        <f t="shared" si="2"/>
        <v>48392</v>
      </c>
      <c r="AN11" s="25"/>
      <c r="AO11" s="26"/>
      <c r="AP11" s="27"/>
      <c r="AQ11" s="28"/>
      <c r="AR11" s="29"/>
      <c r="AS11" s="30"/>
      <c r="AT11" s="31"/>
      <c r="AU11" s="32"/>
      <c r="AV11" s="33"/>
      <c r="AW11" s="46">
        <f t="shared" si="3"/>
        <v>49481</v>
      </c>
    </row>
    <row r="12" spans="1:49" x14ac:dyDescent="0.2">
      <c r="A12" s="23">
        <f t="shared" si="0"/>
        <v>46148</v>
      </c>
      <c r="B12" s="24">
        <v>46148</v>
      </c>
      <c r="C12" s="39">
        <v>27039</v>
      </c>
      <c r="D12" s="39">
        <v>11549</v>
      </c>
      <c r="E12" s="39">
        <v>656</v>
      </c>
      <c r="F12" s="39">
        <v>2509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v>344</v>
      </c>
      <c r="AD12" s="39"/>
      <c r="AE12" s="53">
        <v>1270</v>
      </c>
      <c r="AF12" s="39">
        <v>141</v>
      </c>
      <c r="AG12" s="39">
        <v>22</v>
      </c>
      <c r="AH12" s="39"/>
      <c r="AI12" s="39"/>
      <c r="AJ12" s="39"/>
      <c r="AK12" s="51">
        <v>1046</v>
      </c>
      <c r="AL12" s="47">
        <f t="shared" si="1"/>
        <v>43530</v>
      </c>
      <c r="AM12" s="46">
        <f t="shared" si="2"/>
        <v>43530</v>
      </c>
      <c r="AN12" s="25"/>
      <c r="AO12" s="26"/>
      <c r="AP12" s="27"/>
      <c r="AQ12" s="28"/>
      <c r="AR12" s="29"/>
      <c r="AS12" s="30"/>
      <c r="AT12" s="31"/>
      <c r="AU12" s="32"/>
      <c r="AV12" s="33"/>
      <c r="AW12" s="46">
        <f t="shared" si="3"/>
        <v>44576</v>
      </c>
    </row>
    <row r="13" spans="1:49" x14ac:dyDescent="0.2">
      <c r="A13" s="23">
        <f t="shared" si="0"/>
        <v>46149</v>
      </c>
      <c r="B13" s="24">
        <v>46149</v>
      </c>
      <c r="C13" s="39">
        <v>31956</v>
      </c>
      <c r="D13" s="39">
        <v>13354</v>
      </c>
      <c r="E13" s="39">
        <v>935</v>
      </c>
      <c r="F13" s="39">
        <v>3245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v>451</v>
      </c>
      <c r="AD13" s="39"/>
      <c r="AE13" s="53">
        <v>1522</v>
      </c>
      <c r="AF13" s="39">
        <v>188</v>
      </c>
      <c r="AG13" s="39">
        <v>23</v>
      </c>
      <c r="AH13" s="39"/>
      <c r="AI13" s="39"/>
      <c r="AJ13" s="39"/>
      <c r="AK13" s="51">
        <v>1123</v>
      </c>
      <c r="AL13" s="47">
        <f t="shared" si="1"/>
        <v>51674</v>
      </c>
      <c r="AM13" s="46">
        <f t="shared" si="2"/>
        <v>51674</v>
      </c>
      <c r="AN13" s="25"/>
      <c r="AO13" s="26"/>
      <c r="AP13" s="27"/>
      <c r="AQ13" s="28"/>
      <c r="AR13" s="29"/>
      <c r="AS13" s="30"/>
      <c r="AT13" s="31"/>
      <c r="AU13" s="32"/>
      <c r="AV13" s="33"/>
      <c r="AW13" s="46">
        <f t="shared" si="3"/>
        <v>52797</v>
      </c>
    </row>
    <row r="14" spans="1:49" x14ac:dyDescent="0.2">
      <c r="A14" s="23">
        <f t="shared" si="0"/>
        <v>46150</v>
      </c>
      <c r="B14" s="24">
        <v>46150</v>
      </c>
      <c r="C14" s="39">
        <v>29817</v>
      </c>
      <c r="D14" s="39">
        <v>12156</v>
      </c>
      <c r="E14" s="39">
        <v>790</v>
      </c>
      <c r="F14" s="39">
        <v>2859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v>406</v>
      </c>
      <c r="AD14" s="39"/>
      <c r="AE14" s="53">
        <v>1298</v>
      </c>
      <c r="AF14" s="39">
        <v>171</v>
      </c>
      <c r="AG14" s="39">
        <v>19</v>
      </c>
      <c r="AH14" s="39"/>
      <c r="AI14" s="39"/>
      <c r="AJ14" s="39"/>
      <c r="AK14" s="51">
        <v>1201</v>
      </c>
      <c r="AL14" s="47">
        <f t="shared" si="1"/>
        <v>47516</v>
      </c>
      <c r="AM14" s="46">
        <f t="shared" si="2"/>
        <v>47516</v>
      </c>
      <c r="AN14" s="25"/>
      <c r="AO14" s="26"/>
      <c r="AP14" s="27"/>
      <c r="AQ14" s="28"/>
      <c r="AR14" s="29"/>
      <c r="AS14" s="30"/>
      <c r="AT14" s="31"/>
      <c r="AU14" s="32"/>
      <c r="AV14" s="33"/>
      <c r="AW14" s="46">
        <f t="shared" si="3"/>
        <v>48717</v>
      </c>
    </row>
    <row r="15" spans="1:49" x14ac:dyDescent="0.2">
      <c r="A15" s="23">
        <f t="shared" si="0"/>
        <v>46151</v>
      </c>
      <c r="B15" s="24">
        <v>46151</v>
      </c>
      <c r="C15" s="39">
        <v>13948</v>
      </c>
      <c r="D15" s="39">
        <v>4207</v>
      </c>
      <c r="E15" s="39">
        <v>341</v>
      </c>
      <c r="F15" s="39">
        <v>1253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v>162</v>
      </c>
      <c r="AD15" s="39"/>
      <c r="AE15" s="53">
        <v>576</v>
      </c>
      <c r="AF15" s="39">
        <v>36</v>
      </c>
      <c r="AG15" s="39">
        <v>6</v>
      </c>
      <c r="AH15" s="39"/>
      <c r="AI15" s="39"/>
      <c r="AJ15" s="39"/>
      <c r="AK15" s="51">
        <v>673</v>
      </c>
      <c r="AL15" s="47">
        <f t="shared" si="1"/>
        <v>20529</v>
      </c>
      <c r="AM15" s="46">
        <f t="shared" si="2"/>
        <v>20529</v>
      </c>
      <c r="AN15" s="25"/>
      <c r="AO15" s="26"/>
      <c r="AP15" s="27"/>
      <c r="AQ15" s="28"/>
      <c r="AR15" s="29"/>
      <c r="AS15" s="30"/>
      <c r="AT15" s="31"/>
      <c r="AU15" s="32"/>
      <c r="AV15" s="33"/>
      <c r="AW15" s="46">
        <f t="shared" si="3"/>
        <v>21202</v>
      </c>
    </row>
    <row r="16" spans="1:49" x14ac:dyDescent="0.2">
      <c r="A16" s="23">
        <f t="shared" si="0"/>
        <v>46152</v>
      </c>
      <c r="B16" s="24">
        <v>46152</v>
      </c>
      <c r="C16" s="39">
        <v>5641</v>
      </c>
      <c r="D16" s="39">
        <v>1307</v>
      </c>
      <c r="E16" s="39">
        <v>134</v>
      </c>
      <c r="F16" s="39">
        <v>473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v>56</v>
      </c>
      <c r="AD16" s="39"/>
      <c r="AE16" s="53">
        <v>227</v>
      </c>
      <c r="AF16" s="39">
        <v>23</v>
      </c>
      <c r="AG16" s="39">
        <v>5</v>
      </c>
      <c r="AH16" s="39"/>
      <c r="AI16" s="39"/>
      <c r="AJ16" s="39"/>
      <c r="AK16" s="51">
        <v>310</v>
      </c>
      <c r="AL16" s="47">
        <f t="shared" si="1"/>
        <v>7866</v>
      </c>
      <c r="AM16" s="46">
        <f t="shared" si="2"/>
        <v>7866</v>
      </c>
      <c r="AN16" s="25"/>
      <c r="AO16" s="26"/>
      <c r="AP16" s="27"/>
      <c r="AQ16" s="28"/>
      <c r="AR16" s="29"/>
      <c r="AS16" s="30"/>
      <c r="AT16" s="31"/>
      <c r="AU16" s="32"/>
      <c r="AV16" s="33"/>
      <c r="AW16" s="46">
        <f t="shared" si="3"/>
        <v>8176</v>
      </c>
    </row>
    <row r="17" spans="1:52" x14ac:dyDescent="0.2">
      <c r="A17" s="23">
        <f t="shared" si="0"/>
        <v>46153</v>
      </c>
      <c r="B17" s="24">
        <v>46153</v>
      </c>
      <c r="C17" s="39">
        <v>27433</v>
      </c>
      <c r="D17" s="39">
        <v>11130</v>
      </c>
      <c r="E17" s="39">
        <v>831</v>
      </c>
      <c r="F17" s="39">
        <v>2927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v>389</v>
      </c>
      <c r="AD17" s="39"/>
      <c r="AE17" s="53">
        <v>1369</v>
      </c>
      <c r="AF17" s="39">
        <v>137</v>
      </c>
      <c r="AG17" s="39">
        <v>19</v>
      </c>
      <c r="AH17" s="39"/>
      <c r="AI17" s="39"/>
      <c r="AJ17" s="39"/>
      <c r="AK17" s="51">
        <v>1115</v>
      </c>
      <c r="AL17" s="47">
        <f t="shared" si="1"/>
        <v>44235</v>
      </c>
      <c r="AM17" s="46">
        <f t="shared" si="2"/>
        <v>44235</v>
      </c>
      <c r="AN17" s="25"/>
      <c r="AO17" s="26"/>
      <c r="AP17" s="27"/>
      <c r="AQ17" s="28"/>
      <c r="AR17" s="29"/>
      <c r="AS17" s="30"/>
      <c r="AT17" s="31"/>
      <c r="AU17" s="32"/>
      <c r="AV17" s="33"/>
      <c r="AW17" s="46">
        <f t="shared" si="3"/>
        <v>45350</v>
      </c>
    </row>
    <row r="18" spans="1:52" x14ac:dyDescent="0.2">
      <c r="A18" s="23">
        <f t="shared" si="0"/>
        <v>46154</v>
      </c>
      <c r="B18" s="24">
        <v>46154</v>
      </c>
      <c r="C18" s="39">
        <v>27892</v>
      </c>
      <c r="D18" s="39">
        <v>11557</v>
      </c>
      <c r="E18" s="39">
        <v>869</v>
      </c>
      <c r="F18" s="39">
        <v>2950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v>390</v>
      </c>
      <c r="AD18" s="39"/>
      <c r="AE18" s="53">
        <v>1358</v>
      </c>
      <c r="AF18" s="39">
        <v>156</v>
      </c>
      <c r="AG18" s="39">
        <v>17</v>
      </c>
      <c r="AH18" s="39"/>
      <c r="AI18" s="39"/>
      <c r="AJ18" s="39"/>
      <c r="AK18" s="51">
        <v>1106</v>
      </c>
      <c r="AL18" s="47">
        <f t="shared" si="1"/>
        <v>45189</v>
      </c>
      <c r="AM18" s="46">
        <f t="shared" si="2"/>
        <v>45189</v>
      </c>
      <c r="AN18" s="25"/>
      <c r="AO18" s="26"/>
      <c r="AP18" s="27"/>
      <c r="AQ18" s="28"/>
      <c r="AR18" s="29"/>
      <c r="AS18" s="30"/>
      <c r="AT18" s="31"/>
      <c r="AU18" s="32"/>
      <c r="AV18" s="33"/>
      <c r="AW18" s="46">
        <f t="shared" si="3"/>
        <v>46295</v>
      </c>
    </row>
    <row r="19" spans="1:52" x14ac:dyDescent="0.2">
      <c r="A19" s="23">
        <f t="shared" si="0"/>
        <v>46155</v>
      </c>
      <c r="B19" s="24">
        <v>46155</v>
      </c>
      <c r="C19" s="39">
        <v>28891</v>
      </c>
      <c r="D19" s="39">
        <v>11736</v>
      </c>
      <c r="E19" s="39">
        <v>829</v>
      </c>
      <c r="F19" s="39">
        <v>3016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v>403</v>
      </c>
      <c r="AD19" s="39"/>
      <c r="AE19" s="53">
        <v>1381</v>
      </c>
      <c r="AF19" s="39">
        <v>165</v>
      </c>
      <c r="AG19" s="39">
        <v>40</v>
      </c>
      <c r="AH19" s="39"/>
      <c r="AI19" s="39"/>
      <c r="AJ19" s="39"/>
      <c r="AK19" s="51">
        <v>1160</v>
      </c>
      <c r="AL19" s="47">
        <f t="shared" si="1"/>
        <v>46461</v>
      </c>
      <c r="AM19" s="46">
        <f t="shared" si="2"/>
        <v>46461</v>
      </c>
      <c r="AN19" s="25"/>
      <c r="AO19" s="26"/>
      <c r="AP19" s="27"/>
      <c r="AQ19" s="28"/>
      <c r="AR19" s="29"/>
      <c r="AS19" s="30"/>
      <c r="AT19" s="31"/>
      <c r="AU19" s="32"/>
      <c r="AV19" s="33"/>
      <c r="AW19" s="46">
        <f t="shared" si="3"/>
        <v>47621</v>
      </c>
    </row>
    <row r="20" spans="1:52" x14ac:dyDescent="0.2">
      <c r="A20" s="23">
        <f t="shared" si="0"/>
        <v>46156</v>
      </c>
      <c r="B20" s="24">
        <v>46156</v>
      </c>
      <c r="C20" s="39">
        <v>28342</v>
      </c>
      <c r="D20" s="39">
        <v>11317</v>
      </c>
      <c r="E20" s="39">
        <v>809</v>
      </c>
      <c r="F20" s="39">
        <v>3002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v>401</v>
      </c>
      <c r="AD20" s="39"/>
      <c r="AE20" s="53">
        <v>1362</v>
      </c>
      <c r="AF20" s="39">
        <v>168</v>
      </c>
      <c r="AG20" s="39">
        <v>34</v>
      </c>
      <c r="AH20" s="39"/>
      <c r="AI20" s="39"/>
      <c r="AJ20" s="39"/>
      <c r="AK20" s="51">
        <v>1633</v>
      </c>
      <c r="AL20" s="47">
        <f t="shared" si="1"/>
        <v>45435</v>
      </c>
      <c r="AM20" s="46">
        <f t="shared" si="2"/>
        <v>45435</v>
      </c>
      <c r="AN20" s="25"/>
      <c r="AO20" s="26"/>
      <c r="AP20" s="27"/>
      <c r="AQ20" s="28"/>
      <c r="AR20" s="29"/>
      <c r="AS20" s="30"/>
      <c r="AT20" s="31"/>
      <c r="AU20" s="32"/>
      <c r="AV20" s="33"/>
      <c r="AW20" s="46">
        <f t="shared" si="3"/>
        <v>47068</v>
      </c>
    </row>
    <row r="21" spans="1:52" x14ac:dyDescent="0.2">
      <c r="A21" s="23">
        <f t="shared" si="0"/>
        <v>46157</v>
      </c>
      <c r="B21" s="24">
        <v>46157</v>
      </c>
      <c r="C21" s="39">
        <v>28782</v>
      </c>
      <c r="D21" s="39">
        <v>10822</v>
      </c>
      <c r="E21" s="39">
        <v>820</v>
      </c>
      <c r="F21" s="39">
        <v>3031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v>368</v>
      </c>
      <c r="AD21" s="39"/>
      <c r="AE21" s="53">
        <v>1315</v>
      </c>
      <c r="AF21" s="39">
        <v>176</v>
      </c>
      <c r="AG21" s="39">
        <v>25</v>
      </c>
      <c r="AH21" s="39"/>
      <c r="AI21" s="39"/>
      <c r="AJ21" s="39"/>
      <c r="AK21" s="51">
        <v>1207</v>
      </c>
      <c r="AL21" s="47">
        <f t="shared" si="1"/>
        <v>45339</v>
      </c>
      <c r="AM21" s="46">
        <f t="shared" si="2"/>
        <v>45339</v>
      </c>
      <c r="AN21" s="25"/>
      <c r="AO21" s="26"/>
      <c r="AP21" s="27"/>
      <c r="AQ21" s="28"/>
      <c r="AR21" s="29"/>
      <c r="AS21" s="30"/>
      <c r="AT21" s="31"/>
      <c r="AU21" s="32"/>
      <c r="AV21" s="33"/>
      <c r="AW21" s="46">
        <f t="shared" si="3"/>
        <v>46546</v>
      </c>
    </row>
    <row r="22" spans="1:52" x14ac:dyDescent="0.2">
      <c r="A22" s="23">
        <f t="shared" si="0"/>
        <v>46158</v>
      </c>
      <c r="B22" s="24">
        <v>46158</v>
      </c>
      <c r="C22" s="39">
        <v>12941</v>
      </c>
      <c r="D22" s="39">
        <v>3781</v>
      </c>
      <c r="E22" s="39">
        <v>350</v>
      </c>
      <c r="F22" s="39">
        <v>1174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v>143</v>
      </c>
      <c r="AD22" s="39"/>
      <c r="AE22" s="53">
        <v>524</v>
      </c>
      <c r="AF22" s="39">
        <v>47</v>
      </c>
      <c r="AG22" s="39">
        <v>9</v>
      </c>
      <c r="AH22" s="39"/>
      <c r="AI22" s="39"/>
      <c r="AJ22" s="39"/>
      <c r="AK22" s="51">
        <v>658</v>
      </c>
      <c r="AL22" s="47">
        <f t="shared" si="1"/>
        <v>18969</v>
      </c>
      <c r="AM22" s="46">
        <f t="shared" si="2"/>
        <v>18969</v>
      </c>
      <c r="AN22" s="25"/>
      <c r="AO22" s="26"/>
      <c r="AP22" s="27"/>
      <c r="AQ22" s="28"/>
      <c r="AR22" s="29"/>
      <c r="AS22" s="30"/>
      <c r="AT22" s="31"/>
      <c r="AU22" s="32"/>
      <c r="AV22" s="33"/>
      <c r="AW22" s="46">
        <f t="shared" si="3"/>
        <v>19627</v>
      </c>
    </row>
    <row r="23" spans="1:52" x14ac:dyDescent="0.2">
      <c r="A23" s="23">
        <f t="shared" si="0"/>
        <v>46159</v>
      </c>
      <c r="B23" s="24">
        <v>46159</v>
      </c>
      <c r="C23" s="39">
        <v>6067</v>
      </c>
      <c r="D23" s="39">
        <v>1769</v>
      </c>
      <c r="E23" s="39">
        <v>188</v>
      </c>
      <c r="F23" s="39">
        <v>472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v>70</v>
      </c>
      <c r="AD23" s="39"/>
      <c r="AE23" s="53">
        <v>221</v>
      </c>
      <c r="AF23" s="39">
        <v>35</v>
      </c>
      <c r="AG23" s="39">
        <v>0</v>
      </c>
      <c r="AH23" s="39"/>
      <c r="AI23" s="39"/>
      <c r="AJ23" s="39"/>
      <c r="AK23" s="51">
        <v>368</v>
      </c>
      <c r="AL23" s="47">
        <f t="shared" si="1"/>
        <v>8822</v>
      </c>
      <c r="AM23" s="46">
        <f t="shared" si="2"/>
        <v>8822</v>
      </c>
      <c r="AN23" s="25"/>
      <c r="AO23" s="26"/>
      <c r="AP23" s="27"/>
      <c r="AQ23" s="28"/>
      <c r="AR23" s="29"/>
      <c r="AS23" s="30"/>
      <c r="AT23" s="31"/>
      <c r="AU23" s="32"/>
      <c r="AV23" s="33"/>
      <c r="AW23" s="46">
        <f t="shared" si="3"/>
        <v>9190</v>
      </c>
    </row>
    <row r="24" spans="1:52" x14ac:dyDescent="0.2">
      <c r="A24" s="23">
        <f t="shared" si="0"/>
        <v>46160</v>
      </c>
      <c r="B24" s="24">
        <v>46160</v>
      </c>
      <c r="C24" s="39">
        <v>29656</v>
      </c>
      <c r="D24" s="39">
        <v>10326</v>
      </c>
      <c r="E24" s="39">
        <v>897</v>
      </c>
      <c r="F24" s="39">
        <v>3264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v>411</v>
      </c>
      <c r="AD24" s="39"/>
      <c r="AE24" s="53">
        <v>1469</v>
      </c>
      <c r="AF24" s="39">
        <v>154</v>
      </c>
      <c r="AG24" s="39">
        <v>29</v>
      </c>
      <c r="AH24" s="39"/>
      <c r="AI24" s="39"/>
      <c r="AJ24" s="39"/>
      <c r="AK24" s="51">
        <v>1220</v>
      </c>
      <c r="AL24" s="47">
        <f t="shared" si="1"/>
        <v>46206</v>
      </c>
      <c r="AM24" s="46">
        <f t="shared" si="2"/>
        <v>46206</v>
      </c>
      <c r="AN24" s="25"/>
      <c r="AO24" s="26"/>
      <c r="AP24" s="27"/>
      <c r="AQ24" s="28"/>
      <c r="AR24" s="29"/>
      <c r="AS24" s="30"/>
      <c r="AT24" s="31"/>
      <c r="AU24" s="32"/>
      <c r="AV24" s="33"/>
      <c r="AW24" s="46">
        <f t="shared" si="3"/>
        <v>47426</v>
      </c>
    </row>
    <row r="25" spans="1:52" x14ac:dyDescent="0.2">
      <c r="A25" s="23">
        <f t="shared" si="0"/>
        <v>46161</v>
      </c>
      <c r="B25" s="24">
        <v>46161</v>
      </c>
      <c r="C25" s="39">
        <v>29415</v>
      </c>
      <c r="D25" s="39">
        <v>10222</v>
      </c>
      <c r="E25" s="39">
        <v>879</v>
      </c>
      <c r="F25" s="39">
        <v>3188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v>419</v>
      </c>
      <c r="AD25" s="39"/>
      <c r="AE25" s="53">
        <v>1398</v>
      </c>
      <c r="AF25" s="39">
        <v>156</v>
      </c>
      <c r="AG25" s="39">
        <v>23</v>
      </c>
      <c r="AH25" s="39"/>
      <c r="AI25" s="39"/>
      <c r="AJ25" s="39"/>
      <c r="AK25" s="51">
        <v>1121</v>
      </c>
      <c r="AL25" s="47">
        <f t="shared" si="1"/>
        <v>45700</v>
      </c>
      <c r="AM25" s="46">
        <f t="shared" si="2"/>
        <v>45700</v>
      </c>
      <c r="AN25" s="25"/>
      <c r="AO25" s="26"/>
      <c r="AP25" s="27"/>
      <c r="AQ25" s="28"/>
      <c r="AR25" s="29"/>
      <c r="AS25" s="30"/>
      <c r="AT25" s="31"/>
      <c r="AU25" s="32"/>
      <c r="AV25" s="33"/>
      <c r="AW25" s="46">
        <f t="shared" si="3"/>
        <v>46821</v>
      </c>
    </row>
    <row r="26" spans="1:52" x14ac:dyDescent="0.2">
      <c r="A26" s="23">
        <f t="shared" si="0"/>
        <v>46162</v>
      </c>
      <c r="B26" s="24">
        <v>46162</v>
      </c>
      <c r="C26" s="39">
        <v>29310</v>
      </c>
      <c r="D26" s="39">
        <v>10350</v>
      </c>
      <c r="E26" s="39">
        <v>893</v>
      </c>
      <c r="F26" s="39">
        <v>3233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v>431</v>
      </c>
      <c r="AD26" s="39"/>
      <c r="AE26" s="53">
        <v>1412</v>
      </c>
      <c r="AF26" s="39">
        <v>170</v>
      </c>
      <c r="AG26" s="39">
        <v>42</v>
      </c>
      <c r="AH26" s="39"/>
      <c r="AI26" s="39"/>
      <c r="AJ26" s="39"/>
      <c r="AK26" s="51">
        <v>1163</v>
      </c>
      <c r="AL26" s="47">
        <f t="shared" si="1"/>
        <v>45841</v>
      </c>
      <c r="AM26" s="46">
        <f t="shared" si="2"/>
        <v>45841</v>
      </c>
      <c r="AN26" s="25"/>
      <c r="AO26" s="26"/>
      <c r="AP26" s="27"/>
      <c r="AQ26" s="28"/>
      <c r="AR26" s="29"/>
      <c r="AS26" s="30"/>
      <c r="AT26" s="31"/>
      <c r="AU26" s="32"/>
      <c r="AV26" s="33"/>
      <c r="AW26" s="46">
        <f t="shared" si="3"/>
        <v>47004</v>
      </c>
    </row>
    <row r="27" spans="1:52" x14ac:dyDescent="0.2">
      <c r="A27" s="23">
        <f t="shared" si="0"/>
        <v>46163</v>
      </c>
      <c r="B27" s="24">
        <v>46163</v>
      </c>
      <c r="C27" s="39">
        <v>461</v>
      </c>
      <c r="D27" s="39">
        <v>59</v>
      </c>
      <c r="E27" s="39">
        <v>2</v>
      </c>
      <c r="F27" s="39">
        <v>14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v>6</v>
      </c>
      <c r="AD27" s="39"/>
      <c r="AE27" s="53">
        <v>13</v>
      </c>
      <c r="AF27" s="39">
        <v>7</v>
      </c>
      <c r="AG27" s="39">
        <v>0</v>
      </c>
      <c r="AH27" s="39"/>
      <c r="AI27" s="39"/>
      <c r="AJ27" s="39"/>
      <c r="AK27" s="51">
        <v>17</v>
      </c>
      <c r="AL27" s="47">
        <f t="shared" si="1"/>
        <v>562</v>
      </c>
      <c r="AM27" s="46">
        <f t="shared" si="2"/>
        <v>562</v>
      </c>
      <c r="AN27" s="25"/>
      <c r="AO27" s="26"/>
      <c r="AP27" s="27"/>
      <c r="AQ27" s="28"/>
      <c r="AR27" s="29"/>
      <c r="AS27" s="30"/>
      <c r="AT27" s="31"/>
      <c r="AU27" s="32"/>
      <c r="AV27" s="33"/>
      <c r="AW27" s="46">
        <f t="shared" si="3"/>
        <v>579</v>
      </c>
    </row>
    <row r="28" spans="1:52" x14ac:dyDescent="0.2">
      <c r="A28" s="23">
        <f t="shared" si="0"/>
        <v>46164</v>
      </c>
      <c r="B28" s="24">
        <v>46164</v>
      </c>
      <c r="C28" s="39">
        <v>23536</v>
      </c>
      <c r="D28" s="39">
        <v>5929</v>
      </c>
      <c r="E28" s="39">
        <v>560</v>
      </c>
      <c r="F28" s="39">
        <v>2591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v>309</v>
      </c>
      <c r="AD28" s="39"/>
      <c r="AE28" s="53">
        <v>1101</v>
      </c>
      <c r="AF28" s="39">
        <v>110</v>
      </c>
      <c r="AG28" s="39">
        <v>7</v>
      </c>
      <c r="AH28" s="39"/>
      <c r="AI28" s="39"/>
      <c r="AJ28" s="39"/>
      <c r="AK28" s="51">
        <v>1046</v>
      </c>
      <c r="AL28" s="47">
        <f t="shared" si="1"/>
        <v>34143</v>
      </c>
      <c r="AM28" s="46">
        <f t="shared" si="2"/>
        <v>34143</v>
      </c>
      <c r="AN28" s="25"/>
      <c r="AO28" s="26"/>
      <c r="AP28" s="27"/>
      <c r="AQ28" s="28"/>
      <c r="AR28" s="29"/>
      <c r="AS28" s="30"/>
      <c r="AT28" s="31"/>
      <c r="AU28" s="32"/>
      <c r="AV28" s="33"/>
      <c r="AW28" s="46">
        <f t="shared" si="3"/>
        <v>35189</v>
      </c>
    </row>
    <row r="29" spans="1:52" x14ac:dyDescent="0.2">
      <c r="A29" s="23">
        <f t="shared" si="0"/>
        <v>46165</v>
      </c>
      <c r="B29" s="24">
        <v>46165</v>
      </c>
      <c r="C29" s="39">
        <v>11156</v>
      </c>
      <c r="D29" s="39">
        <v>2820</v>
      </c>
      <c r="E29" s="39">
        <v>296</v>
      </c>
      <c r="F29" s="39">
        <v>1041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v>120</v>
      </c>
      <c r="AD29" s="39"/>
      <c r="AE29" s="53">
        <v>464</v>
      </c>
      <c r="AF29" s="39">
        <v>48</v>
      </c>
      <c r="AG29" s="39">
        <v>2</v>
      </c>
      <c r="AH29" s="39"/>
      <c r="AI29" s="39"/>
      <c r="AJ29" s="39"/>
      <c r="AK29" s="51">
        <v>709</v>
      </c>
      <c r="AL29" s="47">
        <f t="shared" si="1"/>
        <v>15947</v>
      </c>
      <c r="AM29" s="46">
        <f t="shared" si="2"/>
        <v>15947</v>
      </c>
      <c r="AN29" s="25"/>
      <c r="AO29" s="26"/>
      <c r="AP29" s="27"/>
      <c r="AQ29" s="28"/>
      <c r="AR29" s="29"/>
      <c r="AS29" s="30"/>
      <c r="AT29" s="31"/>
      <c r="AU29" s="32"/>
      <c r="AV29" s="33"/>
      <c r="AW29" s="46">
        <f t="shared" si="3"/>
        <v>16656</v>
      </c>
    </row>
    <row r="30" spans="1:52" x14ac:dyDescent="0.2">
      <c r="A30" s="23">
        <f t="shared" si="0"/>
        <v>46166</v>
      </c>
      <c r="B30" s="24">
        <v>46166</v>
      </c>
      <c r="C30" s="39">
        <v>5170</v>
      </c>
      <c r="D30" s="39">
        <v>1535</v>
      </c>
      <c r="E30" s="39">
        <v>160</v>
      </c>
      <c r="F30" s="39">
        <v>513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v>51</v>
      </c>
      <c r="AD30" s="39"/>
      <c r="AE30" s="53">
        <v>207</v>
      </c>
      <c r="AF30" s="39">
        <v>20</v>
      </c>
      <c r="AG30" s="39">
        <v>0</v>
      </c>
      <c r="AH30" s="39"/>
      <c r="AI30" s="39"/>
      <c r="AJ30" s="39"/>
      <c r="AK30" s="51">
        <v>324</v>
      </c>
      <c r="AL30" s="47">
        <f t="shared" si="1"/>
        <v>7656</v>
      </c>
      <c r="AM30" s="46">
        <f t="shared" si="2"/>
        <v>7656</v>
      </c>
      <c r="AN30" s="25"/>
      <c r="AO30" s="26"/>
      <c r="AP30" s="27"/>
      <c r="AQ30" s="28"/>
      <c r="AR30" s="29"/>
      <c r="AS30" s="30"/>
      <c r="AT30" s="31"/>
      <c r="AU30" s="32"/>
      <c r="AV30" s="33"/>
      <c r="AW30" s="46">
        <f t="shared" si="3"/>
        <v>7980</v>
      </c>
    </row>
    <row r="31" spans="1:52" x14ac:dyDescent="0.2">
      <c r="A31" s="23">
        <f t="shared" si="0"/>
        <v>46167</v>
      </c>
      <c r="B31" s="24">
        <v>46167</v>
      </c>
      <c r="C31" s="39">
        <v>29808</v>
      </c>
      <c r="D31" s="39">
        <v>13285</v>
      </c>
      <c r="E31" s="39">
        <v>913</v>
      </c>
      <c r="F31" s="39">
        <v>3274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v>413</v>
      </c>
      <c r="AD31" s="39"/>
      <c r="AE31" s="53">
        <v>1475</v>
      </c>
      <c r="AF31" s="39">
        <v>170</v>
      </c>
      <c r="AG31" s="39">
        <v>30</v>
      </c>
      <c r="AH31" s="39"/>
      <c r="AI31" s="39"/>
      <c r="AJ31" s="39"/>
      <c r="AK31" s="51">
        <v>1179</v>
      </c>
      <c r="AL31" s="47">
        <f t="shared" si="1"/>
        <v>49368</v>
      </c>
      <c r="AM31" s="46">
        <f t="shared" si="2"/>
        <v>49368</v>
      </c>
      <c r="AN31" s="25"/>
      <c r="AO31" s="26"/>
      <c r="AP31" s="27"/>
      <c r="AQ31" s="28"/>
      <c r="AR31" s="29"/>
      <c r="AS31" s="30"/>
      <c r="AT31" s="31"/>
      <c r="AU31" s="32"/>
      <c r="AV31" s="33"/>
      <c r="AW31" s="46">
        <f t="shared" si="3"/>
        <v>50547</v>
      </c>
    </row>
    <row r="32" spans="1:52" x14ac:dyDescent="0.2">
      <c r="A32" s="23">
        <f t="shared" si="0"/>
        <v>46168</v>
      </c>
      <c r="B32" s="24">
        <v>46168</v>
      </c>
      <c r="C32" s="39">
        <v>29956</v>
      </c>
      <c r="D32" s="39">
        <v>13135</v>
      </c>
      <c r="E32" s="39">
        <v>884</v>
      </c>
      <c r="F32" s="39">
        <v>3235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v>433</v>
      </c>
      <c r="AD32" s="39"/>
      <c r="AE32" s="53">
        <v>1474</v>
      </c>
      <c r="AF32" s="39">
        <v>172</v>
      </c>
      <c r="AG32" s="39">
        <v>28</v>
      </c>
      <c r="AH32" s="39"/>
      <c r="AI32" s="39"/>
      <c r="AJ32" s="39"/>
      <c r="AK32" s="51">
        <v>1219</v>
      </c>
      <c r="AL32" s="47">
        <f t="shared" si="1"/>
        <v>49317</v>
      </c>
      <c r="AM32" s="46">
        <f t="shared" si="2"/>
        <v>49317</v>
      </c>
      <c r="AN32" s="25"/>
      <c r="AO32" s="26"/>
      <c r="AP32" s="27"/>
      <c r="AQ32" s="28"/>
      <c r="AR32" s="29"/>
      <c r="AS32" s="30"/>
      <c r="AT32" s="31"/>
      <c r="AU32" s="32"/>
      <c r="AV32" s="33"/>
      <c r="AW32" s="46">
        <f t="shared" si="3"/>
        <v>50536</v>
      </c>
      <c r="AX32" s="55">
        <f>AVERAGE(AL12,AL19)</f>
        <v>44995.5</v>
      </c>
      <c r="AY32" s="55">
        <f>AL33-AX32</f>
        <v>282.5</v>
      </c>
      <c r="AZ32" s="55">
        <f>AY32+AL32</f>
        <v>49599.5</v>
      </c>
    </row>
    <row r="33" spans="1:52" x14ac:dyDescent="0.2">
      <c r="A33" s="23">
        <f t="shared" si="0"/>
        <v>46169</v>
      </c>
      <c r="B33" s="24">
        <v>46169</v>
      </c>
      <c r="C33" s="39">
        <v>27305</v>
      </c>
      <c r="D33" s="39">
        <v>12239</v>
      </c>
      <c r="E33" s="39">
        <v>887</v>
      </c>
      <c r="F33" s="39">
        <v>2882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v>391</v>
      </c>
      <c r="AD33" s="39"/>
      <c r="AE33" s="53">
        <v>1397</v>
      </c>
      <c r="AF33" s="39">
        <v>160</v>
      </c>
      <c r="AG33" s="39">
        <v>17</v>
      </c>
      <c r="AH33" s="39"/>
      <c r="AI33" s="39"/>
      <c r="AJ33" s="39"/>
      <c r="AK33" s="51">
        <v>1082</v>
      </c>
      <c r="AL33" s="47">
        <f t="shared" si="1"/>
        <v>45278</v>
      </c>
      <c r="AM33" s="46">
        <f t="shared" si="2"/>
        <v>45278</v>
      </c>
      <c r="AN33" s="25"/>
      <c r="AO33" s="26"/>
      <c r="AP33" s="27"/>
      <c r="AQ33" s="28"/>
      <c r="AR33" s="29"/>
      <c r="AS33" s="30"/>
      <c r="AT33" s="31"/>
      <c r="AU33" s="32"/>
      <c r="AV33" s="33"/>
      <c r="AW33" s="46">
        <f t="shared" si="3"/>
        <v>46360</v>
      </c>
      <c r="AZ33" s="55">
        <f>AZ32*448</f>
        <v>22220576</v>
      </c>
    </row>
    <row r="34" spans="1:52" x14ac:dyDescent="0.2">
      <c r="A34" s="23">
        <f t="shared" si="0"/>
        <v>46170</v>
      </c>
      <c r="B34" s="24">
        <v>46170</v>
      </c>
      <c r="C34" s="39">
        <v>27563</v>
      </c>
      <c r="D34" s="39">
        <v>12403</v>
      </c>
      <c r="E34" s="39">
        <v>880</v>
      </c>
      <c r="F34" s="39">
        <v>2851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v>395</v>
      </c>
      <c r="AD34" s="39"/>
      <c r="AE34" s="53">
        <v>1369</v>
      </c>
      <c r="AF34" s="39">
        <v>178</v>
      </c>
      <c r="AG34" s="39">
        <v>17</v>
      </c>
      <c r="AH34" s="39"/>
      <c r="AI34" s="39"/>
      <c r="AJ34" s="39"/>
      <c r="AK34" s="51">
        <v>1098</v>
      </c>
      <c r="AL34" s="47">
        <f t="shared" si="1"/>
        <v>45656</v>
      </c>
      <c r="AM34" s="46">
        <f t="shared" si="2"/>
        <v>45656</v>
      </c>
      <c r="AN34" s="25"/>
      <c r="AO34" s="26"/>
      <c r="AP34" s="27"/>
      <c r="AQ34" s="28"/>
      <c r="AR34" s="29"/>
      <c r="AS34" s="30"/>
      <c r="AT34" s="31"/>
      <c r="AU34" s="32"/>
      <c r="AV34" s="33"/>
      <c r="AW34" s="46">
        <f t="shared" si="3"/>
        <v>46754</v>
      </c>
      <c r="AZ34" s="55"/>
    </row>
    <row r="35" spans="1:52" x14ac:dyDescent="0.2">
      <c r="A35" s="23">
        <f t="shared" si="0"/>
        <v>46171</v>
      </c>
      <c r="B35" s="24">
        <v>46171</v>
      </c>
      <c r="C35" s="39">
        <v>29285</v>
      </c>
      <c r="D35" s="39">
        <v>11982</v>
      </c>
      <c r="E35" s="39">
        <v>859</v>
      </c>
      <c r="F35" s="39">
        <v>3016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v>384</v>
      </c>
      <c r="AD35" s="39"/>
      <c r="AE35" s="53">
        <v>1386</v>
      </c>
      <c r="AF35" s="39">
        <v>163</v>
      </c>
      <c r="AG35" s="39">
        <v>15</v>
      </c>
      <c r="AH35" s="39"/>
      <c r="AI35" s="39"/>
      <c r="AJ35" s="39"/>
      <c r="AK35" s="51">
        <v>1607</v>
      </c>
      <c r="AL35" s="47">
        <f t="shared" si="1"/>
        <v>47090</v>
      </c>
      <c r="AM35" s="46">
        <f t="shared" si="2"/>
        <v>47090</v>
      </c>
      <c r="AN35" s="25"/>
      <c r="AO35" s="26"/>
      <c r="AP35" s="27"/>
      <c r="AQ35" s="28"/>
      <c r="AR35" s="29"/>
      <c r="AS35" s="30"/>
      <c r="AT35" s="31"/>
      <c r="AU35" s="32"/>
      <c r="AV35" s="33"/>
      <c r="AW35" s="46">
        <f t="shared" si="3"/>
        <v>48697</v>
      </c>
      <c r="AZ35" s="55"/>
    </row>
    <row r="36" spans="1:52" x14ac:dyDescent="0.2">
      <c r="A36" s="23">
        <f t="shared" si="0"/>
        <v>46172</v>
      </c>
      <c r="B36" s="24">
        <v>46172</v>
      </c>
      <c r="C36" s="39">
        <v>13556</v>
      </c>
      <c r="D36" s="39">
        <v>3842</v>
      </c>
      <c r="E36" s="39">
        <v>369</v>
      </c>
      <c r="F36" s="39">
        <v>1265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v>137</v>
      </c>
      <c r="AD36" s="39"/>
      <c r="AE36" s="53">
        <v>519</v>
      </c>
      <c r="AF36" s="39">
        <v>57</v>
      </c>
      <c r="AG36" s="39">
        <v>8</v>
      </c>
      <c r="AH36" s="39"/>
      <c r="AI36" s="39"/>
      <c r="AJ36" s="39"/>
      <c r="AK36" s="51">
        <v>792</v>
      </c>
      <c r="AL36" s="47">
        <f t="shared" si="1"/>
        <v>19753</v>
      </c>
      <c r="AM36" s="46">
        <f t="shared" si="2"/>
        <v>19753</v>
      </c>
      <c r="AN36" s="25"/>
      <c r="AO36" s="26"/>
      <c r="AP36" s="27"/>
      <c r="AQ36" s="28"/>
      <c r="AR36" s="29"/>
      <c r="AS36" s="30"/>
      <c r="AT36" s="31"/>
      <c r="AU36" s="32"/>
      <c r="AV36" s="33"/>
      <c r="AW36" s="46">
        <f t="shared" si="3"/>
        <v>20545</v>
      </c>
      <c r="AZ36" s="55"/>
    </row>
    <row r="37" spans="1:52" x14ac:dyDescent="0.2">
      <c r="A37" s="23">
        <f t="shared" si="0"/>
        <v>46173</v>
      </c>
      <c r="B37" s="24">
        <v>46173</v>
      </c>
      <c r="C37" s="39">
        <v>5967</v>
      </c>
      <c r="D37" s="39">
        <v>1673</v>
      </c>
      <c r="E37" s="39">
        <v>196</v>
      </c>
      <c r="F37" s="39">
        <v>503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v>56</v>
      </c>
      <c r="AD37" s="39"/>
      <c r="AE37" s="53">
        <v>182</v>
      </c>
      <c r="AF37" s="39">
        <v>37</v>
      </c>
      <c r="AG37" s="39">
        <v>6</v>
      </c>
      <c r="AH37" s="39"/>
      <c r="AI37" s="39"/>
      <c r="AJ37" s="39"/>
      <c r="AK37" s="51">
        <v>405</v>
      </c>
      <c r="AL37" s="47">
        <f t="shared" si="1"/>
        <v>8620</v>
      </c>
      <c r="AM37" s="46">
        <f t="shared" si="2"/>
        <v>8620</v>
      </c>
      <c r="AN37" s="25"/>
      <c r="AO37" s="26"/>
      <c r="AP37" s="27"/>
      <c r="AQ37" s="28"/>
      <c r="AR37" s="29"/>
      <c r="AS37" s="30"/>
      <c r="AT37" s="31"/>
      <c r="AU37" s="32"/>
      <c r="AV37" s="33"/>
      <c r="AW37" s="46">
        <f t="shared" si="3"/>
        <v>9025</v>
      </c>
      <c r="AZ37" s="55"/>
    </row>
    <row r="38" spans="1:52" x14ac:dyDescent="0.2">
      <c r="A38" s="33"/>
      <c r="B38" s="33"/>
      <c r="C38" s="48">
        <f t="shared" ref="C38:AK38" si="4">SUM(C7:C37)</f>
        <v>640272</v>
      </c>
      <c r="D38" s="48">
        <f t="shared" si="4"/>
        <v>244905</v>
      </c>
      <c r="E38" s="48">
        <f t="shared" si="4"/>
        <v>18189</v>
      </c>
      <c r="F38" s="48">
        <f t="shared" si="4"/>
        <v>65434</v>
      </c>
      <c r="G38" s="48">
        <f t="shared" si="4"/>
        <v>0</v>
      </c>
      <c r="H38" s="48">
        <f t="shared" si="4"/>
        <v>0</v>
      </c>
      <c r="I38" s="48">
        <f t="shared" si="4"/>
        <v>0</v>
      </c>
      <c r="J38" s="48">
        <f t="shared" si="4"/>
        <v>0</v>
      </c>
      <c r="K38" s="48">
        <f t="shared" si="4"/>
        <v>0</v>
      </c>
      <c r="L38" s="48">
        <f t="shared" si="4"/>
        <v>0</v>
      </c>
      <c r="M38" s="48">
        <f t="shared" si="4"/>
        <v>0</v>
      </c>
      <c r="N38" s="48">
        <f t="shared" si="4"/>
        <v>0</v>
      </c>
      <c r="O38" s="48">
        <f t="shared" si="4"/>
        <v>0</v>
      </c>
      <c r="P38" s="48">
        <f t="shared" si="4"/>
        <v>0</v>
      </c>
      <c r="Q38" s="48">
        <f t="shared" si="4"/>
        <v>0</v>
      </c>
      <c r="R38" s="48">
        <f t="shared" si="4"/>
        <v>0</v>
      </c>
      <c r="S38" s="48">
        <f t="shared" si="4"/>
        <v>0</v>
      </c>
      <c r="T38" s="48">
        <f t="shared" si="4"/>
        <v>0</v>
      </c>
      <c r="U38" s="48">
        <f t="shared" si="4"/>
        <v>0</v>
      </c>
      <c r="V38" s="48">
        <f t="shared" si="4"/>
        <v>0</v>
      </c>
      <c r="W38" s="48">
        <f t="shared" si="4"/>
        <v>0</v>
      </c>
      <c r="X38" s="48">
        <f t="shared" si="4"/>
        <v>0</v>
      </c>
      <c r="Y38" s="48">
        <f t="shared" si="4"/>
        <v>0</v>
      </c>
      <c r="Z38" s="48">
        <f t="shared" si="4"/>
        <v>0</v>
      </c>
      <c r="AA38" s="48">
        <f t="shared" si="4"/>
        <v>0</v>
      </c>
      <c r="AB38" s="48">
        <f t="shared" si="4"/>
        <v>0</v>
      </c>
      <c r="AC38" s="48">
        <f t="shared" si="4"/>
        <v>8629</v>
      </c>
      <c r="AD38" s="48">
        <f t="shared" si="4"/>
        <v>0</v>
      </c>
      <c r="AE38" s="48">
        <f t="shared" si="4"/>
        <v>29852</v>
      </c>
      <c r="AF38" s="48">
        <f t="shared" si="4"/>
        <v>3482</v>
      </c>
      <c r="AG38" s="48">
        <f t="shared" si="4"/>
        <v>508</v>
      </c>
      <c r="AH38" s="54">
        <f t="shared" si="4"/>
        <v>0</v>
      </c>
      <c r="AI38" s="54">
        <f t="shared" si="4"/>
        <v>0</v>
      </c>
      <c r="AJ38" s="54">
        <f t="shared" si="4"/>
        <v>0</v>
      </c>
      <c r="AK38" s="54">
        <f t="shared" si="4"/>
        <v>28151</v>
      </c>
      <c r="AL38" s="54">
        <f t="shared" ref="AL38" si="5">SUM(C38:AG38)</f>
        <v>1011271</v>
      </c>
      <c r="AM38" s="48">
        <f t="shared" ref="AM38:AW38" si="6">SUM(AM7:AM37)</f>
        <v>1011271</v>
      </c>
      <c r="AN38" s="48">
        <f t="shared" si="6"/>
        <v>0</v>
      </c>
      <c r="AO38" s="48">
        <f t="shared" si="6"/>
        <v>0</v>
      </c>
      <c r="AP38" s="48">
        <f t="shared" si="6"/>
        <v>0</v>
      </c>
      <c r="AQ38" s="48">
        <f t="shared" si="6"/>
        <v>0</v>
      </c>
      <c r="AR38" s="48">
        <f t="shared" si="6"/>
        <v>0</v>
      </c>
      <c r="AS38" s="48">
        <f t="shared" si="6"/>
        <v>0</v>
      </c>
      <c r="AT38" s="48">
        <f t="shared" si="6"/>
        <v>0</v>
      </c>
      <c r="AU38" s="48">
        <f t="shared" si="6"/>
        <v>0</v>
      </c>
      <c r="AV38" s="48">
        <f t="shared" si="6"/>
        <v>0</v>
      </c>
      <c r="AW38" s="48">
        <f t="shared" si="6"/>
        <v>1039422</v>
      </c>
    </row>
    <row r="39" spans="1:52" ht="15" hidden="1" x14ac:dyDescent="0.25">
      <c r="C39" s="38" t="s">
        <v>30</v>
      </c>
      <c r="D39" s="38" t="s">
        <v>33</v>
      </c>
      <c r="E39" s="38" t="s">
        <v>69</v>
      </c>
      <c r="F39" s="38" t="s">
        <v>70</v>
      </c>
      <c r="G39" s="38" t="s">
        <v>31</v>
      </c>
      <c r="H39" s="38" t="s">
        <v>71</v>
      </c>
      <c r="I39" s="38" t="s">
        <v>72</v>
      </c>
      <c r="J39" s="38" t="s">
        <v>73</v>
      </c>
      <c r="K39" s="38" t="s">
        <v>74</v>
      </c>
      <c r="L39" s="38" t="s">
        <v>28</v>
      </c>
      <c r="M39" s="38" t="s">
        <v>68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M39" s="40"/>
    </row>
    <row r="40" spans="1:52" hidden="1" x14ac:dyDescent="0.2">
      <c r="B40" s="24">
        <v>45047</v>
      </c>
      <c r="C40" s="11">
        <v>202</v>
      </c>
      <c r="D40" s="11">
        <v>6</v>
      </c>
      <c r="E40" s="11" t="s">
        <v>77</v>
      </c>
      <c r="F40" s="11">
        <v>1</v>
      </c>
      <c r="G40" s="11">
        <v>29</v>
      </c>
      <c r="H40" s="11">
        <v>3</v>
      </c>
      <c r="I40" s="11">
        <v>19</v>
      </c>
      <c r="J40" s="11">
        <v>0</v>
      </c>
      <c r="K40" s="11">
        <v>0</v>
      </c>
      <c r="L40" s="11">
        <v>11</v>
      </c>
      <c r="M40" s="11">
        <v>13</v>
      </c>
      <c r="AQ40" s="34"/>
    </row>
    <row r="41" spans="1:52" hidden="1" x14ac:dyDescent="0.2">
      <c r="B41" s="24">
        <v>45048</v>
      </c>
      <c r="C41" s="11">
        <v>33052</v>
      </c>
      <c r="D41" s="11">
        <v>1804</v>
      </c>
      <c r="E41" s="11">
        <v>215</v>
      </c>
      <c r="F41" s="11">
        <v>288</v>
      </c>
      <c r="G41" s="11">
        <v>9875</v>
      </c>
      <c r="H41" s="11">
        <v>144</v>
      </c>
      <c r="I41" s="11">
        <v>1517</v>
      </c>
      <c r="J41" s="11">
        <v>41</v>
      </c>
      <c r="K41" s="11">
        <v>0</v>
      </c>
      <c r="L41" s="11">
        <v>504</v>
      </c>
      <c r="M41" s="11">
        <v>1338</v>
      </c>
    </row>
    <row r="42" spans="1:52" hidden="1" x14ac:dyDescent="0.2">
      <c r="B42" s="24">
        <v>45049</v>
      </c>
      <c r="C42" s="11">
        <v>33178</v>
      </c>
      <c r="D42" s="11">
        <v>1712</v>
      </c>
      <c r="E42" s="11">
        <v>187</v>
      </c>
      <c r="F42" s="11">
        <v>255</v>
      </c>
      <c r="G42" s="11">
        <v>10065</v>
      </c>
      <c r="H42" s="11">
        <v>123</v>
      </c>
      <c r="I42" s="11">
        <v>1497</v>
      </c>
      <c r="J42" s="11">
        <v>49</v>
      </c>
      <c r="K42" s="11">
        <v>0</v>
      </c>
      <c r="L42" s="11">
        <v>417</v>
      </c>
      <c r="M42" s="11">
        <v>1063</v>
      </c>
    </row>
    <row r="43" spans="1:52" hidden="1" x14ac:dyDescent="0.2">
      <c r="B43" s="24">
        <v>45050</v>
      </c>
      <c r="C43" s="11">
        <v>32810</v>
      </c>
      <c r="D43" s="11">
        <v>1709</v>
      </c>
      <c r="E43" s="11">
        <v>231</v>
      </c>
      <c r="F43" s="11">
        <v>268</v>
      </c>
      <c r="G43" s="11">
        <v>9833</v>
      </c>
      <c r="H43" s="11">
        <v>129</v>
      </c>
      <c r="I43" s="11">
        <v>1511</v>
      </c>
      <c r="J43" s="11">
        <v>45</v>
      </c>
      <c r="K43" s="11">
        <v>0</v>
      </c>
      <c r="L43" s="11">
        <v>354</v>
      </c>
      <c r="M43" s="11">
        <v>978</v>
      </c>
    </row>
    <row r="44" spans="1:52" hidden="1" x14ac:dyDescent="0.2">
      <c r="B44" s="24">
        <v>45051</v>
      </c>
      <c r="C44" s="11">
        <v>30940</v>
      </c>
      <c r="D44" s="11">
        <v>1624</v>
      </c>
      <c r="E44" s="11">
        <v>207</v>
      </c>
      <c r="F44" s="11">
        <v>213</v>
      </c>
      <c r="G44" s="11">
        <v>8743</v>
      </c>
      <c r="H44" s="11">
        <v>127</v>
      </c>
      <c r="I44" s="11">
        <v>1330</v>
      </c>
      <c r="J44" s="11">
        <v>16</v>
      </c>
      <c r="K44" s="11">
        <v>0</v>
      </c>
      <c r="L44" s="11">
        <v>387</v>
      </c>
      <c r="M44" s="11">
        <v>996</v>
      </c>
    </row>
    <row r="45" spans="1:52" hidden="1" x14ac:dyDescent="0.2">
      <c r="B45" s="24">
        <v>45052</v>
      </c>
      <c r="C45" s="11">
        <v>10156</v>
      </c>
      <c r="D45" s="11">
        <v>532</v>
      </c>
      <c r="E45" s="11">
        <v>49</v>
      </c>
      <c r="F45" s="11">
        <v>79</v>
      </c>
      <c r="G45" s="11">
        <v>1797</v>
      </c>
      <c r="H45" s="11">
        <v>31</v>
      </c>
      <c r="I45" s="11">
        <v>460</v>
      </c>
      <c r="J45" s="11">
        <v>2</v>
      </c>
      <c r="K45" s="11">
        <v>0</v>
      </c>
      <c r="L45" s="11">
        <v>153</v>
      </c>
      <c r="M45" s="11">
        <v>400</v>
      </c>
    </row>
    <row r="46" spans="1:52" hidden="1" x14ac:dyDescent="0.2">
      <c r="B46" s="24">
        <v>45053</v>
      </c>
      <c r="C46" s="11">
        <v>9819</v>
      </c>
      <c r="D46" s="11">
        <v>482</v>
      </c>
      <c r="E46" s="11">
        <v>41</v>
      </c>
      <c r="F46" s="11">
        <v>52</v>
      </c>
      <c r="G46" s="11">
        <v>1207</v>
      </c>
      <c r="H46" s="11">
        <v>26</v>
      </c>
      <c r="I46" s="11">
        <v>382</v>
      </c>
      <c r="J46" s="11">
        <v>0</v>
      </c>
      <c r="K46" s="11">
        <v>0</v>
      </c>
      <c r="L46" s="11">
        <v>199</v>
      </c>
      <c r="M46" s="11">
        <v>826</v>
      </c>
    </row>
    <row r="47" spans="1:52" hidden="1" x14ac:dyDescent="0.2">
      <c r="B47" s="24">
        <v>45054</v>
      </c>
      <c r="C47" s="11">
        <v>32165</v>
      </c>
      <c r="D47" s="11">
        <v>1668</v>
      </c>
      <c r="E47" s="11">
        <v>219</v>
      </c>
      <c r="F47" s="11">
        <v>207</v>
      </c>
      <c r="G47" s="11">
        <v>9748</v>
      </c>
      <c r="H47" s="11">
        <v>129</v>
      </c>
      <c r="I47" s="11">
        <v>1511</v>
      </c>
      <c r="J47" s="11">
        <v>16</v>
      </c>
      <c r="K47" s="11">
        <v>0</v>
      </c>
      <c r="L47" s="11">
        <v>429</v>
      </c>
      <c r="M47" s="11">
        <v>1105</v>
      </c>
    </row>
    <row r="48" spans="1:52" hidden="1" x14ac:dyDescent="0.2">
      <c r="B48" s="24">
        <v>45055</v>
      </c>
      <c r="C48" s="11">
        <v>33014</v>
      </c>
      <c r="D48" s="11">
        <v>1678</v>
      </c>
      <c r="E48" s="11">
        <v>206</v>
      </c>
      <c r="F48" s="11">
        <v>264</v>
      </c>
      <c r="G48" s="11">
        <v>10250</v>
      </c>
      <c r="H48" s="11">
        <v>128</v>
      </c>
      <c r="I48" s="11">
        <v>1517</v>
      </c>
      <c r="J48" s="11">
        <v>21</v>
      </c>
      <c r="K48" s="11">
        <v>0</v>
      </c>
      <c r="L48" s="11">
        <v>386</v>
      </c>
      <c r="M48" s="11">
        <v>982</v>
      </c>
    </row>
    <row r="49" spans="2:13" hidden="1" x14ac:dyDescent="0.2">
      <c r="B49" s="24">
        <v>45056</v>
      </c>
      <c r="C49" s="11">
        <v>32413</v>
      </c>
      <c r="D49" s="11">
        <v>1596</v>
      </c>
      <c r="E49" s="11">
        <v>192</v>
      </c>
      <c r="F49" s="11">
        <v>270</v>
      </c>
      <c r="G49" s="11">
        <v>10337</v>
      </c>
      <c r="H49" s="11">
        <v>109</v>
      </c>
      <c r="I49" s="11">
        <v>1458</v>
      </c>
      <c r="J49" s="11">
        <v>68</v>
      </c>
      <c r="K49" s="11">
        <v>0</v>
      </c>
      <c r="L49" s="11">
        <v>365</v>
      </c>
      <c r="M49" s="11">
        <v>926</v>
      </c>
    </row>
    <row r="50" spans="2:13" hidden="1" x14ac:dyDescent="0.2">
      <c r="B50" s="24">
        <v>45057</v>
      </c>
      <c r="C50" s="11">
        <v>31618</v>
      </c>
      <c r="D50" s="11">
        <v>1640</v>
      </c>
      <c r="E50" s="11">
        <v>217</v>
      </c>
      <c r="F50" s="11">
        <v>261</v>
      </c>
      <c r="G50" s="11">
        <v>9837</v>
      </c>
      <c r="H50" s="11">
        <v>112</v>
      </c>
      <c r="I50" s="11">
        <v>1391</v>
      </c>
      <c r="J50" s="11">
        <v>8</v>
      </c>
      <c r="K50" s="11">
        <v>0</v>
      </c>
      <c r="L50" s="11">
        <v>400</v>
      </c>
      <c r="M50" s="11">
        <v>835</v>
      </c>
    </row>
    <row r="51" spans="2:13" hidden="1" x14ac:dyDescent="0.2">
      <c r="B51" s="24">
        <v>45058</v>
      </c>
      <c r="C51" s="11">
        <v>33503</v>
      </c>
      <c r="D51" s="11">
        <v>1655</v>
      </c>
      <c r="E51" s="11">
        <v>213</v>
      </c>
      <c r="F51" s="11">
        <v>238</v>
      </c>
      <c r="G51" s="11">
        <v>9254</v>
      </c>
      <c r="H51" s="11">
        <v>131</v>
      </c>
      <c r="I51" s="11">
        <v>1364</v>
      </c>
      <c r="J51" s="11">
        <v>30</v>
      </c>
      <c r="K51" s="11">
        <v>0</v>
      </c>
      <c r="L51" s="11">
        <v>394</v>
      </c>
      <c r="M51" s="11">
        <v>1098</v>
      </c>
    </row>
    <row r="52" spans="2:13" hidden="1" x14ac:dyDescent="0.2">
      <c r="B52" s="24">
        <v>45059</v>
      </c>
      <c r="C52" s="11">
        <v>12065</v>
      </c>
      <c r="D52" s="11">
        <v>499</v>
      </c>
      <c r="E52" s="11">
        <v>63</v>
      </c>
      <c r="F52" s="11">
        <v>74</v>
      </c>
      <c r="G52" s="11">
        <v>2195</v>
      </c>
      <c r="H52" s="11">
        <v>44</v>
      </c>
      <c r="I52" s="11">
        <v>508</v>
      </c>
      <c r="J52" s="11">
        <v>3</v>
      </c>
      <c r="K52" s="11">
        <v>0</v>
      </c>
      <c r="L52" s="11">
        <v>167</v>
      </c>
      <c r="M52" s="11">
        <v>427</v>
      </c>
    </row>
    <row r="53" spans="2:13" hidden="1" x14ac:dyDescent="0.2">
      <c r="B53" s="24">
        <v>45060</v>
      </c>
      <c r="C53" s="11">
        <v>4163</v>
      </c>
      <c r="D53" s="11">
        <v>199</v>
      </c>
      <c r="E53" s="11">
        <v>10</v>
      </c>
      <c r="F53" s="11">
        <v>25</v>
      </c>
      <c r="G53" s="11">
        <v>621</v>
      </c>
      <c r="H53" s="11">
        <v>24</v>
      </c>
      <c r="I53" s="11">
        <v>218</v>
      </c>
      <c r="J53" s="11">
        <v>0</v>
      </c>
      <c r="K53" s="11">
        <v>0</v>
      </c>
      <c r="L53" s="11">
        <v>62</v>
      </c>
      <c r="M53" s="11">
        <v>161</v>
      </c>
    </row>
    <row r="54" spans="2:13" hidden="1" x14ac:dyDescent="0.2">
      <c r="B54" s="24">
        <v>45061</v>
      </c>
      <c r="C54" s="11">
        <v>31201</v>
      </c>
      <c r="D54" s="11">
        <v>1591</v>
      </c>
      <c r="E54" s="11">
        <v>206</v>
      </c>
      <c r="F54" s="11">
        <v>248</v>
      </c>
      <c r="G54" s="11">
        <v>8585</v>
      </c>
      <c r="H54" s="11">
        <v>118</v>
      </c>
      <c r="I54" s="11">
        <v>1315</v>
      </c>
      <c r="J54" s="11">
        <v>34</v>
      </c>
      <c r="K54" s="11">
        <v>0</v>
      </c>
      <c r="L54" s="11">
        <v>432</v>
      </c>
      <c r="M54" s="11">
        <v>957</v>
      </c>
    </row>
    <row r="55" spans="2:13" hidden="1" x14ac:dyDescent="0.2">
      <c r="B55" s="24">
        <v>45062</v>
      </c>
      <c r="C55" s="11">
        <v>30968</v>
      </c>
      <c r="D55" s="11">
        <v>1547</v>
      </c>
      <c r="E55" s="11">
        <v>216</v>
      </c>
      <c r="F55" s="11">
        <v>268</v>
      </c>
      <c r="G55" s="11">
        <v>8692</v>
      </c>
      <c r="H55" s="11">
        <v>128</v>
      </c>
      <c r="I55" s="11">
        <v>1359</v>
      </c>
      <c r="J55" s="11">
        <v>14</v>
      </c>
      <c r="K55" s="11">
        <v>0</v>
      </c>
      <c r="L55" s="11">
        <v>361</v>
      </c>
      <c r="M55" s="11">
        <v>872</v>
      </c>
    </row>
    <row r="56" spans="2:13" hidden="1" x14ac:dyDescent="0.2">
      <c r="B56" s="24">
        <v>45063</v>
      </c>
      <c r="C56" s="11">
        <v>31999</v>
      </c>
      <c r="D56" s="11">
        <v>1666</v>
      </c>
      <c r="E56" s="11">
        <v>193</v>
      </c>
      <c r="F56" s="11">
        <v>297</v>
      </c>
      <c r="G56" s="11">
        <v>8918</v>
      </c>
      <c r="H56" s="11">
        <v>123</v>
      </c>
      <c r="I56" s="11">
        <v>1350</v>
      </c>
      <c r="J56" s="11">
        <v>8</v>
      </c>
      <c r="K56" s="11">
        <v>0</v>
      </c>
      <c r="L56" s="11">
        <v>358</v>
      </c>
      <c r="M56" s="11">
        <v>890</v>
      </c>
    </row>
    <row r="57" spans="2:13" hidden="1" x14ac:dyDescent="0.2">
      <c r="B57" s="24">
        <v>45064</v>
      </c>
      <c r="C57" s="11">
        <v>31543</v>
      </c>
      <c r="D57" s="11">
        <v>1714</v>
      </c>
      <c r="E57" s="11">
        <v>231</v>
      </c>
      <c r="F57" s="11">
        <v>259</v>
      </c>
      <c r="G57" s="11">
        <v>8852</v>
      </c>
      <c r="H57" s="11">
        <v>122</v>
      </c>
      <c r="I57" s="11">
        <v>1442</v>
      </c>
      <c r="J57" s="11">
        <v>23</v>
      </c>
      <c r="K57" s="11">
        <v>0</v>
      </c>
      <c r="L57" s="11">
        <v>420</v>
      </c>
      <c r="M57" s="11">
        <v>1089</v>
      </c>
    </row>
    <row r="58" spans="2:13" hidden="1" x14ac:dyDescent="0.2">
      <c r="B58" s="24">
        <v>45065</v>
      </c>
      <c r="C58" s="11">
        <v>31328</v>
      </c>
      <c r="D58" s="11">
        <v>1676</v>
      </c>
      <c r="E58" s="11">
        <v>210</v>
      </c>
      <c r="F58" s="11">
        <v>250</v>
      </c>
      <c r="G58" s="11">
        <v>7907</v>
      </c>
      <c r="H58" s="11">
        <v>109</v>
      </c>
      <c r="I58" s="11">
        <v>1286</v>
      </c>
      <c r="J58" s="11">
        <v>15</v>
      </c>
      <c r="K58" s="11">
        <v>0</v>
      </c>
      <c r="L58" s="11">
        <v>404</v>
      </c>
      <c r="M58" s="11">
        <v>976</v>
      </c>
    </row>
    <row r="59" spans="2:13" hidden="1" x14ac:dyDescent="0.2">
      <c r="B59" s="24">
        <v>45066</v>
      </c>
      <c r="C59" s="11">
        <v>10880</v>
      </c>
      <c r="D59" s="11">
        <v>556</v>
      </c>
      <c r="E59" s="11">
        <v>76</v>
      </c>
      <c r="F59" s="11">
        <v>76</v>
      </c>
      <c r="G59" s="11">
        <v>1981</v>
      </c>
      <c r="H59" s="11">
        <v>28</v>
      </c>
      <c r="I59" s="11">
        <v>473</v>
      </c>
      <c r="J59" s="11">
        <v>0</v>
      </c>
      <c r="K59" s="11">
        <v>0</v>
      </c>
      <c r="L59" s="11">
        <v>182</v>
      </c>
      <c r="M59" s="11">
        <v>433</v>
      </c>
    </row>
    <row r="60" spans="2:13" hidden="1" x14ac:dyDescent="0.2">
      <c r="B60" s="24">
        <v>45067</v>
      </c>
      <c r="C60" s="11">
        <v>196</v>
      </c>
      <c r="D60" s="11">
        <v>4</v>
      </c>
      <c r="E60" s="11">
        <v>1</v>
      </c>
      <c r="F60" s="11">
        <v>0</v>
      </c>
      <c r="G60" s="11">
        <v>23</v>
      </c>
      <c r="H60" s="11">
        <v>1</v>
      </c>
      <c r="I60" s="11">
        <v>16</v>
      </c>
      <c r="J60" s="11">
        <v>5</v>
      </c>
      <c r="K60" s="11">
        <v>0</v>
      </c>
      <c r="L60" s="11">
        <v>2</v>
      </c>
      <c r="M60" s="11">
        <v>7</v>
      </c>
    </row>
    <row r="61" spans="2:13" hidden="1" x14ac:dyDescent="0.2">
      <c r="B61" s="24">
        <v>45068</v>
      </c>
      <c r="C61" s="11">
        <v>29861</v>
      </c>
      <c r="D61" s="11">
        <v>1591</v>
      </c>
      <c r="E61" s="11">
        <v>232</v>
      </c>
      <c r="F61" s="11">
        <v>257</v>
      </c>
      <c r="G61" s="11">
        <v>8937</v>
      </c>
      <c r="H61" s="11">
        <v>120</v>
      </c>
      <c r="I61" s="11">
        <v>1278</v>
      </c>
      <c r="J61" s="11">
        <v>9</v>
      </c>
      <c r="K61" s="11">
        <v>0</v>
      </c>
      <c r="L61" s="11">
        <v>386</v>
      </c>
      <c r="M61" s="11">
        <v>821</v>
      </c>
    </row>
    <row r="62" spans="2:13" hidden="1" x14ac:dyDescent="0.2">
      <c r="B62" s="24">
        <v>45069</v>
      </c>
      <c r="C62" s="11">
        <v>30722</v>
      </c>
      <c r="D62" s="11">
        <v>1632</v>
      </c>
      <c r="E62" s="11">
        <v>225</v>
      </c>
      <c r="F62" s="11">
        <v>292</v>
      </c>
      <c r="G62" s="11">
        <v>8604</v>
      </c>
      <c r="H62" s="11">
        <v>116</v>
      </c>
      <c r="I62" s="11">
        <v>1344</v>
      </c>
      <c r="J62" s="11">
        <v>44</v>
      </c>
      <c r="K62" s="11">
        <v>0</v>
      </c>
      <c r="L62" s="11">
        <v>367</v>
      </c>
      <c r="M62" s="11">
        <v>831</v>
      </c>
    </row>
    <row r="63" spans="2:13" hidden="1" x14ac:dyDescent="0.2">
      <c r="B63" s="24">
        <v>45070</v>
      </c>
      <c r="C63" s="11">
        <v>28138</v>
      </c>
      <c r="D63" s="11">
        <v>1398</v>
      </c>
      <c r="E63" s="11">
        <v>208</v>
      </c>
      <c r="F63" s="11">
        <v>238</v>
      </c>
      <c r="G63" s="11">
        <v>8132</v>
      </c>
      <c r="H63" s="11">
        <v>108</v>
      </c>
      <c r="I63" s="11">
        <v>1285</v>
      </c>
      <c r="J63" s="11">
        <v>15</v>
      </c>
      <c r="K63" s="11">
        <v>0</v>
      </c>
      <c r="L63" s="11">
        <v>322</v>
      </c>
      <c r="M63" s="11">
        <v>704</v>
      </c>
    </row>
    <row r="64" spans="2:13" hidden="1" x14ac:dyDescent="0.2">
      <c r="B64" s="24">
        <v>45071</v>
      </c>
      <c r="C64" s="11">
        <v>30670</v>
      </c>
      <c r="D64" s="11">
        <v>1607</v>
      </c>
      <c r="E64" s="11">
        <v>233</v>
      </c>
      <c r="F64" s="11">
        <v>258</v>
      </c>
      <c r="G64" s="11">
        <v>8887</v>
      </c>
      <c r="H64" s="11">
        <v>114</v>
      </c>
      <c r="I64" s="11">
        <v>1324</v>
      </c>
      <c r="J64" s="11">
        <v>13</v>
      </c>
      <c r="K64" s="11">
        <v>0</v>
      </c>
      <c r="L64" s="11">
        <v>307</v>
      </c>
      <c r="M64" s="11">
        <v>721</v>
      </c>
    </row>
    <row r="65" spans="2:33" hidden="1" x14ac:dyDescent="0.2">
      <c r="B65" s="24">
        <v>45072</v>
      </c>
      <c r="C65" s="11">
        <v>28399</v>
      </c>
      <c r="D65" s="11">
        <v>1419</v>
      </c>
      <c r="E65" s="11">
        <v>199</v>
      </c>
      <c r="F65" s="11">
        <v>241</v>
      </c>
      <c r="G65" s="11">
        <v>7805</v>
      </c>
      <c r="H65" s="11">
        <v>109</v>
      </c>
      <c r="I65" s="11">
        <v>1163</v>
      </c>
      <c r="J65" s="11">
        <v>16</v>
      </c>
      <c r="K65" s="11">
        <v>0</v>
      </c>
      <c r="L65" s="11">
        <v>372</v>
      </c>
      <c r="M65" s="11">
        <v>1320</v>
      </c>
    </row>
    <row r="66" spans="2:33" hidden="1" x14ac:dyDescent="0.2">
      <c r="B66" s="24">
        <v>45073</v>
      </c>
      <c r="C66" s="11">
        <v>10548</v>
      </c>
      <c r="D66" s="11">
        <v>522</v>
      </c>
      <c r="E66" s="11">
        <v>87</v>
      </c>
      <c r="F66" s="11">
        <v>101</v>
      </c>
      <c r="G66" s="11">
        <v>2152</v>
      </c>
      <c r="H66" s="11">
        <v>43</v>
      </c>
      <c r="I66" s="11">
        <v>433</v>
      </c>
      <c r="J66" s="11">
        <v>4</v>
      </c>
      <c r="K66" s="11">
        <v>0</v>
      </c>
      <c r="L66" s="11">
        <v>150</v>
      </c>
      <c r="M66" s="11">
        <v>424</v>
      </c>
    </row>
    <row r="67" spans="2:33" hidden="1" x14ac:dyDescent="0.2">
      <c r="B67" s="24">
        <v>45074</v>
      </c>
      <c r="C67" s="11">
        <v>3746</v>
      </c>
      <c r="D67" s="11">
        <v>173</v>
      </c>
      <c r="E67" s="11">
        <v>20</v>
      </c>
      <c r="F67" s="11">
        <v>25</v>
      </c>
      <c r="G67" s="11">
        <v>710</v>
      </c>
      <c r="H67" s="11">
        <v>15</v>
      </c>
      <c r="I67" s="11">
        <v>183</v>
      </c>
      <c r="J67" s="11">
        <v>6</v>
      </c>
      <c r="K67" s="11">
        <v>0</v>
      </c>
      <c r="L67" s="11">
        <v>68</v>
      </c>
      <c r="M67" s="11">
        <v>127</v>
      </c>
    </row>
    <row r="68" spans="2:33" hidden="1" x14ac:dyDescent="0.2">
      <c r="B68" s="24">
        <v>45075</v>
      </c>
      <c r="C68" s="11">
        <v>31348</v>
      </c>
      <c r="D68" s="11">
        <v>1786</v>
      </c>
      <c r="E68" s="11">
        <v>263</v>
      </c>
      <c r="F68" s="11">
        <v>303</v>
      </c>
      <c r="G68" s="11">
        <v>10293</v>
      </c>
      <c r="H68" s="11">
        <v>116</v>
      </c>
      <c r="I68" s="11">
        <v>1438</v>
      </c>
      <c r="J68" s="11">
        <v>13</v>
      </c>
      <c r="K68" s="11">
        <v>0</v>
      </c>
      <c r="L68" s="11">
        <v>441</v>
      </c>
      <c r="M68" s="11">
        <v>854</v>
      </c>
    </row>
    <row r="69" spans="2:33" hidden="1" x14ac:dyDescent="0.2">
      <c r="B69" s="24">
        <v>45076</v>
      </c>
      <c r="C69" s="11">
        <v>30704</v>
      </c>
      <c r="D69" s="11">
        <v>1596</v>
      </c>
      <c r="E69" s="11">
        <v>232</v>
      </c>
      <c r="F69" s="11">
        <v>286</v>
      </c>
      <c r="G69" s="11">
        <v>10114</v>
      </c>
      <c r="H69" s="11">
        <v>99</v>
      </c>
      <c r="I69" s="11">
        <v>1358</v>
      </c>
      <c r="J69" s="11">
        <v>9</v>
      </c>
      <c r="K69" s="11">
        <v>0</v>
      </c>
      <c r="L69" s="11">
        <v>379</v>
      </c>
      <c r="M69" s="11">
        <v>814</v>
      </c>
    </row>
    <row r="70" spans="2:33" hidden="1" x14ac:dyDescent="0.2">
      <c r="B70" s="24">
        <v>45077</v>
      </c>
      <c r="C70" s="11">
        <v>31117</v>
      </c>
      <c r="D70" s="11">
        <v>1684</v>
      </c>
      <c r="E70" s="11">
        <v>246</v>
      </c>
      <c r="F70" s="11">
        <v>282</v>
      </c>
      <c r="G70" s="11">
        <v>9948</v>
      </c>
      <c r="H70" s="11">
        <v>125</v>
      </c>
      <c r="I70" s="11">
        <v>1408</v>
      </c>
      <c r="J70" s="11">
        <v>17</v>
      </c>
      <c r="K70" s="11">
        <v>0</v>
      </c>
      <c r="L70" s="11">
        <v>353</v>
      </c>
      <c r="M70" s="11">
        <v>831</v>
      </c>
    </row>
    <row r="71" spans="2:33" hidden="1" x14ac:dyDescent="0.2">
      <c r="B71" s="36"/>
      <c r="C71" s="52">
        <f>SUM(C7:C38)</f>
        <v>1280544</v>
      </c>
      <c r="D71" s="52">
        <f>SUM(D7:D38)</f>
        <v>489810</v>
      </c>
      <c r="E71" s="52">
        <f>SUM(E7:E38)</f>
        <v>36378</v>
      </c>
      <c r="F71" s="52">
        <f>SUM(F7:F38)</f>
        <v>130868</v>
      </c>
      <c r="AC71" s="52">
        <f>SUM(AC7:AC38)</f>
        <v>17258</v>
      </c>
      <c r="AE71" s="11">
        <f>SUM(AE7:AE38)</f>
        <v>59704</v>
      </c>
      <c r="AF71" s="52">
        <f>SUM(AF7:AF38)</f>
        <v>6964</v>
      </c>
      <c r="AG71" s="52">
        <f>SUM(AG7:AG38)</f>
        <v>1016</v>
      </c>
    </row>
    <row r="72" spans="2:33" ht="15" x14ac:dyDescent="0.25">
      <c r="B72" s="37"/>
    </row>
    <row r="73" spans="2:33" x14ac:dyDescent="0.2">
      <c r="B73" s="36"/>
    </row>
    <row r="74" spans="2:33" x14ac:dyDescent="0.2">
      <c r="B74" s="36"/>
    </row>
    <row r="75" spans="2:33" x14ac:dyDescent="0.2">
      <c r="B75" s="36"/>
    </row>
    <row r="76" spans="2:33" x14ac:dyDescent="0.2">
      <c r="B76" s="36"/>
    </row>
    <row r="77" spans="2:33" x14ac:dyDescent="0.2">
      <c r="B77" s="36"/>
    </row>
    <row r="78" spans="2:33" x14ac:dyDescent="0.2">
      <c r="B78" s="36"/>
    </row>
    <row r="79" spans="2:33" x14ac:dyDescent="0.2">
      <c r="B79" s="36"/>
    </row>
    <row r="80" spans="2:33" x14ac:dyDescent="0.2">
      <c r="B80" s="36"/>
    </row>
    <row r="81" spans="2:2" x14ac:dyDescent="0.2">
      <c r="B81" s="36"/>
    </row>
    <row r="82" spans="2:2" x14ac:dyDescent="0.2">
      <c r="B82" s="36"/>
    </row>
    <row r="83" spans="2:2" x14ac:dyDescent="0.2">
      <c r="B83" s="36"/>
    </row>
    <row r="84" spans="2:2" x14ac:dyDescent="0.2">
      <c r="B84" s="36"/>
    </row>
    <row r="85" spans="2:2" x14ac:dyDescent="0.2">
      <c r="B85" s="36"/>
    </row>
    <row r="86" spans="2:2" x14ac:dyDescent="0.2">
      <c r="B86" s="36"/>
    </row>
    <row r="87" spans="2:2" x14ac:dyDescent="0.2">
      <c r="B87" s="36"/>
    </row>
    <row r="88" spans="2:2" x14ac:dyDescent="0.2">
      <c r="B88" s="36"/>
    </row>
    <row r="89" spans="2:2" x14ac:dyDescent="0.2">
      <c r="B89" s="36"/>
    </row>
    <row r="90" spans="2:2" x14ac:dyDescent="0.2">
      <c r="B90" s="36"/>
    </row>
    <row r="91" spans="2:2" x14ac:dyDescent="0.2">
      <c r="B91" s="36"/>
    </row>
    <row r="92" spans="2:2" x14ac:dyDescent="0.2">
      <c r="B92" s="36"/>
    </row>
    <row r="93" spans="2:2" x14ac:dyDescent="0.2">
      <c r="B93" s="36"/>
    </row>
    <row r="94" spans="2:2" x14ac:dyDescent="0.2">
      <c r="B94" s="36"/>
    </row>
    <row r="96" spans="2:2" x14ac:dyDescent="0.2">
      <c r="B96" s="36"/>
    </row>
    <row r="98" spans="2:2" x14ac:dyDescent="0.2">
      <c r="B98" s="36"/>
    </row>
    <row r="100" spans="2:2" x14ac:dyDescent="0.2">
      <c r="B100" s="36"/>
    </row>
    <row r="102" spans="2:2" x14ac:dyDescent="0.2">
      <c r="B102" s="36"/>
    </row>
    <row r="104" spans="2:2" x14ac:dyDescent="0.2">
      <c r="B104" s="36"/>
    </row>
    <row r="106" spans="2:2" x14ac:dyDescent="0.2">
      <c r="B106" s="36"/>
    </row>
    <row r="108" spans="2:2" x14ac:dyDescent="0.2">
      <c r="B108" s="36"/>
    </row>
    <row r="110" spans="2:2" x14ac:dyDescent="0.2">
      <c r="B110" s="36"/>
    </row>
    <row r="112" spans="2:2" x14ac:dyDescent="0.2">
      <c r="B112" s="36"/>
    </row>
  </sheetData>
  <mergeCells count="1">
    <mergeCell ref="C3:G3"/>
  </mergeCells>
  <phoneticPr fontId="20" type="noConversion"/>
  <conditionalFormatting sqref="AP7:AP37">
    <cfRule type="cellIs" dxfId="5" priority="1" stopIfTrue="1" operator="lessThanOrEqual">
      <formula>-1</formula>
    </cfRule>
    <cfRule type="cellIs" dxfId="4" priority="2" stopIfTrue="1" operator="equal">
      <formula>0</formula>
    </cfRule>
    <cfRule type="cellIs" dxfId="3" priority="3" stopIfTrue="1" operator="greaterThanOrEqual">
      <formula>1</formula>
    </cfRule>
  </conditionalFormatting>
  <conditionalFormatting sqref="AQ7:AQ37">
    <cfRule type="cellIs" dxfId="2" priority="4" stopIfTrue="1" operator="lessThanOrEqual">
      <formula>-0.01</formula>
    </cfRule>
    <cfRule type="cellIs" dxfId="1" priority="5" stopIfTrue="1" operator="equal">
      <formula>0</formula>
    </cfRule>
    <cfRule type="cellIs" dxfId="0" priority="6" stopIfTrue="1" operator="greaterThanOrEqual">
      <formula>0.01</formula>
    </cfRule>
  </conditionalFormatting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3"/>
  <sheetViews>
    <sheetView topLeftCell="A19" workbookViewId="0">
      <selection activeCell="E57" sqref="E57"/>
    </sheetView>
  </sheetViews>
  <sheetFormatPr baseColWidth="10" defaultColWidth="11.42578125" defaultRowHeight="15" x14ac:dyDescent="0.25"/>
  <sheetData>
    <row r="1" spans="1:35" x14ac:dyDescent="0.25">
      <c r="A1" t="s">
        <v>67</v>
      </c>
      <c r="B1" t="s">
        <v>30</v>
      </c>
      <c r="C1" t="s">
        <v>31</v>
      </c>
      <c r="D1" t="s">
        <v>32</v>
      </c>
      <c r="E1" t="s">
        <v>33</v>
      </c>
      <c r="F1" t="s">
        <v>19</v>
      </c>
      <c r="G1" t="s">
        <v>21</v>
      </c>
      <c r="H1" t="s">
        <v>22</v>
      </c>
      <c r="I1" t="s">
        <v>24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23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17</v>
      </c>
      <c r="AG1" t="s">
        <v>15</v>
      </c>
      <c r="AH1" t="s">
        <v>28</v>
      </c>
      <c r="AI1" t="s">
        <v>66</v>
      </c>
    </row>
    <row r="2" spans="1:35" x14ac:dyDescent="0.25">
      <c r="A2" s="37">
        <v>44927</v>
      </c>
      <c r="B2">
        <v>173</v>
      </c>
      <c r="C2">
        <v>16</v>
      </c>
      <c r="D2">
        <v>1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</v>
      </c>
      <c r="AE2">
        <v>2</v>
      </c>
      <c r="AF2">
        <v>1</v>
      </c>
      <c r="AG2">
        <v>0</v>
      </c>
      <c r="AH2">
        <v>10</v>
      </c>
      <c r="AI2">
        <v>214</v>
      </c>
    </row>
    <row r="3" spans="1:35" x14ac:dyDescent="0.25">
      <c r="A3" s="37">
        <v>44928</v>
      </c>
      <c r="B3">
        <v>285</v>
      </c>
      <c r="C3">
        <v>39</v>
      </c>
      <c r="D3">
        <v>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</v>
      </c>
      <c r="AC3">
        <v>0</v>
      </c>
      <c r="AD3">
        <v>13</v>
      </c>
      <c r="AE3">
        <v>1</v>
      </c>
      <c r="AF3">
        <v>1</v>
      </c>
      <c r="AG3">
        <v>0</v>
      </c>
      <c r="AH3">
        <v>10</v>
      </c>
      <c r="AI3">
        <v>372</v>
      </c>
    </row>
    <row r="4" spans="1:35" x14ac:dyDescent="0.25">
      <c r="A4" s="37">
        <v>44929</v>
      </c>
      <c r="B4">
        <v>18658</v>
      </c>
      <c r="C4">
        <v>3163</v>
      </c>
      <c r="D4">
        <v>140</v>
      </c>
      <c r="E4">
        <v>1070</v>
      </c>
      <c r="F4">
        <v>28</v>
      </c>
      <c r="G4">
        <v>24</v>
      </c>
      <c r="H4">
        <v>12</v>
      </c>
      <c r="I4">
        <v>0</v>
      </c>
      <c r="J4">
        <v>39</v>
      </c>
      <c r="K4">
        <v>46</v>
      </c>
      <c r="L4">
        <v>2</v>
      </c>
      <c r="M4">
        <v>15</v>
      </c>
      <c r="N4">
        <v>0</v>
      </c>
      <c r="O4">
        <v>10</v>
      </c>
      <c r="P4">
        <v>20</v>
      </c>
      <c r="Q4">
        <v>10</v>
      </c>
      <c r="R4">
        <v>0</v>
      </c>
      <c r="S4">
        <v>11</v>
      </c>
      <c r="T4">
        <v>2</v>
      </c>
      <c r="U4">
        <v>0</v>
      </c>
      <c r="V4">
        <v>0</v>
      </c>
      <c r="W4">
        <v>0</v>
      </c>
      <c r="X4">
        <v>0</v>
      </c>
      <c r="Y4">
        <v>26</v>
      </c>
      <c r="Z4">
        <v>0</v>
      </c>
      <c r="AA4">
        <v>0</v>
      </c>
      <c r="AB4">
        <v>195</v>
      </c>
      <c r="AC4">
        <v>11</v>
      </c>
      <c r="AD4">
        <v>769</v>
      </c>
      <c r="AE4">
        <v>70</v>
      </c>
      <c r="AF4">
        <v>14</v>
      </c>
      <c r="AG4">
        <v>0</v>
      </c>
      <c r="AH4">
        <v>885</v>
      </c>
      <c r="AI4">
        <v>25220</v>
      </c>
    </row>
    <row r="5" spans="1:35" x14ac:dyDescent="0.25">
      <c r="A5" s="37">
        <v>44930</v>
      </c>
      <c r="B5">
        <v>19849</v>
      </c>
      <c r="C5">
        <v>3261</v>
      </c>
      <c r="D5">
        <v>132</v>
      </c>
      <c r="E5">
        <v>1234</v>
      </c>
      <c r="F5">
        <v>39</v>
      </c>
      <c r="G5">
        <v>28</v>
      </c>
      <c r="H5">
        <v>12</v>
      </c>
      <c r="I5">
        <v>0</v>
      </c>
      <c r="J5">
        <v>45</v>
      </c>
      <c r="K5">
        <v>48</v>
      </c>
      <c r="L5">
        <v>3</v>
      </c>
      <c r="M5">
        <v>23</v>
      </c>
      <c r="N5">
        <v>0</v>
      </c>
      <c r="O5">
        <v>10</v>
      </c>
      <c r="P5">
        <v>20</v>
      </c>
      <c r="Q5">
        <v>14</v>
      </c>
      <c r="R5">
        <v>0</v>
      </c>
      <c r="S5">
        <v>12</v>
      </c>
      <c r="T5">
        <v>2</v>
      </c>
      <c r="U5">
        <v>0</v>
      </c>
      <c r="V5">
        <v>0</v>
      </c>
      <c r="W5">
        <v>0</v>
      </c>
      <c r="X5">
        <v>0</v>
      </c>
      <c r="Y5">
        <v>28</v>
      </c>
      <c r="Z5">
        <v>0</v>
      </c>
      <c r="AA5">
        <v>0</v>
      </c>
      <c r="AB5">
        <v>177</v>
      </c>
      <c r="AC5">
        <v>10</v>
      </c>
      <c r="AD5">
        <v>887</v>
      </c>
      <c r="AE5">
        <v>58</v>
      </c>
      <c r="AF5">
        <v>27</v>
      </c>
      <c r="AG5">
        <v>0</v>
      </c>
      <c r="AH5">
        <v>994</v>
      </c>
      <c r="AI5">
        <v>26913</v>
      </c>
    </row>
    <row r="6" spans="1:35" x14ac:dyDescent="0.25">
      <c r="A6" s="37">
        <v>44931</v>
      </c>
      <c r="B6">
        <v>19210</v>
      </c>
      <c r="C6">
        <v>3262</v>
      </c>
      <c r="D6">
        <v>120</v>
      </c>
      <c r="E6">
        <v>1151</v>
      </c>
      <c r="F6">
        <v>46</v>
      </c>
      <c r="G6">
        <v>31</v>
      </c>
      <c r="H6">
        <v>7</v>
      </c>
      <c r="I6">
        <v>0</v>
      </c>
      <c r="J6">
        <v>39</v>
      </c>
      <c r="K6">
        <v>56</v>
      </c>
      <c r="L6">
        <v>1</v>
      </c>
      <c r="M6">
        <v>12</v>
      </c>
      <c r="N6">
        <v>0</v>
      </c>
      <c r="O6">
        <v>12</v>
      </c>
      <c r="P6">
        <v>23</v>
      </c>
      <c r="Q6">
        <v>11</v>
      </c>
      <c r="R6">
        <v>0</v>
      </c>
      <c r="S6">
        <v>9</v>
      </c>
      <c r="T6">
        <v>2</v>
      </c>
      <c r="U6">
        <v>0</v>
      </c>
      <c r="V6">
        <v>0</v>
      </c>
      <c r="W6">
        <v>0</v>
      </c>
      <c r="X6">
        <v>0</v>
      </c>
      <c r="Y6">
        <v>23</v>
      </c>
      <c r="Z6">
        <v>0</v>
      </c>
      <c r="AA6">
        <v>0</v>
      </c>
      <c r="AB6">
        <v>181</v>
      </c>
      <c r="AC6">
        <v>11</v>
      </c>
      <c r="AD6">
        <v>867</v>
      </c>
      <c r="AE6">
        <v>67</v>
      </c>
      <c r="AF6">
        <v>33</v>
      </c>
      <c r="AG6">
        <v>2</v>
      </c>
      <c r="AH6">
        <v>878</v>
      </c>
      <c r="AI6">
        <v>26054</v>
      </c>
    </row>
    <row r="7" spans="1:35" x14ac:dyDescent="0.25">
      <c r="A7" s="37">
        <v>44932</v>
      </c>
      <c r="B7">
        <v>18399</v>
      </c>
      <c r="C7">
        <v>3174</v>
      </c>
      <c r="D7">
        <v>133</v>
      </c>
      <c r="E7">
        <v>1110</v>
      </c>
      <c r="F7">
        <v>37</v>
      </c>
      <c r="G7">
        <v>35</v>
      </c>
      <c r="H7">
        <v>6</v>
      </c>
      <c r="I7">
        <v>0</v>
      </c>
      <c r="J7">
        <v>35</v>
      </c>
      <c r="K7">
        <v>43</v>
      </c>
      <c r="L7">
        <v>1</v>
      </c>
      <c r="M7">
        <v>12</v>
      </c>
      <c r="N7">
        <v>0</v>
      </c>
      <c r="O7">
        <v>11</v>
      </c>
      <c r="P7">
        <v>17</v>
      </c>
      <c r="Q7">
        <v>11</v>
      </c>
      <c r="R7">
        <v>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27</v>
      </c>
      <c r="Z7">
        <v>0</v>
      </c>
      <c r="AA7">
        <v>0</v>
      </c>
      <c r="AB7">
        <v>201</v>
      </c>
      <c r="AC7">
        <v>10</v>
      </c>
      <c r="AD7">
        <v>820</v>
      </c>
      <c r="AE7">
        <v>55</v>
      </c>
      <c r="AF7">
        <v>17</v>
      </c>
      <c r="AG7">
        <v>0</v>
      </c>
      <c r="AH7">
        <v>1003</v>
      </c>
      <c r="AI7">
        <v>25165</v>
      </c>
    </row>
    <row r="8" spans="1:35" x14ac:dyDescent="0.25">
      <c r="A8" s="37">
        <v>44933</v>
      </c>
      <c r="B8">
        <v>5317</v>
      </c>
      <c r="C8">
        <v>1010</v>
      </c>
      <c r="D8">
        <v>49</v>
      </c>
      <c r="E8">
        <v>305</v>
      </c>
      <c r="F8">
        <v>4</v>
      </c>
      <c r="G8">
        <v>4</v>
      </c>
      <c r="H8">
        <v>0</v>
      </c>
      <c r="I8">
        <v>0</v>
      </c>
      <c r="J8">
        <v>6</v>
      </c>
      <c r="K8">
        <v>8</v>
      </c>
      <c r="L8">
        <v>0</v>
      </c>
      <c r="M8">
        <v>2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5</v>
      </c>
      <c r="Z8">
        <v>0</v>
      </c>
      <c r="AA8">
        <v>0</v>
      </c>
      <c r="AB8">
        <v>56</v>
      </c>
      <c r="AC8">
        <v>0</v>
      </c>
      <c r="AD8">
        <v>272</v>
      </c>
      <c r="AE8">
        <v>18</v>
      </c>
      <c r="AF8">
        <v>2</v>
      </c>
      <c r="AG8">
        <v>0</v>
      </c>
      <c r="AH8">
        <v>340</v>
      </c>
      <c r="AI8">
        <v>7401</v>
      </c>
    </row>
    <row r="9" spans="1:35" x14ac:dyDescent="0.25">
      <c r="A9" s="37">
        <v>44934</v>
      </c>
      <c r="B9">
        <v>259</v>
      </c>
      <c r="C9">
        <v>33</v>
      </c>
      <c r="D9">
        <v>0</v>
      </c>
      <c r="E9">
        <v>15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18</v>
      </c>
      <c r="AE9">
        <v>4</v>
      </c>
      <c r="AF9">
        <v>0</v>
      </c>
      <c r="AG9">
        <v>0</v>
      </c>
      <c r="AH9">
        <v>22</v>
      </c>
      <c r="AI9">
        <v>353</v>
      </c>
    </row>
    <row r="10" spans="1:35" x14ac:dyDescent="0.25">
      <c r="A10" s="37">
        <v>44935</v>
      </c>
      <c r="B10">
        <v>18919</v>
      </c>
      <c r="C10">
        <v>3155</v>
      </c>
      <c r="D10">
        <v>131</v>
      </c>
      <c r="E10">
        <v>1201</v>
      </c>
      <c r="F10">
        <v>37</v>
      </c>
      <c r="G10">
        <v>33</v>
      </c>
      <c r="H10">
        <v>8</v>
      </c>
      <c r="I10">
        <v>0</v>
      </c>
      <c r="J10">
        <v>43</v>
      </c>
      <c r="K10">
        <v>39</v>
      </c>
      <c r="L10">
        <v>1</v>
      </c>
      <c r="M10">
        <v>10</v>
      </c>
      <c r="N10">
        <v>0</v>
      </c>
      <c r="O10">
        <v>8</v>
      </c>
      <c r="P10">
        <v>21</v>
      </c>
      <c r="Q10">
        <v>17</v>
      </c>
      <c r="R10">
        <v>0</v>
      </c>
      <c r="S10">
        <v>10</v>
      </c>
      <c r="T10">
        <v>1</v>
      </c>
      <c r="U10">
        <v>0</v>
      </c>
      <c r="V10">
        <v>0</v>
      </c>
      <c r="W10">
        <v>0</v>
      </c>
      <c r="X10">
        <v>0</v>
      </c>
      <c r="Y10">
        <v>27</v>
      </c>
      <c r="Z10">
        <v>0</v>
      </c>
      <c r="AA10">
        <v>0</v>
      </c>
      <c r="AB10">
        <v>200</v>
      </c>
      <c r="AC10">
        <v>7</v>
      </c>
      <c r="AD10">
        <v>839</v>
      </c>
      <c r="AE10">
        <v>63</v>
      </c>
      <c r="AF10">
        <v>36</v>
      </c>
      <c r="AG10">
        <v>0</v>
      </c>
      <c r="AH10">
        <v>1228</v>
      </c>
      <c r="AI10">
        <v>26034</v>
      </c>
    </row>
    <row r="11" spans="1:35" x14ac:dyDescent="0.25">
      <c r="A11" s="37">
        <v>44936</v>
      </c>
      <c r="B11">
        <v>19397</v>
      </c>
      <c r="C11">
        <v>3276</v>
      </c>
      <c r="D11">
        <v>120</v>
      </c>
      <c r="E11">
        <v>1166</v>
      </c>
      <c r="F11">
        <v>37</v>
      </c>
      <c r="G11">
        <v>29</v>
      </c>
      <c r="H11">
        <v>10</v>
      </c>
      <c r="I11">
        <v>0</v>
      </c>
      <c r="J11">
        <v>50</v>
      </c>
      <c r="K11">
        <v>41</v>
      </c>
      <c r="L11">
        <v>1</v>
      </c>
      <c r="M11">
        <v>13</v>
      </c>
      <c r="N11">
        <v>0</v>
      </c>
      <c r="O11">
        <v>9</v>
      </c>
      <c r="P11">
        <v>16</v>
      </c>
      <c r="Q11">
        <v>15</v>
      </c>
      <c r="R11">
        <v>0</v>
      </c>
      <c r="S11">
        <v>10</v>
      </c>
      <c r="T11">
        <v>2</v>
      </c>
      <c r="U11">
        <v>0</v>
      </c>
      <c r="V11">
        <v>0</v>
      </c>
      <c r="W11">
        <v>0</v>
      </c>
      <c r="X11">
        <v>0</v>
      </c>
      <c r="Y11">
        <v>27</v>
      </c>
      <c r="Z11">
        <v>0</v>
      </c>
      <c r="AA11">
        <v>0</v>
      </c>
      <c r="AB11">
        <v>189</v>
      </c>
      <c r="AC11">
        <v>8</v>
      </c>
      <c r="AD11">
        <v>823</v>
      </c>
      <c r="AE11">
        <v>85</v>
      </c>
      <c r="AF11">
        <v>37</v>
      </c>
      <c r="AG11">
        <v>0</v>
      </c>
      <c r="AH11">
        <v>1210</v>
      </c>
      <c r="AI11">
        <v>26571</v>
      </c>
    </row>
    <row r="12" spans="1:35" x14ac:dyDescent="0.25">
      <c r="A12" s="37">
        <v>44937</v>
      </c>
      <c r="B12">
        <v>19624</v>
      </c>
      <c r="C12">
        <v>3226</v>
      </c>
      <c r="D12">
        <v>163</v>
      </c>
      <c r="E12">
        <v>1122</v>
      </c>
      <c r="F12">
        <v>24</v>
      </c>
      <c r="G12">
        <v>25</v>
      </c>
      <c r="H12">
        <v>5</v>
      </c>
      <c r="I12">
        <v>0</v>
      </c>
      <c r="J12">
        <v>37</v>
      </c>
      <c r="K12">
        <v>38</v>
      </c>
      <c r="L12">
        <v>1</v>
      </c>
      <c r="M12">
        <v>6</v>
      </c>
      <c r="N12">
        <v>0</v>
      </c>
      <c r="O12">
        <v>9</v>
      </c>
      <c r="P12">
        <v>12</v>
      </c>
      <c r="Q12">
        <v>9</v>
      </c>
      <c r="R12">
        <v>0</v>
      </c>
      <c r="S12">
        <v>10</v>
      </c>
      <c r="T12">
        <v>2</v>
      </c>
      <c r="U12">
        <v>0</v>
      </c>
      <c r="V12">
        <v>0</v>
      </c>
      <c r="W12">
        <v>0</v>
      </c>
      <c r="X12">
        <v>0</v>
      </c>
      <c r="Y12">
        <v>22</v>
      </c>
      <c r="Z12">
        <v>0</v>
      </c>
      <c r="AA12">
        <v>0</v>
      </c>
      <c r="AB12">
        <v>203</v>
      </c>
      <c r="AC12">
        <v>6</v>
      </c>
      <c r="AD12">
        <v>875</v>
      </c>
      <c r="AE12">
        <v>90</v>
      </c>
      <c r="AF12">
        <v>25</v>
      </c>
      <c r="AG12">
        <v>0</v>
      </c>
      <c r="AH12">
        <v>1252</v>
      </c>
      <c r="AI12">
        <v>26786</v>
      </c>
    </row>
    <row r="13" spans="1:35" x14ac:dyDescent="0.25">
      <c r="A13" s="37">
        <v>44938</v>
      </c>
      <c r="B13">
        <v>19581</v>
      </c>
      <c r="C13">
        <v>3107</v>
      </c>
      <c r="D13">
        <v>139</v>
      </c>
      <c r="E13">
        <v>1164</v>
      </c>
      <c r="F13">
        <v>25</v>
      </c>
      <c r="G13">
        <v>21</v>
      </c>
      <c r="H13">
        <v>4</v>
      </c>
      <c r="I13">
        <v>0</v>
      </c>
      <c r="J13">
        <v>28</v>
      </c>
      <c r="K13">
        <v>30</v>
      </c>
      <c r="L13">
        <v>2</v>
      </c>
      <c r="M13">
        <v>12</v>
      </c>
      <c r="N13">
        <v>0</v>
      </c>
      <c r="O13">
        <v>7</v>
      </c>
      <c r="P13">
        <v>14</v>
      </c>
      <c r="Q13">
        <v>6</v>
      </c>
      <c r="R13">
        <v>0</v>
      </c>
      <c r="S13">
        <v>9</v>
      </c>
      <c r="T13">
        <v>1</v>
      </c>
      <c r="U13">
        <v>0</v>
      </c>
      <c r="V13">
        <v>0</v>
      </c>
      <c r="W13">
        <v>0</v>
      </c>
      <c r="X13">
        <v>0</v>
      </c>
      <c r="Y13">
        <v>28</v>
      </c>
      <c r="Z13">
        <v>0</v>
      </c>
      <c r="AA13">
        <v>0</v>
      </c>
      <c r="AB13">
        <v>185</v>
      </c>
      <c r="AC13">
        <v>6</v>
      </c>
      <c r="AD13">
        <v>867</v>
      </c>
      <c r="AE13">
        <v>78</v>
      </c>
      <c r="AF13">
        <v>79</v>
      </c>
      <c r="AG13">
        <v>0</v>
      </c>
      <c r="AH13">
        <v>1375</v>
      </c>
      <c r="AI13">
        <v>26768</v>
      </c>
    </row>
    <row r="14" spans="1:35" x14ac:dyDescent="0.25">
      <c r="A14" s="37">
        <v>44939</v>
      </c>
      <c r="B14">
        <v>18218</v>
      </c>
      <c r="C14">
        <v>2906</v>
      </c>
      <c r="D14">
        <v>151</v>
      </c>
      <c r="E14">
        <v>1032</v>
      </c>
      <c r="F14">
        <v>18</v>
      </c>
      <c r="G14">
        <v>17</v>
      </c>
      <c r="H14">
        <v>3</v>
      </c>
      <c r="I14">
        <v>0</v>
      </c>
      <c r="J14">
        <v>19</v>
      </c>
      <c r="K14">
        <v>23</v>
      </c>
      <c r="L14">
        <v>2</v>
      </c>
      <c r="M14">
        <v>8</v>
      </c>
      <c r="N14">
        <v>0</v>
      </c>
      <c r="O14">
        <v>4</v>
      </c>
      <c r="P14">
        <v>7</v>
      </c>
      <c r="Q14">
        <v>10</v>
      </c>
      <c r="R14">
        <v>0</v>
      </c>
      <c r="S14">
        <v>12</v>
      </c>
      <c r="T14">
        <v>3</v>
      </c>
      <c r="U14">
        <v>0</v>
      </c>
      <c r="V14">
        <v>0</v>
      </c>
      <c r="W14">
        <v>0</v>
      </c>
      <c r="X14">
        <v>0</v>
      </c>
      <c r="Y14">
        <v>21</v>
      </c>
      <c r="Z14">
        <v>0</v>
      </c>
      <c r="AA14">
        <v>0</v>
      </c>
      <c r="AB14">
        <v>143</v>
      </c>
      <c r="AC14">
        <v>4</v>
      </c>
      <c r="AD14">
        <v>733</v>
      </c>
      <c r="AE14">
        <v>75</v>
      </c>
      <c r="AF14">
        <v>85</v>
      </c>
      <c r="AG14">
        <v>0</v>
      </c>
      <c r="AH14">
        <v>1266</v>
      </c>
      <c r="AI14">
        <v>24760</v>
      </c>
    </row>
    <row r="15" spans="1:35" x14ac:dyDescent="0.25">
      <c r="A15" s="37">
        <v>44940</v>
      </c>
      <c r="B15">
        <v>5254</v>
      </c>
      <c r="C15">
        <v>1009</v>
      </c>
      <c r="D15">
        <v>62</v>
      </c>
      <c r="E15">
        <v>289</v>
      </c>
      <c r="F15">
        <v>2</v>
      </c>
      <c r="G15">
        <v>6</v>
      </c>
      <c r="H15">
        <v>2</v>
      </c>
      <c r="I15">
        <v>0</v>
      </c>
      <c r="J15">
        <v>1</v>
      </c>
      <c r="K15">
        <v>3</v>
      </c>
      <c r="L15">
        <v>0</v>
      </c>
      <c r="M15">
        <v>2</v>
      </c>
      <c r="N15">
        <v>0</v>
      </c>
      <c r="O15">
        <v>0</v>
      </c>
      <c r="P15">
        <v>2</v>
      </c>
      <c r="Q15">
        <v>2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7</v>
      </c>
      <c r="Z15">
        <v>0</v>
      </c>
      <c r="AA15">
        <v>0</v>
      </c>
      <c r="AB15">
        <v>48</v>
      </c>
      <c r="AC15">
        <v>0</v>
      </c>
      <c r="AD15">
        <v>272</v>
      </c>
      <c r="AE15">
        <v>18</v>
      </c>
      <c r="AF15">
        <v>5</v>
      </c>
      <c r="AG15">
        <v>0</v>
      </c>
      <c r="AH15">
        <v>528</v>
      </c>
      <c r="AI15">
        <v>7514</v>
      </c>
    </row>
    <row r="16" spans="1:35" x14ac:dyDescent="0.25">
      <c r="A16" s="37">
        <v>44941</v>
      </c>
      <c r="B16">
        <v>278</v>
      </c>
      <c r="C16">
        <v>37</v>
      </c>
      <c r="D16">
        <v>3</v>
      </c>
      <c r="E16">
        <v>13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</v>
      </c>
      <c r="AC16">
        <v>2</v>
      </c>
      <c r="AD16">
        <v>9</v>
      </c>
      <c r="AE16">
        <v>3</v>
      </c>
      <c r="AF16">
        <v>0</v>
      </c>
      <c r="AG16">
        <v>0</v>
      </c>
      <c r="AH16">
        <v>36</v>
      </c>
      <c r="AI16">
        <v>393</v>
      </c>
    </row>
    <row r="17" spans="1:35" x14ac:dyDescent="0.25">
      <c r="A17" s="37">
        <v>44942</v>
      </c>
      <c r="B17">
        <v>18780</v>
      </c>
      <c r="C17">
        <v>3067</v>
      </c>
      <c r="D17">
        <v>129</v>
      </c>
      <c r="E17">
        <v>1148</v>
      </c>
      <c r="F17">
        <v>16</v>
      </c>
      <c r="G17">
        <v>24</v>
      </c>
      <c r="H17">
        <v>9</v>
      </c>
      <c r="I17">
        <v>0</v>
      </c>
      <c r="J17">
        <v>30</v>
      </c>
      <c r="K17">
        <v>25</v>
      </c>
      <c r="L17">
        <v>3</v>
      </c>
      <c r="M17">
        <v>10</v>
      </c>
      <c r="N17">
        <v>0</v>
      </c>
      <c r="O17">
        <v>6</v>
      </c>
      <c r="P17">
        <v>13</v>
      </c>
      <c r="Q17">
        <v>12</v>
      </c>
      <c r="R17">
        <v>0</v>
      </c>
      <c r="S17">
        <v>9</v>
      </c>
      <c r="T17">
        <v>0</v>
      </c>
      <c r="U17">
        <v>0</v>
      </c>
      <c r="V17">
        <v>0</v>
      </c>
      <c r="W17">
        <v>0</v>
      </c>
      <c r="X17">
        <v>0</v>
      </c>
      <c r="Y17">
        <v>18</v>
      </c>
      <c r="Z17">
        <v>0</v>
      </c>
      <c r="AA17">
        <v>0</v>
      </c>
      <c r="AB17">
        <v>158</v>
      </c>
      <c r="AC17">
        <v>8</v>
      </c>
      <c r="AD17">
        <v>863</v>
      </c>
      <c r="AE17">
        <v>68</v>
      </c>
      <c r="AF17">
        <v>34</v>
      </c>
      <c r="AG17">
        <v>0</v>
      </c>
      <c r="AH17">
        <v>1268</v>
      </c>
      <c r="AI17">
        <v>25698</v>
      </c>
    </row>
    <row r="18" spans="1:35" x14ac:dyDescent="0.25">
      <c r="A18" s="37">
        <v>44943</v>
      </c>
      <c r="B18">
        <v>19014</v>
      </c>
      <c r="C18">
        <v>3070</v>
      </c>
      <c r="D18">
        <v>119</v>
      </c>
      <c r="E18">
        <v>1050</v>
      </c>
      <c r="F18">
        <v>25</v>
      </c>
      <c r="G18">
        <v>20</v>
      </c>
      <c r="H18">
        <v>9</v>
      </c>
      <c r="I18">
        <v>0</v>
      </c>
      <c r="J18">
        <v>28</v>
      </c>
      <c r="K18">
        <v>23</v>
      </c>
      <c r="L18">
        <v>0</v>
      </c>
      <c r="M18">
        <v>10</v>
      </c>
      <c r="N18">
        <v>0</v>
      </c>
      <c r="O18">
        <v>4</v>
      </c>
      <c r="P18">
        <v>15</v>
      </c>
      <c r="Q18">
        <v>9</v>
      </c>
      <c r="R18">
        <v>0</v>
      </c>
      <c r="S18">
        <v>8</v>
      </c>
      <c r="T18">
        <v>2</v>
      </c>
      <c r="U18">
        <v>0</v>
      </c>
      <c r="V18">
        <v>0</v>
      </c>
      <c r="W18">
        <v>0</v>
      </c>
      <c r="X18">
        <v>0</v>
      </c>
      <c r="Y18">
        <v>17</v>
      </c>
      <c r="Z18">
        <v>0</v>
      </c>
      <c r="AA18">
        <v>0</v>
      </c>
      <c r="AB18">
        <v>158</v>
      </c>
      <c r="AC18">
        <v>8</v>
      </c>
      <c r="AD18">
        <v>815</v>
      </c>
      <c r="AE18">
        <v>67</v>
      </c>
      <c r="AF18">
        <v>43</v>
      </c>
      <c r="AG18">
        <v>0</v>
      </c>
      <c r="AH18">
        <v>1349</v>
      </c>
      <c r="AI18">
        <v>25863</v>
      </c>
    </row>
    <row r="19" spans="1:35" x14ac:dyDescent="0.25">
      <c r="A19" s="37">
        <v>44944</v>
      </c>
      <c r="B19">
        <v>19138</v>
      </c>
      <c r="C19">
        <v>3123</v>
      </c>
      <c r="D19">
        <v>139</v>
      </c>
      <c r="E19">
        <v>1092</v>
      </c>
      <c r="F19">
        <v>30</v>
      </c>
      <c r="G19">
        <v>21</v>
      </c>
      <c r="H19">
        <v>9</v>
      </c>
      <c r="I19">
        <v>0</v>
      </c>
      <c r="J19">
        <v>20</v>
      </c>
      <c r="K19">
        <v>23</v>
      </c>
      <c r="L19">
        <v>0</v>
      </c>
      <c r="M19">
        <v>17</v>
      </c>
      <c r="N19">
        <v>0</v>
      </c>
      <c r="O19">
        <v>9</v>
      </c>
      <c r="P19">
        <v>11</v>
      </c>
      <c r="Q19">
        <v>11</v>
      </c>
      <c r="R19">
        <v>0</v>
      </c>
      <c r="S19">
        <v>11</v>
      </c>
      <c r="T19">
        <v>2</v>
      </c>
      <c r="U19">
        <v>0</v>
      </c>
      <c r="V19">
        <v>0</v>
      </c>
      <c r="W19">
        <v>0</v>
      </c>
      <c r="X19">
        <v>0</v>
      </c>
      <c r="Y19">
        <v>20</v>
      </c>
      <c r="Z19">
        <v>0</v>
      </c>
      <c r="AA19">
        <v>0</v>
      </c>
      <c r="AB19">
        <v>178</v>
      </c>
      <c r="AC19">
        <v>8</v>
      </c>
      <c r="AD19">
        <v>809</v>
      </c>
      <c r="AE19">
        <v>77</v>
      </c>
      <c r="AF19">
        <v>92</v>
      </c>
      <c r="AG19">
        <v>0</v>
      </c>
      <c r="AH19">
        <v>1218</v>
      </c>
      <c r="AI19">
        <v>26058</v>
      </c>
    </row>
    <row r="20" spans="1:35" x14ac:dyDescent="0.25">
      <c r="A20" s="37">
        <v>44945</v>
      </c>
      <c r="B20">
        <v>19232</v>
      </c>
      <c r="C20">
        <v>2997</v>
      </c>
      <c r="D20">
        <v>128</v>
      </c>
      <c r="E20">
        <v>1185</v>
      </c>
      <c r="F20">
        <v>26</v>
      </c>
      <c r="G20">
        <v>24</v>
      </c>
      <c r="H20">
        <v>3</v>
      </c>
      <c r="I20">
        <v>0</v>
      </c>
      <c r="J20">
        <v>28</v>
      </c>
      <c r="K20">
        <v>27</v>
      </c>
      <c r="L20">
        <v>2</v>
      </c>
      <c r="M20">
        <v>6</v>
      </c>
      <c r="N20">
        <v>0</v>
      </c>
      <c r="O20">
        <v>9</v>
      </c>
      <c r="P20">
        <v>16</v>
      </c>
      <c r="Q20">
        <v>11</v>
      </c>
      <c r="R20">
        <v>0</v>
      </c>
      <c r="S20">
        <v>9</v>
      </c>
      <c r="T20">
        <v>1</v>
      </c>
      <c r="U20">
        <v>0</v>
      </c>
      <c r="V20">
        <v>0</v>
      </c>
      <c r="W20">
        <v>0</v>
      </c>
      <c r="X20">
        <v>0</v>
      </c>
      <c r="Y20">
        <v>26</v>
      </c>
      <c r="Z20">
        <v>0</v>
      </c>
      <c r="AA20">
        <v>0</v>
      </c>
      <c r="AB20">
        <v>198</v>
      </c>
      <c r="AC20">
        <v>10</v>
      </c>
      <c r="AD20">
        <v>857</v>
      </c>
      <c r="AE20">
        <v>58</v>
      </c>
      <c r="AF20">
        <v>40</v>
      </c>
      <c r="AG20">
        <v>0</v>
      </c>
      <c r="AH20">
        <v>1276</v>
      </c>
      <c r="AI20">
        <v>26169</v>
      </c>
    </row>
    <row r="21" spans="1:35" x14ac:dyDescent="0.25">
      <c r="A21" s="37">
        <v>44946</v>
      </c>
      <c r="B21">
        <v>18719</v>
      </c>
      <c r="C21">
        <v>2979</v>
      </c>
      <c r="D21">
        <v>186</v>
      </c>
      <c r="E21">
        <v>1139</v>
      </c>
      <c r="F21">
        <v>13</v>
      </c>
      <c r="G21">
        <v>18</v>
      </c>
      <c r="H21">
        <v>8</v>
      </c>
      <c r="I21">
        <v>0</v>
      </c>
      <c r="J21">
        <v>26</v>
      </c>
      <c r="K21">
        <v>26</v>
      </c>
      <c r="L21">
        <v>3</v>
      </c>
      <c r="M21">
        <v>7</v>
      </c>
      <c r="N21">
        <v>0</v>
      </c>
      <c r="O21">
        <v>6</v>
      </c>
      <c r="P21">
        <v>10</v>
      </c>
      <c r="Q21">
        <v>8</v>
      </c>
      <c r="R21">
        <v>0</v>
      </c>
      <c r="S21">
        <v>11</v>
      </c>
      <c r="T21">
        <v>0</v>
      </c>
      <c r="U21">
        <v>0</v>
      </c>
      <c r="V21">
        <v>0</v>
      </c>
      <c r="W21">
        <v>0</v>
      </c>
      <c r="X21">
        <v>0</v>
      </c>
      <c r="Y21">
        <v>18</v>
      </c>
      <c r="Z21">
        <v>0</v>
      </c>
      <c r="AA21">
        <v>0</v>
      </c>
      <c r="AB21">
        <v>212</v>
      </c>
      <c r="AC21">
        <v>2</v>
      </c>
      <c r="AD21">
        <v>805</v>
      </c>
      <c r="AE21">
        <v>75</v>
      </c>
      <c r="AF21">
        <v>21</v>
      </c>
      <c r="AG21">
        <v>0</v>
      </c>
      <c r="AH21">
        <v>1211</v>
      </c>
      <c r="AI21">
        <v>25503</v>
      </c>
    </row>
    <row r="22" spans="1:35" x14ac:dyDescent="0.25">
      <c r="A22" s="37">
        <v>44947</v>
      </c>
      <c r="B22">
        <v>5317</v>
      </c>
      <c r="C22">
        <v>914</v>
      </c>
      <c r="D22">
        <v>41</v>
      </c>
      <c r="E22">
        <v>308</v>
      </c>
      <c r="F22">
        <v>3</v>
      </c>
      <c r="G22">
        <v>10</v>
      </c>
      <c r="H22">
        <v>5</v>
      </c>
      <c r="I22">
        <v>0</v>
      </c>
      <c r="J22">
        <v>0</v>
      </c>
      <c r="K22">
        <v>6</v>
      </c>
      <c r="L22">
        <v>1</v>
      </c>
      <c r="M22">
        <v>3</v>
      </c>
      <c r="N22">
        <v>0</v>
      </c>
      <c r="O22">
        <v>0</v>
      </c>
      <c r="P22">
        <v>2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38</v>
      </c>
      <c r="AC22">
        <v>0</v>
      </c>
      <c r="AD22">
        <v>294</v>
      </c>
      <c r="AE22">
        <v>23</v>
      </c>
      <c r="AF22">
        <v>13</v>
      </c>
      <c r="AG22">
        <v>0</v>
      </c>
      <c r="AH22">
        <v>376</v>
      </c>
      <c r="AI22">
        <v>7358</v>
      </c>
    </row>
    <row r="23" spans="1:35" x14ac:dyDescent="0.25">
      <c r="A23" s="37">
        <v>44948</v>
      </c>
      <c r="B23">
        <v>265</v>
      </c>
      <c r="C23">
        <v>32</v>
      </c>
      <c r="D23">
        <v>3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8</v>
      </c>
      <c r="AC23">
        <v>1</v>
      </c>
      <c r="AD23">
        <v>6</v>
      </c>
      <c r="AE23">
        <v>0</v>
      </c>
      <c r="AF23">
        <v>0</v>
      </c>
      <c r="AG23">
        <v>0</v>
      </c>
      <c r="AH23">
        <v>33</v>
      </c>
      <c r="AI23">
        <v>355</v>
      </c>
    </row>
    <row r="24" spans="1:35" x14ac:dyDescent="0.25">
      <c r="A24" s="37">
        <v>44949</v>
      </c>
      <c r="B24">
        <v>18631</v>
      </c>
      <c r="C24">
        <v>2932</v>
      </c>
      <c r="D24">
        <v>128</v>
      </c>
      <c r="E24">
        <v>1171</v>
      </c>
      <c r="F24">
        <v>21</v>
      </c>
      <c r="G24">
        <v>20</v>
      </c>
      <c r="H24">
        <v>8</v>
      </c>
      <c r="I24">
        <v>0</v>
      </c>
      <c r="J24">
        <v>28</v>
      </c>
      <c r="K24">
        <v>26</v>
      </c>
      <c r="L24">
        <v>3</v>
      </c>
      <c r="M24">
        <v>13</v>
      </c>
      <c r="N24">
        <v>0</v>
      </c>
      <c r="O24">
        <v>8</v>
      </c>
      <c r="P24">
        <v>9</v>
      </c>
      <c r="Q24">
        <v>8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0</v>
      </c>
      <c r="Y24">
        <v>21</v>
      </c>
      <c r="Z24">
        <v>0</v>
      </c>
      <c r="AA24">
        <v>0</v>
      </c>
      <c r="AB24">
        <v>161</v>
      </c>
      <c r="AC24">
        <v>8</v>
      </c>
      <c r="AD24">
        <v>835</v>
      </c>
      <c r="AE24">
        <v>81</v>
      </c>
      <c r="AF24">
        <v>298</v>
      </c>
      <c r="AG24">
        <v>0</v>
      </c>
      <c r="AH24">
        <v>1541</v>
      </c>
      <c r="AI24">
        <v>25956</v>
      </c>
    </row>
    <row r="25" spans="1:35" x14ac:dyDescent="0.25">
      <c r="A25" s="37">
        <v>44950</v>
      </c>
      <c r="B25">
        <v>18806</v>
      </c>
      <c r="C25">
        <v>2895</v>
      </c>
      <c r="D25">
        <v>113</v>
      </c>
      <c r="E25">
        <v>1128</v>
      </c>
      <c r="F25">
        <v>24</v>
      </c>
      <c r="G25">
        <v>26</v>
      </c>
      <c r="H25">
        <v>16</v>
      </c>
      <c r="I25">
        <v>0</v>
      </c>
      <c r="J25">
        <v>23</v>
      </c>
      <c r="K25">
        <v>28</v>
      </c>
      <c r="L25">
        <v>1</v>
      </c>
      <c r="M25">
        <v>12</v>
      </c>
      <c r="N25">
        <v>0</v>
      </c>
      <c r="O25">
        <v>5</v>
      </c>
      <c r="P25">
        <v>18</v>
      </c>
      <c r="Q25">
        <v>11</v>
      </c>
      <c r="R25">
        <v>0</v>
      </c>
      <c r="S25">
        <v>8</v>
      </c>
      <c r="T25">
        <v>1</v>
      </c>
      <c r="U25">
        <v>0</v>
      </c>
      <c r="V25">
        <v>0</v>
      </c>
      <c r="W25">
        <v>0</v>
      </c>
      <c r="X25">
        <v>0</v>
      </c>
      <c r="Y25">
        <v>17</v>
      </c>
      <c r="Z25">
        <v>0</v>
      </c>
      <c r="AA25">
        <v>0</v>
      </c>
      <c r="AB25">
        <v>164</v>
      </c>
      <c r="AC25">
        <v>11</v>
      </c>
      <c r="AD25">
        <v>867</v>
      </c>
      <c r="AE25">
        <v>75</v>
      </c>
      <c r="AF25">
        <v>25</v>
      </c>
      <c r="AG25">
        <v>0</v>
      </c>
      <c r="AH25">
        <v>1344</v>
      </c>
      <c r="AI25">
        <v>25618</v>
      </c>
    </row>
    <row r="26" spans="1:35" x14ac:dyDescent="0.25">
      <c r="A26" s="37">
        <v>44951</v>
      </c>
      <c r="B26">
        <v>19131</v>
      </c>
      <c r="C26">
        <v>2908</v>
      </c>
      <c r="D26">
        <v>148</v>
      </c>
      <c r="E26">
        <v>1179</v>
      </c>
      <c r="F26">
        <v>22</v>
      </c>
      <c r="G26">
        <v>25</v>
      </c>
      <c r="H26">
        <v>11</v>
      </c>
      <c r="I26">
        <v>0</v>
      </c>
      <c r="J26">
        <v>24</v>
      </c>
      <c r="K26">
        <v>29</v>
      </c>
      <c r="L26">
        <v>3</v>
      </c>
      <c r="M26">
        <v>10</v>
      </c>
      <c r="N26">
        <v>0</v>
      </c>
      <c r="O26">
        <v>8</v>
      </c>
      <c r="P26">
        <v>11</v>
      </c>
      <c r="Q26">
        <v>7</v>
      </c>
      <c r="R26">
        <v>0</v>
      </c>
      <c r="S26">
        <v>10</v>
      </c>
      <c r="T26">
        <v>0</v>
      </c>
      <c r="U26">
        <v>0</v>
      </c>
      <c r="V26">
        <v>0</v>
      </c>
      <c r="W26">
        <v>0</v>
      </c>
      <c r="X26">
        <v>0</v>
      </c>
      <c r="Y26">
        <v>20</v>
      </c>
      <c r="Z26">
        <v>0</v>
      </c>
      <c r="AA26">
        <v>0</v>
      </c>
      <c r="AB26">
        <v>188</v>
      </c>
      <c r="AC26">
        <v>8</v>
      </c>
      <c r="AD26">
        <v>855</v>
      </c>
      <c r="AE26">
        <v>63</v>
      </c>
      <c r="AF26">
        <v>49</v>
      </c>
      <c r="AG26">
        <v>0</v>
      </c>
      <c r="AH26">
        <v>1390</v>
      </c>
      <c r="AI26">
        <v>26099</v>
      </c>
    </row>
    <row r="27" spans="1:35" x14ac:dyDescent="0.25">
      <c r="A27" s="37">
        <v>44952</v>
      </c>
      <c r="B27">
        <v>18910</v>
      </c>
      <c r="C27">
        <v>2924</v>
      </c>
      <c r="D27">
        <v>149</v>
      </c>
      <c r="E27">
        <v>1135</v>
      </c>
      <c r="F27">
        <v>23</v>
      </c>
      <c r="G27">
        <v>23</v>
      </c>
      <c r="H27">
        <v>11</v>
      </c>
      <c r="I27">
        <v>0</v>
      </c>
      <c r="J27">
        <v>38</v>
      </c>
      <c r="K27">
        <v>37</v>
      </c>
      <c r="L27">
        <v>1</v>
      </c>
      <c r="M27">
        <v>9</v>
      </c>
      <c r="N27">
        <v>0</v>
      </c>
      <c r="O27">
        <v>10</v>
      </c>
      <c r="P27">
        <v>8</v>
      </c>
      <c r="Q27">
        <v>8</v>
      </c>
      <c r="R27">
        <v>0</v>
      </c>
      <c r="S27">
        <v>10</v>
      </c>
      <c r="T27">
        <v>3</v>
      </c>
      <c r="U27">
        <v>0</v>
      </c>
      <c r="V27">
        <v>0</v>
      </c>
      <c r="W27">
        <v>0</v>
      </c>
      <c r="X27">
        <v>0</v>
      </c>
      <c r="Y27">
        <v>19</v>
      </c>
      <c r="Z27">
        <v>0</v>
      </c>
      <c r="AA27">
        <v>0</v>
      </c>
      <c r="AB27">
        <v>180</v>
      </c>
      <c r="AC27">
        <v>9</v>
      </c>
      <c r="AD27">
        <v>886</v>
      </c>
      <c r="AE27">
        <v>67</v>
      </c>
      <c r="AF27">
        <v>14</v>
      </c>
      <c r="AG27">
        <v>0</v>
      </c>
      <c r="AH27">
        <v>1451</v>
      </c>
      <c r="AI27">
        <v>25925</v>
      </c>
    </row>
    <row r="28" spans="1:35" x14ac:dyDescent="0.25">
      <c r="A28" s="37">
        <v>44953</v>
      </c>
      <c r="B28">
        <v>18595</v>
      </c>
      <c r="C28">
        <v>2738</v>
      </c>
      <c r="D28">
        <v>131</v>
      </c>
      <c r="E28">
        <v>1050</v>
      </c>
      <c r="F28">
        <v>17</v>
      </c>
      <c r="G28">
        <v>27</v>
      </c>
      <c r="H28">
        <v>7</v>
      </c>
      <c r="I28">
        <v>0</v>
      </c>
      <c r="J28">
        <v>24</v>
      </c>
      <c r="K28">
        <v>30</v>
      </c>
      <c r="L28">
        <v>0</v>
      </c>
      <c r="M28">
        <v>15</v>
      </c>
      <c r="N28">
        <v>0</v>
      </c>
      <c r="O28">
        <v>5</v>
      </c>
      <c r="P28">
        <v>8</v>
      </c>
      <c r="Q28">
        <v>7</v>
      </c>
      <c r="R28">
        <v>0</v>
      </c>
      <c r="S28">
        <v>7</v>
      </c>
      <c r="T28">
        <v>0</v>
      </c>
      <c r="U28">
        <v>0</v>
      </c>
      <c r="V28">
        <v>0</v>
      </c>
      <c r="W28">
        <v>0</v>
      </c>
      <c r="X28">
        <v>0</v>
      </c>
      <c r="Y28">
        <v>13</v>
      </c>
      <c r="Z28">
        <v>0</v>
      </c>
      <c r="AA28">
        <v>0</v>
      </c>
      <c r="AB28">
        <v>153</v>
      </c>
      <c r="AC28">
        <v>5</v>
      </c>
      <c r="AD28">
        <v>788</v>
      </c>
      <c r="AE28">
        <v>57</v>
      </c>
      <c r="AF28">
        <v>69</v>
      </c>
      <c r="AG28">
        <v>0</v>
      </c>
      <c r="AH28">
        <v>1568</v>
      </c>
      <c r="AI28">
        <v>25314</v>
      </c>
    </row>
    <row r="29" spans="1:35" x14ac:dyDescent="0.25">
      <c r="A29" s="37">
        <v>44954</v>
      </c>
      <c r="B29">
        <v>5661</v>
      </c>
      <c r="C29">
        <v>968</v>
      </c>
      <c r="D29">
        <v>51</v>
      </c>
      <c r="E29">
        <v>356</v>
      </c>
      <c r="F29">
        <v>3</v>
      </c>
      <c r="G29">
        <v>8</v>
      </c>
      <c r="H29">
        <v>0</v>
      </c>
      <c r="I29">
        <v>0</v>
      </c>
      <c r="J29">
        <v>5</v>
      </c>
      <c r="K29">
        <v>8</v>
      </c>
      <c r="L29">
        <v>0</v>
      </c>
      <c r="M29">
        <v>4</v>
      </c>
      <c r="N29">
        <v>0</v>
      </c>
      <c r="O29">
        <v>0</v>
      </c>
      <c r="P29">
        <v>0</v>
      </c>
      <c r="Q29">
        <v>2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0</v>
      </c>
      <c r="AA29">
        <v>0</v>
      </c>
      <c r="AB29">
        <v>74</v>
      </c>
      <c r="AC29">
        <v>2</v>
      </c>
      <c r="AD29">
        <v>262</v>
      </c>
      <c r="AE29">
        <v>26</v>
      </c>
      <c r="AF29">
        <v>5</v>
      </c>
      <c r="AG29">
        <v>0</v>
      </c>
      <c r="AH29">
        <v>492</v>
      </c>
      <c r="AI29">
        <v>7933</v>
      </c>
    </row>
    <row r="30" spans="1:35" x14ac:dyDescent="0.25">
      <c r="A30" s="37">
        <v>44955</v>
      </c>
      <c r="B30">
        <v>447</v>
      </c>
      <c r="C30">
        <v>35</v>
      </c>
      <c r="D30">
        <v>3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6</v>
      </c>
      <c r="AE30">
        <v>2</v>
      </c>
      <c r="AF30">
        <v>0</v>
      </c>
      <c r="AG30">
        <v>0</v>
      </c>
      <c r="AH30">
        <v>43</v>
      </c>
      <c r="AI30">
        <v>550</v>
      </c>
    </row>
    <row r="31" spans="1:35" x14ac:dyDescent="0.25">
      <c r="A31" s="37">
        <v>44956</v>
      </c>
      <c r="B31">
        <v>18399</v>
      </c>
      <c r="C31">
        <v>2592</v>
      </c>
      <c r="D31">
        <v>122</v>
      </c>
      <c r="E31">
        <v>1105</v>
      </c>
      <c r="F31">
        <v>20</v>
      </c>
      <c r="G31">
        <v>17</v>
      </c>
      <c r="H31">
        <v>12</v>
      </c>
      <c r="I31">
        <v>0</v>
      </c>
      <c r="J31">
        <v>29</v>
      </c>
      <c r="K31">
        <v>26</v>
      </c>
      <c r="L31">
        <v>2</v>
      </c>
      <c r="M31">
        <v>8</v>
      </c>
      <c r="N31">
        <v>0</v>
      </c>
      <c r="O31">
        <v>6</v>
      </c>
      <c r="P31">
        <v>9</v>
      </c>
      <c r="Q31">
        <v>8</v>
      </c>
      <c r="R31">
        <v>0</v>
      </c>
      <c r="S31">
        <v>8</v>
      </c>
      <c r="T31">
        <v>1</v>
      </c>
      <c r="U31">
        <v>0</v>
      </c>
      <c r="V31">
        <v>0</v>
      </c>
      <c r="W31">
        <v>0</v>
      </c>
      <c r="X31">
        <v>0</v>
      </c>
      <c r="Y31">
        <v>18</v>
      </c>
      <c r="Z31">
        <v>0</v>
      </c>
      <c r="AA31">
        <v>0</v>
      </c>
      <c r="AB31">
        <v>145</v>
      </c>
      <c r="AC31">
        <v>6</v>
      </c>
      <c r="AD31">
        <v>832</v>
      </c>
      <c r="AE31">
        <v>45</v>
      </c>
      <c r="AF31">
        <v>61</v>
      </c>
      <c r="AG31">
        <v>0</v>
      </c>
      <c r="AH31">
        <v>1231</v>
      </c>
      <c r="AI31">
        <v>24702</v>
      </c>
    </row>
    <row r="32" spans="1:35" x14ac:dyDescent="0.25">
      <c r="A32" s="37">
        <v>44957</v>
      </c>
      <c r="B32">
        <v>19489</v>
      </c>
      <c r="C32">
        <v>2686</v>
      </c>
      <c r="D32">
        <v>129</v>
      </c>
      <c r="E32">
        <v>1195</v>
      </c>
      <c r="F32">
        <v>28</v>
      </c>
      <c r="G32">
        <v>15</v>
      </c>
      <c r="H32">
        <v>15</v>
      </c>
      <c r="I32">
        <v>0</v>
      </c>
      <c r="J32">
        <v>40</v>
      </c>
      <c r="K32">
        <v>28</v>
      </c>
      <c r="L32">
        <v>3</v>
      </c>
      <c r="M32">
        <v>6</v>
      </c>
      <c r="N32">
        <v>0</v>
      </c>
      <c r="O32">
        <v>5</v>
      </c>
      <c r="P32">
        <v>11</v>
      </c>
      <c r="Q32">
        <v>6</v>
      </c>
      <c r="R32">
        <v>0</v>
      </c>
      <c r="S32">
        <v>7</v>
      </c>
      <c r="T32">
        <v>3</v>
      </c>
      <c r="U32">
        <v>0</v>
      </c>
      <c r="V32">
        <v>0</v>
      </c>
      <c r="W32">
        <v>0</v>
      </c>
      <c r="X32">
        <v>0</v>
      </c>
      <c r="Y32">
        <v>20</v>
      </c>
      <c r="Z32">
        <v>0</v>
      </c>
      <c r="AA32">
        <v>0</v>
      </c>
      <c r="AB32">
        <v>149</v>
      </c>
      <c r="AC32">
        <v>6</v>
      </c>
      <c r="AD32">
        <v>812</v>
      </c>
      <c r="AE32">
        <v>84</v>
      </c>
      <c r="AF32">
        <v>66</v>
      </c>
      <c r="AG32">
        <v>0</v>
      </c>
      <c r="AH32">
        <v>1379</v>
      </c>
      <c r="AI32">
        <v>26182</v>
      </c>
    </row>
    <row r="33" spans="1:35" x14ac:dyDescent="0.25">
      <c r="A33" t="s">
        <v>66</v>
      </c>
      <c r="B33">
        <v>421955</v>
      </c>
      <c r="C33">
        <v>67534</v>
      </c>
      <c r="D33">
        <v>3064</v>
      </c>
      <c r="E33">
        <v>25149</v>
      </c>
      <c r="F33">
        <v>568</v>
      </c>
      <c r="G33">
        <v>531</v>
      </c>
      <c r="H33">
        <v>192</v>
      </c>
      <c r="I33">
        <v>0</v>
      </c>
      <c r="J33">
        <v>686</v>
      </c>
      <c r="K33">
        <v>720</v>
      </c>
      <c r="L33">
        <v>36</v>
      </c>
      <c r="M33">
        <v>245</v>
      </c>
      <c r="N33">
        <v>0</v>
      </c>
      <c r="O33">
        <v>162</v>
      </c>
      <c r="P33">
        <v>293</v>
      </c>
      <c r="Q33">
        <v>213</v>
      </c>
      <c r="R33">
        <v>0</v>
      </c>
      <c r="S33">
        <v>198</v>
      </c>
      <c r="T33">
        <v>30</v>
      </c>
      <c r="U33">
        <v>0</v>
      </c>
      <c r="V33">
        <v>0</v>
      </c>
      <c r="W33">
        <v>0</v>
      </c>
      <c r="X33">
        <v>0</v>
      </c>
      <c r="Y33">
        <v>476</v>
      </c>
      <c r="Z33">
        <v>0</v>
      </c>
      <c r="AA33">
        <v>0</v>
      </c>
      <c r="AB33">
        <v>3965</v>
      </c>
      <c r="AC33">
        <v>168</v>
      </c>
      <c r="AD33">
        <v>18660</v>
      </c>
      <c r="AE33">
        <v>1555</v>
      </c>
      <c r="AF33">
        <v>1192</v>
      </c>
      <c r="AG33">
        <v>2</v>
      </c>
      <c r="AH33">
        <v>28207</v>
      </c>
      <c r="AI33">
        <v>575801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5F23EDD7D0140AD88E7DA772C6A4C" ma:contentTypeVersion="13" ma:contentTypeDescription="Create a new document." ma:contentTypeScope="" ma:versionID="e0fceb89d3f06edc91062d9b96b3e1f8">
  <xsd:schema xmlns:xsd="http://www.w3.org/2001/XMLSchema" xmlns:xs="http://www.w3.org/2001/XMLSchema" xmlns:p="http://schemas.microsoft.com/office/2006/metadata/properties" xmlns:ns3="cf863d78-9854-4567-9e40-acc2e2af4562" xmlns:ns4="2e41760c-bc7f-484a-aa73-0eb5cb36422f" targetNamespace="http://schemas.microsoft.com/office/2006/metadata/properties" ma:root="true" ma:fieldsID="773990a28a3584079ae5461bea788939" ns3:_="" ns4:_="">
    <xsd:import namespace="cf863d78-9854-4567-9e40-acc2e2af4562"/>
    <xsd:import namespace="2e41760c-bc7f-484a-aa73-0eb5cb3642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63d78-9854-4567-9e40-acc2e2af4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1760c-bc7f-484a-aa73-0eb5cb364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63d78-9854-4567-9e40-acc2e2af4562" xsi:nil="true"/>
  </documentManagement>
</p:properties>
</file>

<file path=customXml/itemProps1.xml><?xml version="1.0" encoding="utf-8"?>
<ds:datastoreItem xmlns:ds="http://schemas.openxmlformats.org/officeDocument/2006/customXml" ds:itemID="{DD3CC5A6-B079-4945-80A2-D773C7195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63d78-9854-4567-9e40-acc2e2af4562"/>
    <ds:schemaRef ds:uri="2e41760c-bc7f-484a-aa73-0eb5cb364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F2537A-1644-4232-9E7C-CC3B4B2B6F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D53D36-B954-4038-A58A-92854DD285A6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cf863d78-9854-4567-9e40-acc2e2af4562"/>
    <ds:schemaRef ds:uri="http://purl.org/dc/dcmitype/"/>
    <ds:schemaRef ds:uri="http://purl.org/dc/terms/"/>
    <ds:schemaRef ds:uri="http://schemas.microsoft.com/office/2006/documentManagement/types"/>
    <ds:schemaRef ds:uri="2e41760c-bc7f-484a-aa73-0eb5cb36422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Afluencia diaria Biotren abr-26</vt:lpstr>
      <vt:lpstr>Afxcontrato SINTEG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Andrés Muñoz Grandón</dc:creator>
  <cp:keywords/>
  <dc:description/>
  <cp:lastModifiedBy>Estefanía Alejandra Gajardo Rozas</cp:lastModifiedBy>
  <cp:revision/>
  <dcterms:created xsi:type="dcterms:W3CDTF">2022-07-05T12:59:40Z</dcterms:created>
  <dcterms:modified xsi:type="dcterms:W3CDTF">2026-06-08T13:40:10Z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0x010100D865F23EDD7D0140AD88E7DA772C6A4C</vt:lpwstr>
  </property>
</Properties>
</file>