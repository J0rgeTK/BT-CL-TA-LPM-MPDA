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1AB9D309-1EC4-4D45-99DD-2BEE80F8A97C}" xr6:coauthVersionLast="47" xr6:coauthVersionMax="47" xr10:uidLastSave="{00000000-0000-0000-0000-000000000000}"/>
  <bookViews>
    <workbookView xWindow="-120" yWindow="-120" windowWidth="20730" windowHeight="11040" xr2:uid="{A2B71D81-07ED-4A6D-945D-C41BD2D453D5}"/>
  </bookViews>
  <sheets>
    <sheet name="PAX KM BT" sheetId="1" r:id="rId1"/>
    <sheet name="PAX KM CL" sheetId="2" r:id="rId2"/>
    <sheet name="PAX KM VT" sheetId="3" r:id="rId3"/>
    <sheet name="PAX KM LL-LP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\0">#N/A</definedName>
    <definedName name="\a">#N/A</definedName>
    <definedName name="\B">'[5]BAL-COTRISA'!#REF!</definedName>
    <definedName name="\G">'[6]Resumen98-02'!#REF!</definedName>
    <definedName name="\I">#REF!</definedName>
    <definedName name="\M">'[5]BAL-COTRISA'!#REF!</definedName>
    <definedName name="\x">#N/A</definedName>
    <definedName name="________DAT3">[8]KOB1!#REF!</definedName>
    <definedName name="_______DAT3">[8]KOB1!#REF!</definedName>
    <definedName name="______DAT3">[9]KOB1!#REF!</definedName>
    <definedName name="_____DAT3">[9]KOB1!#REF!</definedName>
    <definedName name="_____Inv1">[10]Indice!$C$14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Inv1">#REF!</definedName>
    <definedName name="____UF2">'[11]PGIF Vias'!#REF!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Inv1">#REF!</definedName>
    <definedName name="___UF2">'[11]PGIF Vias'!#REF!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Gto1">#REF!</definedName>
    <definedName name="__UF2">'[11]PGIF Vias'!#REF!</definedName>
    <definedName name="_1._Resultados_Comparativos">#REF!</definedName>
    <definedName name="_1_0A_impresión">[12]ESCENA1!#REF!</definedName>
    <definedName name="_2A_impresión">[12]ESCENA1!#REF!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Inv1">#REF!</definedName>
    <definedName name="_key2">'[13]ER-Mod'!$B$7</definedName>
    <definedName name="_R">#REF!</definedName>
    <definedName name="_r2008">OFFSET([14]Tabla!$A$1,0,0,COUNTA([14]Tabla!$C:$C),3)</definedName>
    <definedName name="_Table2_In1" hidden="1">'[15]Datos INFRA'!#REF!</definedName>
    <definedName name="_Table2_In2" hidden="1">'[15]Datos INFRA'!#REF!</definedName>
    <definedName name="_UF2">'[11]PGIF Vias'!#REF!</definedName>
    <definedName name="a">[16]E.Pura!#REF!</definedName>
    <definedName name="A_impresión_IM">#REF!</definedName>
    <definedName name="ABRIL">'[5]BAL-COTRISA'!$K$16:$K$135</definedName>
    <definedName name="Activa1">[11]Indice!#REF!</definedName>
    <definedName name="ACTIVO">'[5]BAL-COTRISA'!$B$2:$L$52</definedName>
    <definedName name="AFA_Pg2_Total">'[17]Page 2'!$E$35</definedName>
    <definedName name="Ajustes_EBITDA">'[18]Ajustes EBITDA'!$A$7:$S$44</definedName>
    <definedName name="amplitud_tramo">#REF!</definedName>
    <definedName name="anscount" hidden="1">1</definedName>
    <definedName name="año">'[13]ER-Mod'!$A$4</definedName>
    <definedName name="año_de_proceso">[18]Ingr_Inf!$C$3261</definedName>
    <definedName name="Bases">'[19]IMG 1'!$D$27</definedName>
    <definedName name="bbbb">#REF!</definedName>
    <definedName name="bce_cons">'[20]bce cons'!$B$1:$M$1001</definedName>
    <definedName name="bce_cons_año_ant">'[21]bce cons'!$BB$1:$BM$10000</definedName>
    <definedName name="Caso">[19]Minuta!$G$8</definedName>
    <definedName name="Centro_Costo">[22]Ingr_Inf!$L$2:$M$12</definedName>
    <definedName name="CF.UT">'[23]EVALUACION PRIVADA'!$G$14</definedName>
    <definedName name="Cifras">#REF!</definedName>
    <definedName name="co">#REF!</definedName>
    <definedName name="codigo">#REF!</definedName>
    <definedName name="COIHUECO">#REF!</definedName>
    <definedName name="columna">#REF!</definedName>
    <definedName name="Comparativo">OFFSET([24]Tabla!$A$1,0,0,COUNTA([24]Tabla!$C:$C),3)</definedName>
    <definedName name="Contract_No">'[17]Page 1'!$I$6</definedName>
    <definedName name="Contratación">'[25]Previsión mensual'!$AJ$1:$AJ$65536</definedName>
    <definedName name="Contratista">[26]Contratistas!$A$1:$A$187</definedName>
    <definedName name="Control_PE">'[19]IMG 1'!$F$3</definedName>
    <definedName name="COSTO">'[27]EERR PPto.y Real Junio 2008'!#REF!</definedName>
    <definedName name="CostoInfra">[28]Factores!$C$3</definedName>
    <definedName name="CPIF">'[23]EVALUACION PRIVADA'!$K$16</definedName>
    <definedName name="CPIF.Gasto">'[23]EVALUACION PRIVADA'!$A$30</definedName>
    <definedName name="CPIF.Inv">'[23]EVALUACION PRIVADA'!$A$31</definedName>
    <definedName name="Criterio_ctas_EE.RR.">[20]Ingr_Inf!$D$2932:$O$3043</definedName>
    <definedName name="Criterios_Notas">[29]Ingr_Inf!$C$3287:$F$3432</definedName>
    <definedName name="CT">'[25]Previsión mensual'!$Q$1:$Q$65536</definedName>
    <definedName name="Cuentas">[20]Ingr_Inf!$D$16:$AH$2725</definedName>
    <definedName name="Cuentas_EE.RR.">[20]Ingr_Inf!$E$2778:$G$2903</definedName>
    <definedName name="D_C">[22]Ingr_Inf!$L$17:$M$24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os_histograma">#REF!</definedName>
    <definedName name="Deuda">'[19]IMG 1'!$C$98</definedName>
    <definedName name="dirección_columnas">[18]Ingr_Inf!$C$3113:$O$3138</definedName>
    <definedName name="dirección_de_columna">[21]Ingr_Inf!$C$3705:$E$3811</definedName>
    <definedName name="dolar">[30]Tesoreria!$A$3</definedName>
    <definedName name="dólar">[30]Tesoreria!$A$3</definedName>
    <definedName name="EBITDA_No_Oper_Gestión">#REF!</definedName>
    <definedName name="ee">#REF!</definedName>
    <definedName name="EE.RR.">'[20]ctas EERR'!$B$1:$N$100</definedName>
    <definedName name="eee">#REF!</definedName>
    <definedName name="EERR">#REF!</definedName>
    <definedName name="eliminación_notas_cons_X_Trim">[31]Ingr_Inf!$G$3134</definedName>
    <definedName name="empresa">'[13]ER-Mod'!$A$2</definedName>
    <definedName name="Empresas">[20]Ingr_Inf!$C$2906:$I$2926</definedName>
    <definedName name="empresas_1">[21]Ingr_Inf!$D$3484:$K$3506</definedName>
    <definedName name="empresas_código">[32]Ingr_Inf!$B$11:$C$28</definedName>
    <definedName name="EndeudExt">'[25]Previsión mensual'!$AN$1:$AN$65536</definedName>
    <definedName name="EndeudInt">'[25]Previsión mensual'!$AM$1:$AM$65536</definedName>
    <definedName name="Energia">'[23]EVALUACION PRIVADA'!$K$12</definedName>
    <definedName name="estres_cons">'[20]estres cons'!$B$1:$M$1000</definedName>
    <definedName name="estres_cons_1">#REF!</definedName>
    <definedName name="estres_cons_año_ant">'[18]estres cons'!$BB$1:$BM$1000</definedName>
    <definedName name="estres_cons_gestión_N">'[18]Gestión cons N'!$B$1:$M$1000</definedName>
    <definedName name="estres_cons_gestión_N_neto">#REF!</definedName>
    <definedName name="estres_cons_gestión_N_neto_año_ant">#REF!</definedName>
    <definedName name="estres_cons_neto_EBITDA_por_meses">'[18]estres cons EBITDA X mes'!$B$1:$N$50000</definedName>
    <definedName name="estres_cons_X_Trim">#REF!</definedName>
    <definedName name="estres_cons_X_Trim_2.C">'[18]estres cons X Trim 2'!$C$1:$Z$1000</definedName>
    <definedName name="estres_cons_X_Trim_2.D">'[18]estres cons X Trim 2'!$D$9:$Z$1000</definedName>
    <definedName name="estres_cons_X_Trim_bruto">'[18]estres cons X Trim bruto'!$B$1:$AZ$1000</definedName>
    <definedName name="estres_cons_X_Trim_neto">'[18]estres cons X Trim neto'!$B$1:$AZ$1000</definedName>
    <definedName name="estres_por_Trim_cons">'[20]estres cons X Trim'!$B$1:$R$1000</definedName>
    <definedName name="estres_Trim_filiales_2">'[20]estres cons X Trim 2'!$AI$12:$BB$25</definedName>
    <definedName name="EUR">#REF!</definedName>
    <definedName name="Ev_GG">#REF!</definedName>
    <definedName name="Ev_Imp">#REF!</definedName>
    <definedName name="Ev_Util">#REF!</definedName>
    <definedName name="EvS.GG">#REF!</definedName>
    <definedName name="EvS.Imp">#REF!</definedName>
    <definedName name="EvS.IVA">#REF!</definedName>
    <definedName name="EvS.USD">#REF!</definedName>
    <definedName name="EvS.Util">#REF!</definedName>
    <definedName name="EvS.VidaProy">#REF!</definedName>
    <definedName name="Fact">'[25]Previsión mensual'!$AK$1:$AK$65536</definedName>
    <definedName name="factor">#REF!</definedName>
    <definedName name="factor_f">#REF!</definedName>
    <definedName name="FactorCarga">[33]InvTramos!$C$11</definedName>
    <definedName name="FactorEnergia">[33]InvTramos!$C$26</definedName>
    <definedName name="FactorErrdica">[33]InvTramos!$C$35</definedName>
    <definedName name="FechaCierre">'[34]Inf. económico'!$M$2</definedName>
    <definedName name="Fep">'[10]Detalle Demanda Carga'!$C$1</definedName>
    <definedName name="Fepasa">[35]Notas!$C$4</definedName>
    <definedName name="fila_subtítulo">MATCH(#REF!,#REF!,0)</definedName>
    <definedName name="Financiado">[19]Minuta!$G$9</definedName>
    <definedName name="fweewrfwef">#REF!</definedName>
    <definedName name="G">#REF!</definedName>
    <definedName name="G_IVA">#REF!</definedName>
    <definedName name="GG_Util">[33]InvTramos!$J$3</definedName>
    <definedName name="gggfgbs">'[27]EERR PPto.y Real Junio 2008'!#REF!</definedName>
    <definedName name="Gto_2016">#REF!</definedName>
    <definedName name="gto_2017">#REF!</definedName>
    <definedName name="HHHHHH" hidden="1">#REF!</definedName>
    <definedName name="HTML_CodePage" hidden="1">1252</definedName>
    <definedName name="HTML_Control" hidden="1">{"'ef'!$A$1:$I$112"}</definedName>
    <definedName name="HTML_Description" hidden="1">""</definedName>
    <definedName name="HTML_Email" hidden="1">""</definedName>
    <definedName name="HTML_Header" hidden="1">""</definedName>
    <definedName name="HTML_LastUpdate" hidden="1">"28-01-2000"</definedName>
    <definedName name="HTML_LineAfter" hidden="1">FALSE</definedName>
    <definedName name="HTML_LineBefore" hidden="1">FALSE</definedName>
    <definedName name="HTML_Name" hidden="1">"Luis Salomó Saavedra"</definedName>
    <definedName name="HTML_OBDlg2" hidden="1">TRUE</definedName>
    <definedName name="HTML_OBDlg4" hidden="1">TRUE</definedName>
    <definedName name="HTML_OS" hidden="1">0</definedName>
    <definedName name="HTML_PathFile" hidden="1">"F:\USR\LSALOMO\Expectativas\encuesta.htm"</definedName>
    <definedName name="HTML_Title" hidden="1">""</definedName>
    <definedName name="i">#REF!</definedName>
    <definedName name="Imprevisto">[33]InvTramos!$I$3</definedName>
    <definedName name="Imprimir_área_IM">#REF!</definedName>
    <definedName name="Indicadores">#REF!</definedName>
    <definedName name="infra">#REF!</definedName>
    <definedName name="Infraestructura">#REF!</definedName>
    <definedName name="ingreso_resultado_Trim_filiales">'[18]estres cons X Trim 2'!$AP$12:$CB$26</definedName>
    <definedName name="ingresos_inmobiliarios">'[18]estres cons X Trim 2'!$AQ$77:$BA$87</definedName>
    <definedName name="Int_Valuation">'[17]Page 2'!$H$35</definedName>
    <definedName name="Interest_Rate">'[36]Payment Report'!$P$1</definedName>
    <definedName name="ITO">[33]InvTramos!#REF!</definedName>
    <definedName name="IVA">#REF!</definedName>
    <definedName name="IVA_Proy">[33]InvTramos!$K$3</definedName>
    <definedName name="IVAT">[11]Indice!$C$10</definedName>
    <definedName name="key">'[13]ER-Mod'!$B$2</definedName>
    <definedName name="km">'[23]EVALUACION PRIVADA'!$P$12</definedName>
    <definedName name="KmViaje">'[23]TrenKm-TKBC'!$B$34</definedName>
    <definedName name="LANCO">#REF!</definedName>
    <definedName name="Lautaro">#REF!</definedName>
    <definedName name="lll">'[37]EERR 2013'!#REF!</definedName>
    <definedName name="LOS_ANGELES">#REF!</definedName>
    <definedName name="Los_Ángeles">#REF!</definedName>
    <definedName name="LOURDES">#REF!</definedName>
    <definedName name="MACRO">'[5]BAL-COTRISA'!#REF!</definedName>
    <definedName name="MALLOCO">#REF!</definedName>
    <definedName name="mant">#REF!</definedName>
    <definedName name="máximo_ajustado">[0]!amplitud_tramo*ROUND(#REF!/[0]!amplitud_tramo,0)</definedName>
    <definedName name="MELIPILLA">#REF!</definedName>
    <definedName name="MES">'[27]EERR PPto.y Real Junio 2008'!$C$7</definedName>
    <definedName name="mes_de_proceso">[18]Ingr_Inf!$C$3262</definedName>
    <definedName name="MesDelCierre">'[25]Previsión mensual'!$A$16:$IV$16</definedName>
    <definedName name="meses">[18]Ingr_Inf!$E$2906:$R$2934</definedName>
    <definedName name="miles_de_pesos">[18]Ingr_Inf!$D$3269</definedName>
    <definedName name="millones_de_pesos">[21]Ingr_Inf!$D$3670</definedName>
    <definedName name="mínimo_ajustado">[0]!amplitud_tramo*ROUND(#REF!/[0]!amplitud_tramo,0)</definedName>
    <definedName name="MM">[30]Tesoreria!$A$1</definedName>
    <definedName name="moneda">[18]Ingr_Inf!$C$3267:$F$3271</definedName>
    <definedName name="moneda_1">[18]Ingr_Inf!$D$3267:$F$3271</definedName>
    <definedName name="MOSTAZAL">#REF!</definedName>
    <definedName name="MOSTAZAL1">#REF!</definedName>
    <definedName name="n">#REF!</definedName>
    <definedName name="N_OP_OH_16_anos">#REF!</definedName>
    <definedName name="N_OP_OH_25_anos">#REF!</definedName>
    <definedName name="N_OP_OH_8_anos">#REF!</definedName>
    <definedName name="N_OP_OH_IM4">#REF!</definedName>
    <definedName name="N_OP_OH_R1">#REF!</definedName>
    <definedName name="N_tramos">1+([0]!máximo_ajustado-[0]!mínimo_ajustado)/[0]!amplitud_tramo</definedName>
    <definedName name="NMes">'[38]FACTORES Y MES DEL INFORME'!$D$2</definedName>
    <definedName name="notas_cons_X_Trim">[31]Ingr_Inf!$G$3133</definedName>
    <definedName name="notas_estres_cons_X_Trim">[31]Ingr_Inf!$G$3131</definedName>
    <definedName name="Objetivo1">#REF!</definedName>
    <definedName name="objetivo2">#REF!</definedName>
    <definedName name="OE">'[25]Previsión mensual'!$K$1:$K$65536</definedName>
    <definedName name="operadores_EFE">'[18]estres cons X Trim 2'!$AQ$69:$BA$76</definedName>
    <definedName name="Otras_asociadas">[18]Inversiones!$S$4:$AD$54</definedName>
    <definedName name="Paid_to_Date">'[36]Payment Report'!$N$31</definedName>
    <definedName name="Parral">#REF!</definedName>
    <definedName name="PASIVOS">'[5]BAL-COTRISA'!$B$55:$L$98</definedName>
    <definedName name="paso">[19]Minuta!$F$108</definedName>
    <definedName name="Patrimonio">[20]Patrimonio!$D$8:$P$50</definedName>
    <definedName name="Period_End">'[17]Page 1'!$D$5</definedName>
    <definedName name="Período">[20]Ingr_Inf!$F$2745:$G$2763</definedName>
    <definedName name="PesoPax">'[23]TrenKm-TKBC'!$B$33</definedName>
    <definedName name="Pesos">[39]Ingr_Inf!$C$8</definedName>
    <definedName name="PesoTren">'[23]TrenKm-TKBC'!$B$31</definedName>
    <definedName name="PesoUT">'[23]TrenKm-TKBC'!$B$65</definedName>
    <definedName name="Ponderador">[19]Minuta!$G$10</definedName>
    <definedName name="Ponderador_2">[19]Minuta!$G$11</definedName>
    <definedName name="progresión">{0,1,2,3,4,5,6,7,8,9}</definedName>
    <definedName name="Project_Descrip">'[17]Page 1'!$C$10</definedName>
    <definedName name="prpal">#REF!</definedName>
    <definedName name="Psubsidio">'[19]IMG 1'!$F$4</definedName>
    <definedName name="PteCobro">'[25]Previsión mensual'!$AL$1:$AL$65536</definedName>
    <definedName name="Puente">[19]Minuta!$E$5</definedName>
    <definedName name="PUNIT">#REF!</definedName>
    <definedName name="real2008">[40]ESCENA1!#REF!</definedName>
    <definedName name="Remuneraciones">#REF!</definedName>
    <definedName name="ResidualUT">[28]Factores!$C$17</definedName>
    <definedName name="RESULTADO">'[5]BAL-COTRISA'!$B$100:$L$136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TRUE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OSARIO">#REF!</definedName>
    <definedName name="Rubros">[22]Ingr_Inf!$B$2:$G$1071</definedName>
    <definedName name="S">#REF!</definedName>
    <definedName name="SEC">'[23]EVALUACION PRIVADA'!$P$11</definedName>
    <definedName name="SECFactor">'[23]EVALUACION PRIVADA'!$P$13</definedName>
    <definedName name="Series_de_IMG_y_Costos">'[19]IMG 1'!$A$26:$F$64</definedName>
    <definedName name="ServicioAlastom">'[23]TrenKm-TKBC'!$J$49</definedName>
    <definedName name="smax">#REF!</definedName>
    <definedName name="Subsidio">[19]Minuta!$J$9</definedName>
    <definedName name="subsidio2">'[41]IMG con Subsidio'!$E$11</definedName>
    <definedName name="subsidio3">'[42]IMG con Subsidio'!$E$11</definedName>
    <definedName name="t">#REF!</definedName>
    <definedName name="Tabla">OFFSET('[24]Base Tabla'!$A$1,0,0,COUNTA('[24]Base Tabla'!$E:$E),5)</definedName>
    <definedName name="tabla2008">OFFSET('[24]Base Ing'!$A$1,0,0,COUNTA('[24]Base Ing'!$E:$E),5)</definedName>
    <definedName name="TablaIngreso">OFFSET('[24]Base Ing'!$A$1,0,0,COUNTA('[24]Base Ing'!$E:$E),5)</definedName>
    <definedName name="TALCA">#REF!</definedName>
    <definedName name="TarifaBIP">[33]TarifasIIG!$C$3</definedName>
    <definedName name="TarifaHospital">'[43]Demanda-2014'!$C$15</definedName>
    <definedName name="TarifaIntegrada">'[44]Opex Alameda-Malloco'!#REF!</definedName>
    <definedName name="TarifaRancagua">'[43]Demanda-2014'!$C$16</definedName>
    <definedName name="TarifaTecnica">'[43]Demanda-2014'!$C$14</definedName>
    <definedName name="TasaDcto">'[45]Evaluación Social'!$B$12</definedName>
    <definedName name="TasaSocial">'[23]EVALUACION PRIVADA'!#REF!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ipo_EstFin">[18]Ingr_Inf!$C$3273</definedName>
    <definedName name="tipo_EstFin_dirección">[31]Ingr_Inf!$G$3138</definedName>
    <definedName name="TM">[46]Hoja1!$B$2</definedName>
    <definedName name="toma_valor">[47]efesp!A1</definedName>
    <definedName name="TotalAño">'[25]Previsión mensual'!$A$22:$IV$22</definedName>
    <definedName name="TotalAño3">'[25]Previsión mensual'!$A$48:$IV$48</definedName>
    <definedName name="TotalAñoAnterior">'[25]Previsión mensual'!$A$9:$IV$9</definedName>
    <definedName name="TotalAñoSiguiente">'[25]Previsión mensual'!$A$35:$IV$35</definedName>
    <definedName name="TotalObra">'[25]Previsión mensual'!$A$54:$IV$54</definedName>
    <definedName name="Traccion">[28]Factores!$C$8</definedName>
    <definedName name="TraccionUT440">[28]Factores!$C$9</definedName>
    <definedName name="TraccionXtrapolis">[28]Factores!$C$10</definedName>
    <definedName name="traduce_aaaa_annual">TEXT(YEAR([47]efesp!A1),0)&amp;" (annual)"</definedName>
    <definedName name="traduce_aaaa_TT">LEFT([47]efesp!A1,4)&amp;" "&amp;INDEX(triminglés,VALUE(MID([47]efesp!A1,7,1)))</definedName>
    <definedName name="tramos">IF([0]!progresión+1&lt;=[0]!N_tramos,[0]!mínimo_ajustado+[0]!amplitud_tramo*[0]!progresión,"")</definedName>
    <definedName name="Trans">'[10]Detalle Demanda Carga'!$C$2</definedName>
    <definedName name="Transap">[35]Notas!$C$5</definedName>
    <definedName name="transf_sector_público_filiales">'[21]estres cons X Trim 2'!$AS$36:$BC$47</definedName>
    <definedName name="TrenesUT">'[23]EVALUACION PRIVADA'!$G$15</definedName>
    <definedName name="TrenKmNos">'[23]TrenKm-TKBC'!$K$46</definedName>
    <definedName name="TrenUT440">'[28]Contrato Temoinsa'!$L$15</definedName>
    <definedName name="TrenVar">'[23]EVALUACION PRIVADA'!$G$18</definedName>
    <definedName name="TrenXtrapolis">'[28]Contrato Merval'!$M$26</definedName>
    <definedName name="trimestres">[20]Ingr_Inf!$G$3:$H$8</definedName>
    <definedName name="triminglés">{"1st Q";"2nd Q";"3rd Q";"4th Q"}</definedName>
    <definedName name="U">#REF!</definedName>
    <definedName name="ubicar_EBITDA_No_Oper_Gestión">#REF!</definedName>
    <definedName name="ubicar_emp_bce_cons">'[20]bce cons'!$B$1:$M$2</definedName>
    <definedName name="ubicar_emp_bce_cons_año_ant">'[21]bce cons'!$BC$1:$BM$2</definedName>
    <definedName name="ubicar_emp_cuentas_EE.RR.">'[18]ctas EERR'!$D$1:$N$2</definedName>
    <definedName name="ubicar_emp_estres_cons">'[20]estres cons'!$B$1:$M$2</definedName>
    <definedName name="ubicar_emp_estres_cons_1">#REF!</definedName>
    <definedName name="ubicar_emp_estres_cons_año_ant">'[18]estres cons'!$BB$1:$BM$2</definedName>
    <definedName name="ubicar_emp_estres_cons_EBITDA_mes">'[18]estres cons EBITDA X mes'!$B$1:$N$2</definedName>
    <definedName name="ubicar_emp_estres_cons_gestión_N">'[18]Gestión cons N'!$B$1:$M$2</definedName>
    <definedName name="ubicar_emp_estres_cons_gestión_N_neto">#REF!</definedName>
    <definedName name="ubicar_emp_estres_cons_gestión_N_neto_año_ant">#REF!</definedName>
    <definedName name="ubicar_emp_estres_cons_X_Trim">#REF!</definedName>
    <definedName name="ubicar_emp_estres_cons_X_trim_2">'[18]estres cons X Trim 2'!$C$1:$Z$2</definedName>
    <definedName name="ubicar_emp_estres_por_Trim_cons">'[20]estres cons X Trim'!$B$1:$R$2</definedName>
    <definedName name="ubicar_estres_trim_comp">'[18]estres cons X Trim comp'!$B$1:$S$2</definedName>
    <definedName name="ubicar_informe_cuentas_EE.RR.">'[20]ctas EERR'!$D$1:$N$2</definedName>
    <definedName name="ubicar_mes_Ajustes_EBITDA">'[18]Ajustes EBITDA'!$A$7:$S$8</definedName>
    <definedName name="ubicar_mes_proceso_Resultado_EERR">'[48]Resultado EERR'!$L$5:$X$7</definedName>
    <definedName name="ubicar_mes_reclasificaciones_MERVAL">'[21]reclasificaciones MERVAL'!$K$5:$V$7</definedName>
    <definedName name="ubicar_trim_estres_cons_X_Trim_bruto">'[18]estres cons X Trim bruto'!$B$1:$AZ$3</definedName>
    <definedName name="ubicar_trim_estres_cons_X_Trim_neto">'[18]estres cons X Trim neto'!$B$1:$AZ$3</definedName>
    <definedName name="ubicar_trimestre_notas">'[31]estres cons X Trim'!#REF!</definedName>
    <definedName name="UF">#REF!</definedName>
    <definedName name="UF_21abr15">[33]InvTramos!$C$1</definedName>
    <definedName name="Un_mil">[29]Ingr_Inf!$E$7</definedName>
    <definedName name="un_millón">#REF!</definedName>
    <definedName name="us">#REF!</definedName>
    <definedName name="USD">[49]Datos!$C$2</definedName>
    <definedName name="USD.2011">[33]EvSocial!$B$5</definedName>
    <definedName name="USD_21abr15">[33]InvTramos!$C$2</definedName>
    <definedName name="variable1">#REF!</definedName>
    <definedName name="VidaUtilProy">[33]InvTramos!$O$2</definedName>
    <definedName name="VST.2011">[33]EvSocial!$B$4</definedName>
    <definedName name="VST.2014">'[45]Evaluación Social'!$AP$3</definedName>
    <definedName name="VST.2015">[33]Resumen!$F$2</definedName>
    <definedName name="VV">#N/A</definedName>
    <definedName name="w">#REF!</definedName>
    <definedName name="XX">#REF!</definedName>
    <definedName name="xxx">#REF!</definedName>
    <definedName name="xxx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4" i="4" l="1"/>
  <c r="F109" i="4"/>
  <c r="F110" i="4" s="1"/>
  <c r="E109" i="4"/>
  <c r="D109" i="4"/>
  <c r="C109" i="4"/>
  <c r="F108" i="4"/>
  <c r="E108" i="4"/>
  <c r="D108" i="4"/>
  <c r="C108" i="4"/>
  <c r="G108" i="4" s="1"/>
  <c r="F107" i="4"/>
  <c r="E107" i="4"/>
  <c r="G107" i="4" s="1"/>
  <c r="D107" i="4"/>
  <c r="C107" i="4"/>
  <c r="F106" i="4"/>
  <c r="E106" i="4"/>
  <c r="D106" i="4"/>
  <c r="D110" i="4" s="1"/>
  <c r="C106" i="4"/>
  <c r="G102" i="4"/>
  <c r="F102" i="4"/>
  <c r="E102" i="4"/>
  <c r="D102" i="4"/>
  <c r="C102" i="4"/>
  <c r="J101" i="4"/>
  <c r="N114" i="4" s="1"/>
  <c r="G101" i="4"/>
  <c r="G100" i="4"/>
  <c r="G99" i="4"/>
  <c r="G98" i="4"/>
  <c r="F94" i="4"/>
  <c r="E94" i="4"/>
  <c r="D94" i="4"/>
  <c r="C94" i="4"/>
  <c r="J93" i="4"/>
  <c r="M114" i="4" s="1"/>
  <c r="G93" i="4"/>
  <c r="G92" i="4"/>
  <c r="G91" i="4"/>
  <c r="G90" i="4"/>
  <c r="F86" i="4"/>
  <c r="E86" i="4"/>
  <c r="D86" i="4"/>
  <c r="C86" i="4"/>
  <c r="G86" i="4" s="1"/>
  <c r="J85" i="4"/>
  <c r="L114" i="4" s="1"/>
  <c r="G85" i="4"/>
  <c r="G84" i="4"/>
  <c r="G83" i="4"/>
  <c r="G82" i="4"/>
  <c r="F78" i="4"/>
  <c r="E78" i="4"/>
  <c r="G78" i="4" s="1"/>
  <c r="D78" i="4"/>
  <c r="C78" i="4"/>
  <c r="J77" i="4"/>
  <c r="K114" i="4" s="1"/>
  <c r="G77" i="4"/>
  <c r="G76" i="4"/>
  <c r="G75" i="4"/>
  <c r="G74" i="4"/>
  <c r="G70" i="4"/>
  <c r="F70" i="4"/>
  <c r="E70" i="4"/>
  <c r="D70" i="4"/>
  <c r="C70" i="4"/>
  <c r="J69" i="4"/>
  <c r="J114" i="4" s="1"/>
  <c r="G69" i="4"/>
  <c r="G68" i="4"/>
  <c r="G67" i="4"/>
  <c r="G66" i="4"/>
  <c r="F62" i="4"/>
  <c r="E62" i="4"/>
  <c r="D62" i="4"/>
  <c r="C62" i="4"/>
  <c r="G62" i="4" s="1"/>
  <c r="J61" i="4"/>
  <c r="I114" i="4" s="1"/>
  <c r="G61" i="4"/>
  <c r="G60" i="4"/>
  <c r="G59" i="4"/>
  <c r="G58" i="4"/>
  <c r="F54" i="4"/>
  <c r="E54" i="4"/>
  <c r="D54" i="4"/>
  <c r="C54" i="4"/>
  <c r="J53" i="4"/>
  <c r="H114" i="4" s="1"/>
  <c r="G53" i="4"/>
  <c r="G52" i="4"/>
  <c r="G51" i="4"/>
  <c r="G50" i="4"/>
  <c r="F46" i="4"/>
  <c r="E46" i="4"/>
  <c r="D46" i="4"/>
  <c r="G46" i="4" s="1"/>
  <c r="C46" i="4"/>
  <c r="J45" i="4"/>
  <c r="G114" i="4" s="1"/>
  <c r="G45" i="4"/>
  <c r="G44" i="4"/>
  <c r="G43" i="4"/>
  <c r="G42" i="4"/>
  <c r="G38" i="4"/>
  <c r="F38" i="4"/>
  <c r="E38" i="4"/>
  <c r="D38" i="4"/>
  <c r="C38" i="4"/>
  <c r="J37" i="4"/>
  <c r="F114" i="4" s="1"/>
  <c r="G37" i="4"/>
  <c r="G36" i="4"/>
  <c r="G35" i="4"/>
  <c r="G34" i="4"/>
  <c r="F30" i="4"/>
  <c r="E30" i="4"/>
  <c r="D30" i="4"/>
  <c r="C30" i="4"/>
  <c r="J29" i="4"/>
  <c r="E114" i="4" s="1"/>
  <c r="G29" i="4"/>
  <c r="G28" i="4"/>
  <c r="G27" i="4"/>
  <c r="G26" i="4"/>
  <c r="G22" i="4"/>
  <c r="F22" i="4"/>
  <c r="E22" i="4"/>
  <c r="D22" i="4"/>
  <c r="C22" i="4"/>
  <c r="J21" i="4"/>
  <c r="D114" i="4" s="1"/>
  <c r="G21" i="4"/>
  <c r="G20" i="4"/>
  <c r="G19" i="4"/>
  <c r="G18" i="4"/>
  <c r="F14" i="4"/>
  <c r="E14" i="4"/>
  <c r="G14" i="4" s="1"/>
  <c r="D14" i="4"/>
  <c r="C14" i="4"/>
  <c r="J13" i="4"/>
  <c r="G13" i="4"/>
  <c r="G12" i="4"/>
  <c r="G11" i="4"/>
  <c r="G10" i="4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AH240" i="3"/>
  <c r="AN233" i="3" s="1"/>
  <c r="S240" i="3"/>
  <c r="R240" i="3"/>
  <c r="Y207" i="3" s="1"/>
  <c r="M240" i="3"/>
  <c r="AK235" i="3"/>
  <c r="AP233" i="3"/>
  <c r="AP232" i="3"/>
  <c r="AO232" i="3"/>
  <c r="AM232" i="3"/>
  <c r="AM231" i="3"/>
  <c r="AR230" i="3"/>
  <c r="AR229" i="3"/>
  <c r="AQ229" i="3"/>
  <c r="AO229" i="3"/>
  <c r="AL228" i="3"/>
  <c r="AK228" i="3"/>
  <c r="AL227" i="3"/>
  <c r="AK227" i="3"/>
  <c r="AP226" i="3"/>
  <c r="S222" i="3"/>
  <c r="R222" i="3"/>
  <c r="Z207" i="3" s="1"/>
  <c r="R205" i="3"/>
  <c r="AA207" i="3" s="1"/>
  <c r="S204" i="3"/>
  <c r="R204" i="3"/>
  <c r="S186" i="3"/>
  <c r="R186" i="3"/>
  <c r="AB207" i="3" s="1"/>
  <c r="S168" i="3"/>
  <c r="T168" i="3" s="1"/>
  <c r="R168" i="3"/>
  <c r="S169" i="3" s="1"/>
  <c r="T150" i="3"/>
  <c r="S150" i="3"/>
  <c r="R150" i="3"/>
  <c r="S132" i="3"/>
  <c r="R132" i="3"/>
  <c r="T115" i="3"/>
  <c r="S114" i="3"/>
  <c r="R114" i="3"/>
  <c r="S96" i="3"/>
  <c r="R96" i="3"/>
  <c r="T96" i="3" s="1"/>
  <c r="S78" i="3"/>
  <c r="T78" i="3" s="1"/>
  <c r="R78" i="3"/>
  <c r="S60" i="3"/>
  <c r="R60" i="3"/>
  <c r="AD52" i="3" s="1"/>
  <c r="AF55" i="3"/>
  <c r="AE55" i="3"/>
  <c r="AD55" i="3"/>
  <c r="AB55" i="3"/>
  <c r="AF53" i="3"/>
  <c r="AE53" i="3"/>
  <c r="AD53" i="3"/>
  <c r="Z53" i="3"/>
  <c r="Y53" i="3"/>
  <c r="X53" i="3"/>
  <c r="Y52" i="3"/>
  <c r="X52" i="3"/>
  <c r="AF51" i="3"/>
  <c r="AA51" i="3"/>
  <c r="Y51" i="3"/>
  <c r="X51" i="3"/>
  <c r="AF50" i="3"/>
  <c r="AB50" i="3"/>
  <c r="AA50" i="3"/>
  <c r="Z50" i="3"/>
  <c r="AA49" i="3"/>
  <c r="Z49" i="3"/>
  <c r="Y49" i="3"/>
  <c r="AC48" i="3"/>
  <c r="AA48" i="3"/>
  <c r="AF47" i="3"/>
  <c r="AE47" i="3"/>
  <c r="AD47" i="3"/>
  <c r="AC47" i="3"/>
  <c r="AE46" i="3"/>
  <c r="AA46" i="3"/>
  <c r="Z46" i="3"/>
  <c r="X46" i="3"/>
  <c r="S42" i="3"/>
  <c r="T42" i="3" s="1"/>
  <c r="R42" i="3"/>
  <c r="P23" i="3"/>
  <c r="M23" i="3"/>
  <c r="J23" i="3"/>
  <c r="I23" i="3"/>
  <c r="H23" i="3"/>
  <c r="G23" i="3"/>
  <c r="F23" i="3"/>
  <c r="E23" i="3"/>
  <c r="C23" i="3"/>
  <c r="Q22" i="3"/>
  <c r="O22" i="3"/>
  <c r="J22" i="3"/>
  <c r="I22" i="3"/>
  <c r="H22" i="3"/>
  <c r="G22" i="3"/>
  <c r="F22" i="3"/>
  <c r="E22" i="3"/>
  <c r="C22" i="3"/>
  <c r="N21" i="3"/>
  <c r="O20" i="3"/>
  <c r="M20" i="3"/>
  <c r="M21" i="3" s="1"/>
  <c r="P19" i="3"/>
  <c r="N19" i="3"/>
  <c r="O19" i="3" s="1"/>
  <c r="P21" i="3" s="1"/>
  <c r="Q21" i="3" s="1"/>
  <c r="O23" i="3" s="1"/>
  <c r="E19" i="3"/>
  <c r="D19" i="3"/>
  <c r="Q16" i="3"/>
  <c r="P16" i="3"/>
  <c r="E16" i="3"/>
  <c r="D16" i="3"/>
  <c r="Q15" i="3"/>
  <c r="P15" i="3"/>
  <c r="E15" i="3"/>
  <c r="D15" i="3"/>
  <c r="Q14" i="3"/>
  <c r="P14" i="3"/>
  <c r="E14" i="3"/>
  <c r="D14" i="3"/>
  <c r="Q13" i="3"/>
  <c r="P13" i="3"/>
  <c r="E13" i="3"/>
  <c r="D13" i="3"/>
  <c r="Q12" i="3"/>
  <c r="P12" i="3"/>
  <c r="E12" i="3"/>
  <c r="D12" i="3"/>
  <c r="W11" i="3"/>
  <c r="N11" i="3" s="1"/>
  <c r="Q11" i="3"/>
  <c r="P11" i="3"/>
  <c r="O11" i="3"/>
  <c r="D11" i="3"/>
  <c r="X10" i="3"/>
  <c r="X11" i="3" s="1"/>
  <c r="Q10" i="3"/>
  <c r="P10" i="3"/>
  <c r="N10" i="3"/>
  <c r="O10" i="3" s="1"/>
  <c r="L10" i="3"/>
  <c r="D10" i="3"/>
  <c r="E3" i="3"/>
  <c r="D3" i="3"/>
  <c r="H430" i="2"/>
  <c r="H424" i="2"/>
  <c r="N430" i="2" s="1"/>
  <c r="H415" i="2"/>
  <c r="E430" i="2" s="1"/>
  <c r="H414" i="2"/>
  <c r="D430" i="2" s="1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X381" i="2"/>
  <c r="W381" i="2"/>
  <c r="V381" i="2"/>
  <c r="U381" i="2"/>
  <c r="T381" i="2"/>
  <c r="S381" i="2"/>
  <c r="R381" i="2"/>
  <c r="Q381" i="2"/>
  <c r="I404" i="2" s="1"/>
  <c r="I405" i="2" s="1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I373" i="2"/>
  <c r="H425" i="2" s="1"/>
  <c r="O430" i="2" s="1"/>
  <c r="Y372" i="2"/>
  <c r="AA372" i="2" s="1"/>
  <c r="I344" i="2"/>
  <c r="I345" i="2" s="1"/>
  <c r="Y343" i="2"/>
  <c r="AC344" i="2" s="1"/>
  <c r="Y314" i="2"/>
  <c r="AA314" i="2" s="1"/>
  <c r="I287" i="2"/>
  <c r="I286" i="2"/>
  <c r="H422" i="2" s="1"/>
  <c r="L430" i="2" s="1"/>
  <c r="AA285" i="2"/>
  <c r="Y285" i="2"/>
  <c r="I258" i="2"/>
  <c r="Y256" i="2"/>
  <c r="AA256" i="2" s="1"/>
  <c r="I228" i="2"/>
  <c r="Y227" i="2"/>
  <c r="AA227" i="2" s="1"/>
  <c r="Y198" i="2"/>
  <c r="AA198" i="2" s="1"/>
  <c r="I170" i="2"/>
  <c r="H418" i="2" s="1"/>
  <c r="Y169" i="2"/>
  <c r="AA169" i="2" s="1"/>
  <c r="Y140" i="2"/>
  <c r="AA140" i="2" s="1"/>
  <c r="Y113" i="2"/>
  <c r="AC88" i="2" s="1"/>
  <c r="AD88" i="2" s="1"/>
  <c r="I113" i="2"/>
  <c r="Y112" i="2"/>
  <c r="I112" i="2"/>
  <c r="H416" i="2" s="1"/>
  <c r="F430" i="2" s="1"/>
  <c r="Y111" i="2"/>
  <c r="AA111" i="2" s="1"/>
  <c r="AD87" i="2"/>
  <c r="AC87" i="2"/>
  <c r="I84" i="2"/>
  <c r="I83" i="2"/>
  <c r="AA82" i="2"/>
  <c r="Z82" i="2"/>
  <c r="Z403" i="2" s="1"/>
  <c r="Y82" i="2"/>
  <c r="I54" i="2"/>
  <c r="I55" i="2" s="1"/>
  <c r="BB53" i="2"/>
  <c r="BN52" i="2" s="1"/>
  <c r="AA53" i="2"/>
  <c r="Y53" i="2"/>
  <c r="BU52" i="2"/>
  <c r="BR52" i="2"/>
  <c r="BQ52" i="2"/>
  <c r="Y52" i="2"/>
  <c r="BQ51" i="2"/>
  <c r="Y51" i="2"/>
  <c r="BY50" i="2"/>
  <c r="BT50" i="2"/>
  <c r="BQ50" i="2"/>
  <c r="BP50" i="2"/>
  <c r="BO50" i="2"/>
  <c r="BD50" i="2"/>
  <c r="Y50" i="2"/>
  <c r="BO49" i="2"/>
  <c r="Y49" i="2"/>
  <c r="BX48" i="2"/>
  <c r="BV48" i="2"/>
  <c r="BP48" i="2"/>
  <c r="BO48" i="2"/>
  <c r="BN48" i="2"/>
  <c r="BF48" i="2"/>
  <c r="Y48" i="2"/>
  <c r="BO47" i="2"/>
  <c r="Y47" i="2"/>
  <c r="BW46" i="2"/>
  <c r="BT46" i="2"/>
  <c r="BP46" i="2"/>
  <c r="BO46" i="2"/>
  <c r="BG46" i="2"/>
  <c r="Y46" i="2"/>
  <c r="BS45" i="2"/>
  <c r="BE45" i="2"/>
  <c r="BD45" i="2"/>
  <c r="Y45" i="2"/>
  <c r="BY44" i="2"/>
  <c r="BT44" i="2"/>
  <c r="BS44" i="2"/>
  <c r="Y44" i="2"/>
  <c r="BY43" i="2"/>
  <c r="BI43" i="2"/>
  <c r="BE43" i="2"/>
  <c r="BD43" i="2"/>
  <c r="Y43" i="2"/>
  <c r="BY42" i="2"/>
  <c r="BX42" i="2"/>
  <c r="BD42" i="2"/>
  <c r="Y42" i="2"/>
  <c r="BQ41" i="2"/>
  <c r="BP41" i="2"/>
  <c r="BH41" i="2"/>
  <c r="BG41" i="2"/>
  <c r="Y41" i="2"/>
  <c r="BY40" i="2"/>
  <c r="BG40" i="2"/>
  <c r="BF40" i="2"/>
  <c r="Y40" i="2"/>
  <c r="BX39" i="2"/>
  <c r="BU39" i="2"/>
  <c r="BQ39" i="2"/>
  <c r="BP39" i="2"/>
  <c r="BH39" i="2"/>
  <c r="BG39" i="2"/>
  <c r="Y39" i="2"/>
  <c r="BT38" i="2"/>
  <c r="BS38" i="2"/>
  <c r="BE38" i="2"/>
  <c r="BD38" i="2"/>
  <c r="Y38" i="2"/>
  <c r="BU37" i="2"/>
  <c r="BT37" i="2"/>
  <c r="BS37" i="2"/>
  <c r="Y37" i="2"/>
  <c r="BT36" i="2"/>
  <c r="BF36" i="2"/>
  <c r="BE36" i="2"/>
  <c r="BD36" i="2"/>
  <c r="Y36" i="2"/>
  <c r="BY35" i="2"/>
  <c r="BT35" i="2"/>
  <c r="BD35" i="2"/>
  <c r="Y35" i="2"/>
  <c r="BQ34" i="2"/>
  <c r="BI34" i="2"/>
  <c r="BH34" i="2"/>
  <c r="BD34" i="2"/>
  <c r="Y34" i="2"/>
  <c r="BY33" i="2"/>
  <c r="BG33" i="2"/>
  <c r="BF33" i="2"/>
  <c r="Y33" i="2"/>
  <c r="BR32" i="2"/>
  <c r="BQ32" i="2"/>
  <c r="BP32" i="2"/>
  <c r="BH32" i="2"/>
  <c r="BG32" i="2"/>
  <c r="BF32" i="2"/>
  <c r="Y32" i="2"/>
  <c r="BQ31" i="2"/>
  <c r="BH31" i="2"/>
  <c r="BD31" i="2"/>
  <c r="Y31" i="2"/>
  <c r="X4" i="2"/>
  <c r="I257" i="2" s="1"/>
  <c r="H421" i="2" s="1"/>
  <c r="K430" i="2" s="1"/>
  <c r="M506" i="1"/>
  <c r="L506" i="1"/>
  <c r="E506" i="1"/>
  <c r="I500" i="1"/>
  <c r="D500" i="1"/>
  <c r="N506" i="1" s="1"/>
  <c r="I499" i="1"/>
  <c r="D499" i="1"/>
  <c r="I498" i="1"/>
  <c r="D498" i="1"/>
  <c r="I497" i="1"/>
  <c r="D497" i="1"/>
  <c r="E497" i="1" s="1"/>
  <c r="I496" i="1"/>
  <c r="D496" i="1"/>
  <c r="J506" i="1" s="1"/>
  <c r="I495" i="1"/>
  <c r="D495" i="1"/>
  <c r="I494" i="1"/>
  <c r="D494" i="1"/>
  <c r="H506" i="1" s="1"/>
  <c r="I493" i="1"/>
  <c r="D493" i="1"/>
  <c r="G506" i="1" s="1"/>
  <c r="I492" i="1"/>
  <c r="D492" i="1"/>
  <c r="F506" i="1" s="1"/>
  <c r="I491" i="1"/>
  <c r="D491" i="1"/>
  <c r="I490" i="1"/>
  <c r="D490" i="1"/>
  <c r="D506" i="1" s="1"/>
  <c r="I489" i="1"/>
  <c r="D489" i="1"/>
  <c r="C506" i="1" s="1"/>
  <c r="O482" i="1"/>
  <c r="G482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AD480" i="1" s="1"/>
  <c r="E480" i="1"/>
  <c r="D480" i="1"/>
  <c r="C480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AD479" i="1" s="1"/>
  <c r="H479" i="1"/>
  <c r="G479" i="1"/>
  <c r="F479" i="1"/>
  <c r="E479" i="1"/>
  <c r="D479" i="1"/>
  <c r="C479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AD478" i="1" s="1"/>
  <c r="D478" i="1"/>
  <c r="C478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AD476" i="1" s="1"/>
  <c r="E476" i="1"/>
  <c r="D476" i="1"/>
  <c r="C476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AD475" i="1" s="1"/>
  <c r="M475" i="1"/>
  <c r="L475" i="1"/>
  <c r="K475" i="1"/>
  <c r="J475" i="1"/>
  <c r="I475" i="1"/>
  <c r="H475" i="1"/>
  <c r="G475" i="1"/>
  <c r="F475" i="1"/>
  <c r="E475" i="1"/>
  <c r="D475" i="1"/>
  <c r="C475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AD474" i="1" s="1"/>
  <c r="I474" i="1"/>
  <c r="H474" i="1"/>
  <c r="G474" i="1"/>
  <c r="F474" i="1"/>
  <c r="E474" i="1"/>
  <c r="D474" i="1"/>
  <c r="C474" i="1"/>
  <c r="AC473" i="1"/>
  <c r="AB473" i="1"/>
  <c r="AA473" i="1"/>
  <c r="Z473" i="1"/>
  <c r="Y473" i="1"/>
  <c r="X473" i="1"/>
  <c r="W473" i="1"/>
  <c r="V473" i="1"/>
  <c r="U473" i="1"/>
  <c r="U482" i="1" s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AD472" i="1" s="1"/>
  <c r="E472" i="1"/>
  <c r="D472" i="1"/>
  <c r="C472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AD471" i="1" s="1"/>
  <c r="L471" i="1"/>
  <c r="K471" i="1"/>
  <c r="J471" i="1"/>
  <c r="I471" i="1"/>
  <c r="H471" i="1"/>
  <c r="G471" i="1"/>
  <c r="F471" i="1"/>
  <c r="E471" i="1"/>
  <c r="D471" i="1"/>
  <c r="C471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AD470" i="1" s="1"/>
  <c r="H470" i="1"/>
  <c r="G470" i="1"/>
  <c r="F470" i="1"/>
  <c r="E470" i="1"/>
  <c r="D470" i="1"/>
  <c r="C470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AD468" i="1" s="1"/>
  <c r="E468" i="1"/>
  <c r="D468" i="1"/>
  <c r="C468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AD467" i="1" s="1"/>
  <c r="K467" i="1"/>
  <c r="J467" i="1"/>
  <c r="I467" i="1"/>
  <c r="H467" i="1"/>
  <c r="G467" i="1"/>
  <c r="F467" i="1"/>
  <c r="E467" i="1"/>
  <c r="D467" i="1"/>
  <c r="C467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AD466" i="1" s="1"/>
  <c r="G466" i="1"/>
  <c r="F466" i="1"/>
  <c r="E466" i="1"/>
  <c r="D466" i="1"/>
  <c r="C466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AD465" i="1" s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AD464" i="1" s="1"/>
  <c r="E464" i="1"/>
  <c r="D464" i="1"/>
  <c r="C464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AD463" i="1" s="1"/>
  <c r="K463" i="1"/>
  <c r="J463" i="1"/>
  <c r="I463" i="1"/>
  <c r="H463" i="1"/>
  <c r="G463" i="1"/>
  <c r="F463" i="1"/>
  <c r="E463" i="1"/>
  <c r="D463" i="1"/>
  <c r="C463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AD462" i="1" s="1"/>
  <c r="G462" i="1"/>
  <c r="F462" i="1"/>
  <c r="E462" i="1"/>
  <c r="D462" i="1"/>
  <c r="C462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AD460" i="1" s="1"/>
  <c r="M460" i="1"/>
  <c r="L460" i="1"/>
  <c r="K460" i="1"/>
  <c r="J460" i="1"/>
  <c r="I460" i="1"/>
  <c r="H460" i="1"/>
  <c r="G460" i="1"/>
  <c r="F460" i="1"/>
  <c r="E460" i="1"/>
  <c r="D460" i="1"/>
  <c r="C460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AD459" i="1" s="1"/>
  <c r="I459" i="1"/>
  <c r="H459" i="1"/>
  <c r="G459" i="1"/>
  <c r="F459" i="1"/>
  <c r="E459" i="1"/>
  <c r="D459" i="1"/>
  <c r="C459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H482" i="1" s="1"/>
  <c r="G458" i="1"/>
  <c r="F458" i="1"/>
  <c r="E458" i="1"/>
  <c r="AD458" i="1" s="1"/>
  <c r="D458" i="1"/>
  <c r="C458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AC456" i="1"/>
  <c r="AB456" i="1"/>
  <c r="AA456" i="1"/>
  <c r="Z456" i="1"/>
  <c r="Y456" i="1"/>
  <c r="X456" i="1"/>
  <c r="W456" i="1"/>
  <c r="W482" i="1" s="1"/>
  <c r="V456" i="1"/>
  <c r="U456" i="1"/>
  <c r="T456" i="1"/>
  <c r="S456" i="1"/>
  <c r="R456" i="1"/>
  <c r="Q456" i="1"/>
  <c r="Q482" i="1" s="1"/>
  <c r="P456" i="1"/>
  <c r="P482" i="1" s="1"/>
  <c r="O456" i="1"/>
  <c r="N456" i="1"/>
  <c r="M456" i="1"/>
  <c r="AD456" i="1" s="1"/>
  <c r="L456" i="1"/>
  <c r="K456" i="1"/>
  <c r="J456" i="1"/>
  <c r="I456" i="1"/>
  <c r="H456" i="1"/>
  <c r="G456" i="1"/>
  <c r="F456" i="1"/>
  <c r="F482" i="1" s="1"/>
  <c r="E456" i="1"/>
  <c r="D456" i="1"/>
  <c r="C456" i="1"/>
  <c r="AC455" i="1"/>
  <c r="AB455" i="1"/>
  <c r="AA455" i="1"/>
  <c r="AA482" i="1" s="1"/>
  <c r="Z455" i="1"/>
  <c r="Y455" i="1"/>
  <c r="Y482" i="1" s="1"/>
  <c r="X455" i="1"/>
  <c r="W455" i="1"/>
  <c r="V455" i="1"/>
  <c r="U455" i="1"/>
  <c r="T455" i="1"/>
  <c r="S455" i="1"/>
  <c r="R455" i="1"/>
  <c r="R482" i="1" s="1"/>
  <c r="Q455" i="1"/>
  <c r="P455" i="1"/>
  <c r="O455" i="1"/>
  <c r="N455" i="1"/>
  <c r="N482" i="1" s="1"/>
  <c r="M455" i="1"/>
  <c r="L455" i="1"/>
  <c r="K455" i="1"/>
  <c r="K482" i="1" s="1"/>
  <c r="J455" i="1"/>
  <c r="J482" i="1" s="1"/>
  <c r="I455" i="1"/>
  <c r="I482" i="1" s="1"/>
  <c r="H455" i="1"/>
  <c r="G455" i="1"/>
  <c r="F455" i="1"/>
  <c r="E455" i="1"/>
  <c r="D455" i="1"/>
  <c r="C455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47" i="1" s="1"/>
  <c r="F500" i="1" s="1"/>
  <c r="H500" i="1" s="1"/>
  <c r="AD420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44" i="1" s="1"/>
  <c r="F497" i="1" s="1"/>
  <c r="H497" i="1" s="1"/>
  <c r="AD317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77" i="1" s="1"/>
  <c r="F495" i="1" s="1"/>
  <c r="H495" i="1" s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44" i="1" s="1"/>
  <c r="F494" i="1" s="1"/>
  <c r="AD221" i="1"/>
  <c r="AD220" i="1"/>
  <c r="AD219" i="1"/>
  <c r="AD218" i="1"/>
  <c r="AD217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210" i="1" s="1"/>
  <c r="F493" i="1" s="1"/>
  <c r="H493" i="1" s="1"/>
  <c r="AD187" i="1"/>
  <c r="AD186" i="1"/>
  <c r="AD185" i="1"/>
  <c r="AD184" i="1"/>
  <c r="AD183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76" i="1" s="1"/>
  <c r="F492" i="1" s="1"/>
  <c r="H492" i="1" s="1"/>
  <c r="AD151" i="1"/>
  <c r="AD150" i="1"/>
  <c r="AD149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106" i="1" s="1"/>
  <c r="AG106" i="1" s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36" i="1" s="1"/>
  <c r="J500" i="1" l="1"/>
  <c r="H494" i="1"/>
  <c r="E494" i="1"/>
  <c r="AD461" i="1"/>
  <c r="M482" i="1"/>
  <c r="AC482" i="1"/>
  <c r="J493" i="1"/>
  <c r="F3" i="3"/>
  <c r="E20" i="3"/>
  <c r="E21" i="3" s="1"/>
  <c r="AD379" i="1"/>
  <c r="F498" i="1" s="1"/>
  <c r="E498" i="1" s="1"/>
  <c r="AD141" i="1"/>
  <c r="F491" i="1" s="1"/>
  <c r="H491" i="1" s="1"/>
  <c r="E490" i="1"/>
  <c r="J494" i="1"/>
  <c r="BF31" i="2"/>
  <c r="BY32" i="2"/>
  <c r="BS34" i="2"/>
  <c r="BR36" i="2"/>
  <c r="BG38" i="2"/>
  <c r="BX41" i="2"/>
  <c r="BR43" i="2"/>
  <c r="BG45" i="2"/>
  <c r="BE47" i="2"/>
  <c r="BD51" i="2"/>
  <c r="E110" i="4"/>
  <c r="F490" i="1"/>
  <c r="H490" i="1" s="1"/>
  <c r="BG31" i="2"/>
  <c r="BY34" i="2"/>
  <c r="BS36" i="2"/>
  <c r="BH38" i="2"/>
  <c r="BE40" i="2"/>
  <c r="BY41" i="2"/>
  <c r="BS43" i="2"/>
  <c r="BR45" i="2"/>
  <c r="BF47" i="2"/>
  <c r="BF49" i="2"/>
  <c r="BM51" i="2"/>
  <c r="I229" i="2"/>
  <c r="H420" i="2"/>
  <c r="J430" i="2" s="1"/>
  <c r="X482" i="1"/>
  <c r="J495" i="1"/>
  <c r="BE35" i="2"/>
  <c r="BH35" i="2"/>
  <c r="BX31" i="2"/>
  <c r="BR33" i="2"/>
  <c r="BI35" i="2"/>
  <c r="BF37" i="2"/>
  <c r="BR40" i="2"/>
  <c r="BQ42" i="2"/>
  <c r="BF44" i="2"/>
  <c r="BD46" i="2"/>
  <c r="BX47" i="2"/>
  <c r="BX49" i="2"/>
  <c r="AD311" i="1"/>
  <c r="F496" i="1" s="1"/>
  <c r="V482" i="1"/>
  <c r="BT45" i="2"/>
  <c r="BP47" i="2"/>
  <c r="BP49" i="2"/>
  <c r="BR51" i="2"/>
  <c r="E482" i="1"/>
  <c r="AD481" i="1"/>
  <c r="E500" i="1"/>
  <c r="BU31" i="2"/>
  <c r="BQ33" i="2"/>
  <c r="BE37" i="2"/>
  <c r="BX38" i="2"/>
  <c r="BQ40" i="2"/>
  <c r="BH42" i="2"/>
  <c r="BE44" i="2"/>
  <c r="BV47" i="2"/>
  <c r="BV49" i="2"/>
  <c r="BY51" i="2"/>
  <c r="T240" i="3"/>
  <c r="AD477" i="1"/>
  <c r="AD473" i="1"/>
  <c r="E492" i="1"/>
  <c r="BY31" i="2"/>
  <c r="BS33" i="2"/>
  <c r="BR35" i="2"/>
  <c r="BG37" i="2"/>
  <c r="BE39" i="2"/>
  <c r="BW40" i="2"/>
  <c r="BR42" i="2"/>
  <c r="BI44" i="2"/>
  <c r="BE46" i="2"/>
  <c r="BY47" i="2"/>
  <c r="BY49" i="2"/>
  <c r="BD52" i="2"/>
  <c r="BT31" i="2"/>
  <c r="BH33" i="2"/>
  <c r="BD37" i="2"/>
  <c r="BU38" i="2"/>
  <c r="BP40" i="2"/>
  <c r="BG42" i="2"/>
  <c r="BD44" i="2"/>
  <c r="BW45" i="2"/>
  <c r="BQ47" i="2"/>
  <c r="BQ49" i="2"/>
  <c r="BU51" i="2"/>
  <c r="AD469" i="1"/>
  <c r="J492" i="1"/>
  <c r="BX33" i="2"/>
  <c r="BS35" i="2"/>
  <c r="BJ37" i="2"/>
  <c r="BF39" i="2"/>
  <c r="BX40" i="2"/>
  <c r="BS42" i="2"/>
  <c r="BR44" i="2"/>
  <c r="BF46" i="2"/>
  <c r="K506" i="1"/>
  <c r="D23" i="3"/>
  <c r="D20" i="3"/>
  <c r="D21" i="3" s="1"/>
  <c r="D22" i="3"/>
  <c r="E493" i="1"/>
  <c r="Z482" i="1"/>
  <c r="AD457" i="1"/>
  <c r="L482" i="1"/>
  <c r="AB482" i="1"/>
  <c r="E489" i="1"/>
  <c r="AD455" i="1"/>
  <c r="AD482" i="1" s="1"/>
  <c r="BP52" i="2"/>
  <c r="BW51" i="2"/>
  <c r="BG51" i="2"/>
  <c r="BN50" i="2"/>
  <c r="BU49" i="2"/>
  <c r="BE49" i="2"/>
  <c r="BL48" i="2"/>
  <c r="BS47" i="2"/>
  <c r="BJ46" i="2"/>
  <c r="BQ45" i="2"/>
  <c r="BX44" i="2"/>
  <c r="BH44" i="2"/>
  <c r="BO43" i="2"/>
  <c r="BV42" i="2"/>
  <c r="BF42" i="2"/>
  <c r="BM41" i="2"/>
  <c r="BT40" i="2"/>
  <c r="BD40" i="2"/>
  <c r="BK39" i="2"/>
  <c r="BR38" i="2"/>
  <c r="BY37" i="2"/>
  <c r="BI37" i="2"/>
  <c r="BP36" i="2"/>
  <c r="BW35" i="2"/>
  <c r="BG35" i="2"/>
  <c r="BN34" i="2"/>
  <c r="BU33" i="2"/>
  <c r="BE33" i="2"/>
  <c r="BL32" i="2"/>
  <c r="BS31" i="2"/>
  <c r="BO52" i="2"/>
  <c r="BV51" i="2"/>
  <c r="BF51" i="2"/>
  <c r="BM50" i="2"/>
  <c r="BT49" i="2"/>
  <c r="BD49" i="2"/>
  <c r="BK48" i="2"/>
  <c r="BR47" i="2"/>
  <c r="BY46" i="2"/>
  <c r="BI46" i="2"/>
  <c r="BP45" i="2"/>
  <c r="BW44" i="2"/>
  <c r="BG44" i="2"/>
  <c r="BN43" i="2"/>
  <c r="BU42" i="2"/>
  <c r="BE42" i="2"/>
  <c r="BL41" i="2"/>
  <c r="BS40" i="2"/>
  <c r="BJ39" i="2"/>
  <c r="BQ38" i="2"/>
  <c r="BX37" i="2"/>
  <c r="BH37" i="2"/>
  <c r="BO36" i="2"/>
  <c r="BV35" i="2"/>
  <c r="BF35" i="2"/>
  <c r="BM34" i="2"/>
  <c r="BT33" i="2"/>
  <c r="BD33" i="2"/>
  <c r="BK32" i="2"/>
  <c r="BR31" i="2"/>
  <c r="BY52" i="2"/>
  <c r="BI52" i="2"/>
  <c r="BP51" i="2"/>
  <c r="BW50" i="2"/>
  <c r="BG50" i="2"/>
  <c r="BN49" i="2"/>
  <c r="BU48" i="2"/>
  <c r="BE48" i="2"/>
  <c r="BL47" i="2"/>
  <c r="BS46" i="2"/>
  <c r="BJ45" i="2"/>
  <c r="BQ44" i="2"/>
  <c r="BX43" i="2"/>
  <c r="BH43" i="2"/>
  <c r="BO42" i="2"/>
  <c r="BV41" i="2"/>
  <c r="BF41" i="2"/>
  <c r="BM40" i="2"/>
  <c r="BT39" i="2"/>
  <c r="BD39" i="2"/>
  <c r="BK38" i="2"/>
  <c r="BR37" i="2"/>
  <c r="BY36" i="2"/>
  <c r="BI36" i="2"/>
  <c r="BP35" i="2"/>
  <c r="BW34" i="2"/>
  <c r="BG34" i="2"/>
  <c r="BN33" i="2"/>
  <c r="BU32" i="2"/>
  <c r="BE32" i="2"/>
  <c r="BL31" i="2"/>
  <c r="BX52" i="2"/>
  <c r="BH52" i="2"/>
  <c r="BO51" i="2"/>
  <c r="BV50" i="2"/>
  <c r="BF50" i="2"/>
  <c r="BM49" i="2"/>
  <c r="BT48" i="2"/>
  <c r="BD48" i="2"/>
  <c r="BK47" i="2"/>
  <c r="BR46" i="2"/>
  <c r="BY45" i="2"/>
  <c r="BI45" i="2"/>
  <c r="BP44" i="2"/>
  <c r="BW43" i="2"/>
  <c r="BG43" i="2"/>
  <c r="BN42" i="2"/>
  <c r="BU41" i="2"/>
  <c r="BE41" i="2"/>
  <c r="BL40" i="2"/>
  <c r="BS39" i="2"/>
  <c r="BJ38" i="2"/>
  <c r="BQ37" i="2"/>
  <c r="BX36" i="2"/>
  <c r="BH36" i="2"/>
  <c r="BO35" i="2"/>
  <c r="BV34" i="2"/>
  <c r="BF34" i="2"/>
  <c r="BM33" i="2"/>
  <c r="BT32" i="2"/>
  <c r="BD32" i="2"/>
  <c r="BK31" i="2"/>
  <c r="BW52" i="2"/>
  <c r="BG52" i="2"/>
  <c r="BN51" i="2"/>
  <c r="BU50" i="2"/>
  <c r="BE50" i="2"/>
  <c r="BL49" i="2"/>
  <c r="BS48" i="2"/>
  <c r="BJ47" i="2"/>
  <c r="BQ46" i="2"/>
  <c r="BX45" i="2"/>
  <c r="BH45" i="2"/>
  <c r="BO44" i="2"/>
  <c r="BV43" i="2"/>
  <c r="BF43" i="2"/>
  <c r="BM42" i="2"/>
  <c r="BT41" i="2"/>
  <c r="BD41" i="2"/>
  <c r="BK40" i="2"/>
  <c r="BR39" i="2"/>
  <c r="BY38" i="2"/>
  <c r="BI38" i="2"/>
  <c r="BP37" i="2"/>
  <c r="BW36" i="2"/>
  <c r="BG36" i="2"/>
  <c r="BN35" i="2"/>
  <c r="BU34" i="2"/>
  <c r="BE34" i="2"/>
  <c r="BL33" i="2"/>
  <c r="BS32" i="2"/>
  <c r="BJ31" i="2"/>
  <c r="BV52" i="2"/>
  <c r="BX51" i="2"/>
  <c r="BX50" i="2"/>
  <c r="BW49" i="2"/>
  <c r="BW48" i="2"/>
  <c r="BW47" i="2"/>
  <c r="BX46" i="2"/>
  <c r="BT52" i="2"/>
  <c r="BT51" i="2"/>
  <c r="BS50" i="2"/>
  <c r="BS49" i="2"/>
  <c r="BR48" i="2"/>
  <c r="BU47" i="2"/>
  <c r="BV46" i="2"/>
  <c r="BV45" i="2"/>
  <c r="BV44" i="2"/>
  <c r="BU43" i="2"/>
  <c r="BW42" i="2"/>
  <c r="BW41" i="2"/>
  <c r="BV40" i="2"/>
  <c r="BW39" i="2"/>
  <c r="BW38" i="2"/>
  <c r="BW37" i="2"/>
  <c r="BV36" i="2"/>
  <c r="BX35" i="2"/>
  <c r="BX34" i="2"/>
  <c r="BW33" i="2"/>
  <c r="BW32" i="2"/>
  <c r="BW31" i="2"/>
  <c r="BS52" i="2"/>
  <c r="BS51" i="2"/>
  <c r="BR50" i="2"/>
  <c r="BR49" i="2"/>
  <c r="BQ48" i="2"/>
  <c r="BT47" i="2"/>
  <c r="BU46" i="2"/>
  <c r="BU45" i="2"/>
  <c r="BU44" i="2"/>
  <c r="BT43" i="2"/>
  <c r="BT42" i="2"/>
  <c r="BS41" i="2"/>
  <c r="BU40" i="2"/>
  <c r="BV39" i="2"/>
  <c r="BV38" i="2"/>
  <c r="BV37" i="2"/>
  <c r="BU36" i="2"/>
  <c r="BU35" i="2"/>
  <c r="BT34" i="2"/>
  <c r="BV33" i="2"/>
  <c r="BV32" i="2"/>
  <c r="BV31" i="2"/>
  <c r="BM52" i="2"/>
  <c r="BL51" i="2"/>
  <c r="BL50" i="2"/>
  <c r="BK49" i="2"/>
  <c r="BM48" i="2"/>
  <c r="BN47" i="2"/>
  <c r="BN46" i="2"/>
  <c r="BO45" i="2"/>
  <c r="BN44" i="2"/>
  <c r="BP43" i="2"/>
  <c r="BP42" i="2"/>
  <c r="BO41" i="2"/>
  <c r="BO40" i="2"/>
  <c r="BO39" i="2"/>
  <c r="BP38" i="2"/>
  <c r="BO37" i="2"/>
  <c r="BQ36" i="2"/>
  <c r="BQ35" i="2"/>
  <c r="BP34" i="2"/>
  <c r="BP33" i="2"/>
  <c r="BO32" i="2"/>
  <c r="BP31" i="2"/>
  <c r="BI50" i="2"/>
  <c r="BJ42" i="2"/>
  <c r="BM38" i="2"/>
  <c r="BK35" i="2"/>
  <c r="BJ32" i="2"/>
  <c r="BF52" i="2"/>
  <c r="BH51" i="2"/>
  <c r="BH50" i="2"/>
  <c r="BG49" i="2"/>
  <c r="BG48" i="2"/>
  <c r="BG47" i="2"/>
  <c r="BH46" i="2"/>
  <c r="BJ44" i="2"/>
  <c r="BJ43" i="2"/>
  <c r="BI42" i="2"/>
  <c r="BH40" i="2"/>
  <c r="BL38" i="2"/>
  <c r="BK37" i="2"/>
  <c r="BJ35" i="2"/>
  <c r="BJ34" i="2"/>
  <c r="BI32" i="2"/>
  <c r="BI31" i="2"/>
  <c r="BE52" i="2"/>
  <c r="BE51" i="2"/>
  <c r="BL52" i="2"/>
  <c r="BK51" i="2"/>
  <c r="BK50" i="2"/>
  <c r="BJ49" i="2"/>
  <c r="BJ48" i="2"/>
  <c r="BM47" i="2"/>
  <c r="BM46" i="2"/>
  <c r="BN45" i="2"/>
  <c r="BM44" i="2"/>
  <c r="BM43" i="2"/>
  <c r="BL42" i="2"/>
  <c r="BN41" i="2"/>
  <c r="BN40" i="2"/>
  <c r="BN39" i="2"/>
  <c r="BO38" i="2"/>
  <c r="BN37" i="2"/>
  <c r="BN36" i="2"/>
  <c r="BM35" i="2"/>
  <c r="BO34" i="2"/>
  <c r="BO33" i="2"/>
  <c r="BN32" i="2"/>
  <c r="BO31" i="2"/>
  <c r="BJ52" i="2"/>
  <c r="BH49" i="2"/>
  <c r="BH47" i="2"/>
  <c r="BL45" i="2"/>
  <c r="BK43" i="2"/>
  <c r="BI40" i="2"/>
  <c r="BL39" i="2"/>
  <c r="BL36" i="2"/>
  <c r="BK34" i="2"/>
  <c r="BM31" i="2"/>
  <c r="BK52" i="2"/>
  <c r="BJ51" i="2"/>
  <c r="BJ50" i="2"/>
  <c r="BI49" i="2"/>
  <c r="BI48" i="2"/>
  <c r="BI47" i="2"/>
  <c r="BL46" i="2"/>
  <c r="BM45" i="2"/>
  <c r="BL44" i="2"/>
  <c r="BL43" i="2"/>
  <c r="BK42" i="2"/>
  <c r="BK41" i="2"/>
  <c r="BJ40" i="2"/>
  <c r="BM39" i="2"/>
  <c r="BN38" i="2"/>
  <c r="BM37" i="2"/>
  <c r="BM36" i="2"/>
  <c r="BL35" i="2"/>
  <c r="BL34" i="2"/>
  <c r="BK33" i="2"/>
  <c r="BM32" i="2"/>
  <c r="BN31" i="2"/>
  <c r="BI51" i="2"/>
  <c r="BH48" i="2"/>
  <c r="BK46" i="2"/>
  <c r="BK44" i="2"/>
  <c r="BJ41" i="2"/>
  <c r="BL37" i="2"/>
  <c r="BJ33" i="2"/>
  <c r="BK45" i="2"/>
  <c r="BI41" i="2"/>
  <c r="BI39" i="2"/>
  <c r="BK36" i="2"/>
  <c r="BI33" i="2"/>
  <c r="I374" i="2"/>
  <c r="T204" i="3"/>
  <c r="C110" i="4"/>
  <c r="G110" i="4" s="1"/>
  <c r="J109" i="4"/>
  <c r="G106" i="4"/>
  <c r="BE31" i="2"/>
  <c r="BX32" i="2"/>
  <c r="BR34" i="2"/>
  <c r="BJ36" i="2"/>
  <c r="BF38" i="2"/>
  <c r="BY39" i="2"/>
  <c r="BR41" i="2"/>
  <c r="BQ43" i="2"/>
  <c r="BF45" i="2"/>
  <c r="BD47" i="2"/>
  <c r="BY48" i="2"/>
  <c r="D2" i="3"/>
  <c r="E2" i="3" s="1"/>
  <c r="F2" i="3" s="1"/>
  <c r="P20" i="3"/>
  <c r="N22" i="3" s="1"/>
  <c r="M22" i="3"/>
  <c r="Y46" i="3"/>
  <c r="AD48" i="3"/>
  <c r="AB51" i="3"/>
  <c r="AC55" i="3"/>
  <c r="T114" i="3"/>
  <c r="T186" i="3"/>
  <c r="AQ226" i="3"/>
  <c r="AP229" i="3"/>
  <c r="AN232" i="3"/>
  <c r="E121" i="4"/>
  <c r="C482" i="1"/>
  <c r="D452" i="1"/>
  <c r="E452" i="1" s="1"/>
  <c r="F452" i="1" s="1"/>
  <c r="G452" i="1" s="1"/>
  <c r="AM227" i="3"/>
  <c r="AK233" i="3"/>
  <c r="T482" i="1"/>
  <c r="W12" i="3"/>
  <c r="AF46" i="3"/>
  <c r="AB49" i="3"/>
  <c r="Z52" i="3"/>
  <c r="AN227" i="3"/>
  <c r="AL233" i="3"/>
  <c r="AC49" i="3"/>
  <c r="T60" i="3"/>
  <c r="T132" i="3"/>
  <c r="S205" i="3"/>
  <c r="AR227" i="3"/>
  <c r="AO230" i="3"/>
  <c r="AM233" i="3"/>
  <c r="E491" i="1"/>
  <c r="AA343" i="2"/>
  <c r="AA55" i="3"/>
  <c r="AC52" i="3"/>
  <c r="AE50" i="3"/>
  <c r="X49" i="3"/>
  <c r="AA47" i="3"/>
  <c r="Y55" i="3"/>
  <c r="AC50" i="3"/>
  <c r="Z55" i="3"/>
  <c r="AB52" i="3"/>
  <c r="AD50" i="3"/>
  <c r="AF48" i="3"/>
  <c r="Z47" i="3"/>
  <c r="AA52" i="3"/>
  <c r="AE48" i="3"/>
  <c r="Y47" i="3"/>
  <c r="AC53" i="3"/>
  <c r="AE51" i="3"/>
  <c r="X50" i="3"/>
  <c r="Z48" i="3"/>
  <c r="AD46" i="3"/>
  <c r="AB53" i="3"/>
  <c r="AD51" i="3"/>
  <c r="AF49" i="3"/>
  <c r="Y48" i="3"/>
  <c r="AC46" i="3"/>
  <c r="AA53" i="3"/>
  <c r="AC51" i="3"/>
  <c r="AE49" i="3"/>
  <c r="X48" i="3"/>
  <c r="AB46" i="3"/>
  <c r="AK230" i="3"/>
  <c r="AD414" i="1"/>
  <c r="F499" i="1" s="1"/>
  <c r="H499" i="1" s="1"/>
  <c r="I171" i="2"/>
  <c r="X47" i="3"/>
  <c r="AD49" i="3"/>
  <c r="AE52" i="3"/>
  <c r="AP230" i="3"/>
  <c r="G109" i="4"/>
  <c r="AQ235" i="3"/>
  <c r="AJ233" i="3"/>
  <c r="AL231" i="3"/>
  <c r="AN229" i="3"/>
  <c r="AQ227" i="3"/>
  <c r="AK226" i="3"/>
  <c r="AO235" i="3"/>
  <c r="AJ231" i="3"/>
  <c r="AP235" i="3"/>
  <c r="AR232" i="3"/>
  <c r="AK231" i="3"/>
  <c r="AM229" i="3"/>
  <c r="AP227" i="3"/>
  <c r="AJ226" i="3"/>
  <c r="AQ232" i="3"/>
  <c r="AL229" i="3"/>
  <c r="AO227" i="3"/>
  <c r="AJ235" i="3"/>
  <c r="AL232" i="3"/>
  <c r="AN230" i="3"/>
  <c r="AP228" i="3"/>
  <c r="AJ227" i="3"/>
  <c r="AR233" i="3"/>
  <c r="AK232" i="3"/>
  <c r="AM230" i="3"/>
  <c r="AO228" i="3"/>
  <c r="AQ233" i="3"/>
  <c r="AJ232" i="3"/>
  <c r="AL230" i="3"/>
  <c r="AN228" i="3"/>
  <c r="AR226" i="3"/>
  <c r="AD70" i="1"/>
  <c r="F489" i="1" s="1"/>
  <c r="H489" i="1" s="1"/>
  <c r="S482" i="1"/>
  <c r="AJ230" i="3"/>
  <c r="D482" i="1"/>
  <c r="J497" i="1"/>
  <c r="E495" i="1"/>
  <c r="L11" i="3"/>
  <c r="X12" i="3"/>
  <c r="AB47" i="3"/>
  <c r="Y50" i="3"/>
  <c r="AF52" i="3"/>
  <c r="AJ228" i="3"/>
  <c r="AQ230" i="3"/>
  <c r="AO233" i="3"/>
  <c r="T222" i="3"/>
  <c r="AM228" i="3"/>
  <c r="AN231" i="3"/>
  <c r="AL235" i="3"/>
  <c r="Y403" i="2"/>
  <c r="AA403" i="2" s="1"/>
  <c r="AL226" i="3"/>
  <c r="AQ228" i="3"/>
  <c r="AO231" i="3"/>
  <c r="AM235" i="3"/>
  <c r="G54" i="4"/>
  <c r="G94" i="4"/>
  <c r="AM226" i="3"/>
  <c r="AR228" i="3"/>
  <c r="AP231" i="3"/>
  <c r="AN235" i="3"/>
  <c r="AN226" i="3"/>
  <c r="AJ229" i="3"/>
  <c r="AQ231" i="3"/>
  <c r="AR235" i="3"/>
  <c r="E18" i="3"/>
  <c r="AB48" i="3"/>
  <c r="Z51" i="3"/>
  <c r="X55" i="3"/>
  <c r="AO226" i="3"/>
  <c r="AK229" i="3"/>
  <c r="AR231" i="3"/>
  <c r="G30" i="4"/>
  <c r="I199" i="2"/>
  <c r="I315" i="2"/>
  <c r="I506" i="1"/>
  <c r="Q20" i="3"/>
  <c r="N23" i="3" s="1"/>
  <c r="I141" i="2"/>
  <c r="E499" i="1" l="1"/>
  <c r="F18" i="3"/>
  <c r="G2" i="3"/>
  <c r="H417" i="2"/>
  <c r="G430" i="2" s="1"/>
  <c r="I142" i="2"/>
  <c r="J490" i="1"/>
  <c r="G3" i="3"/>
  <c r="F20" i="3"/>
  <c r="F21" i="3" s="1"/>
  <c r="W13" i="3"/>
  <c r="N12" i="3"/>
  <c r="O12" i="3" s="1"/>
  <c r="E122" i="4"/>
  <c r="H496" i="1"/>
  <c r="J496" i="1"/>
  <c r="E496" i="1"/>
  <c r="H498" i="1"/>
  <c r="J498" i="1"/>
  <c r="I316" i="2"/>
  <c r="H423" i="2"/>
  <c r="M430" i="2" s="1"/>
  <c r="I200" i="2"/>
  <c r="H419" i="2"/>
  <c r="I430" i="2" s="1"/>
  <c r="D18" i="3"/>
  <c r="X13" i="3"/>
  <c r="L12" i="3"/>
  <c r="Y62" i="3"/>
  <c r="J499" i="1"/>
  <c r="J491" i="1"/>
  <c r="J489" i="1"/>
  <c r="G20" i="3" l="1"/>
  <c r="G21" i="3" s="1"/>
  <c r="H3" i="3"/>
  <c r="X14" i="3"/>
  <c r="L13" i="3"/>
  <c r="H2" i="3"/>
  <c r="G18" i="3"/>
  <c r="W14" i="3"/>
  <c r="N13" i="3"/>
  <c r="O13" i="3" s="1"/>
  <c r="L14" i="3" l="1"/>
  <c r="X15" i="3"/>
  <c r="H20" i="3"/>
  <c r="H21" i="3" s="1"/>
  <c r="I3" i="3"/>
  <c r="N14" i="3"/>
  <c r="O14" i="3" s="1"/>
  <c r="W15" i="3"/>
  <c r="I2" i="3"/>
  <c r="H18" i="3"/>
  <c r="I18" i="3" l="1"/>
  <c r="J2" i="3"/>
  <c r="N15" i="3"/>
  <c r="O15" i="3" s="1"/>
  <c r="W16" i="3"/>
  <c r="I20" i="3"/>
  <c r="I21" i="3" s="1"/>
  <c r="J3" i="3"/>
  <c r="X16" i="3"/>
  <c r="L15" i="3"/>
  <c r="X17" i="3" l="1"/>
  <c r="X18" i="3" s="1"/>
  <c r="X19" i="3" s="1"/>
  <c r="X20" i="3" s="1"/>
  <c r="X21" i="3" s="1"/>
  <c r="X22" i="3" s="1"/>
  <c r="X23" i="3" s="1"/>
  <c r="L16" i="3"/>
  <c r="K3" i="3"/>
  <c r="L3" i="3" s="1"/>
  <c r="M3" i="3" s="1"/>
  <c r="N3" i="3" s="1"/>
  <c r="J20" i="3"/>
  <c r="J21" i="3" s="1"/>
  <c r="N16" i="3"/>
  <c r="O16" i="3" s="1"/>
  <c r="W17" i="3"/>
  <c r="W18" i="3" s="1"/>
  <c r="W19" i="3" s="1"/>
  <c r="W20" i="3" s="1"/>
  <c r="W21" i="3" s="1"/>
  <c r="W22" i="3" s="1"/>
  <c r="W23" i="3" s="1"/>
  <c r="K2" i="3"/>
  <c r="L2" i="3" s="1"/>
  <c r="M2" i="3" s="1"/>
  <c r="J18" i="3"/>
  <c r="P3" i="3" l="1"/>
  <c r="Q3" i="3" s="1"/>
  <c r="O3" i="3"/>
  <c r="N2" i="3"/>
  <c r="M18" i="3"/>
  <c r="L19" i="3" l="1"/>
  <c r="Q18" i="3"/>
  <c r="P18" i="3"/>
  <c r="N18" i="3"/>
  <c r="O18" i="3" s="1"/>
  <c r="P2" i="3"/>
  <c r="Q2" i="3" s="1"/>
  <c r="O2" i="3"/>
  <c r="L22" i="3" l="1"/>
  <c r="L23" i="3"/>
  <c r="L20" i="3"/>
  <c r="L21" i="3" s="1"/>
  <c r="U209" i="3" l="1"/>
  <c r="U65" i="3"/>
  <c r="U29" i="3"/>
  <c r="U119" i="3"/>
  <c r="U155" i="3"/>
  <c r="U47" i="3"/>
  <c r="U191" i="3"/>
  <c r="U173" i="3"/>
  <c r="U227" i="3"/>
  <c r="U137" i="3"/>
  <c r="U101" i="3"/>
  <c r="U83" i="3"/>
  <c r="U84" i="3" l="1"/>
  <c r="H246" i="3"/>
  <c r="G257" i="3" s="1"/>
  <c r="U138" i="3"/>
  <c r="H249" i="3"/>
  <c r="J257" i="3" s="1"/>
  <c r="U228" i="3"/>
  <c r="H254" i="3"/>
  <c r="O257" i="3" s="1"/>
  <c r="H252" i="3"/>
  <c r="M257" i="3" s="1"/>
  <c r="U192" i="3"/>
  <c r="H250" i="3"/>
  <c r="K257" i="3" s="1"/>
  <c r="U156" i="3"/>
  <c r="H248" i="3"/>
  <c r="I257" i="3" s="1"/>
  <c r="U120" i="3"/>
  <c r="H245" i="3"/>
  <c r="F257" i="3" s="1"/>
  <c r="U66" i="3"/>
  <c r="U102" i="3"/>
  <c r="H247" i="3"/>
  <c r="H257" i="3" s="1"/>
  <c r="H251" i="3"/>
  <c r="L257" i="3" s="1"/>
  <c r="U174" i="3"/>
  <c r="H244" i="3"/>
  <c r="E257" i="3" s="1"/>
  <c r="U48" i="3"/>
  <c r="U30" i="3"/>
  <c r="H243" i="3"/>
  <c r="D257" i="3" s="1"/>
  <c r="H253" i="3"/>
  <c r="N257" i="3" s="1"/>
  <c r="U2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Esteban Cares Muñoz</author>
  </authors>
  <commentList>
    <comment ref="O10" authorId="0" shapeId="0" xr:uid="{2A426A12-0E38-4CD3-8C06-D6EAD8F594D2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44" authorId="0" shapeId="0" xr:uid="{945227D2-1F78-4D25-8FAB-06BCE66925BD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80" authorId="0" shapeId="0" xr:uid="{AD9591A6-403C-4941-B5A8-3AB8F28C2853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115" authorId="0" shapeId="0" xr:uid="{BEB8762A-1B35-45F9-A9E8-038A7A3BBBE5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150" authorId="0" shapeId="0" xr:uid="{22CB7A12-5C50-4CFD-A9CB-AC3D0AD7CCD3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184" authorId="0" shapeId="0" xr:uid="{29D92D0D-711E-4E93-A0D2-BB0C707171F2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218" authorId="0" shapeId="0" xr:uid="{F1D08A58-41FA-4133-8602-34362F22A7E4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251" authorId="0" shapeId="0" xr:uid="{5E5F6F01-3773-41BE-813D-98860D0090A3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285" authorId="0" shapeId="0" xr:uid="{7E4B07AF-40DD-4365-A6C0-7CAC3C14F193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318" authorId="0" shapeId="0" xr:uid="{C9D9C879-13B5-4DE3-ADF4-72C3FD4D14FE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353" authorId="0" shapeId="0" xr:uid="{1139BDC4-2451-45C4-88E7-643209815F62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388" authorId="0" shapeId="0" xr:uid="{62441C0B-16B4-4F43-9BBA-69E8EF70AAF3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  <comment ref="O421" authorId="0" shapeId="0" xr:uid="{6D5DD7EA-BE98-4840-8F22-0D18FF41394A}">
      <text>
        <r>
          <rPr>
            <b/>
            <sz val="9"/>
            <color indexed="81"/>
            <rFont val="Tahoma"/>
            <family val="2"/>
          </rPr>
          <t>Cristian Esteban Cares Muñoz:</t>
        </r>
        <r>
          <rPr>
            <sz val="9"/>
            <color indexed="81"/>
            <rFont val="Tahoma"/>
            <family val="2"/>
          </rPr>
          <t xml:space="preserve">
Decía 38,7</t>
        </r>
      </text>
    </comment>
  </commentList>
</comments>
</file>

<file path=xl/sharedStrings.xml><?xml version="1.0" encoding="utf-8"?>
<sst xmlns="http://schemas.openxmlformats.org/spreadsheetml/2006/main" count="2378" uniqueCount="168">
  <si>
    <t>Matriz de Distancias (KM)</t>
  </si>
  <si>
    <t>ESTACIONES</t>
  </si>
  <si>
    <t>Hualqui</t>
  </si>
  <si>
    <t>Valle del Sol</t>
  </si>
  <si>
    <t>Manquimavida</t>
  </si>
  <si>
    <t>Pedro Medina</t>
  </si>
  <si>
    <t>Chiguayante</t>
  </si>
  <si>
    <t>Concepcion</t>
  </si>
  <si>
    <t>Mall</t>
  </si>
  <si>
    <t>Lorenzo Arenas</t>
  </si>
  <si>
    <t>UTFSM</t>
  </si>
  <si>
    <t>Los Condores</t>
  </si>
  <si>
    <t>Higueras</t>
  </si>
  <si>
    <t>Arenal</t>
  </si>
  <si>
    <t>Mercado</t>
  </si>
  <si>
    <t>Juan Pablo II</t>
  </si>
  <si>
    <t>Diagonal Bio Bio</t>
  </si>
  <si>
    <t>Alborada</t>
  </si>
  <si>
    <t>Costa Mar</t>
  </si>
  <si>
    <t>Megacentro</t>
  </si>
  <si>
    <t>Lomas Coloradas</t>
  </si>
  <si>
    <t>Raul Silva H.</t>
  </si>
  <si>
    <t>Hito Galvarino</t>
  </si>
  <si>
    <t>Los Canelos</t>
  </si>
  <si>
    <t>Huinca</t>
  </si>
  <si>
    <t>Cristo Redentor</t>
  </si>
  <si>
    <t>Lag.Quiñenco</t>
  </si>
  <si>
    <t>Coronel</t>
  </si>
  <si>
    <t>Lota</t>
  </si>
  <si>
    <t>TOTAL</t>
  </si>
  <si>
    <t>Total</t>
  </si>
  <si>
    <t>ENERO</t>
  </si>
  <si>
    <t>FEBRERO</t>
  </si>
  <si>
    <t>corrección de pax en mod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</si>
  <si>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</si>
  <si>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</si>
  <si>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</si>
  <si>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</si>
  <si>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</si>
  <si>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</si>
  <si>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</si>
  <si>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</si>
  <si>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</si>
  <si>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</si>
  <si>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Leonera</t>
  </si>
  <si>
    <t>PAX KM</t>
  </si>
  <si>
    <t>DISTANCIA MEDIA</t>
  </si>
  <si>
    <t>PAX</t>
  </si>
  <si>
    <t>Pax afluencia</t>
  </si>
  <si>
    <t>JULIO</t>
  </si>
  <si>
    <t>AGOSTO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</si>
  <si>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</si>
  <si>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</si>
  <si>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</si>
  <si>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</si>
  <si>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</si>
  <si>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</si>
  <si>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</si>
  <si>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</si>
  <si>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</si>
  <si>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</si>
  <si>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</si>
  <si>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</si>
  <si>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Pax km</t>
  </si>
  <si>
    <t xml:space="preserve">K I L O M E T R O S </t>
  </si>
  <si>
    <t>ESTACION</t>
  </si>
  <si>
    <t>Concepción</t>
  </si>
  <si>
    <t>Predro Medina</t>
  </si>
  <si>
    <t>Manquimávida</t>
  </si>
  <si>
    <t>La leonera</t>
  </si>
  <si>
    <t>Quilacoya</t>
  </si>
  <si>
    <t>San Miguel</t>
  </si>
  <si>
    <t>Unihue</t>
  </si>
  <si>
    <t>Valle Chanco</t>
  </si>
  <si>
    <t>Los Acacios</t>
  </si>
  <si>
    <t>Talcamávida</t>
  </si>
  <si>
    <t>Gomero</t>
  </si>
  <si>
    <t>Buenuraqui</t>
  </si>
  <si>
    <t>San Rosendo</t>
  </si>
  <si>
    <t>Laja</t>
  </si>
  <si>
    <t>La Leonera</t>
  </si>
  <si>
    <t>ENERO 2015</t>
  </si>
  <si>
    <t>P A S A J E R O S</t>
  </si>
  <si>
    <t>TOTAL PASAJEROS / KMS.</t>
  </si>
  <si>
    <t>FEBRERO 2015</t>
  </si>
  <si>
    <t>MARZO 2015</t>
  </si>
  <si>
    <t>ABRIL 2015</t>
  </si>
  <si>
    <t>MAYO 2015</t>
  </si>
  <si>
    <t>JUNIO 2015</t>
  </si>
  <si>
    <t>JULIO 2015</t>
  </si>
  <si>
    <t>AGOSTO 2015</t>
  </si>
  <si>
    <t>SEPTIEMBRE 2015</t>
  </si>
  <si>
    <t>OCTUBRE 2015</t>
  </si>
  <si>
    <t>NOVIEMBRE 2015</t>
  </si>
  <si>
    <t>DICIEMBRE 2015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</si>
  <si>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</si>
  <si>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</si>
  <si>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</si>
  <si>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</si>
  <si>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</si>
  <si>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</si>
  <si>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</si>
  <si>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</si>
  <si>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</si>
  <si>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</si>
  <si>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</si>
  <si>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</si>
  <si>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KILOMETROS</t>
  </si>
  <si>
    <t>Estación</t>
  </si>
  <si>
    <t>KM.</t>
  </si>
  <si>
    <t>Victoria</t>
  </si>
  <si>
    <t>Pua</t>
  </si>
  <si>
    <t>Perquenco</t>
  </si>
  <si>
    <t>Quillem</t>
  </si>
  <si>
    <t>Lautaro</t>
  </si>
  <si>
    <t>L. Centro</t>
  </si>
  <si>
    <t>Pillanlelbun</t>
  </si>
  <si>
    <t>Claret</t>
  </si>
  <si>
    <t>Cajón</t>
  </si>
  <si>
    <t>Temuco</t>
  </si>
  <si>
    <t>PLC</t>
  </si>
  <si>
    <t>Quepe</t>
  </si>
  <si>
    <t xml:space="preserve">Freire </t>
  </si>
  <si>
    <t>Pitrufquén</t>
  </si>
  <si>
    <t>VICTORIA</t>
  </si>
  <si>
    <t>PÚA</t>
  </si>
  <si>
    <t>PUA</t>
  </si>
  <si>
    <t>PERQUENCO</t>
  </si>
  <si>
    <t>QUILLÉN</t>
  </si>
  <si>
    <t>LAUTARO</t>
  </si>
  <si>
    <t>L. CENTRO</t>
  </si>
  <si>
    <t>PILLANLELBUN</t>
  </si>
  <si>
    <t>CLARET</t>
  </si>
  <si>
    <t>TEMUCO</t>
  </si>
  <si>
    <t>PASAJEROS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</si>
  <si>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</si>
  <si>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</si>
  <si>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</si>
  <si>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</si>
  <si>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</si>
  <si>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</si>
  <si>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</si>
  <si>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</si>
  <si>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</si>
  <si>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</si>
  <si>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</si>
  <si>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</si>
  <si>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</si>
  <si>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</si>
  <si>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</si>
  <si>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</si>
  <si>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</si>
  <si>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</si>
  <si>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</si>
  <si>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</si>
  <si>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</si>
  <si>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</si>
  <si>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</si>
  <si>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</si>
  <si>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Pax Km</t>
  </si>
  <si>
    <t>Demanda 2023</t>
  </si>
  <si>
    <t>La Paloma</t>
  </si>
  <si>
    <t>Alerce</t>
  </si>
  <si>
    <t>Puerto Varas</t>
  </si>
  <si>
    <t>Llanquihue</t>
  </si>
  <si>
    <t>ENE</t>
  </si>
  <si>
    <t>TOTAL AÑO</t>
  </si>
  <si>
    <t xml:space="preserve">Pax km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</si>
</sst>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/>
  </cellStyleXfs>
  <cellXfs count="147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4" borderId="12" xfId="0" applyNumberFormat="1" applyFont="1" applyFill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 readingOrder="1"/>
    </xf>
    <xf numFmtId="3" fontId="0" fillId="0" borderId="0" xfId="0" applyNumberFormat="1"/>
    <xf numFmtId="0" fontId="5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164" fontId="6" fillId="2" borderId="3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4" fillId="0" borderId="0" xfId="2"/>
    <xf numFmtId="0" fontId="14" fillId="9" borderId="14" xfId="2" applyFill="1" applyBorder="1"/>
    <xf numFmtId="0" fontId="14" fillId="9" borderId="15" xfId="2" applyFill="1" applyBorder="1"/>
    <xf numFmtId="0" fontId="15" fillId="9" borderId="15" xfId="2" applyFont="1" applyFill="1" applyBorder="1" applyAlignment="1">
      <alignment horizontal="center"/>
    </xf>
    <xf numFmtId="0" fontId="14" fillId="9" borderId="16" xfId="2" applyFill="1" applyBorder="1"/>
    <xf numFmtId="0" fontId="16" fillId="9" borderId="14" xfId="2" applyFont="1" applyFill="1" applyBorder="1" applyAlignment="1">
      <alignment horizontal="center"/>
    </xf>
    <xf numFmtId="0" fontId="15" fillId="9" borderId="17" xfId="2" applyFont="1" applyFill="1" applyBorder="1" applyAlignment="1">
      <alignment horizontal="center"/>
    </xf>
    <xf numFmtId="0" fontId="15" fillId="9" borderId="15" xfId="2" applyFont="1" applyFill="1" applyBorder="1" applyAlignment="1">
      <alignment horizontal="center"/>
    </xf>
    <xf numFmtId="0" fontId="15" fillId="9" borderId="15" xfId="2" applyFont="1" applyFill="1" applyBorder="1" applyAlignment="1">
      <alignment horizontal="center" wrapText="1"/>
    </xf>
    <xf numFmtId="0" fontId="15" fillId="9" borderId="17" xfId="2" applyFont="1" applyFill="1" applyBorder="1" applyAlignment="1">
      <alignment horizontal="center" wrapText="1"/>
    </xf>
    <xf numFmtId="0" fontId="15" fillId="9" borderId="16" xfId="2" applyFont="1" applyFill="1" applyBorder="1" applyAlignment="1">
      <alignment horizontal="center"/>
    </xf>
    <xf numFmtId="0" fontId="15" fillId="9" borderId="3" xfId="2" applyFont="1" applyFill="1" applyBorder="1"/>
    <xf numFmtId="164" fontId="14" fillId="0" borderId="5" xfId="2" applyNumberFormat="1" applyBorder="1"/>
    <xf numFmtId="164" fontId="14" fillId="0" borderId="6" xfId="2" applyNumberFormat="1" applyBorder="1"/>
    <xf numFmtId="0" fontId="15" fillId="9" borderId="8" xfId="2" applyFont="1" applyFill="1" applyBorder="1"/>
    <xf numFmtId="164" fontId="14" fillId="0" borderId="1" xfId="2" applyNumberFormat="1" applyBorder="1"/>
    <xf numFmtId="164" fontId="14" fillId="0" borderId="9" xfId="2" applyNumberFormat="1" applyBorder="1"/>
    <xf numFmtId="0" fontId="15" fillId="9" borderId="10" xfId="2" applyFont="1" applyFill="1" applyBorder="1"/>
    <xf numFmtId="164" fontId="14" fillId="0" borderId="12" xfId="2" applyNumberFormat="1" applyBorder="1"/>
    <xf numFmtId="164" fontId="14" fillId="0" borderId="13" xfId="2" applyNumberFormat="1" applyBorder="1"/>
    <xf numFmtId="0" fontId="15" fillId="9" borderId="0" xfId="2" quotePrefix="1" applyFont="1" applyFill="1"/>
    <xf numFmtId="3" fontId="14" fillId="6" borderId="5" xfId="2" applyNumberFormat="1" applyFill="1" applyBorder="1"/>
    <xf numFmtId="3" fontId="14" fillId="6" borderId="6" xfId="2" applyNumberFormat="1" applyFill="1" applyBorder="1"/>
    <xf numFmtId="0" fontId="14" fillId="10" borderId="0" xfId="2" applyFill="1"/>
    <xf numFmtId="9" fontId="14" fillId="10" borderId="0" xfId="1" applyFont="1" applyFill="1"/>
    <xf numFmtId="3" fontId="14" fillId="6" borderId="1" xfId="2" applyNumberFormat="1" applyFill="1" applyBorder="1"/>
    <xf numFmtId="3" fontId="14" fillId="6" borderId="9" xfId="2" applyNumberFormat="1" applyFill="1" applyBorder="1"/>
    <xf numFmtId="3" fontId="14" fillId="6" borderId="12" xfId="2" applyNumberFormat="1" applyFill="1" applyBorder="1"/>
    <xf numFmtId="3" fontId="14" fillId="6" borderId="13" xfId="2" applyNumberFormat="1" applyFill="1" applyBorder="1"/>
    <xf numFmtId="3" fontId="14" fillId="0" borderId="0" xfId="2" applyNumberFormat="1"/>
    <xf numFmtId="0" fontId="15" fillId="0" borderId="0" xfId="2" applyFont="1"/>
    <xf numFmtId="3" fontId="15" fillId="0" borderId="0" xfId="2" applyNumberFormat="1" applyFont="1"/>
    <xf numFmtId="2" fontId="15" fillId="0" borderId="0" xfId="2" applyNumberFormat="1" applyFont="1"/>
    <xf numFmtId="0" fontId="15" fillId="9" borderId="18" xfId="2" applyFont="1" applyFill="1" applyBorder="1" applyAlignment="1">
      <alignment horizontal="center"/>
    </xf>
    <xf numFmtId="0" fontId="15" fillId="9" borderId="19" xfId="2" applyFont="1" applyFill="1" applyBorder="1" applyAlignment="1">
      <alignment horizontal="center"/>
    </xf>
    <xf numFmtId="0" fontId="15" fillId="9" borderId="19" xfId="2" applyFont="1" applyFill="1" applyBorder="1" applyAlignment="1">
      <alignment horizontal="center" wrapText="1"/>
    </xf>
    <xf numFmtId="0" fontId="15" fillId="9" borderId="18" xfId="2" applyFont="1" applyFill="1" applyBorder="1" applyAlignment="1">
      <alignment horizontal="center" wrapText="1"/>
    </xf>
    <xf numFmtId="0" fontId="15" fillId="9" borderId="20" xfId="2" applyFont="1" applyFill="1" applyBorder="1" applyAlignment="1">
      <alignment horizontal="center"/>
    </xf>
    <xf numFmtId="3" fontId="14" fillId="0" borderId="1" xfId="2" applyNumberFormat="1" applyBorder="1"/>
    <xf numFmtId="3" fontId="17" fillId="6" borderId="0" xfId="2" applyNumberFormat="1" applyFont="1" applyFill="1"/>
    <xf numFmtId="0" fontId="14" fillId="0" borderId="0" xfId="2" applyAlignment="1">
      <alignment horizontal="center"/>
    </xf>
    <xf numFmtId="3" fontId="14" fillId="0" borderId="0" xfId="2" applyNumberFormat="1" applyAlignment="1">
      <alignment horizontal="center"/>
    </xf>
    <xf numFmtId="0" fontId="0" fillId="6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165" fontId="4" fillId="12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0" fillId="13" borderId="0" xfId="0" applyFill="1"/>
    <xf numFmtId="165" fontId="0" fillId="14" borderId="1" xfId="0" applyNumberFormat="1" applyFill="1" applyBorder="1" applyAlignment="1">
      <alignment horizontal="center"/>
    </xf>
    <xf numFmtId="165" fontId="2" fillId="14" borderId="1" xfId="0" applyNumberFormat="1" applyFont="1" applyFill="1" applyBorder="1" applyAlignment="1">
      <alignment horizontal="center"/>
    </xf>
    <xf numFmtId="0" fontId="0" fillId="6" borderId="0" xfId="0" applyFill="1"/>
    <xf numFmtId="165" fontId="0" fillId="15" borderId="1" xfId="0" applyNumberForma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4" fillId="16" borderId="1" xfId="0" applyNumberFormat="1" applyFont="1" applyFill="1" applyBorder="1" applyAlignment="1">
      <alignment horizontal="center"/>
    </xf>
    <xf numFmtId="165" fontId="0" fillId="17" borderId="1" xfId="0" applyNumberFormat="1" applyFill="1" applyBorder="1" applyAlignment="1">
      <alignment horizontal="center"/>
    </xf>
    <xf numFmtId="165" fontId="2" fillId="17" borderId="1" xfId="0" applyNumberFormat="1" applyFont="1" applyFill="1" applyBorder="1" applyAlignment="1">
      <alignment horizontal="center"/>
    </xf>
    <xf numFmtId="165" fontId="0" fillId="18" borderId="1" xfId="0" applyNumberFormat="1" applyFill="1" applyBorder="1" applyAlignment="1">
      <alignment horizontal="center"/>
    </xf>
    <xf numFmtId="165" fontId="2" fillId="18" borderId="1" xfId="0" applyNumberFormat="1" applyFont="1" applyFill="1" applyBorder="1" applyAlignment="1">
      <alignment horizontal="center"/>
    </xf>
    <xf numFmtId="165" fontId="2" fillId="19" borderId="1" xfId="0" applyNumberFormat="1" applyFont="1" applyFill="1" applyBorder="1" applyAlignment="1">
      <alignment horizontal="center"/>
    </xf>
    <xf numFmtId="165" fontId="0" fillId="19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4" fillId="20" borderId="1" xfId="0" applyNumberFormat="1" applyFont="1" applyFill="1" applyBorder="1" applyAlignment="1">
      <alignment horizontal="center"/>
    </xf>
    <xf numFmtId="165" fontId="4" fillId="21" borderId="1" xfId="0" applyNumberFormat="1" applyFont="1" applyFill="1" applyBorder="1" applyAlignment="1">
      <alignment horizontal="center"/>
    </xf>
    <xf numFmtId="165" fontId="4" fillId="22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165" fontId="0" fillId="23" borderId="1" xfId="0" applyNumberFormat="1" applyFill="1" applyBorder="1" applyAlignment="1">
      <alignment horizontal="center"/>
    </xf>
    <xf numFmtId="0" fontId="0" fillId="11" borderId="0" xfId="0" quotePrefix="1" applyFill="1"/>
    <xf numFmtId="0" fontId="0" fillId="11" borderId="0" xfId="0" applyFill="1"/>
    <xf numFmtId="0" fontId="0" fillId="11" borderId="0" xfId="0" applyFill="1" applyAlignment="1">
      <alignment horizontal="center"/>
    </xf>
    <xf numFmtId="3" fontId="18" fillId="2" borderId="1" xfId="0" applyNumberFormat="1" applyFont="1" applyFill="1" applyBorder="1" applyAlignment="1">
      <alignment horizontal="center"/>
    </xf>
    <xf numFmtId="3" fontId="18" fillId="6" borderId="1" xfId="0" applyNumberFormat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9" fontId="0" fillId="6" borderId="0" xfId="1" applyFont="1" applyFill="1" applyBorder="1" applyAlignment="1">
      <alignment horizontal="center"/>
    </xf>
    <xf numFmtId="0" fontId="0" fillId="10" borderId="0" xfId="0" applyFill="1"/>
    <xf numFmtId="9" fontId="0" fillId="10" borderId="0" xfId="1" applyFont="1" applyFill="1"/>
    <xf numFmtId="166" fontId="0" fillId="0" borderId="0" xfId="0" applyNumberFormat="1"/>
    <xf numFmtId="3" fontId="0" fillId="0" borderId="0" xfId="0" applyNumberFormat="1" applyAlignment="1">
      <alignment horizontal="center"/>
    </xf>
    <xf numFmtId="3" fontId="0" fillId="6" borderId="1" xfId="0" applyNumberFormat="1" applyFill="1" applyBorder="1" applyAlignment="1">
      <alignment horizontal="center"/>
    </xf>
    <xf numFmtId="0" fontId="19" fillId="24" borderId="1" xfId="0" applyFont="1" applyFill="1" applyBorder="1" applyAlignment="1">
      <alignment horizontal="center" vertical="center" wrapText="1" readingOrder="1"/>
    </xf>
    <xf numFmtId="0" fontId="20" fillId="25" borderId="1" xfId="0" applyFont="1" applyFill="1" applyBorder="1" applyAlignment="1">
      <alignment horizontal="center" vertical="center" wrapText="1" readingOrder="1"/>
    </xf>
    <xf numFmtId="3" fontId="20" fillId="0" borderId="1" xfId="0" applyNumberFormat="1" applyFont="1" applyBorder="1" applyAlignment="1">
      <alignment horizontal="center" vertical="center" wrapText="1" readingOrder="1"/>
    </xf>
    <xf numFmtId="3" fontId="20" fillId="0" borderId="1" xfId="0" applyNumberFormat="1" applyFont="1" applyBorder="1" applyAlignment="1">
      <alignment horizontal="center" wrapText="1" readingOrder="1"/>
    </xf>
    <xf numFmtId="3" fontId="19" fillId="26" borderId="1" xfId="0" applyNumberFormat="1" applyFont="1" applyFill="1" applyBorder="1" applyAlignment="1">
      <alignment horizontal="center" wrapText="1" readingOrder="1"/>
    </xf>
    <xf numFmtId="0" fontId="21" fillId="24" borderId="1" xfId="0" applyFont="1" applyFill="1" applyBorder="1" applyAlignment="1">
      <alignment horizontal="center" vertical="center" wrapText="1" readingOrder="1"/>
    </xf>
    <xf numFmtId="0" fontId="3" fillId="0" borderId="1" xfId="0" applyFont="1" applyBorder="1"/>
    <xf numFmtId="0" fontId="20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</cellXfs>
  <cellStyles count="3">
    <cellStyle name="Normal" xfId="0" builtinId="0"/>
    <cellStyle name="Normal 11 16" xfId="2" xr:uid="{6CBCA73C-D5D5-4365-9888-C84662F3BD6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ecop\EFE\Informes%20de%20Gesti&#243;n\escritorio\BASE%20DE%20KPI%20GESTI&#211;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ecop\AppData\Local\Microsoft\Windows\INetCache\Content.Outlook\US6JDDN5\Afluencia%20Laja%20Talcahuano%2002-24%20(00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ecop\EFE\Presupuesto%202024\GPAX\V2\PROP%20FQ-TM%20ppto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tcsop\Desktop\Presupuesto%20a&#241;o%202020\V\Presupuesto%20a&#241;o%202020,%20versi&#243;n%20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.soto\AppData\Local\Microsoft\Windows\Temporary%20Internet%20Files\Content.Outlook\QATY6XK7\plarrain\Mis%20documentos\2007\Cotrisa%202007\Informe%20Cotrisa%20diciembre%2020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TRISA%20INTERESES%20IMPRIMI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ecop\EFE\Informes%20de%20Gesti&#243;n\escritorio\Base%20Drivers%20a&#241;o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ba.ppdd\Mis%20documentos\Plan%20Trienal%20de%20Inversiones%202008%20a%202010\Avance%20Financiero%202010%20(Fuente%20SAP)\Datos%20Base%20Septiembre%2020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ba.ppdd\Mis%20documentos\Plan%20Trienal%20de%20Inversiones%202008%20a%202010\Avance%20Financiero%202010%20(Fuente%20SAP)\Datos%20Base%20Septiembre%2020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va.fin\Mis%20documentos\Archivos%20VVA\EFE%20PLAN%20ESTRATEGICO\BOOZ%20CD%20Informe%20Final\06%20Nuevo%20Modelo%20FFCC%20-%20Modelo%20Financiero%20Original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va.fin\Mis%20documentos\Archivos%20VVA\EFE%20PLAN%20ESTRATEGICO\Mantenimiento%20Vias%20y%20MT\20110110%20Costos%20Contratos%20Mantenimiento%20EF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CENA1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\Informes\Version%20PR\Inf%20Mensual%20Grupo%202003%20PR-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esti&#243;n\2007\Empres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Proyectos\No%20Licitados\Ferrocarriles\Comisi&#243;n%20T&#233;cnica\Tren%20full%208.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_D\EVAL_ECO\R68\R68_sacy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SK%20Harlow\Morgan%20Ashurst\39311%20-%20MA%20Finreps\15%20-%20Nov%2008\15%20-%20Nov%2008%20Finrep%20393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im\2011\Estados%20Financieros\Consolidados\ago.%202011\EstFin%20ago.%202011-2010%20IFRS%20-%20Consolidado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B\Melipilla\Melipilla%20ful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im\2010\Estados%20Financieros\Consolidado\dic.%202010\EstFin%20dic.%202010%20IFRS%20-%20Consolidado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m\2011\1.%20CONS\dic.%202011\EstFin%20dic.%202011-2010%20IFRS%20-%20Consolidado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ojas\Eim\Iran\Asesorias\TDG\Eim\1.%20SOCIEDADES\I.%20e%20I.%20Los%20Alerces%20del%20A.%20Ltda\Est.%20Fin.%202009%20-%20Los%20Alerces%20Ltda.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cmim\AppData\Local\Microsoft\Windows\Temporary%20Internet%20Files\Content.Outlook\DUYWHK2G\Copia%20de%2020150121%20EvPrivada%20Rancagua%20Express%20Planif%20TMS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.soto\AppData\Local\Microsoft\Windows\Temporary%20Internet%20Files\Content.Outlook\QATY6XK7\Gesti&#243;n\2007\Empres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cns\gpro\Documents%20and%20Settings\gmagaldi\Mis%20documentos\Informes\Dragados\6%20-%20IE%20Julio%2003\IE-80160-2003-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.soto\AppData\Local\Microsoft\Windows\Temporary%20Internet%20Files\Content.Outlook\QATY6XK7\WINDOWS\Escritorio\miscelaneo\miscelaneos\Gastos%20a&#241;o%202003\Pagos%20mensuales%20a&#241;o%2020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.soto\AppData\Local\Microsoft\Windows\Temporary%20Internet%20Files\Content.Outlook\QATY6XK7\plarrain\Mis%20documentos\2008\Cotrisa%202008\Informe%20Resumen%20COTRISA%20junio%20200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dres.avaria\AppData\Local\Microsoft\Windows\Temporary%20Internet%20Files\Content.Outlook\7FJ1TN6M\Ev%20Compra%20Trenes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im\2010\Estados%20Financieros\Consolidado\dic.%202010\EstFin%20dic.%202010%20IFRS%20-%20Consolidado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mb.ppdd\Configuraci&#243;n%20local\Archivos%20temporales%20de%20Internet\OLK1F\Archivos\EFE%20Informes\2010%20Directorio%20Resultados\Directorio%20Datos%2020100601%20rev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uv.gpcg\Configuraci&#243;n%20local\Archivos%20temporales%20de%20Internet\Content.Outlook\48ZODXJ2\EstFin%20may.%202010%20IFRS%20-%20Consolidado%20-%20PCGA%20+%20aj.%20IFRS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im\Iran\Asesorias\EFE\Eim\2011\Estados%20Financieros\Consolidado\mar.%202011\Eim\2011\Estados%20Financieros\Gesti&#243;n\Presupuesto%202011%20IG%20Feb-2011%20v%202%20(15-03-2011)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EVVA\Documents\201511P_MasterPlan\ECONSULT_20151209%20SPO\Info%20Recibida%20EFE\Tren%20Alameda%20-%20Melipilla%20-%20Ev%20Social%20(Conceptualmente%20correcto)%20VVA%202015072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hortega\CONFIG~1\Temp\IE%2080163%20-%202006-01%20V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548267\Local%20Settings\Temp\wz4d91\Informaci&#243;n\Carga%20Transporte%20Tramos%202007-2010103%20EX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cctc\Documents\Informes%20de%20Gesti&#243;n\201504\Copia%20de%20Reporte%20Comercial%20Tren%20Central%20-%20Mayo%202015%20rev%20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pasjca\AppData\Roaming\Microsoft\Excel\EERR%20072013%20(version%201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randa\infgestion\pto2005\G.Adm.Act-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ojas\Gesti&#243;n-Administrativa\Eim\Gesti&#243;n\Proyecci&#243;n%20Resultados%20SAEE%20TDG%20Ltda.%20-%20Lampa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.soto\AppData\Local\Microsoft\Windows\Temporary%20Internet%20Files\Content.Outlook\QATY6XK7\USER\PASTORGA\ESCENA1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Proyectos\Ferrocarriles\Evaluaciones\Evaluaci&#243;n%20Conjunt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Proyectos\Ferrocarriles\Evaluaciones\Evaluaci&#243;n%20Infraestructur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cmpp\AppData\Local\Microsoft\Windows\Temporary%20Internet%20Files\Content.Outlook\ONWF20EB\PPTO_2016_VERSION_06-10-15%20(11mm%20Nos)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tcsop\Desktop\Presupuesto%202016\Modelo%20SPO\Modelo%20SPO%20Fililaes%20reuni&#243;n%2002.03.16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EVVA\Documents\2015_MDSProyectos\30130466%20VV%20Construcci&#243;n%20Alameda-Malloco%20Ejecucion\20150421%20Tren%20Alameda%20-%20Malloco%20-%20Ev%20Social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Simulaci&#243;n%20Costos%20de%20Operaci&#243;n%20-%20Tranv&#237;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bcch\gies\DATA\EEE\Octubre%202004\Encuesta%20con%20Datosg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1\Estados%20Financieros\Consolidados\sep.%202011\EstFin%20sep.%202011-2010%20IFRS%20-%20Consolidado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ba.ppdd\Configuraci&#243;n%20local\Archivos%20temporales%20de%20Internet\OLK2D\Inversiones%202009%20y%202010%20mensualizadas%20a%20Nov%202009%20(L&#237;nea%20Base%20201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UR"/>
      <sheetName val="KPI por Gerencias"/>
      <sheetName val="Otros Generales"/>
      <sheetName val="Otros Generales P Cierre"/>
      <sheetName val="INDICE"/>
      <sheetName val="Hoja5"/>
      <sheetName val="Otros Generales 2020"/>
      <sheetName val="Gráficos"/>
      <sheetName val="TMI 1"/>
      <sheetName val="Kms equipos 2023"/>
      <sheetName val="TMI 2"/>
      <sheetName val="REAL 2025"/>
      <sheetName val="KM UT"/>
      <sheetName val="Data"/>
      <sheetName val="TREN KM TOTAL"/>
      <sheetName val="PRESUPUESTO 2025"/>
      <sheetName val="PROY CIERRE 2025"/>
      <sheetName val="REAL 2016"/>
      <sheetName val="Hoja6"/>
      <sheetName val="ANÁLISIS ENERO 2016"/>
      <sheetName val="PRESUPUESTO 2017"/>
      <sheetName val="PROY CIERRE 2018"/>
      <sheetName val="REAL 2024"/>
      <sheetName val="2025-PPTO OFICIAL 2025-2024"/>
      <sheetName val="Hoja3"/>
      <sheetName val="2024-CIERRE 2024-2023"/>
      <sheetName val="GRÁFICOS "/>
      <sheetName val="INFORME CORPORATIVO"/>
      <sheetName val="BASE DASHBOARD"/>
      <sheetName val="BASE DASHBOARD PROD"/>
      <sheetName val="BASE POWER BI VF"/>
      <sheetName val="REGLA MES"/>
      <sheetName val="Hoja9"/>
      <sheetName val="BASE POWER BI EBITDA"/>
      <sheetName val="BASE POWER BI PROD"/>
      <sheetName val="DATOS POWER BI"/>
      <sheetName val="2017-PPTO OFICIAL 2017-2016"/>
      <sheetName val="2018-PROY CIERRE 2018-2017"/>
      <sheetName val="Hoja1"/>
      <sheetName val="Hoja4"/>
      <sheetName val="Hoja7"/>
      <sheetName val="Hoja8"/>
      <sheetName val="BASE POWER BI MOD GEST"/>
      <sheetName val="CONEXIONES BI 1"/>
      <sheetName val="CONEXIONES BI 2"/>
      <sheetName val="CONEXIONES BI 3"/>
      <sheetName val="TD1"/>
      <sheetName val="TD3"/>
      <sheetName val="TD4"/>
      <sheetName val="ANEXOS TD1"/>
      <sheetName val="DASHBOARD"/>
      <sheetName val="SÓLO AJUSTE DE PERSONAL"/>
      <sheetName val="Accidentes 2017- 2018"/>
      <sheetName val="PAX KM BT"/>
      <sheetName val="PAX KM CL"/>
      <sheetName val="PAX KM VT"/>
      <sheetName val="Hoja2"/>
      <sheetName val="TKBC Pax"/>
      <sheetName val="Data 2018"/>
      <sheetName val="BSC 2018"/>
      <sheetName val="REAL 201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>
            <v>895289</v>
          </cell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</row>
        <row r="63">
          <cell r="E63"/>
        </row>
        <row r="122">
          <cell r="E122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C11">
            <v>13077.642135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xdia-feb24"/>
      <sheetName val="Afxtipo-feb24"/>
      <sheetName val="Recaudación"/>
      <sheetName val="Hoja2"/>
      <sheetName val="Table"/>
    </sheetNames>
    <sheetDataSet>
      <sheetData sheetId="0" refreshError="1"/>
      <sheetData sheetId="1">
        <row r="10">
          <cell r="B10">
            <v>73556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PPTO TEM-FQ"/>
      <sheetName val="Resumen"/>
      <sheetName val="Proporción"/>
      <sheetName val="N° Servicios (FINA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8">
          <cell r="AD18">
            <v>3355.7989693897739</v>
          </cell>
        </row>
        <row r="39">
          <cell r="L39">
            <v>25.3</v>
          </cell>
        </row>
        <row r="41">
          <cell r="L41">
            <v>4.0999999999999979</v>
          </cell>
        </row>
      </sheetData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 2019 Formato EFE"/>
      <sheetName val="FLUJO CAJA INTEGRADO 2020"/>
      <sheetName val="FLUJO CAJA REEMBOLSABLE 2020"/>
      <sheetName val="FLUJO CAJA PASAJEROS 2020"/>
      <sheetName val="Activos Menores 2020"/>
      <sheetName val="Cuadro de Mando Integral"/>
      <sheetName val="Contratos Matriz Filial"/>
      <sheetName val="SPO"/>
      <sheetName val="Efecto 40 hrs"/>
      <sheetName val="Hoja20"/>
      <sheetName val="Cargos"/>
      <sheetName val="Evolución"/>
      <sheetName val="TD REESTRUCTURACIÓN"/>
      <sheetName val="TD REESTRUCTURACIÓN (FECHA)"/>
      <sheetName val="TD FIJA"/>
      <sheetName val="REESTRUCTURACIÓN"/>
      <sheetName val="Costo Sueldo base"/>
      <sheetName val="Negocio Global"/>
      <sheetName val="Hist Base Gestión VF"/>
      <sheetName val="Análisis Filiales"/>
      <sheetName val="Hist Base Gestión"/>
      <sheetName val="Costo total de Personal ACU"/>
      <sheetName val="PRESUPUESTO 2020"/>
      <sheetName val="X SERVICIOS ACTUALIZAR"/>
      <sheetName val="PPTO 20 - PPTO 19 - Cierre 19"/>
      <sheetName val="PPTO x CeCo FESUR"/>
      <sheetName val="PPTO 2020 X CECO V EFE 1"/>
      <sheetName val="PPTO 2020 X CECO V EFE 2"/>
      <sheetName val="Solicitudes"/>
      <sheetName val="Detalle Cons Eléctrico"/>
      <sheetName val="Pasajeros Serie"/>
      <sheetName val="EV TKBC 122019"/>
      <sheetName val="Presupuesto x área (2)"/>
      <sheetName val="Presupuesto x área"/>
      <sheetName val="Ev Resultados"/>
      <sheetName val="Hoja19"/>
      <sheetName val="Tablas PPTO GESTIÓN"/>
      <sheetName val="Hoja17"/>
      <sheetName val="Distribución Personas"/>
      <sheetName val="Proyección Biotren VV2019"/>
      <sheetName val="Tablas PPTO OF"/>
      <sheetName val="Evolución Histórica Personal"/>
      <sheetName val="Plan de Gestión V2 DIRECTORIO"/>
      <sheetName val="Plan de Gestión V3 DIRECTORIO "/>
      <sheetName val="Plan de Gestión V4 DIRECTORIO"/>
      <sheetName val="Plan de Gestión V5 DIRECTORIO"/>
      <sheetName val="Presentación Iniciativas"/>
      <sheetName val="Plan de Gestión V2"/>
      <sheetName val="Plan de Gestión V2 EFE"/>
      <sheetName val="Plan Desarrollo"/>
      <sheetName val="Plan de Negocios"/>
      <sheetName val="Análisis de Costos"/>
      <sheetName val="Análisis TMI"/>
      <sheetName val="Análisis TMI (2)"/>
      <sheetName val="Operación de Trenes"/>
      <sheetName val="N° Servicios (FINAL)"/>
      <sheetName val="Tren  - Kms Serie"/>
      <sheetName val="PPT PPTO16 -REAL 16"/>
      <sheetName val="PPT REAL 2016 - 2015"/>
      <sheetName val="Hoja21"/>
      <sheetName val="Gráficos"/>
      <sheetName val="PPT Directorio - 2015"/>
      <sheetName val="Energía y Combustible"/>
      <sheetName val="Análisis Presupuesto 2016"/>
      <sheetName val="Análisis de Personal"/>
      <sheetName val="Nómina Integrados EFE"/>
      <sheetName val="SB Integrados Julio 2015 (3)"/>
      <sheetName val="Hoja27"/>
      <sheetName val="Nómina por Integrar EFE"/>
      <sheetName val="Efecto Nueva Ley"/>
      <sheetName val="Nómina FESUB"/>
      <sheetName val="HYD Integrados Julio 2015 (2)"/>
      <sheetName val="Nómina a Junio"/>
      <sheetName val="Tabla"/>
      <sheetName val="Tabla Integrados"/>
      <sheetName val="Costo total de Personal MES"/>
      <sheetName val="RP"/>
      <sheetName val="HABERES 2018"/>
      <sheetName val="HABERES 2019"/>
      <sheetName val="2019-04"/>
      <sheetName val="Sueldo Base"/>
      <sheetName val="A. Movilización"/>
      <sheetName val="A. Colación"/>
      <sheetName val="Pérdida de Caja"/>
      <sheetName val="A. Zona"/>
      <sheetName val="Aguinaldos"/>
      <sheetName val="Primas Extraordinarias"/>
      <sheetName val="Bono Gestión Desempeño"/>
      <sheetName val="Bono Variable"/>
      <sheetName val="A. Variable"/>
      <sheetName val="Viáticos"/>
      <sheetName val="FiniquitosDeshaucios"/>
      <sheetName val="Provisión de Feriados"/>
      <sheetName val="Aporte Patronal"/>
      <sheetName val="Seguro de Cesantía"/>
      <sheetName val="H. Extraordinarias"/>
      <sheetName val="H. Menor Reposo"/>
      <sheetName val="H. Jornada Parcial"/>
      <sheetName val="H. Extra Conducción"/>
      <sheetName val="H. Extraordinarias total (Hrs)"/>
      <sheetName val="H. Extraordinarias total ($)"/>
      <sheetName val="Nómina 2018"/>
      <sheetName val="Dotaciones"/>
      <sheetName val="Hoja18"/>
      <sheetName val="Horas GOP EFE - FS"/>
      <sheetName val="Resumen CA EFE"/>
      <sheetName val="HEX Reales Respaldo"/>
      <sheetName val="Datos Ppto 2019 - 2020 "/>
      <sheetName val="Movilidad Traspasados"/>
      <sheetName val="Horas reales 2018 Respaldo"/>
      <sheetName val="HEX Reales Resp arch trabajo"/>
      <sheetName val="2018-09"/>
      <sheetName val="HEX 33 Traspasados"/>
      <sheetName val="Hoja14"/>
      <sheetName val="Análisis Movilizadores"/>
      <sheetName val="BASE MOVILIZADORES"/>
      <sheetName val="Uniformes"/>
      <sheetName val="Eventos del Personal"/>
      <sheetName val="Capacitación"/>
      <sheetName val="Elementos Seguridad del Persona"/>
      <sheetName val="Hogares de Personal"/>
      <sheetName val="Estudiantes en Práctica"/>
      <sheetName val="Sala Cuna"/>
      <sheetName val="VARIABLES ECONÓMICAS"/>
      <sheetName val="Nómina PARA CALCULO"/>
      <sheetName val="Hoja2"/>
      <sheetName val="ASIG ZONA"/>
      <sheetName val="Bonos"/>
      <sheetName val="Asig Variable"/>
      <sheetName val="Bono Esp Art 22"/>
      <sheetName val="Bono Prom Var"/>
      <sheetName val="Bono Ubic diario"/>
      <sheetName val="Bono Gestión EFE RNormal"/>
      <sheetName val="HEX TRASPASADOS (7)"/>
      <sheetName val="Víatico Comida"/>
      <sheetName val="Viático Alojamiento"/>
      <sheetName val="Viático Almuerzo"/>
      <sheetName val="Viático"/>
      <sheetName val="Medio Viático Comida"/>
      <sheetName val="Medio Viático Aloj"/>
      <sheetName val="Medio Viático Almuerzo"/>
      <sheetName val="menor reposo"/>
      <sheetName val="HHEE EMERGENCIA"/>
      <sheetName val="personal externo"/>
      <sheetName val="servicios diversos restantes"/>
      <sheetName val="arriendo vehículos"/>
      <sheetName val="Seguros"/>
      <sheetName val="ENERGIA FESUB 2014"/>
      <sheetName val="AGUA FESUB 2014"/>
      <sheetName val="integración"/>
      <sheetName val="Análisis"/>
      <sheetName val="Otros Ingresos"/>
      <sheetName val="Servicios de Terceros y Ventas"/>
      <sheetName val="Serv Mant Infraestructura"/>
      <sheetName val="Costo Mercadotecnia"/>
      <sheetName val="MERCADOTECNIA PPTO GCO"/>
      <sheetName val="Investigación y Desarrollo"/>
      <sheetName val="Consumos Básicos"/>
      <sheetName val="Informática y Comunicaciones"/>
      <sheetName val="Gastos Generales"/>
      <sheetName val="SOLICITUDES PERSONAL"/>
      <sheetName val="Gastos Administración"/>
      <sheetName val="Mantención Material Rodante"/>
      <sheetName val="Repuestos Baño UT Corto Laja"/>
      <sheetName val="N° Servicios"/>
      <sheetName val="Ppto Temoinsa+Rep+En+Peaje V "/>
      <sheetName val="Parámetros Económicos"/>
      <sheetName val="Gran R Depurado"/>
      <sheetName val="Proyección Grandes R"/>
      <sheetName val="Hoja3"/>
      <sheetName val="Hoja4"/>
      <sheetName val="Proyección Grandes R (2)"/>
      <sheetName val="Hoja6"/>
      <sheetName val="Análisis Filiales P CIERRE"/>
      <sheetName val="GG.SS. Desglose por concepto"/>
      <sheetName val="PPTO OTROS ING"/>
      <sheetName val="Gastos Propios Gerencia GOP"/>
      <sheetName val="Servicios CECO EFE"/>
      <sheetName val="Infraestructura CECO EFE"/>
      <sheetName val="Cambio Presupuesto de Gestión"/>
      <sheetName val="Hoja5"/>
      <sheetName val="Tráfico CECO EFE"/>
      <sheetName val="Seguridad CECO EFE"/>
      <sheetName val="RESUMEN CONTRATOS GOP"/>
      <sheetName val="Contratos 2016-2017"/>
      <sheetName val="Cuadros"/>
      <sheetName val="Costo Contratos por Tramo SPO"/>
      <sheetName val="Combustible Camionetas"/>
      <sheetName val="Roce - Despaste -Desmalezamient"/>
      <sheetName val="SSEC"/>
      <sheetName val="Camionetas CUENTA AJUSTE"/>
      <sheetName val="Contratos Telecomunicaciones"/>
      <sheetName val="Sistema Radial Tren Tierra"/>
      <sheetName val="Energía de Tracción"/>
      <sheetName val="Confinamiento CPIF Centro LC"/>
      <sheetName val="CPIF Centro"/>
      <sheetName val="TKBC Carga EFE"/>
      <sheetName val="TKBC Evolución"/>
      <sheetName val="Peaje Fijo"/>
      <sheetName val="Eficiencia carga FS + TC"/>
      <sheetName val="Eficiencia carga FS"/>
      <sheetName val="Proy. MAPA"/>
      <sheetName val="Distribución Infra por TKBC"/>
      <sheetName val="Informe TKBC EFE"/>
      <sheetName val="Eficiencia Contrat "/>
      <sheetName val="CPIF Sur"/>
      <sheetName val="Nuevo contrato Zona Sur"/>
      <sheetName val="Mant. CCP - Lirquén,  Lomas Cor"/>
      <sheetName val="Coronel Horcones"/>
      <sheetName val="Rucapequén Nueva Aldea"/>
      <sheetName val="Patio de Maniobras"/>
      <sheetName val="Mapa"/>
      <sheetName val="Barreras y Banderistas"/>
      <sheetName val="Asistencia de Cruces"/>
      <sheetName val="Guardacruces y cambiadores"/>
      <sheetName val="Guardias SPO"/>
      <sheetName val="ESTUDIOS"/>
      <sheetName val="Guardias SPO PAX"/>
      <sheetName val="GPS"/>
      <sheetName val="Resumenq"/>
      <sheetName val="SB X trasp 09.16"/>
      <sheetName val="AA X trasp 09.16"/>
      <sheetName val="BV X trasp 09.16"/>
      <sheetName val="BG X trasp 09.16"/>
      <sheetName val="V X trasp 09.16"/>
      <sheetName val="HEX X trasp 09.16"/>
      <sheetName val="Hoja1"/>
      <sheetName val="Proyección Grandes R 2018"/>
      <sheetName val="Hoja7"/>
      <sheetName val="SINOT"/>
      <sheetName val="Análisis PCI"/>
      <sheetName val="Serie de datos"/>
      <sheetName val="SITRAFESUR"/>
      <sheetName val="Porteadores TKBC"/>
      <sheetName val="Porteadores TnBruta"/>
      <sheetName val="Hoja11"/>
      <sheetName val="Distribución SS x TKBC"/>
      <sheetName val="Dist Guardias"/>
      <sheetName val="Dist GGCC"/>
      <sheetName val="Hoja9"/>
      <sheetName val="Hoja13"/>
      <sheetName val="FLOTA UT - 440 AÑO 2019"/>
      <sheetName val="Hoja8"/>
      <sheetName val="Proyección Grandes R 2019"/>
      <sheetName val="Hoja10"/>
      <sheetName val="Hoja15"/>
      <sheetName val="2016-12"/>
      <sheetName val="2017-01"/>
      <sheetName val="2017-02"/>
      <sheetName val="2017-03"/>
      <sheetName val="2017-04"/>
      <sheetName val="2017-05"/>
      <sheetName val="2017-06"/>
      <sheetName val="2017-08"/>
      <sheetName val="2017-09"/>
      <sheetName val="2017-10"/>
      <sheetName val="2017-11"/>
      <sheetName val="2017-12"/>
      <sheetName val="Subsidio Biotren"/>
      <sheetName val="Hoja12"/>
      <sheetName val="2018-08"/>
      <sheetName val="2018-06"/>
      <sheetName val="2018-07"/>
      <sheetName val="Hoja16"/>
      <sheetName val="Ahorro CPIF"/>
      <sheetName val="Impacto Proyectos Personas"/>
      <sheetName val="Comparativo Gasto Personal"/>
      <sheetName val="Detalle Cons Eléctrico (2)"/>
      <sheetName val="TD productividad"/>
      <sheetName val="Costo total productiv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6">
          <cell r="E6">
            <v>27946</v>
          </cell>
          <cell r="F6">
            <v>27364</v>
          </cell>
          <cell r="G6">
            <v>46029</v>
          </cell>
          <cell r="H6">
            <v>46826</v>
          </cell>
          <cell r="I6">
            <v>46749</v>
          </cell>
          <cell r="J6">
            <v>42940</v>
          </cell>
          <cell r="K6">
            <v>35209</v>
          </cell>
          <cell r="L6">
            <v>46429</v>
          </cell>
          <cell r="M6">
            <v>42879</v>
          </cell>
          <cell r="N6">
            <v>41696</v>
          </cell>
          <cell r="O6">
            <v>46035</v>
          </cell>
          <cell r="P6">
            <v>33549</v>
          </cell>
        </row>
      </sheetData>
      <sheetData sheetId="29" refreshError="1"/>
      <sheetData sheetId="30" refreshError="1"/>
      <sheetData sheetId="31" refreshError="1"/>
      <sheetData sheetId="32">
        <row r="185">
          <cell r="D185">
            <v>230651.4319888381</v>
          </cell>
        </row>
      </sheetData>
      <sheetData sheetId="33">
        <row r="140">
          <cell r="I140">
            <v>165937.63409154187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Empresa"/>
      <sheetName val="Balance e Indic"/>
      <sheetName val="EERR"/>
      <sheetName val="Evolución Tasas"/>
      <sheetName val="Evolución Financ"/>
      <sheetName val="Vta. Ss."/>
      <sheetName val="Tasas"/>
      <sheetName val="BAL-COTRISA"/>
      <sheetName val="memoria SEP 2006"/>
      <sheetName val="Inversiones"/>
      <sheetName val="EERR áreas"/>
      <sheetName val="Datos Adm.yVtas."/>
      <sheetName val="Datos Explotación"/>
      <sheetName val="PARRAL"/>
      <sheetName val="LOS ANGELES"/>
      <sheetName val="LAUTARO"/>
      <sheetName val="GORBEA"/>
      <sheetName val="GESTION"/>
      <sheetName val="JUNIO 2006"/>
      <sheetName val="Datos Empresa-WEB"/>
      <sheetName val="Balance-WEB"/>
      <sheetName val="EERR-W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COMERCIALIZADORA DE TRIGO S.A. - FILIAL CORFO</v>
          </cell>
        </row>
        <row r="3">
          <cell r="C3" t="str">
            <v xml:space="preserve">     C O T R I S A</v>
          </cell>
        </row>
        <row r="6">
          <cell r="C6" t="str">
            <v>B A L A N C E S    G E N E R A L E S</v>
          </cell>
        </row>
        <row r="7">
          <cell r="K7">
            <v>1000</v>
          </cell>
        </row>
        <row r="9">
          <cell r="C9" t="str">
            <v>A C T I V O S</v>
          </cell>
          <cell r="K9" t="str">
            <v xml:space="preserve">           Al 31 de Diciembre</v>
          </cell>
        </row>
        <row r="11">
          <cell r="K11">
            <v>2006</v>
          </cell>
          <cell r="L11">
            <v>2005</v>
          </cell>
        </row>
        <row r="12">
          <cell r="K12" t="str">
            <v xml:space="preserve">      M$</v>
          </cell>
          <cell r="L12" t="str">
            <v xml:space="preserve">      M$</v>
          </cell>
        </row>
        <row r="15">
          <cell r="C15" t="str">
            <v>ACTIVO CIRCULANTE</v>
          </cell>
        </row>
        <row r="16">
          <cell r="C16" t="str">
            <v xml:space="preserve">   Disponible</v>
          </cell>
          <cell r="K16">
            <v>32578</v>
          </cell>
          <cell r="L16">
            <v>11809</v>
          </cell>
        </row>
        <row r="17">
          <cell r="C17" t="str">
            <v xml:space="preserve">   Depósitos a plazo</v>
          </cell>
          <cell r="K17">
            <v>0</v>
          </cell>
          <cell r="L17">
            <v>0</v>
          </cell>
        </row>
        <row r="18">
          <cell r="C18" t="str">
            <v xml:space="preserve">   Valores negociables</v>
          </cell>
          <cell r="K18">
            <v>0</v>
          </cell>
          <cell r="L18">
            <v>0</v>
          </cell>
        </row>
        <row r="19">
          <cell r="C19" t="str">
            <v xml:space="preserve">   Deudores por ventas</v>
          </cell>
          <cell r="K19">
            <v>5736</v>
          </cell>
          <cell r="L19">
            <v>3737</v>
          </cell>
        </row>
        <row r="20">
          <cell r="C20" t="str">
            <v xml:space="preserve">   Documentos por cobrar</v>
          </cell>
          <cell r="K20">
            <v>0</v>
          </cell>
          <cell r="L20">
            <v>0</v>
          </cell>
        </row>
        <row r="21">
          <cell r="C21" t="str">
            <v xml:space="preserve">   Deudores varios</v>
          </cell>
          <cell r="K21">
            <v>2929</v>
          </cell>
          <cell r="L21">
            <v>14379</v>
          </cell>
        </row>
        <row r="22">
          <cell r="C22" t="str">
            <v xml:space="preserve">   Existencias</v>
          </cell>
          <cell r="K22">
            <v>8242</v>
          </cell>
          <cell r="L22">
            <v>2474</v>
          </cell>
        </row>
        <row r="23">
          <cell r="C23" t="str">
            <v xml:space="preserve">   Impuestos por recuperar</v>
          </cell>
          <cell r="K23">
            <v>168036</v>
          </cell>
          <cell r="L23">
            <v>132013</v>
          </cell>
        </row>
        <row r="24">
          <cell r="C24" t="str">
            <v xml:space="preserve">   Gastos pagados por anticipado</v>
          </cell>
          <cell r="K24">
            <v>2410</v>
          </cell>
          <cell r="L24">
            <v>2713</v>
          </cell>
        </row>
        <row r="25">
          <cell r="C25" t="str">
            <v xml:space="preserve">   Impuestos Diferidos</v>
          </cell>
          <cell r="K25">
            <v>3945</v>
          </cell>
          <cell r="L25">
            <v>8108</v>
          </cell>
        </row>
        <row r="26">
          <cell r="C26" t="str">
            <v xml:space="preserve">   Fondos en Administración</v>
          </cell>
          <cell r="K26">
            <v>2788811</v>
          </cell>
          <cell r="L26">
            <v>2522846</v>
          </cell>
        </row>
        <row r="28">
          <cell r="C28" t="str">
            <v xml:space="preserve">         Total Activo Circulante</v>
          </cell>
          <cell r="K28">
            <v>3012687</v>
          </cell>
          <cell r="L28">
            <v>2698079</v>
          </cell>
        </row>
        <row r="31">
          <cell r="C31" t="str">
            <v>ACTIVO FIJO</v>
          </cell>
        </row>
        <row r="32">
          <cell r="C32" t="str">
            <v xml:space="preserve">   Terrenos</v>
          </cell>
          <cell r="K32">
            <v>401979</v>
          </cell>
          <cell r="L32">
            <v>401979</v>
          </cell>
        </row>
        <row r="33">
          <cell r="C33" t="str">
            <v xml:space="preserve">   Obras en construcción</v>
          </cell>
          <cell r="K33">
            <v>0</v>
          </cell>
          <cell r="L33">
            <v>0</v>
          </cell>
        </row>
        <row r="34">
          <cell r="C34" t="str">
            <v xml:space="preserve">   Construcción y obras de infraestructura</v>
          </cell>
          <cell r="K34">
            <v>900484</v>
          </cell>
          <cell r="L34">
            <v>1014498</v>
          </cell>
        </row>
        <row r="35">
          <cell r="C35" t="str">
            <v xml:space="preserve">   Maquinarias y equipos</v>
          </cell>
          <cell r="K35">
            <v>1321392</v>
          </cell>
          <cell r="L35">
            <v>1155207</v>
          </cell>
        </row>
        <row r="36">
          <cell r="C36" t="str">
            <v xml:space="preserve">   Otros activos fijos</v>
          </cell>
          <cell r="K36">
            <v>60451</v>
          </cell>
          <cell r="L36">
            <v>63095</v>
          </cell>
        </row>
        <row r="37">
          <cell r="C37" t="str">
            <v xml:space="preserve">   Menos : Depreciación acumulada</v>
          </cell>
          <cell r="K37">
            <v>-664558</v>
          </cell>
          <cell r="L37">
            <v>-616649</v>
          </cell>
        </row>
        <row r="39">
          <cell r="C39" t="str">
            <v xml:space="preserve">         Total Activo Fijo Neto</v>
          </cell>
          <cell r="K39">
            <v>2019748</v>
          </cell>
          <cell r="L39">
            <v>2018130</v>
          </cell>
        </row>
        <row r="42">
          <cell r="C42" t="str">
            <v>OTROS ACTIVOS</v>
          </cell>
        </row>
        <row r="43">
          <cell r="C43" t="str">
            <v xml:space="preserve">   Intangibles</v>
          </cell>
          <cell r="K43">
            <v>1288</v>
          </cell>
          <cell r="L43">
            <v>74267</v>
          </cell>
        </row>
        <row r="44">
          <cell r="C44" t="str">
            <v xml:space="preserve">   Fondos Entregados en Garantía</v>
          </cell>
          <cell r="K44">
            <v>55317</v>
          </cell>
          <cell r="L44">
            <v>55337</v>
          </cell>
        </row>
        <row r="45">
          <cell r="C45" t="str">
            <v xml:space="preserve">   Fondos de Administración</v>
          </cell>
          <cell r="K45">
            <v>7145589</v>
          </cell>
          <cell r="L45">
            <v>7685754</v>
          </cell>
        </row>
        <row r="46">
          <cell r="C46" t="str">
            <v xml:space="preserve">   Otros</v>
          </cell>
          <cell r="K46">
            <v>493604</v>
          </cell>
          <cell r="L46">
            <v>494327</v>
          </cell>
        </row>
        <row r="48">
          <cell r="C48" t="str">
            <v xml:space="preserve">         Total Otros Activos </v>
          </cell>
          <cell r="K48">
            <v>7695798</v>
          </cell>
          <cell r="L48">
            <v>8309685</v>
          </cell>
        </row>
        <row r="51">
          <cell r="C51" t="str">
            <v xml:space="preserve">         Total Activos</v>
          </cell>
          <cell r="K51">
            <v>12728233</v>
          </cell>
          <cell r="L51">
            <v>13025894</v>
          </cell>
        </row>
        <row r="55">
          <cell r="B55" t="str">
            <v>COMERCIALIZADORA DE TRIGO S.A. - FILIAL CORFO</v>
          </cell>
        </row>
        <row r="56">
          <cell r="C56" t="str">
            <v xml:space="preserve">     C O T R I S A</v>
          </cell>
        </row>
        <row r="59">
          <cell r="C59" t="str">
            <v>B A L A N C E S    G E N E R A L E S</v>
          </cell>
        </row>
        <row r="62">
          <cell r="C62" t="str">
            <v>P A S I V O    Y    P A T R I M O N I O</v>
          </cell>
          <cell r="K62" t="str">
            <v xml:space="preserve">           Al 31 de Diciembre</v>
          </cell>
        </row>
        <row r="64">
          <cell r="K64">
            <v>2006</v>
          </cell>
          <cell r="L64">
            <v>2005</v>
          </cell>
        </row>
        <row r="65">
          <cell r="K65" t="str">
            <v xml:space="preserve">      M$</v>
          </cell>
          <cell r="L65" t="str">
            <v xml:space="preserve">      M$</v>
          </cell>
        </row>
        <row r="68">
          <cell r="C68" t="str">
            <v>PASIVO CIRCULANTE</v>
          </cell>
        </row>
        <row r="69">
          <cell r="C69" t="str">
            <v xml:space="preserve">   Obligaciones largo plazo con vencimiento dentro de un año</v>
          </cell>
          <cell r="K69">
            <v>0</v>
          </cell>
          <cell r="L69">
            <v>0</v>
          </cell>
        </row>
        <row r="70">
          <cell r="C70" t="str">
            <v xml:space="preserve">   Cuentas por pagar</v>
          </cell>
          <cell r="K70">
            <v>2775</v>
          </cell>
          <cell r="L70">
            <v>18332</v>
          </cell>
        </row>
        <row r="71">
          <cell r="C71" t="str">
            <v xml:space="preserve">   Documentos y cuentas por pagar</v>
          </cell>
        </row>
        <row r="72">
          <cell r="C72" t="str">
            <v xml:space="preserve">     empresas relacionadas</v>
          </cell>
          <cell r="K72">
            <v>0</v>
          </cell>
          <cell r="L72">
            <v>0</v>
          </cell>
        </row>
        <row r="73">
          <cell r="C73" t="str">
            <v xml:space="preserve">   Provisiones</v>
          </cell>
          <cell r="K73">
            <v>49910</v>
          </cell>
          <cell r="L73">
            <v>55985</v>
          </cell>
        </row>
        <row r="74">
          <cell r="C74" t="str">
            <v xml:space="preserve">   Retenciones</v>
          </cell>
          <cell r="K74">
            <v>29805</v>
          </cell>
          <cell r="L74">
            <v>3513</v>
          </cell>
        </row>
        <row r="75">
          <cell r="C75" t="str">
            <v xml:space="preserve">   Impuesto a la Renta</v>
          </cell>
          <cell r="K75">
            <v>1095</v>
          </cell>
          <cell r="L75">
            <v>386</v>
          </cell>
        </row>
        <row r="77">
          <cell r="C77" t="str">
            <v xml:space="preserve">         Total Pasivo Circulante</v>
          </cell>
          <cell r="K77">
            <v>83585</v>
          </cell>
          <cell r="L77">
            <v>78216</v>
          </cell>
        </row>
        <row r="80">
          <cell r="C80" t="str">
            <v>PASIVO LARGO PLAZO</v>
          </cell>
        </row>
        <row r="81">
          <cell r="C81" t="str">
            <v xml:space="preserve">   Documentos y cuentas por pagar empresas relacionadas L.Plazo</v>
          </cell>
          <cell r="K81">
            <v>0</v>
          </cell>
          <cell r="L81">
            <v>0</v>
          </cell>
        </row>
        <row r="82">
          <cell r="C82" t="str">
            <v xml:space="preserve">   Provisiones</v>
          </cell>
          <cell r="K82">
            <v>2482</v>
          </cell>
          <cell r="L82">
            <v>2030</v>
          </cell>
        </row>
        <row r="83">
          <cell r="C83" t="str">
            <v xml:space="preserve">   Impuestos Diferidos Largo Plazo</v>
          </cell>
        </row>
        <row r="84">
          <cell r="C84" t="str">
            <v xml:space="preserve">   Otros Pasivos de Largo Plazo</v>
          </cell>
          <cell r="K84">
            <v>65544</v>
          </cell>
          <cell r="L84">
            <v>64925</v>
          </cell>
        </row>
        <row r="85">
          <cell r="C85" t="str">
            <v xml:space="preserve">         Total Pasivo Largo Plazo</v>
          </cell>
          <cell r="K85">
            <v>68026</v>
          </cell>
          <cell r="L85">
            <v>66955</v>
          </cell>
        </row>
        <row r="88">
          <cell r="C88" t="str">
            <v>PATRIMONIO</v>
          </cell>
        </row>
        <row r="89">
          <cell r="C89" t="str">
            <v xml:space="preserve">   Capital pagado</v>
          </cell>
          <cell r="K89">
            <v>8112236</v>
          </cell>
          <cell r="L89">
            <v>8112236</v>
          </cell>
        </row>
        <row r="90">
          <cell r="C90" t="str">
            <v xml:space="preserve">   Reserva Rev. capital</v>
          </cell>
        </row>
        <row r="91">
          <cell r="C91" t="str">
            <v xml:space="preserve">   Utilidades acumuladas</v>
          </cell>
          <cell r="K91">
            <v>4768486</v>
          </cell>
          <cell r="L91">
            <v>4971372</v>
          </cell>
        </row>
        <row r="92">
          <cell r="C92" t="str">
            <v xml:space="preserve">   Resultado del ejercicio</v>
          </cell>
          <cell r="K92">
            <v>-304100</v>
          </cell>
          <cell r="L92">
            <v>-202885</v>
          </cell>
        </row>
        <row r="94">
          <cell r="C94" t="str">
            <v xml:space="preserve">         Total Patrimonio</v>
          </cell>
          <cell r="K94">
            <v>12576622</v>
          </cell>
          <cell r="L94">
            <v>12880723</v>
          </cell>
        </row>
        <row r="97">
          <cell r="C97" t="str">
            <v xml:space="preserve">         Total Pasivo y Patrimonio</v>
          </cell>
          <cell r="K97">
            <v>12728233</v>
          </cell>
          <cell r="L97">
            <v>13025894</v>
          </cell>
        </row>
        <row r="100">
          <cell r="B100" t="str">
            <v>COMERCIALIZADORA DE TRIGO S.A. - FILIAL CORFO</v>
          </cell>
        </row>
        <row r="101">
          <cell r="C101" t="str">
            <v xml:space="preserve">     C O T R I S A</v>
          </cell>
        </row>
        <row r="103">
          <cell r="C103" t="str">
            <v>E S T A D O S     D E     R E S U L T A D O S</v>
          </cell>
        </row>
        <row r="106">
          <cell r="K106" t="str">
            <v xml:space="preserve">    Por el ejercicio terminado</v>
          </cell>
        </row>
        <row r="107">
          <cell r="K107" t="str">
            <v xml:space="preserve">           Al 31 de Diciembre</v>
          </cell>
        </row>
        <row r="109">
          <cell r="K109">
            <v>2006</v>
          </cell>
          <cell r="L109">
            <v>2005</v>
          </cell>
        </row>
        <row r="110">
          <cell r="K110" t="str">
            <v xml:space="preserve">      M$</v>
          </cell>
          <cell r="L110" t="str">
            <v xml:space="preserve">      M$</v>
          </cell>
        </row>
        <row r="112">
          <cell r="C112" t="str">
            <v>RESULTADOS OPERACIONALES</v>
          </cell>
        </row>
        <row r="113">
          <cell r="C113" t="str">
            <v xml:space="preserve">   Ingresos de explotación</v>
          </cell>
          <cell r="K113">
            <v>197337</v>
          </cell>
          <cell r="L113">
            <v>196687</v>
          </cell>
        </row>
        <row r="114">
          <cell r="C114" t="str">
            <v xml:space="preserve">   Menos :  Costo de explotación</v>
          </cell>
          <cell r="K114">
            <v>485820</v>
          </cell>
          <cell r="L114">
            <v>412620</v>
          </cell>
        </row>
        <row r="116">
          <cell r="C116" t="str">
            <v xml:space="preserve">   Margen de Explotación</v>
          </cell>
          <cell r="K116">
            <v>-288483</v>
          </cell>
          <cell r="L116">
            <v>-215933</v>
          </cell>
        </row>
        <row r="117">
          <cell r="C117" t="str">
            <v xml:space="preserve">   Menos :  Gastos de administración y ventas</v>
          </cell>
          <cell r="K117">
            <v>460637</v>
          </cell>
          <cell r="L117">
            <v>467514</v>
          </cell>
        </row>
        <row r="119">
          <cell r="C119" t="str">
            <v>Resultado operacional</v>
          </cell>
          <cell r="K119">
            <v>-749120</v>
          </cell>
          <cell r="L119">
            <v>-683447</v>
          </cell>
        </row>
        <row r="121">
          <cell r="C121" t="str">
            <v>RESULTADOS NO OPERACIONALES</v>
          </cell>
        </row>
        <row r="122">
          <cell r="C122" t="str">
            <v xml:space="preserve">   Ingresos (egresos) fuera de explotación :</v>
          </cell>
        </row>
        <row r="123">
          <cell r="C123" t="str">
            <v xml:space="preserve">       Ingresos financieros</v>
          </cell>
          <cell r="K123">
            <v>622187</v>
          </cell>
          <cell r="L123">
            <v>764799</v>
          </cell>
        </row>
        <row r="124">
          <cell r="C124" t="str">
            <v xml:space="preserve">       Otros ingresos fuera de explotación</v>
          </cell>
          <cell r="K124">
            <v>0</v>
          </cell>
          <cell r="L124">
            <v>17876</v>
          </cell>
        </row>
        <row r="125">
          <cell r="C125" t="str">
            <v xml:space="preserve">       Gastos financieros</v>
          </cell>
          <cell r="K125">
            <v>-40578</v>
          </cell>
          <cell r="L125">
            <v>-39369</v>
          </cell>
        </row>
        <row r="126">
          <cell r="C126" t="str">
            <v xml:space="preserve">       Otros Egresos</v>
          </cell>
          <cell r="K126">
            <v>0</v>
          </cell>
          <cell r="L126">
            <v>0</v>
          </cell>
        </row>
        <row r="127">
          <cell r="C127" t="str">
            <v xml:space="preserve">       Corrección monetaria</v>
          </cell>
          <cell r="K127">
            <v>-192822</v>
          </cell>
          <cell r="L127">
            <v>-304962</v>
          </cell>
        </row>
        <row r="129">
          <cell r="C129" t="str">
            <v>Resultado no operacional</v>
          </cell>
          <cell r="K129">
            <v>388787</v>
          </cell>
          <cell r="L129">
            <v>438344</v>
          </cell>
        </row>
        <row r="131">
          <cell r="C131" t="str">
            <v>RESULTADOS ANTES DE IMPUESTO A LA RENTA</v>
          </cell>
          <cell r="K131">
            <v>-360333</v>
          </cell>
          <cell r="L131">
            <v>-245103</v>
          </cell>
        </row>
        <row r="132">
          <cell r="C132" t="str">
            <v>IMPUESTO RENTA</v>
          </cell>
          <cell r="K132">
            <v>56233</v>
          </cell>
          <cell r="L132">
            <v>42218</v>
          </cell>
        </row>
        <row r="134">
          <cell r="C134" t="str">
            <v>RESULTADO DEL EJERCICIO</v>
          </cell>
          <cell r="K134">
            <v>-304100</v>
          </cell>
          <cell r="L134">
            <v>-202885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"/>
      <sheetName val="2001"/>
      <sheetName val="2000"/>
      <sheetName val="1999"/>
      <sheetName val="1998"/>
      <sheetName val="Resumen98-02"/>
      <sheetName val="resumen2"/>
      <sheetName val="Tasas TIP"/>
      <sheetName val="Tasas AFP"/>
      <sheetName val="Comparación tasas reales"/>
      <sheetName val="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>
        <row r="39">
          <cell r="B39">
            <v>1998</v>
          </cell>
        </row>
      </sheetData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Un Negocio"/>
      <sheetName val="PAX KM BT"/>
      <sheetName val="PAX KM CL"/>
      <sheetName val="PAX KM VT"/>
      <sheetName val="PAX KM LL-L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B1"/>
      <sheetName val="KOB1 (WE)"/>
      <sheetName val="KOB2"/>
      <sheetName val="KOB1 (WE) &amp; KOB2 (2011)"/>
      <sheetName val="Resume Sin IVA"/>
      <sheetName val="Resume Con IVA"/>
      <sheetName val="Resume por Catego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B1"/>
      <sheetName val="KOB1 (WE)"/>
      <sheetName val="KOB2"/>
      <sheetName val="KOB1 (WE) &amp; KOB2 (2011)"/>
      <sheetName val="Resume Sin IVA"/>
      <sheetName val="Resume Con IVA"/>
      <sheetName val="Resume por Catego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EFF CONSOLIDADO"/>
      <sheetName val="Parametros Simulaciones"/>
      <sheetName val="Simulador"/>
      <sheetName val="RESULTADOS"/>
      <sheetName val="RESUMEN"/>
      <sheetName val="Analisis Diferencias"/>
      <sheetName val="FLUJOS POR SECTOR"/>
      <sheetName val="MATRIZ BASE"/>
      <sheetName val="MATRIZ Base Eficiente"/>
      <sheetName val="MERVAL BASE"/>
      <sheetName val="MERVAL Base Eficiente"/>
      <sheetName val="MT + TERRA BASE"/>
      <sheetName val="MT + TERRA Base Eficiente"/>
      <sheetName val="Zona C-N Base"/>
      <sheetName val="Zona Sur Base"/>
      <sheetName val="MERVAL Integrado"/>
      <sheetName val="METROTREN + TERRA"/>
      <sheetName val="Zona Centro Norte"/>
      <sheetName val="Zona Sur"/>
      <sheetName val="OUTPUT"/>
      <sheetName val="Indic. Operacionales"/>
      <sheetName val="Antecedentes"/>
      <sheetName val="Parametros"/>
      <sheetName val="Parametros Conversion"/>
      <sheetName val="Reparticion GAV y Personal"/>
      <sheetName val="Eficiencia"/>
      <sheetName val="GAV + Op"/>
      <sheetName val="TKBC por Op"/>
      <sheetName val="MatRodante"/>
      <sheetName val="Contratos Infr"/>
      <sheetName val="CostoTramo"/>
      <sheetName val="Indice"/>
      <sheetName val="Inversion"/>
      <sheetName val="SEC.Traf"/>
      <sheetName val="Seguridad"/>
      <sheetName val="PGIF Vias"/>
      <sheetName val="Proy Demanda PAX"/>
      <sheetName val="TKBC Carga"/>
      <sheetName val="TKBC x tramo x año"/>
      <sheetName val="Detalle Demanda Carga"/>
      <sheetName val="Parametros Inversiones Básicas"/>
      <sheetName val="Proy Carga"/>
      <sheetName val="Proy P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4">
          <cell r="C14">
            <v>0.5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C1">
            <v>2.1</v>
          </cell>
        </row>
        <row r="2">
          <cell r="C2">
            <v>1.95</v>
          </cell>
        </row>
      </sheetData>
      <sheetData sheetId="40" refreshError="1"/>
      <sheetData sheetId="41" refreshError="1"/>
      <sheetData sheetId="4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s Tramos"/>
      <sheetName val="Mant Vias"/>
      <sheetName val="SEC.Traf"/>
      <sheetName val="Guardias, GCruces, Cambiador"/>
      <sheetName val="PGIF Vias"/>
      <sheetName val="Indice"/>
      <sheetName val="Descrip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C9">
            <v>0.19</v>
          </cell>
        </row>
        <row r="10">
          <cell r="C10">
            <v>1.19</v>
          </cell>
        </row>
      </sheetData>
      <sheetData sheetId="6">
        <row r="9">
          <cell r="C9">
            <v>0.19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CENA1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 Pres"/>
      <sheetName val="ER Emp"/>
      <sheetName val="ER Neg"/>
      <sheetName val="Res Agua"/>
      <sheetName val="Bce"/>
      <sheetName val="Bce Emp"/>
      <sheetName val="ER-Mod"/>
      <sheetName val="Caja-Mod"/>
      <sheetName val="Datos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Grupo Aguas</v>
          </cell>
          <cell r="B2">
            <v>700005</v>
          </cell>
        </row>
        <row r="4">
          <cell r="A4">
            <v>2003</v>
          </cell>
        </row>
        <row r="7">
          <cell r="B7">
            <v>700012</v>
          </cell>
        </row>
      </sheetData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to sin cargar"/>
      <sheetName val="Base Tabla"/>
      <sheetName val="Tabla"/>
      <sheetName val="Resumen"/>
      <sheetName val="PER"/>
      <sheetName val="MAN"/>
      <sheetName val="GG"/>
      <sheetName val="Tapa"/>
      <sheetName val="Tapa (2)"/>
      <sheetName val="ResIng"/>
      <sheetName val="TablaIng"/>
      <sheetName val="Base Ing"/>
      <sheetName val="Ing sin cargar"/>
      <sheetName val="Graf"/>
    </sheetNames>
    <sheetDataSet>
      <sheetData sheetId="0"/>
      <sheetData sheetId="1" refreshError="1"/>
      <sheetData sheetId="2">
        <row r="1">
          <cell r="A1" t="str">
            <v>Suma de Ppto</v>
          </cell>
        </row>
        <row r="2">
          <cell r="C2" t="str">
            <v>Real</v>
          </cell>
        </row>
        <row r="3">
          <cell r="C3">
            <v>397109942</v>
          </cell>
        </row>
        <row r="4">
          <cell r="C4">
            <v>517235254</v>
          </cell>
        </row>
        <row r="5">
          <cell r="C5">
            <v>376073</v>
          </cell>
        </row>
        <row r="6">
          <cell r="C6">
            <v>76890732</v>
          </cell>
        </row>
        <row r="7">
          <cell r="C7">
            <v>1995706948</v>
          </cell>
        </row>
        <row r="8">
          <cell r="C8">
            <v>-79421408</v>
          </cell>
        </row>
        <row r="9">
          <cell r="C9">
            <v>68908035</v>
          </cell>
        </row>
        <row r="10">
          <cell r="C10">
            <v>2487726</v>
          </cell>
        </row>
        <row r="11">
          <cell r="C11">
            <v>101396994</v>
          </cell>
        </row>
        <row r="12">
          <cell r="C12">
            <v>35949466</v>
          </cell>
        </row>
        <row r="13">
          <cell r="C13">
            <v>1736836360</v>
          </cell>
        </row>
        <row r="14">
          <cell r="C14">
            <v>-126822423</v>
          </cell>
        </row>
        <row r="15">
          <cell r="C15">
            <v>660337878</v>
          </cell>
        </row>
        <row r="16">
          <cell r="C16">
            <v>8184340</v>
          </cell>
        </row>
        <row r="17">
          <cell r="C17">
            <v>7830420</v>
          </cell>
        </row>
        <row r="18">
          <cell r="C18">
            <v>10271781</v>
          </cell>
        </row>
        <row r="19">
          <cell r="C19">
            <v>21394587</v>
          </cell>
        </row>
        <row r="20">
          <cell r="C20">
            <v>10695795</v>
          </cell>
        </row>
        <row r="21">
          <cell r="C21">
            <v>10279539</v>
          </cell>
        </row>
        <row r="22">
          <cell r="C22">
            <v>8200210</v>
          </cell>
        </row>
        <row r="23">
          <cell r="C23">
            <v>19641073</v>
          </cell>
        </row>
        <row r="24">
          <cell r="C24">
            <v>368532708</v>
          </cell>
        </row>
        <row r="25">
          <cell r="C25">
            <v>130713452</v>
          </cell>
        </row>
        <row r="26">
          <cell r="C26">
            <v>9139356</v>
          </cell>
        </row>
        <row r="27">
          <cell r="C27">
            <v>974568</v>
          </cell>
        </row>
        <row r="28">
          <cell r="C28">
            <v>-42487193</v>
          </cell>
        </row>
        <row r="29">
          <cell r="C29">
            <v>80530865</v>
          </cell>
        </row>
        <row r="30">
          <cell r="C30">
            <v>42328019</v>
          </cell>
        </row>
        <row r="31">
          <cell r="C31">
            <v>53753553</v>
          </cell>
        </row>
        <row r="32">
          <cell r="C32">
            <v>24045044</v>
          </cell>
        </row>
        <row r="33">
          <cell r="C33">
            <v>2913281</v>
          </cell>
        </row>
        <row r="34">
          <cell r="C34">
            <v>820961</v>
          </cell>
        </row>
        <row r="35">
          <cell r="C35">
            <v>40588498</v>
          </cell>
        </row>
        <row r="36">
          <cell r="C36">
            <v>44727072</v>
          </cell>
        </row>
        <row r="37">
          <cell r="C37">
            <v>78270</v>
          </cell>
        </row>
        <row r="38">
          <cell r="C38">
            <v>5130615</v>
          </cell>
        </row>
        <row r="39">
          <cell r="C39">
            <v>0</v>
          </cell>
        </row>
        <row r="40">
          <cell r="C40">
            <v>12197246</v>
          </cell>
        </row>
        <row r="41">
          <cell r="C41">
            <v>1516853</v>
          </cell>
        </row>
        <row r="42">
          <cell r="C42">
            <v>7145975</v>
          </cell>
        </row>
        <row r="43">
          <cell r="C43">
            <v>889035</v>
          </cell>
        </row>
        <row r="44">
          <cell r="C44">
            <v>12113109</v>
          </cell>
        </row>
        <row r="45">
          <cell r="C45">
            <v>578422</v>
          </cell>
        </row>
        <row r="46">
          <cell r="C46">
            <v>6388669</v>
          </cell>
        </row>
        <row r="47">
          <cell r="C47">
            <v>41449678</v>
          </cell>
        </row>
        <row r="48">
          <cell r="C48">
            <v>192981820</v>
          </cell>
        </row>
        <row r="49">
          <cell r="C49">
            <v>5100689</v>
          </cell>
        </row>
        <row r="50">
          <cell r="C50">
            <v>21354938</v>
          </cell>
        </row>
        <row r="51">
          <cell r="C51">
            <v>759868366</v>
          </cell>
        </row>
        <row r="52">
          <cell r="C52">
            <v>5185365</v>
          </cell>
        </row>
        <row r="53">
          <cell r="C53">
            <v>2873818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10434773</v>
          </cell>
        </row>
        <row r="57">
          <cell r="C57">
            <v>312779870</v>
          </cell>
        </row>
        <row r="58">
          <cell r="C58">
            <v>228188425</v>
          </cell>
        </row>
        <row r="59">
          <cell r="C59">
            <v>-34933277</v>
          </cell>
        </row>
        <row r="60">
          <cell r="C60">
            <v>2271487</v>
          </cell>
        </row>
        <row r="61">
          <cell r="C61">
            <v>26181189</v>
          </cell>
        </row>
        <row r="62">
          <cell r="C62">
            <v>16559111</v>
          </cell>
        </row>
        <row r="63">
          <cell r="C63">
            <v>5844262</v>
          </cell>
        </row>
        <row r="64">
          <cell r="C64">
            <v>133632828</v>
          </cell>
        </row>
        <row r="65">
          <cell r="C65">
            <v>-1143315</v>
          </cell>
        </row>
        <row r="66">
          <cell r="C66">
            <v>19395984</v>
          </cell>
        </row>
        <row r="67">
          <cell r="C67">
            <v>8647168</v>
          </cell>
        </row>
        <row r="68">
          <cell r="C68">
            <v>19846299</v>
          </cell>
        </row>
        <row r="69">
          <cell r="C69">
            <v>45517306</v>
          </cell>
        </row>
        <row r="70">
          <cell r="C70">
            <v>120469371</v>
          </cell>
        </row>
        <row r="71">
          <cell r="C71">
            <v>250590012</v>
          </cell>
        </row>
        <row r="72">
          <cell r="C72">
            <v>10396708</v>
          </cell>
        </row>
        <row r="73">
          <cell r="C73">
            <v>-15880431</v>
          </cell>
        </row>
        <row r="74">
          <cell r="C74">
            <v>108390327</v>
          </cell>
        </row>
        <row r="75">
          <cell r="C75">
            <v>84218186</v>
          </cell>
        </row>
        <row r="76">
          <cell r="C76">
            <v>23473241</v>
          </cell>
        </row>
        <row r="77">
          <cell r="C77">
            <v>-2420109</v>
          </cell>
        </row>
        <row r="78">
          <cell r="C78">
            <v>970246062</v>
          </cell>
        </row>
        <row r="79">
          <cell r="C79">
            <v>1189907980</v>
          </cell>
        </row>
        <row r="80">
          <cell r="C80">
            <v>13226541</v>
          </cell>
        </row>
        <row r="81">
          <cell r="C81">
            <v>6712875</v>
          </cell>
        </row>
        <row r="82">
          <cell r="C82">
            <v>354057</v>
          </cell>
        </row>
        <row r="83">
          <cell r="C83">
            <v>46449043</v>
          </cell>
        </row>
        <row r="84">
          <cell r="C84">
            <v>5446363</v>
          </cell>
        </row>
        <row r="85">
          <cell r="C85">
            <v>389165</v>
          </cell>
        </row>
        <row r="86">
          <cell r="C86">
            <v>1706277</v>
          </cell>
        </row>
        <row r="87">
          <cell r="C87">
            <v>26898085</v>
          </cell>
        </row>
        <row r="88">
          <cell r="C88">
            <v>11554286</v>
          </cell>
        </row>
        <row r="89">
          <cell r="C89">
            <v>3333569873</v>
          </cell>
        </row>
        <row r="90">
          <cell r="C90">
            <v>-99192</v>
          </cell>
        </row>
        <row r="91">
          <cell r="C91">
            <v>1360099</v>
          </cell>
        </row>
        <row r="92">
          <cell r="C92">
            <v>3339036</v>
          </cell>
        </row>
        <row r="93">
          <cell r="C93">
            <v>32905131</v>
          </cell>
        </row>
        <row r="94">
          <cell r="C94">
            <v>176338</v>
          </cell>
        </row>
        <row r="95">
          <cell r="C95">
            <v>276</v>
          </cell>
        </row>
        <row r="96">
          <cell r="C96">
            <v>9752660</v>
          </cell>
        </row>
        <row r="97">
          <cell r="C97">
            <v>20157063</v>
          </cell>
        </row>
        <row r="98">
          <cell r="C98">
            <v>31157297</v>
          </cell>
        </row>
        <row r="99">
          <cell r="C99">
            <v>784777</v>
          </cell>
        </row>
        <row r="100">
          <cell r="C100">
            <v>1057</v>
          </cell>
        </row>
        <row r="101">
          <cell r="C101">
            <v>922897803</v>
          </cell>
        </row>
        <row r="102">
          <cell r="C102">
            <v>30471889</v>
          </cell>
        </row>
        <row r="103">
          <cell r="C103">
            <v>57641731</v>
          </cell>
        </row>
        <row r="104">
          <cell r="C104">
            <v>1762</v>
          </cell>
        </row>
        <row r="105">
          <cell r="C105">
            <v>477979415</v>
          </cell>
        </row>
        <row r="106">
          <cell r="C106">
            <v>145824483</v>
          </cell>
        </row>
        <row r="107">
          <cell r="C107">
            <v>46262160</v>
          </cell>
        </row>
        <row r="108">
          <cell r="C108">
            <v>14942188</v>
          </cell>
        </row>
        <row r="109">
          <cell r="C109">
            <v>83851289</v>
          </cell>
        </row>
        <row r="110">
          <cell r="C110">
            <v>205331800</v>
          </cell>
        </row>
        <row r="111">
          <cell r="C111">
            <v>18786080</v>
          </cell>
        </row>
        <row r="112">
          <cell r="C112">
            <v>479181</v>
          </cell>
        </row>
        <row r="113">
          <cell r="C113">
            <v>14482521</v>
          </cell>
        </row>
        <row r="114">
          <cell r="C114">
            <v>0</v>
          </cell>
        </row>
        <row r="115">
          <cell r="C115">
            <v>8834592</v>
          </cell>
        </row>
        <row r="116">
          <cell r="C116">
            <v>8100</v>
          </cell>
        </row>
        <row r="117">
          <cell r="C117">
            <v>331527</v>
          </cell>
        </row>
        <row r="118">
          <cell r="C118">
            <v>67874404</v>
          </cell>
        </row>
        <row r="119">
          <cell r="C119">
            <v>18797272</v>
          </cell>
        </row>
        <row r="120">
          <cell r="C120">
            <v>16512291</v>
          </cell>
        </row>
        <row r="121">
          <cell r="C121">
            <v>6145725</v>
          </cell>
        </row>
        <row r="122">
          <cell r="C122">
            <v>10619703</v>
          </cell>
        </row>
        <row r="123">
          <cell r="C123">
            <v>103746849</v>
          </cell>
        </row>
        <row r="124">
          <cell r="C124">
            <v>56640873</v>
          </cell>
        </row>
        <row r="125">
          <cell r="C125">
            <v>2739273</v>
          </cell>
        </row>
        <row r="126">
          <cell r="C126">
            <v>60173239</v>
          </cell>
        </row>
        <row r="127">
          <cell r="C127">
            <v>413670</v>
          </cell>
        </row>
        <row r="128">
          <cell r="C128">
            <v>2471122</v>
          </cell>
        </row>
        <row r="129">
          <cell r="C129">
            <v>167080</v>
          </cell>
        </row>
        <row r="130">
          <cell r="C130">
            <v>64743087</v>
          </cell>
        </row>
        <row r="131">
          <cell r="C131">
            <v>211122380</v>
          </cell>
        </row>
        <row r="132">
          <cell r="C132">
            <v>320634054</v>
          </cell>
        </row>
        <row r="133">
          <cell r="C133">
            <v>421589</v>
          </cell>
        </row>
        <row r="134">
          <cell r="C134">
            <v>8486415</v>
          </cell>
        </row>
        <row r="135">
          <cell r="C135">
            <v>4602031</v>
          </cell>
        </row>
        <row r="136">
          <cell r="C136">
            <v>87631897</v>
          </cell>
        </row>
        <row r="137">
          <cell r="C137">
            <v>5794505</v>
          </cell>
        </row>
        <row r="138">
          <cell r="C138">
            <v>3236247</v>
          </cell>
        </row>
        <row r="139">
          <cell r="C139">
            <v>236691</v>
          </cell>
        </row>
        <row r="140">
          <cell r="C140">
            <v>17215017</v>
          </cell>
        </row>
        <row r="141">
          <cell r="C141">
            <v>12985599</v>
          </cell>
        </row>
        <row r="142">
          <cell r="C142">
            <v>4296242</v>
          </cell>
        </row>
        <row r="143">
          <cell r="C143">
            <v>2363936</v>
          </cell>
        </row>
        <row r="144">
          <cell r="C144">
            <v>4670998</v>
          </cell>
        </row>
        <row r="145">
          <cell r="C145">
            <v>13125335</v>
          </cell>
        </row>
        <row r="146">
          <cell r="C146">
            <v>161556352</v>
          </cell>
        </row>
        <row r="147">
          <cell r="C147">
            <v>276237081</v>
          </cell>
        </row>
        <row r="148">
          <cell r="C148">
            <v>15002120</v>
          </cell>
        </row>
        <row r="149">
          <cell r="C149">
            <v>310178302</v>
          </cell>
        </row>
        <row r="150">
          <cell r="C150">
            <v>31249782</v>
          </cell>
        </row>
        <row r="151">
          <cell r="C151">
            <v>59655</v>
          </cell>
        </row>
        <row r="152">
          <cell r="C152">
            <v>2825398</v>
          </cell>
        </row>
        <row r="153">
          <cell r="C153">
            <v>155088180</v>
          </cell>
        </row>
        <row r="154">
          <cell r="C154">
            <v>357455</v>
          </cell>
        </row>
        <row r="155">
          <cell r="C155">
            <v>50000</v>
          </cell>
        </row>
        <row r="156">
          <cell r="C156">
            <v>19818262</v>
          </cell>
        </row>
        <row r="157">
          <cell r="C157">
            <v>10859416</v>
          </cell>
        </row>
        <row r="158">
          <cell r="C158">
            <v>929527</v>
          </cell>
        </row>
        <row r="159">
          <cell r="C159">
            <v>188641</v>
          </cell>
        </row>
        <row r="160">
          <cell r="C160">
            <v>68348452</v>
          </cell>
        </row>
        <row r="161">
          <cell r="C161">
            <v>235829</v>
          </cell>
        </row>
        <row r="162">
          <cell r="C162">
            <v>14357377</v>
          </cell>
        </row>
        <row r="163">
          <cell r="C163">
            <v>441731479</v>
          </cell>
        </row>
        <row r="164">
          <cell r="C164">
            <v>411431</v>
          </cell>
        </row>
        <row r="165">
          <cell r="C165">
            <v>1037700</v>
          </cell>
        </row>
        <row r="166">
          <cell r="C166">
            <v>134723856</v>
          </cell>
        </row>
        <row r="167">
          <cell r="C167">
            <v>6669998</v>
          </cell>
        </row>
        <row r="168">
          <cell r="C168">
            <v>9428116</v>
          </cell>
        </row>
        <row r="169">
          <cell r="C169">
            <v>312441</v>
          </cell>
        </row>
        <row r="170">
          <cell r="C170">
            <v>133164</v>
          </cell>
        </row>
        <row r="171">
          <cell r="C171">
            <v>33861789</v>
          </cell>
        </row>
        <row r="172">
          <cell r="C172">
            <v>1070752</v>
          </cell>
        </row>
        <row r="173">
          <cell r="C173">
            <v>1491451</v>
          </cell>
        </row>
        <row r="174">
          <cell r="C174">
            <v>9040969</v>
          </cell>
        </row>
        <row r="175">
          <cell r="C175">
            <v>218494139</v>
          </cell>
        </row>
        <row r="176">
          <cell r="C176">
            <v>2024130</v>
          </cell>
        </row>
        <row r="177">
          <cell r="C177">
            <v>699360</v>
          </cell>
        </row>
        <row r="178">
          <cell r="C178">
            <v>88163903</v>
          </cell>
        </row>
        <row r="179">
          <cell r="C179">
            <v>815573</v>
          </cell>
        </row>
        <row r="180">
          <cell r="C180">
            <v>88519446</v>
          </cell>
        </row>
        <row r="181">
          <cell r="C181">
            <v>1524713</v>
          </cell>
        </row>
        <row r="182">
          <cell r="C182">
            <v>290728</v>
          </cell>
        </row>
        <row r="183">
          <cell r="C183">
            <v>3221455</v>
          </cell>
        </row>
        <row r="184">
          <cell r="C184">
            <v>307377</v>
          </cell>
        </row>
        <row r="185">
          <cell r="C185">
            <v>3006196</v>
          </cell>
        </row>
        <row r="186">
          <cell r="C186">
            <v>26525872</v>
          </cell>
        </row>
        <row r="187">
          <cell r="C187">
            <v>1541707</v>
          </cell>
        </row>
        <row r="188">
          <cell r="C188">
            <v>399016</v>
          </cell>
        </row>
        <row r="189">
          <cell r="C189">
            <v>4460497</v>
          </cell>
        </row>
        <row r="190">
          <cell r="C190">
            <v>1989228</v>
          </cell>
        </row>
        <row r="191">
          <cell r="C191">
            <v>1455596</v>
          </cell>
        </row>
        <row r="192">
          <cell r="C192">
            <v>5118443</v>
          </cell>
        </row>
        <row r="193">
          <cell r="C193">
            <v>615415</v>
          </cell>
        </row>
        <row r="194">
          <cell r="C194">
            <v>52823999</v>
          </cell>
        </row>
        <row r="195">
          <cell r="C195">
            <v>29020008</v>
          </cell>
        </row>
        <row r="196">
          <cell r="C196">
            <v>3177280</v>
          </cell>
        </row>
        <row r="197">
          <cell r="C197">
            <v>658347</v>
          </cell>
        </row>
        <row r="198">
          <cell r="C198">
            <v>10132273</v>
          </cell>
        </row>
        <row r="199">
          <cell r="C199">
            <v>3116840</v>
          </cell>
        </row>
        <row r="200">
          <cell r="C200">
            <v>1297889356</v>
          </cell>
        </row>
        <row r="201">
          <cell r="C201">
            <v>5565476</v>
          </cell>
        </row>
        <row r="202">
          <cell r="C202">
            <v>5997720</v>
          </cell>
        </row>
        <row r="203">
          <cell r="C203">
            <v>1915056</v>
          </cell>
        </row>
        <row r="204">
          <cell r="C204">
            <v>7872396</v>
          </cell>
        </row>
        <row r="205">
          <cell r="C205">
            <v>6637992</v>
          </cell>
        </row>
        <row r="206">
          <cell r="C206">
            <v>3087673</v>
          </cell>
        </row>
        <row r="207">
          <cell r="C207">
            <v>7381827</v>
          </cell>
        </row>
        <row r="208">
          <cell r="C208">
            <v>4397411</v>
          </cell>
        </row>
        <row r="209">
          <cell r="C209">
            <v>40401385</v>
          </cell>
        </row>
        <row r="210">
          <cell r="C210">
            <v>-103000</v>
          </cell>
        </row>
        <row r="211">
          <cell r="C211">
            <v>6299224</v>
          </cell>
        </row>
        <row r="212">
          <cell r="C212">
            <v>6294142</v>
          </cell>
        </row>
        <row r="213">
          <cell r="C213">
            <v>5324332</v>
          </cell>
        </row>
        <row r="214">
          <cell r="C214">
            <v>8371545</v>
          </cell>
        </row>
        <row r="215">
          <cell r="C215">
            <v>7492556</v>
          </cell>
        </row>
        <row r="216">
          <cell r="C216">
            <v>100560500</v>
          </cell>
        </row>
        <row r="217">
          <cell r="C217">
            <v>29830450</v>
          </cell>
        </row>
        <row r="218">
          <cell r="C218">
            <v>14864815</v>
          </cell>
        </row>
        <row r="219">
          <cell r="C219">
            <v>20046556</v>
          </cell>
        </row>
        <row r="220">
          <cell r="C220">
            <v>18589365</v>
          </cell>
        </row>
        <row r="221">
          <cell r="C221">
            <v>29429201</v>
          </cell>
        </row>
        <row r="222">
          <cell r="C222">
            <v>32447004</v>
          </cell>
        </row>
        <row r="223">
          <cell r="C223">
            <v>13773058</v>
          </cell>
        </row>
        <row r="224">
          <cell r="C224">
            <v>132742486</v>
          </cell>
        </row>
        <row r="225">
          <cell r="C225">
            <v>50229910</v>
          </cell>
        </row>
        <row r="226">
          <cell r="C226">
            <v>346279876</v>
          </cell>
        </row>
        <row r="227">
          <cell r="C227">
            <v>44634569</v>
          </cell>
        </row>
        <row r="228">
          <cell r="C228">
            <v>76175037</v>
          </cell>
        </row>
        <row r="229">
          <cell r="C229">
            <v>22461092</v>
          </cell>
        </row>
        <row r="230">
          <cell r="C230">
            <v>56227643</v>
          </cell>
        </row>
        <row r="231">
          <cell r="C231">
            <v>71062081</v>
          </cell>
        </row>
        <row r="232">
          <cell r="C232">
            <v>238116788</v>
          </cell>
        </row>
        <row r="233">
          <cell r="C233">
            <v>2205363287</v>
          </cell>
        </row>
        <row r="234">
          <cell r="C234">
            <v>5347351554</v>
          </cell>
        </row>
        <row r="235">
          <cell r="C235">
            <v>616392</v>
          </cell>
        </row>
        <row r="236">
          <cell r="C236">
            <v>0</v>
          </cell>
        </row>
        <row r="237">
          <cell r="C237">
            <v>166181</v>
          </cell>
        </row>
        <row r="238">
          <cell r="C238">
            <v>0</v>
          </cell>
        </row>
        <row r="239">
          <cell r="C239">
            <v>34046</v>
          </cell>
        </row>
        <row r="240">
          <cell r="C240">
            <v>397918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440300</v>
          </cell>
        </row>
        <row r="245">
          <cell r="C245">
            <v>2282182</v>
          </cell>
        </row>
        <row r="246">
          <cell r="C246">
            <v>24990</v>
          </cell>
        </row>
        <row r="247">
          <cell r="C247">
            <v>0</v>
          </cell>
        </row>
        <row r="248">
          <cell r="C248">
            <v>1774324</v>
          </cell>
        </row>
        <row r="249">
          <cell r="C249">
            <v>54434271</v>
          </cell>
        </row>
        <row r="250">
          <cell r="C250">
            <v>161335</v>
          </cell>
        </row>
        <row r="251">
          <cell r="C251">
            <v>15174771</v>
          </cell>
        </row>
        <row r="252">
          <cell r="C252">
            <v>45505</v>
          </cell>
        </row>
        <row r="253">
          <cell r="C253">
            <v>0</v>
          </cell>
        </row>
        <row r="254">
          <cell r="C254">
            <v>2900000</v>
          </cell>
        </row>
        <row r="255">
          <cell r="C255">
            <v>14654416</v>
          </cell>
        </row>
        <row r="256">
          <cell r="C256">
            <v>0</v>
          </cell>
        </row>
        <row r="257">
          <cell r="C257">
            <v>140420</v>
          </cell>
        </row>
        <row r="258">
          <cell r="C258">
            <v>21146</v>
          </cell>
        </row>
        <row r="259">
          <cell r="C259">
            <v>0</v>
          </cell>
        </row>
        <row r="260">
          <cell r="C260">
            <v>-1165938</v>
          </cell>
        </row>
        <row r="261">
          <cell r="C261">
            <v>30141840121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Tipo</v>
          </cell>
        </row>
      </sheetData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INFRA"/>
      <sheetName val="Análisis Económico"/>
      <sheetName val="Datos Oper"/>
      <sheetName val="Evaluación INFRA"/>
      <sheetName val="Evaluación Oper"/>
      <sheetName val="Inv. INFRA"/>
      <sheetName val="Inv. Mat. Rod."/>
      <sheetName val="Melipilla"/>
      <sheetName val="Tiltil"/>
      <sheetName val="Viña"/>
      <sheetName val="Flota e itinerarios"/>
      <sheetName val="Presu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.Pura"/>
      <sheetName val="E.Pura_mes"/>
      <sheetName val="EV_m"/>
      <sheetName val="EV_m_ind"/>
      <sheetName val="form"/>
      <sheetName val="graf"/>
      <sheetName val="D2"/>
      <sheetName val="DDA"/>
      <sheetName val="IMG"/>
      <sheetName val="Ing"/>
      <sheetName val="DDA M"/>
      <sheetName val="Pagos"/>
      <sheetName val="Deuda"/>
      <sheetName val="IVA"/>
      <sheetName val="Factor"/>
      <sheetName val="DATA"/>
      <sheetName val="PRY"/>
      <sheetName val="Asig R5"/>
      <sheetName val="Per"/>
      <sheetName val="00"/>
      <sheetName val="06"/>
      <sheetName val="06D"/>
      <sheetName val="12"/>
      <sheetName val="12D"/>
      <sheetName val="18"/>
      <sheetName val="18D"/>
      <sheetName val="Buses"/>
      <sheetName val="Hoja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Cost Allocation"/>
      <sheetName val="Contract Costs"/>
      <sheetName val="DATA From COINS"/>
      <sheetName val="Sub Liab"/>
      <sheetName val="Sub ELF"/>
      <sheetName val="Sub Payment"/>
      <sheetName val="Sub Appl"/>
    </sheetNames>
    <sheetDataSet>
      <sheetData sheetId="0">
        <row r="5">
          <cell r="D5">
            <v>39780</v>
          </cell>
        </row>
        <row r="6">
          <cell r="I6">
            <v>12039311</v>
          </cell>
        </row>
        <row r="10">
          <cell r="C10" t="str">
            <v>GSK Harlow MMC (H92)</v>
          </cell>
        </row>
      </sheetData>
      <sheetData sheetId="1">
        <row r="35">
          <cell r="E35">
            <v>2662054.96</v>
          </cell>
          <cell r="H35">
            <v>2618113.5924349534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"/>
      <sheetName val="IdeG"/>
      <sheetName val="estres cons EBITDA X mes"/>
      <sheetName val="Gestión CONS N (Neto)"/>
      <sheetName val="Gestión cons N"/>
      <sheetName val="Apuntes"/>
      <sheetName val="bce"/>
      <sheetName val="estres"/>
      <sheetName val="IAS 1-Est Sit Fin Clas"/>
      <sheetName val="Est Res Integral"/>
      <sheetName val="IAS 1-Est Res Funcion"/>
      <sheetName val="bce cons"/>
      <sheetName val="estres cons"/>
      <sheetName val="estres cons X Trim comp"/>
      <sheetName val="estres cons X Trim bruto"/>
      <sheetName val="estres cons X Trim neto"/>
      <sheetName val="estres cons X Trim 2"/>
      <sheetName val="base"/>
      <sheetName val="Menú"/>
      <sheetName val="Ingr_Inf"/>
      <sheetName val="Patrimonio"/>
      <sheetName val="Inversiones"/>
      <sheetName val="ctas EERR"/>
      <sheetName val="Resultado EERR"/>
      <sheetName val="Ingr_Inf MERVAL"/>
      <sheetName val="reclasif MERVAL"/>
      <sheetName val="ELIM resultado"/>
      <sheetName val="Ajustes EBITDA"/>
      <sheetName val="Baco Central"/>
      <sheetName val="Análisis razonado"/>
      <sheetName val="Notas"/>
      <sheetName val="CGR"/>
      <sheetName val="separa"/>
      <sheetName val="Nota Segmentos"/>
      <sheetName val="Nota Particip"/>
      <sheetName val="Notas EERR"/>
      <sheetName val="Notas dic. 2010"/>
    </sheetNames>
    <sheetDataSet>
      <sheetData sheetId="0"/>
      <sheetData sheetId="1"/>
      <sheetData sheetId="2">
        <row r="1">
          <cell r="B1" t="str">
            <v>E.F.E.</v>
          </cell>
          <cell r="C1" t="str">
            <v>ene.</v>
          </cell>
          <cell r="D1" t="str">
            <v>feb.</v>
          </cell>
          <cell r="E1" t="str">
            <v>mar.</v>
          </cell>
          <cell r="F1" t="str">
            <v>abr.</v>
          </cell>
          <cell r="G1" t="str">
            <v>may.</v>
          </cell>
          <cell r="H1" t="str">
            <v>jun.</v>
          </cell>
          <cell r="I1" t="str">
            <v>jul.</v>
          </cell>
          <cell r="J1" t="str">
            <v>ago.</v>
          </cell>
          <cell r="K1" t="str">
            <v>estres CONS</v>
          </cell>
          <cell r="L1">
            <v>0</v>
          </cell>
          <cell r="M1">
            <v>0</v>
          </cell>
          <cell r="N1">
            <v>0</v>
          </cell>
        </row>
        <row r="2"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</row>
        <row r="3">
          <cell r="B3" t="str">
            <v>FERROCARRILES DEL ESTADO y FILIALES - EBITDA</v>
          </cell>
        </row>
        <row r="5">
          <cell r="B5" t="str">
            <v>Año</v>
          </cell>
          <cell r="C5">
            <v>2011</v>
          </cell>
        </row>
        <row r="6">
          <cell r="B6" t="str">
            <v>Clasificación estados</v>
          </cell>
          <cell r="C6" t="str">
            <v>Est. Resultado</v>
          </cell>
        </row>
        <row r="7">
          <cell r="B7" t="str">
            <v>Empresa neteo</v>
          </cell>
          <cell r="C7" t="str">
            <v>EFE</v>
          </cell>
        </row>
        <row r="8">
          <cell r="B8" t="str">
            <v>Resultado Neto</v>
          </cell>
          <cell r="C8">
            <v>14888399311</v>
          </cell>
          <cell r="D8">
            <v>1989307543</v>
          </cell>
          <cell r="E8">
            <v>11383616258</v>
          </cell>
          <cell r="F8">
            <v>-1430838977</v>
          </cell>
          <cell r="G8">
            <v>13177790192</v>
          </cell>
          <cell r="H8">
            <v>10394343354</v>
          </cell>
          <cell r="I8">
            <v>1355914229</v>
          </cell>
          <cell r="J8">
            <v>11483787813</v>
          </cell>
          <cell r="K8">
            <v>63242319723</v>
          </cell>
          <cell r="L8">
            <v>0</v>
          </cell>
          <cell r="M8">
            <v>0</v>
          </cell>
          <cell r="N8">
            <v>0</v>
          </cell>
        </row>
        <row r="9">
          <cell r="B9" t="str">
            <v xml:space="preserve"> </v>
          </cell>
          <cell r="C9" t="str">
            <v xml:space="preserve"> </v>
          </cell>
        </row>
        <row r="10">
          <cell r="B10" t="str">
            <v>Conceptos</v>
          </cell>
          <cell r="C10" t="str">
            <v>ene.</v>
          </cell>
          <cell r="D10" t="str">
            <v>feb.</v>
          </cell>
          <cell r="E10" t="str">
            <v>mar.</v>
          </cell>
          <cell r="F10" t="str">
            <v>abr.</v>
          </cell>
          <cell r="G10" t="str">
            <v>may.</v>
          </cell>
          <cell r="H10" t="str">
            <v>jun.</v>
          </cell>
          <cell r="I10" t="str">
            <v>jul.</v>
          </cell>
          <cell r="J10" t="str">
            <v>ago.</v>
          </cell>
          <cell r="K10" t="str">
            <v>estres CONS</v>
          </cell>
        </row>
        <row r="11">
          <cell r="B11" t="str">
            <v>(GANANCIA) PÉRDIDA NETA</v>
          </cell>
          <cell r="C11">
            <v>13265988313</v>
          </cell>
          <cell r="D11">
            <v>92622187</v>
          </cell>
          <cell r="E11">
            <v>9486930902</v>
          </cell>
          <cell r="F11">
            <v>-3190387154</v>
          </cell>
          <cell r="G11">
            <v>11418242015</v>
          </cell>
          <cell r="H11">
            <v>8763698731</v>
          </cell>
          <cell r="I11">
            <v>-302899657</v>
          </cell>
          <cell r="J11">
            <v>9777186270</v>
          </cell>
          <cell r="K11">
            <v>49311381607</v>
          </cell>
        </row>
        <row r="12">
          <cell r="B12" t="str">
            <v>EBITDA</v>
          </cell>
          <cell r="C12">
            <v>1647876016</v>
          </cell>
          <cell r="D12">
            <v>1362230573</v>
          </cell>
          <cell r="E12">
            <v>1280845757</v>
          </cell>
          <cell r="F12">
            <v>1622590068</v>
          </cell>
          <cell r="G12">
            <v>1487488249</v>
          </cell>
          <cell r="H12">
            <v>1015959820</v>
          </cell>
          <cell r="I12">
            <v>1855034613</v>
          </cell>
          <cell r="J12">
            <v>1648689905</v>
          </cell>
          <cell r="K12">
            <v>11920715001</v>
          </cell>
        </row>
        <row r="13">
          <cell r="B13" t="str">
            <v>I. Ingresos</v>
          </cell>
          <cell r="C13">
            <v>-1019137485</v>
          </cell>
          <cell r="D13">
            <v>-826475816</v>
          </cell>
          <cell r="E13">
            <v>-909811194</v>
          </cell>
          <cell r="F13">
            <v>-1012134184</v>
          </cell>
          <cell r="G13">
            <v>-1130907568</v>
          </cell>
          <cell r="H13">
            <v>-874047973</v>
          </cell>
          <cell r="I13">
            <v>-984101252</v>
          </cell>
          <cell r="J13">
            <v>-982572878</v>
          </cell>
          <cell r="K13">
            <v>-7739188350</v>
          </cell>
        </row>
        <row r="14">
          <cell r="B14" t="str">
            <v>1. Pasajeros</v>
          </cell>
          <cell r="C14">
            <v>0</v>
          </cell>
          <cell r="D14">
            <v>0</v>
          </cell>
          <cell r="E14">
            <v>-1597884313</v>
          </cell>
          <cell r="F14">
            <v>-1644068842</v>
          </cell>
          <cell r="G14">
            <v>-1682535577</v>
          </cell>
          <cell r="H14">
            <v>-1532766690</v>
          </cell>
          <cell r="I14">
            <v>-1746036727</v>
          </cell>
          <cell r="J14">
            <v>-1767192098</v>
          </cell>
          <cell r="K14">
            <v>0</v>
          </cell>
        </row>
        <row r="15">
          <cell r="B15" t="str">
            <v>2. Operadores</v>
          </cell>
          <cell r="C15">
            <v>-725074967</v>
          </cell>
          <cell r="D15">
            <v>-678336090</v>
          </cell>
          <cell r="E15">
            <v>-754471050</v>
          </cell>
          <cell r="F15">
            <v>-805383694</v>
          </cell>
          <cell r="G15">
            <v>-853849957</v>
          </cell>
          <cell r="H15">
            <v>-719710377</v>
          </cell>
          <cell r="I15">
            <v>-808915043</v>
          </cell>
          <cell r="J15">
            <v>-821709983</v>
          </cell>
          <cell r="K15">
            <v>-6167451161</v>
          </cell>
        </row>
        <row r="16">
          <cell r="B16" t="str">
            <v>3. Inmobiliarios</v>
          </cell>
          <cell r="C16">
            <v>-243247956</v>
          </cell>
          <cell r="D16">
            <v>-104449526</v>
          </cell>
          <cell r="E16">
            <v>-96591555</v>
          </cell>
          <cell r="F16">
            <v>-155955377</v>
          </cell>
          <cell r="G16">
            <v>-157620506</v>
          </cell>
          <cell r="H16">
            <v>-146690852</v>
          </cell>
          <cell r="I16">
            <v>-151750664</v>
          </cell>
          <cell r="J16">
            <v>-126194472</v>
          </cell>
          <cell r="K16">
            <v>-1182500908</v>
          </cell>
        </row>
        <row r="17">
          <cell r="B17" t="str">
            <v>4. Otros servicios</v>
          </cell>
          <cell r="C17">
            <v>-50814562</v>
          </cell>
          <cell r="D17">
            <v>-43690200</v>
          </cell>
          <cell r="E17">
            <v>-58748589</v>
          </cell>
          <cell r="F17">
            <v>-50795113</v>
          </cell>
          <cell r="G17">
            <v>-119437105</v>
          </cell>
          <cell r="H17">
            <v>-7646744</v>
          </cell>
          <cell r="I17">
            <v>-23435545</v>
          </cell>
          <cell r="J17">
            <v>-34668423</v>
          </cell>
          <cell r="K17">
            <v>-389236281</v>
          </cell>
        </row>
        <row r="18">
          <cell r="B18" t="str">
            <v>5. Ing. por cobros a Filiales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II. Costo de Explotación</v>
          </cell>
          <cell r="C19">
            <v>2007397692</v>
          </cell>
          <cell r="D19">
            <v>1406269641</v>
          </cell>
          <cell r="E19">
            <v>1554138274</v>
          </cell>
          <cell r="F19">
            <v>1885566912</v>
          </cell>
          <cell r="G19">
            <v>1600196098</v>
          </cell>
          <cell r="H19">
            <v>1206369135</v>
          </cell>
          <cell r="I19">
            <v>2144649491</v>
          </cell>
          <cell r="J19">
            <v>1719283069</v>
          </cell>
          <cell r="K19">
            <v>13523870312</v>
          </cell>
        </row>
        <row r="20">
          <cell r="B20" t="str">
            <v>1. Personal Explotación</v>
          </cell>
          <cell r="C20">
            <v>634440196</v>
          </cell>
          <cell r="D20">
            <v>545842149</v>
          </cell>
          <cell r="E20">
            <v>588181823</v>
          </cell>
          <cell r="F20">
            <v>710273780</v>
          </cell>
          <cell r="G20">
            <v>643924994</v>
          </cell>
          <cell r="H20">
            <v>627016314</v>
          </cell>
          <cell r="I20">
            <v>679832640</v>
          </cell>
          <cell r="J20">
            <v>674664423</v>
          </cell>
          <cell r="K20">
            <v>5104176319</v>
          </cell>
        </row>
        <row r="21">
          <cell r="B21" t="str">
            <v>2. Bienes y servicios Expl.</v>
          </cell>
          <cell r="C21">
            <v>1372957496</v>
          </cell>
          <cell r="D21">
            <v>860427492</v>
          </cell>
          <cell r="E21">
            <v>965956451</v>
          </cell>
          <cell r="F21">
            <v>1175293132</v>
          </cell>
          <cell r="G21">
            <v>956271104</v>
          </cell>
          <cell r="H21">
            <v>579352821</v>
          </cell>
          <cell r="I21">
            <v>1464816851</v>
          </cell>
          <cell r="J21">
            <v>1044618646</v>
          </cell>
          <cell r="K21">
            <v>8419693993</v>
          </cell>
        </row>
        <row r="22">
          <cell r="B22" t="str">
            <v>III. Gasto Administración</v>
          </cell>
          <cell r="C22">
            <v>659615809</v>
          </cell>
          <cell r="D22">
            <v>782436748</v>
          </cell>
          <cell r="E22">
            <v>636518677</v>
          </cell>
          <cell r="F22">
            <v>749157340</v>
          </cell>
          <cell r="G22">
            <v>1018199719</v>
          </cell>
          <cell r="H22">
            <v>683638658</v>
          </cell>
          <cell r="I22">
            <v>694486374</v>
          </cell>
          <cell r="J22">
            <v>911979714</v>
          </cell>
          <cell r="K22">
            <v>6136033039</v>
          </cell>
        </row>
        <row r="23">
          <cell r="B23" t="str">
            <v>1. Personal Administrativo</v>
          </cell>
          <cell r="C23">
            <v>320064326</v>
          </cell>
          <cell r="D23">
            <v>307307152</v>
          </cell>
          <cell r="E23">
            <v>396017122</v>
          </cell>
          <cell r="F23">
            <v>259431505</v>
          </cell>
          <cell r="G23">
            <v>568987722</v>
          </cell>
          <cell r="H23">
            <v>319760857</v>
          </cell>
          <cell r="I23">
            <v>475083723</v>
          </cell>
          <cell r="J23">
            <v>489079177</v>
          </cell>
          <cell r="K23">
            <v>3135731584</v>
          </cell>
        </row>
        <row r="24">
          <cell r="B24" t="str">
            <v>2. Bienes y servicios Adm.</v>
          </cell>
          <cell r="C24">
            <v>339551483</v>
          </cell>
          <cell r="D24">
            <v>475129596</v>
          </cell>
          <cell r="E24">
            <v>240501555</v>
          </cell>
          <cell r="F24">
            <v>489725835</v>
          </cell>
          <cell r="G24">
            <v>449211997</v>
          </cell>
          <cell r="H24">
            <v>363877801</v>
          </cell>
          <cell r="I24">
            <v>219402651</v>
          </cell>
          <cell r="J24">
            <v>422900537</v>
          </cell>
          <cell r="K24">
            <v>3000301455</v>
          </cell>
        </row>
        <row r="25">
          <cell r="B25" t="str">
            <v>IV. Depreciación</v>
          </cell>
          <cell r="C25">
            <v>1622410998</v>
          </cell>
          <cell r="D25">
            <v>1896685356</v>
          </cell>
          <cell r="E25">
            <v>1896685356</v>
          </cell>
          <cell r="F25">
            <v>1759548177</v>
          </cell>
          <cell r="G25">
            <v>1759548177</v>
          </cell>
          <cell r="H25">
            <v>1630644623</v>
          </cell>
          <cell r="I25">
            <v>1658813886</v>
          </cell>
          <cell r="J25">
            <v>1706601543</v>
          </cell>
          <cell r="K25">
            <v>13930938116</v>
          </cell>
        </row>
        <row r="26">
          <cell r="B26" t="str">
            <v>V. Ajustes EBITDA</v>
          </cell>
          <cell r="C26">
            <v>-1622410998</v>
          </cell>
          <cell r="D26">
            <v>-1896685356</v>
          </cell>
          <cell r="E26">
            <v>-1896685356</v>
          </cell>
          <cell r="F26">
            <v>-1759548177</v>
          </cell>
          <cell r="G26">
            <v>-1759548177</v>
          </cell>
          <cell r="H26">
            <v>-1630644623</v>
          </cell>
          <cell r="I26">
            <v>-1658813886</v>
          </cell>
          <cell r="J26">
            <v>-1706601543</v>
          </cell>
          <cell r="K26">
            <v>-13930938116</v>
          </cell>
        </row>
        <row r="27">
          <cell r="B27" t="str">
            <v>NO OPER</v>
          </cell>
          <cell r="C27">
            <v>11618112297</v>
          </cell>
          <cell r="D27">
            <v>-1269608386</v>
          </cell>
          <cell r="E27">
            <v>8206085145</v>
          </cell>
          <cell r="F27">
            <v>-4812977222</v>
          </cell>
          <cell r="G27">
            <v>9930753766</v>
          </cell>
          <cell r="H27">
            <v>7747738911</v>
          </cell>
          <cell r="I27">
            <v>-2157934270</v>
          </cell>
          <cell r="J27">
            <v>8128496365</v>
          </cell>
          <cell r="K27">
            <v>37390666606</v>
          </cell>
        </row>
        <row r="28">
          <cell r="B28" t="str">
            <v>I. Ganancia / Pérdida No Oper.</v>
          </cell>
          <cell r="C28">
            <v>11618115120</v>
          </cell>
          <cell r="D28">
            <v>-1269607159</v>
          </cell>
          <cell r="E28">
            <v>8206085954</v>
          </cell>
          <cell r="F28">
            <v>-4812976315</v>
          </cell>
          <cell r="G28">
            <v>9930758623</v>
          </cell>
          <cell r="H28">
            <v>7747741651</v>
          </cell>
          <cell r="I28">
            <v>-2157932403</v>
          </cell>
          <cell r="J28">
            <v>8128496765</v>
          </cell>
          <cell r="K28">
            <v>37390682236</v>
          </cell>
        </row>
        <row r="29">
          <cell r="B29" t="str">
            <v>1. Ingresos No Oper.</v>
          </cell>
          <cell r="C29">
            <v>-262339257</v>
          </cell>
          <cell r="D29">
            <v>-241042322</v>
          </cell>
          <cell r="E29">
            <v>-341524370</v>
          </cell>
          <cell r="F29">
            <v>-512872613</v>
          </cell>
          <cell r="G29">
            <v>298463952</v>
          </cell>
          <cell r="H29">
            <v>-175765464</v>
          </cell>
          <cell r="I29">
            <v>-523113589</v>
          </cell>
          <cell r="J29">
            <v>-446991028</v>
          </cell>
          <cell r="K29">
            <v>-2205184691</v>
          </cell>
        </row>
        <row r="30">
          <cell r="B30" t="str">
            <v>2. Empresas Relacionadas</v>
          </cell>
          <cell r="C30">
            <v>-2337233120</v>
          </cell>
          <cell r="D30">
            <v>-407127472</v>
          </cell>
          <cell r="E30">
            <v>2465617342</v>
          </cell>
          <cell r="F30">
            <v>299901733</v>
          </cell>
          <cell r="G30">
            <v>-480132013</v>
          </cell>
          <cell r="H30">
            <v>-77977648</v>
          </cell>
          <cell r="I30">
            <v>-20</v>
          </cell>
          <cell r="J30">
            <v>-80009468</v>
          </cell>
          <cell r="K30">
            <v>-616960666</v>
          </cell>
        </row>
        <row r="31">
          <cell r="B31" t="str">
            <v>3. Gastos Financieros</v>
          </cell>
          <cell r="C31">
            <v>2764688481</v>
          </cell>
          <cell r="D31">
            <v>3863105222</v>
          </cell>
          <cell r="E31">
            <v>2965274773</v>
          </cell>
          <cell r="F31">
            <v>3285883722</v>
          </cell>
          <cell r="G31">
            <v>4326747878</v>
          </cell>
          <cell r="H31">
            <v>3476970527</v>
          </cell>
          <cell r="I31">
            <v>3640238907</v>
          </cell>
          <cell r="J31">
            <v>3641806819</v>
          </cell>
          <cell r="K31">
            <v>27964716329</v>
          </cell>
        </row>
        <row r="32">
          <cell r="B32" t="str">
            <v>4. Egresos No Oper.</v>
          </cell>
          <cell r="C32">
            <v>154230962</v>
          </cell>
          <cell r="D32">
            <v>146480959</v>
          </cell>
          <cell r="E32">
            <v>-138657092</v>
          </cell>
          <cell r="F32">
            <v>78812525</v>
          </cell>
          <cell r="G32">
            <v>75481480</v>
          </cell>
          <cell r="H32">
            <v>293029151</v>
          </cell>
          <cell r="I32">
            <v>189646028</v>
          </cell>
          <cell r="J32">
            <v>136017466</v>
          </cell>
          <cell r="K32">
            <v>935041479</v>
          </cell>
        </row>
        <row r="33">
          <cell r="B33" t="str">
            <v>6. Unidad de Reajuste</v>
          </cell>
          <cell r="C33">
            <v>590515899</v>
          </cell>
          <cell r="D33">
            <v>1301676475</v>
          </cell>
          <cell r="E33">
            <v>1375397700</v>
          </cell>
          <cell r="F33">
            <v>3624050187</v>
          </cell>
          <cell r="G33">
            <v>2767643065</v>
          </cell>
          <cell r="H33">
            <v>2198858461</v>
          </cell>
          <cell r="I33">
            <v>1560394980</v>
          </cell>
          <cell r="J33">
            <v>769732090</v>
          </cell>
          <cell r="K33">
            <v>14188268857</v>
          </cell>
        </row>
        <row r="34">
          <cell r="B34" t="str">
            <v>7. Diferencias de Cambio</v>
          </cell>
          <cell r="C34">
            <v>10708252155</v>
          </cell>
          <cell r="D34">
            <v>-5932700021</v>
          </cell>
          <cell r="E34">
            <v>1879977601</v>
          </cell>
          <cell r="F34">
            <v>-11588751869</v>
          </cell>
          <cell r="G34">
            <v>2942554261</v>
          </cell>
          <cell r="H34">
            <v>2032626624</v>
          </cell>
          <cell r="I34">
            <v>-7025098709</v>
          </cell>
          <cell r="J34">
            <v>4107940886</v>
          </cell>
          <cell r="K34">
            <v>-2875199072</v>
          </cell>
        </row>
        <row r="35">
          <cell r="B35" t="str">
            <v>II. Impuestos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1296906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1. Impuesto a la Renta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1296906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 t="str">
            <v>III. Interés Minoritario</v>
          </cell>
          <cell r="C37">
            <v>-2823</v>
          </cell>
          <cell r="D37">
            <v>-1227</v>
          </cell>
          <cell r="E37">
            <v>-809</v>
          </cell>
          <cell r="F37">
            <v>-907</v>
          </cell>
          <cell r="G37">
            <v>-4857</v>
          </cell>
          <cell r="H37">
            <v>-2740</v>
          </cell>
          <cell r="I37">
            <v>-1867</v>
          </cell>
          <cell r="J37">
            <v>-400</v>
          </cell>
          <cell r="K37">
            <v>-15630</v>
          </cell>
        </row>
        <row r="38">
          <cell r="B38" t="str">
            <v>1. Particip. No Controladora</v>
          </cell>
          <cell r="C38">
            <v>-2823</v>
          </cell>
          <cell r="D38">
            <v>-1227</v>
          </cell>
          <cell r="E38">
            <v>-809</v>
          </cell>
          <cell r="F38">
            <v>-907</v>
          </cell>
          <cell r="G38">
            <v>-4857</v>
          </cell>
          <cell r="H38">
            <v>-2740</v>
          </cell>
          <cell r="I38">
            <v>-1867</v>
          </cell>
          <cell r="J38">
            <v>-400</v>
          </cell>
          <cell r="K38">
            <v>-15630</v>
          </cell>
        </row>
        <row r="39">
          <cell r="B39" t="str">
            <v>estres CONS</v>
          </cell>
          <cell r="C39">
            <v>13265988313</v>
          </cell>
          <cell r="D39">
            <v>92622187</v>
          </cell>
          <cell r="E39">
            <v>9486930902</v>
          </cell>
          <cell r="F39">
            <v>-3190387154</v>
          </cell>
          <cell r="G39">
            <v>11418242015</v>
          </cell>
          <cell r="H39">
            <v>8763698731</v>
          </cell>
          <cell r="I39">
            <v>-302899657</v>
          </cell>
          <cell r="J39">
            <v>9777186270</v>
          </cell>
          <cell r="K39">
            <v>49311381607</v>
          </cell>
        </row>
      </sheetData>
      <sheetData sheetId="3"/>
      <sheetData sheetId="4">
        <row r="1">
          <cell r="B1" t="str">
            <v>E.F.E.</v>
          </cell>
          <cell r="C1" t="str">
            <v>EFE</v>
          </cell>
          <cell r="D1" t="str">
            <v>FESUB</v>
          </cell>
          <cell r="E1" t="str">
            <v>TERRA</v>
          </cell>
          <cell r="F1" t="str">
            <v>TMSA</v>
          </cell>
          <cell r="G1" t="str">
            <v>MERVAL</v>
          </cell>
          <cell r="H1" t="str">
            <v>INVIA</v>
          </cell>
          <cell r="I1" t="str">
            <v>FCALP</v>
          </cell>
          <cell r="J1" t="str">
            <v>ITF</v>
          </cell>
          <cell r="K1" t="str">
            <v>Ajustes Cons D</v>
          </cell>
          <cell r="L1" t="str">
            <v>Ajustes Cons H</v>
          </cell>
          <cell r="M1" t="str">
            <v>estres CONS</v>
          </cell>
        </row>
        <row r="2"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</row>
        <row r="3">
          <cell r="B3" t="str">
            <v>FERROCARRILES DEL ESTADO y FILIALES - EBITDA</v>
          </cell>
        </row>
        <row r="5">
          <cell r="B5" t="str">
            <v>Año</v>
          </cell>
          <cell r="C5">
            <v>2011</v>
          </cell>
        </row>
        <row r="6">
          <cell r="B6" t="str">
            <v>Mes</v>
          </cell>
          <cell r="C6" t="str">
            <v>(Varios elementos)</v>
          </cell>
        </row>
        <row r="7">
          <cell r="B7" t="str">
            <v>Clasificación estados</v>
          </cell>
          <cell r="C7" t="str">
            <v>Est. Resultado</v>
          </cell>
        </row>
        <row r="8">
          <cell r="B8" t="str">
            <v>Resultado Neto</v>
          </cell>
          <cell r="C8">
            <v>71553107923</v>
          </cell>
          <cell r="D8">
            <v>2100477090</v>
          </cell>
          <cell r="E8">
            <v>3121616870</v>
          </cell>
          <cell r="F8">
            <v>1380179870</v>
          </cell>
          <cell r="G8">
            <v>2314645460</v>
          </cell>
          <cell r="H8">
            <v>-610489031</v>
          </cell>
          <cell r="I8">
            <v>2459551</v>
          </cell>
          <cell r="J8">
            <v>1898390</v>
          </cell>
          <cell r="K8">
            <v>8393781968</v>
          </cell>
          <cell r="L8">
            <v>-16704570168</v>
          </cell>
          <cell r="M8">
            <v>71553107923</v>
          </cell>
        </row>
        <row r="9">
          <cell r="B9" t="str">
            <v xml:space="preserve"> </v>
          </cell>
          <cell r="C9" t="str">
            <v xml:space="preserve"> </v>
          </cell>
        </row>
        <row r="10">
          <cell r="B10" t="str">
            <v>Conceptos</v>
          </cell>
          <cell r="C10" t="str">
            <v>EFE</v>
          </cell>
          <cell r="D10" t="str">
            <v>FESUB</v>
          </cell>
          <cell r="E10" t="str">
            <v>TERRA</v>
          </cell>
          <cell r="F10" t="str">
            <v>TMSA</v>
          </cell>
          <cell r="G10" t="str">
            <v>MERVAL</v>
          </cell>
          <cell r="H10" t="str">
            <v>INVIA</v>
          </cell>
          <cell r="I10" t="str">
            <v>FCALP</v>
          </cell>
          <cell r="J10" t="str">
            <v>ITF</v>
          </cell>
          <cell r="K10" t="str">
            <v>Ajustes Cons D</v>
          </cell>
          <cell r="L10" t="str">
            <v>Ajustes Cons H</v>
          </cell>
          <cell r="M10" t="str">
            <v>estres CONS</v>
          </cell>
        </row>
        <row r="11">
          <cell r="B11" t="str">
            <v>(GANANCIA) PÉRDIDA NETA</v>
          </cell>
          <cell r="C11">
            <v>57622169807</v>
          </cell>
          <cell r="D11">
            <v>1769051737</v>
          </cell>
          <cell r="E11">
            <v>2718785019</v>
          </cell>
          <cell r="F11">
            <v>687721401</v>
          </cell>
          <cell r="G11">
            <v>349714151</v>
          </cell>
          <cell r="H11">
            <v>-616751968</v>
          </cell>
          <cell r="I11">
            <v>2459551</v>
          </cell>
          <cell r="J11">
            <v>1898390</v>
          </cell>
          <cell r="K11">
            <v>8393781968</v>
          </cell>
          <cell r="L11">
            <v>-16704570168</v>
          </cell>
          <cell r="M11">
            <v>54224259888</v>
          </cell>
        </row>
        <row r="12">
          <cell r="B12" t="str">
            <v>EBITDA</v>
          </cell>
          <cell r="C12">
            <v>11920715001</v>
          </cell>
          <cell r="D12">
            <v>1689046751</v>
          </cell>
          <cell r="E12">
            <v>2773296638</v>
          </cell>
          <cell r="F12">
            <v>763789223</v>
          </cell>
          <cell r="G12">
            <v>536258409</v>
          </cell>
          <cell r="H12">
            <v>-418833307</v>
          </cell>
          <cell r="I12">
            <v>2469281</v>
          </cell>
          <cell r="J12">
            <v>1979591</v>
          </cell>
          <cell r="K12">
            <v>7126727611</v>
          </cell>
          <cell r="L12">
            <v>-7126727611</v>
          </cell>
          <cell r="M12">
            <v>17268721587</v>
          </cell>
        </row>
        <row r="13">
          <cell r="B13" t="str">
            <v>I. Ingresos</v>
          </cell>
          <cell r="C13">
            <v>-14865915961</v>
          </cell>
          <cell r="D13">
            <v>-791878221</v>
          </cell>
          <cell r="E13">
            <v>-1921286453</v>
          </cell>
          <cell r="F13">
            <v>-4305002072</v>
          </cell>
          <cell r="G13">
            <v>-6237331566</v>
          </cell>
          <cell r="H13">
            <v>-912140238</v>
          </cell>
          <cell r="K13">
            <v>7126727611</v>
          </cell>
          <cell r="M13">
            <v>-21906826900</v>
          </cell>
        </row>
        <row r="14">
          <cell r="B14" t="str">
            <v>1. Pasajeros</v>
          </cell>
          <cell r="C14">
            <v>0</v>
          </cell>
          <cell r="D14">
            <v>-786714839</v>
          </cell>
          <cell r="E14">
            <v>-1915417094</v>
          </cell>
          <cell r="F14">
            <v>-4274745034</v>
          </cell>
          <cell r="G14">
            <v>-6098074988</v>
          </cell>
          <cell r="M14">
            <v>-13074951955</v>
          </cell>
        </row>
        <row r="15">
          <cell r="B15" t="str">
            <v>2. Operadores</v>
          </cell>
          <cell r="C15">
            <v>-6866112690</v>
          </cell>
          <cell r="K15">
            <v>698661529</v>
          </cell>
          <cell r="M15">
            <v>-6167451161</v>
          </cell>
        </row>
        <row r="16">
          <cell r="B16" t="str">
            <v>3. Inmobiliarios</v>
          </cell>
          <cell r="C16">
            <v>-1182500908</v>
          </cell>
          <cell r="D16">
            <v>0</v>
          </cell>
          <cell r="E16">
            <v>-6310295</v>
          </cell>
          <cell r="F16">
            <v>-30257038</v>
          </cell>
          <cell r="G16">
            <v>-139256578</v>
          </cell>
          <cell r="H16">
            <v>-912140238</v>
          </cell>
          <cell r="M16">
            <v>-2270465057</v>
          </cell>
        </row>
        <row r="17">
          <cell r="B17" t="str">
            <v>4. Otros servicios</v>
          </cell>
          <cell r="C17">
            <v>-389236281</v>
          </cell>
          <cell r="D17">
            <v>-5163382</v>
          </cell>
          <cell r="E17">
            <v>440936</v>
          </cell>
          <cell r="M17">
            <v>-393958727</v>
          </cell>
        </row>
        <row r="18">
          <cell r="B18" t="str">
            <v>5. Ing. por cobros a Filiales</v>
          </cell>
          <cell r="C18">
            <v>-6428066082</v>
          </cell>
          <cell r="F18">
            <v>0</v>
          </cell>
          <cell r="K18">
            <v>6428066082</v>
          </cell>
          <cell r="M18">
            <v>0</v>
          </cell>
        </row>
        <row r="19">
          <cell r="B19" t="str">
            <v>II. Costo de Explotación</v>
          </cell>
          <cell r="C19">
            <v>20418072348</v>
          </cell>
          <cell r="D19">
            <v>1891500951</v>
          </cell>
          <cell r="E19">
            <v>3676808825</v>
          </cell>
          <cell r="F19">
            <v>4401060516</v>
          </cell>
          <cell r="G19">
            <v>5278476892</v>
          </cell>
          <cell r="H19">
            <v>167281401</v>
          </cell>
          <cell r="L19">
            <v>-6894202036</v>
          </cell>
          <cell r="M19">
            <v>28938998897</v>
          </cell>
        </row>
        <row r="20">
          <cell r="B20" t="str">
            <v>1. Personal Explotación</v>
          </cell>
          <cell r="C20">
            <v>5104176319</v>
          </cell>
          <cell r="D20">
            <v>518617521</v>
          </cell>
          <cell r="E20">
            <v>694795514</v>
          </cell>
          <cell r="F20">
            <v>645331390</v>
          </cell>
          <cell r="G20">
            <v>744877919</v>
          </cell>
          <cell r="M20">
            <v>7707798663</v>
          </cell>
        </row>
        <row r="21">
          <cell r="B21" t="str">
            <v>2. Bienes y servicios Expl.</v>
          </cell>
          <cell r="C21">
            <v>15313896029</v>
          </cell>
          <cell r="D21">
            <v>1372883430</v>
          </cell>
          <cell r="E21">
            <v>2982013311</v>
          </cell>
          <cell r="F21">
            <v>3755729126</v>
          </cell>
          <cell r="G21">
            <v>4533598973</v>
          </cell>
          <cell r="H21">
            <v>167281401</v>
          </cell>
          <cell r="L21">
            <v>-6894202036</v>
          </cell>
          <cell r="M21">
            <v>21231200234</v>
          </cell>
        </row>
        <row r="22">
          <cell r="B22" t="str">
            <v>III. Gasto Administración</v>
          </cell>
          <cell r="C22">
            <v>6368558614</v>
          </cell>
          <cell r="D22">
            <v>589424021</v>
          </cell>
          <cell r="E22">
            <v>1017774266</v>
          </cell>
          <cell r="F22">
            <v>667730779</v>
          </cell>
          <cell r="G22">
            <v>1495113083</v>
          </cell>
          <cell r="H22">
            <v>326025530</v>
          </cell>
          <cell r="I22">
            <v>2469281</v>
          </cell>
          <cell r="J22">
            <v>1979591</v>
          </cell>
          <cell r="L22">
            <v>-232525575</v>
          </cell>
          <cell r="M22">
            <v>10236549590</v>
          </cell>
        </row>
        <row r="23">
          <cell r="B23" t="str">
            <v>1. Personal Administrativo</v>
          </cell>
          <cell r="C23">
            <v>3135731584</v>
          </cell>
          <cell r="D23">
            <v>257935983</v>
          </cell>
          <cell r="E23">
            <v>465198306</v>
          </cell>
          <cell r="F23">
            <v>345707253</v>
          </cell>
          <cell r="G23">
            <v>644508646</v>
          </cell>
          <cell r="H23">
            <v>120487776</v>
          </cell>
          <cell r="M23">
            <v>4969569548</v>
          </cell>
        </row>
        <row r="24">
          <cell r="B24" t="str">
            <v>2. Bienes y servicios Adm.</v>
          </cell>
          <cell r="C24">
            <v>3232827030</v>
          </cell>
          <cell r="D24">
            <v>331488038</v>
          </cell>
          <cell r="E24">
            <v>552575960</v>
          </cell>
          <cell r="F24">
            <v>322023526</v>
          </cell>
          <cell r="G24">
            <v>850604437</v>
          </cell>
          <cell r="H24">
            <v>205537754</v>
          </cell>
          <cell r="I24">
            <v>2469281</v>
          </cell>
          <cell r="J24">
            <v>1979591</v>
          </cell>
          <cell r="L24">
            <v>-232525575</v>
          </cell>
          <cell r="M24">
            <v>5266980042</v>
          </cell>
        </row>
        <row r="25">
          <cell r="B25" t="str">
            <v>IV. Depreciación</v>
          </cell>
          <cell r="C25">
            <v>13930938116</v>
          </cell>
          <cell r="D25">
            <v>331425353</v>
          </cell>
          <cell r="E25">
            <v>402831851</v>
          </cell>
          <cell r="F25">
            <v>692458469</v>
          </cell>
          <cell r="G25">
            <v>1964931309</v>
          </cell>
          <cell r="H25">
            <v>6262937</v>
          </cell>
          <cell r="M25">
            <v>17328848035</v>
          </cell>
        </row>
        <row r="26">
          <cell r="B26" t="str">
            <v>V. Ajustes EBITDA</v>
          </cell>
          <cell r="C26">
            <v>-13930938116</v>
          </cell>
          <cell r="D26">
            <v>-331425353</v>
          </cell>
          <cell r="E26">
            <v>-402831851</v>
          </cell>
          <cell r="F26">
            <v>-692458469</v>
          </cell>
          <cell r="G26">
            <v>-1964931309</v>
          </cell>
          <cell r="H26">
            <v>-6262937</v>
          </cell>
          <cell r="I26">
            <v>0</v>
          </cell>
          <cell r="J26">
            <v>0</v>
          </cell>
          <cell r="M26">
            <v>-17328848035</v>
          </cell>
        </row>
        <row r="27">
          <cell r="B27" t="str">
            <v>NO OPER</v>
          </cell>
          <cell r="C27">
            <v>45701454806</v>
          </cell>
          <cell r="D27">
            <v>80004986</v>
          </cell>
          <cell r="E27">
            <v>-54511619</v>
          </cell>
          <cell r="F27">
            <v>-76067822</v>
          </cell>
          <cell r="G27">
            <v>-186544258</v>
          </cell>
          <cell r="H27">
            <v>-197918661</v>
          </cell>
          <cell r="I27">
            <v>-9730</v>
          </cell>
          <cell r="J27">
            <v>-81201</v>
          </cell>
          <cell r="K27">
            <v>1267054357</v>
          </cell>
          <cell r="L27">
            <v>-9577842557</v>
          </cell>
          <cell r="M27">
            <v>36955538301</v>
          </cell>
        </row>
        <row r="28">
          <cell r="B28" t="str">
            <v>I. Ganancia / Pérdida No Oper.</v>
          </cell>
          <cell r="C28">
            <v>45701454806</v>
          </cell>
          <cell r="D28">
            <v>78708080</v>
          </cell>
          <cell r="E28">
            <v>-54511619</v>
          </cell>
          <cell r="F28">
            <v>-76067822</v>
          </cell>
          <cell r="G28">
            <v>-186544258</v>
          </cell>
          <cell r="H28">
            <v>-246477072</v>
          </cell>
          <cell r="I28">
            <v>-9730</v>
          </cell>
          <cell r="J28">
            <v>-81201</v>
          </cell>
          <cell r="K28">
            <v>1267051179</v>
          </cell>
          <cell r="L28">
            <v>-9577823749</v>
          </cell>
          <cell r="M28">
            <v>36905698614</v>
          </cell>
        </row>
        <row r="29">
          <cell r="B29" t="str">
            <v>1. Ingresos No Oper.</v>
          </cell>
          <cell r="C29">
            <v>-2861750017</v>
          </cell>
          <cell r="D29">
            <v>-8972812</v>
          </cell>
          <cell r="E29">
            <v>-82377336</v>
          </cell>
          <cell r="F29">
            <v>-83558913</v>
          </cell>
          <cell r="G29">
            <v>-55650457</v>
          </cell>
          <cell r="H29">
            <v>-247627644</v>
          </cell>
          <cell r="K29">
            <v>656565326</v>
          </cell>
          <cell r="M29">
            <v>-2683371853</v>
          </cell>
        </row>
        <row r="30">
          <cell r="B30" t="str">
            <v>2. Empresas Relacionadas</v>
          </cell>
          <cell r="C30">
            <v>7693811904</v>
          </cell>
          <cell r="E30">
            <v>0</v>
          </cell>
          <cell r="K30">
            <v>610485853</v>
          </cell>
          <cell r="L30">
            <v>-8921258423</v>
          </cell>
          <cell r="M30">
            <v>-616960666</v>
          </cell>
        </row>
        <row r="31">
          <cell r="B31" t="str">
            <v>3. Gastos Financieros</v>
          </cell>
          <cell r="C31">
            <v>28621281655</v>
          </cell>
          <cell r="D31">
            <v>87605807</v>
          </cell>
          <cell r="E31">
            <v>1330480</v>
          </cell>
          <cell r="F31">
            <v>1422671</v>
          </cell>
          <cell r="G31">
            <v>324608519</v>
          </cell>
          <cell r="L31">
            <v>-656565326</v>
          </cell>
          <cell r="M31">
            <v>28379683806</v>
          </cell>
        </row>
        <row r="32">
          <cell r="B32" t="str">
            <v>4. Egresos No Oper.</v>
          </cell>
          <cell r="C32">
            <v>935041479</v>
          </cell>
          <cell r="D32">
            <v>133404</v>
          </cell>
          <cell r="E32">
            <v>26567241</v>
          </cell>
          <cell r="F32">
            <v>5921502</v>
          </cell>
          <cell r="G32">
            <v>149103654</v>
          </cell>
          <cell r="H32">
            <v>1150572</v>
          </cell>
          <cell r="I32">
            <v>-9730</v>
          </cell>
          <cell r="J32">
            <v>-81201</v>
          </cell>
          <cell r="M32">
            <v>1117826921</v>
          </cell>
        </row>
        <row r="33">
          <cell r="B33" t="str">
            <v>6. Unidad de Reajuste</v>
          </cell>
          <cell r="C33">
            <v>14188268857</v>
          </cell>
          <cell r="D33">
            <v>0</v>
          </cell>
          <cell r="E33">
            <v>-25960</v>
          </cell>
          <cell r="F33">
            <v>0</v>
          </cell>
          <cell r="G33">
            <v>-3128579</v>
          </cell>
          <cell r="H33">
            <v>0</v>
          </cell>
          <cell r="M33">
            <v>14185114318</v>
          </cell>
        </row>
        <row r="34">
          <cell r="B34" t="str">
            <v>7. Diferencias de Cambio</v>
          </cell>
          <cell r="C34">
            <v>-2875199072</v>
          </cell>
          <cell r="D34">
            <v>-58319</v>
          </cell>
          <cell r="E34">
            <v>-6044</v>
          </cell>
          <cell r="F34">
            <v>146918</v>
          </cell>
          <cell r="G34">
            <v>-601477395</v>
          </cell>
          <cell r="M34">
            <v>-3476593912</v>
          </cell>
        </row>
        <row r="35">
          <cell r="B35" t="str">
            <v>II. Impuestos</v>
          </cell>
          <cell r="C35">
            <v>0</v>
          </cell>
          <cell r="D35">
            <v>1296906</v>
          </cell>
          <cell r="H35">
            <v>48558411</v>
          </cell>
          <cell r="M35">
            <v>49855317</v>
          </cell>
        </row>
        <row r="36">
          <cell r="B36" t="str">
            <v>1. Impuesto a la Renta</v>
          </cell>
          <cell r="C36">
            <v>0</v>
          </cell>
          <cell r="D36">
            <v>1296906</v>
          </cell>
          <cell r="H36">
            <v>48558411</v>
          </cell>
          <cell r="M36">
            <v>49855317</v>
          </cell>
        </row>
        <row r="37">
          <cell r="B37" t="str">
            <v>III. Interés Minoritario</v>
          </cell>
          <cell r="C37">
            <v>0</v>
          </cell>
          <cell r="K37">
            <v>3178</v>
          </cell>
          <cell r="L37">
            <v>-18808</v>
          </cell>
          <cell r="M37">
            <v>-15630</v>
          </cell>
        </row>
        <row r="38">
          <cell r="B38" t="str">
            <v>1. Particip. No Controladora</v>
          </cell>
          <cell r="C38">
            <v>0</v>
          </cell>
          <cell r="K38">
            <v>3178</v>
          </cell>
          <cell r="L38">
            <v>-18808</v>
          </cell>
          <cell r="M38">
            <v>-15630</v>
          </cell>
        </row>
        <row r="39">
          <cell r="B39" t="str">
            <v>estres CONS</v>
          </cell>
          <cell r="C39">
            <v>57622169807</v>
          </cell>
          <cell r="D39">
            <v>1769051737</v>
          </cell>
          <cell r="E39">
            <v>2718785019</v>
          </cell>
          <cell r="F39">
            <v>687721401</v>
          </cell>
          <cell r="G39">
            <v>349714151</v>
          </cell>
          <cell r="H39">
            <v>-616751968</v>
          </cell>
          <cell r="I39">
            <v>2459551</v>
          </cell>
          <cell r="J39">
            <v>1898390</v>
          </cell>
          <cell r="K39">
            <v>8393781968</v>
          </cell>
          <cell r="L39">
            <v>-16704570168</v>
          </cell>
          <cell r="M39">
            <v>54224259888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E.F.E.</v>
          </cell>
        </row>
      </sheetData>
      <sheetData sheetId="12">
        <row r="1">
          <cell r="B1" t="str">
            <v>E.F.E.</v>
          </cell>
          <cell r="BB1" t="str">
            <v>E.F.E.</v>
          </cell>
          <cell r="BC1" t="str">
            <v>EFE</v>
          </cell>
          <cell r="BD1" t="str">
            <v>FESUB</v>
          </cell>
          <cell r="BE1" t="str">
            <v>TERRA</v>
          </cell>
          <cell r="BF1" t="str">
            <v>TMSA</v>
          </cell>
          <cell r="BG1" t="str">
            <v>MERVAL</v>
          </cell>
          <cell r="BH1" t="str">
            <v>INVIA</v>
          </cell>
          <cell r="BI1" t="str">
            <v>FCALP</v>
          </cell>
          <cell r="BJ1" t="str">
            <v>ITF</v>
          </cell>
          <cell r="BK1" t="str">
            <v>Aj. CONS H</v>
          </cell>
          <cell r="BL1" t="str">
            <v>Aj. CONS D</v>
          </cell>
          <cell r="BM1" t="str">
            <v>(Ganancia) pérdida</v>
          </cell>
        </row>
        <row r="2">
          <cell r="BC2">
            <v>2</v>
          </cell>
          <cell r="BD2">
            <v>3</v>
          </cell>
          <cell r="BE2">
            <v>4</v>
          </cell>
          <cell r="BF2">
            <v>5</v>
          </cell>
          <cell r="BG2">
            <v>6</v>
          </cell>
          <cell r="BH2">
            <v>7</v>
          </cell>
          <cell r="BI2">
            <v>8</v>
          </cell>
          <cell r="BJ2">
            <v>9</v>
          </cell>
          <cell r="BK2">
            <v>10</v>
          </cell>
          <cell r="BL2">
            <v>11</v>
          </cell>
          <cell r="BM2">
            <v>12</v>
          </cell>
        </row>
        <row r="3">
          <cell r="BB3" t="str">
            <v>FERROCARRILES DEL ESTADO y FILIALES</v>
          </cell>
        </row>
        <row r="5">
          <cell r="BB5" t="str">
            <v>Año</v>
          </cell>
          <cell r="BC5">
            <v>2010</v>
          </cell>
        </row>
        <row r="6">
          <cell r="BB6" t="str">
            <v>Mes</v>
          </cell>
          <cell r="BC6" t="str">
            <v>(Varios elementos)</v>
          </cell>
        </row>
        <row r="7">
          <cell r="BB7" t="str">
            <v>Clasificación estados</v>
          </cell>
          <cell r="BC7" t="str">
            <v>Est. Resultado</v>
          </cell>
        </row>
        <row r="8"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B9" t="str">
            <v xml:space="preserve"> </v>
          </cell>
          <cell r="BC9" t="str">
            <v xml:space="preserve"> </v>
          </cell>
        </row>
        <row r="10">
          <cell r="BB10" t="str">
            <v>Conceptos</v>
          </cell>
          <cell r="BC10" t="str">
            <v>EFE</v>
          </cell>
          <cell r="BD10" t="str">
            <v>FESUB</v>
          </cell>
          <cell r="BE10" t="str">
            <v>TERRA</v>
          </cell>
          <cell r="BF10" t="str">
            <v>TMSA</v>
          </cell>
          <cell r="BG10" t="str">
            <v>MERVAL</v>
          </cell>
          <cell r="BH10" t="str">
            <v>INVIA</v>
          </cell>
          <cell r="BI10" t="str">
            <v>FCALP</v>
          </cell>
          <cell r="BJ10" t="str">
            <v>ITF</v>
          </cell>
          <cell r="BK10" t="str">
            <v>Aj. CONS H</v>
          </cell>
          <cell r="BL10" t="str">
            <v>Aj. CONS D</v>
          </cell>
          <cell r="BM10" t="str">
            <v>(Ganancia) pérdida</v>
          </cell>
        </row>
        <row r="11">
          <cell r="BB11" t="str">
            <v>I. (Ganancia) pérdida, antes de impuestos</v>
          </cell>
          <cell r="BC11">
            <v>133560815292</v>
          </cell>
          <cell r="BD11">
            <v>1690445002</v>
          </cell>
          <cell r="BE11">
            <v>2261180830</v>
          </cell>
          <cell r="BF11">
            <v>1871073043</v>
          </cell>
          <cell r="BG11">
            <v>4834155240</v>
          </cell>
          <cell r="BH11">
            <v>39850604</v>
          </cell>
          <cell r="BI11">
            <v>282947</v>
          </cell>
          <cell r="BJ11">
            <v>237860</v>
          </cell>
          <cell r="BK11">
            <v>-19939411652</v>
          </cell>
          <cell r="BL11">
            <v>9200145882</v>
          </cell>
          <cell r="BM11">
            <v>133518775048</v>
          </cell>
        </row>
        <row r="12">
          <cell r="BB12" t="str">
            <v>a. Ganancia bruta</v>
          </cell>
          <cell r="BC12">
            <v>17035778892</v>
          </cell>
          <cell r="BD12">
            <v>1230395570</v>
          </cell>
          <cell r="BE12">
            <v>1374891456</v>
          </cell>
          <cell r="BF12">
            <v>1182291227</v>
          </cell>
          <cell r="BG12">
            <v>1826849845</v>
          </cell>
          <cell r="BH12">
            <v>-61541264</v>
          </cell>
          <cell r="BK12">
            <v>-6264688502</v>
          </cell>
          <cell r="BL12">
            <v>6333128104</v>
          </cell>
          <cell r="BM12">
            <v>22657105328</v>
          </cell>
        </row>
        <row r="13">
          <cell r="BB13" t="str">
            <v>1. Ingresos de actividades ordinarias</v>
          </cell>
          <cell r="BC13">
            <v>-11621079073</v>
          </cell>
          <cell r="BD13">
            <v>-386286704</v>
          </cell>
          <cell r="BE13">
            <v>-1446855677</v>
          </cell>
          <cell r="BF13">
            <v>-3018605622</v>
          </cell>
          <cell r="BG13">
            <v>-3860865498</v>
          </cell>
          <cell r="BH13">
            <v>-172874922</v>
          </cell>
          <cell r="BK13">
            <v>-452849803</v>
          </cell>
          <cell r="BL13">
            <v>5871846592</v>
          </cell>
          <cell r="BM13">
            <v>-15087570707</v>
          </cell>
        </row>
        <row r="14">
          <cell r="BB14" t="str">
            <v>1. Pasajes Cercanias</v>
          </cell>
          <cell r="BC14">
            <v>0</v>
          </cell>
          <cell r="BE14">
            <v>0</v>
          </cell>
          <cell r="BF14">
            <v>-2850714314</v>
          </cell>
          <cell r="BG14">
            <v>-3116384006</v>
          </cell>
          <cell r="BM14">
            <v>-5967098320</v>
          </cell>
        </row>
        <row r="15">
          <cell r="BB15" t="str">
            <v>2. Pasajes Largo Recorrido</v>
          </cell>
          <cell r="BC15">
            <v>-156783</v>
          </cell>
          <cell r="BE15">
            <v>-1348028026</v>
          </cell>
          <cell r="BM15">
            <v>-1348184809</v>
          </cell>
        </row>
        <row r="16">
          <cell r="BB16" t="str">
            <v>3. Pasajes Regionales</v>
          </cell>
          <cell r="BD16">
            <v>-386286704</v>
          </cell>
          <cell r="BM16">
            <v>-386286704</v>
          </cell>
        </row>
        <row r="17">
          <cell r="BB17" t="str">
            <v>4. Ingresos Operadores</v>
          </cell>
          <cell r="BC17">
            <v>-4590585256</v>
          </cell>
          <cell r="BL17">
            <v>564973959</v>
          </cell>
          <cell r="BM17">
            <v>-4025611297</v>
          </cell>
        </row>
        <row r="18">
          <cell r="BB18" t="str">
            <v>5. Ingresos Atraviesos</v>
          </cell>
          <cell r="BC18">
            <v>-737319958</v>
          </cell>
          <cell r="BF18">
            <v>0</v>
          </cell>
          <cell r="BM18">
            <v>-737319958</v>
          </cell>
        </row>
        <row r="19">
          <cell r="BB19" t="str">
            <v>6. Ingresos Inmobiliarios</v>
          </cell>
          <cell r="BC19">
            <v>-810852033</v>
          </cell>
          <cell r="BD19">
            <v>0</v>
          </cell>
          <cell r="BE19">
            <v>1882</v>
          </cell>
          <cell r="BF19">
            <v>-19846138</v>
          </cell>
          <cell r="BG19">
            <v>-129543622</v>
          </cell>
          <cell r="BH19">
            <v>-172874922</v>
          </cell>
          <cell r="BM19">
            <v>-1133114833</v>
          </cell>
        </row>
        <row r="20">
          <cell r="BB20" t="str">
            <v>7. Venta de Servicios y Otros</v>
          </cell>
          <cell r="BC20">
            <v>-628142213</v>
          </cell>
          <cell r="BD20">
            <v>0</v>
          </cell>
          <cell r="BE20">
            <v>-3639337</v>
          </cell>
          <cell r="BM20">
            <v>-631781550</v>
          </cell>
        </row>
        <row r="21">
          <cell r="BB21" t="str">
            <v>8. Transferencias Sector Público</v>
          </cell>
          <cell r="BC21">
            <v>0</v>
          </cell>
          <cell r="BE21">
            <v>-95190196</v>
          </cell>
          <cell r="BF21">
            <v>-148045170</v>
          </cell>
          <cell r="BG21">
            <v>-614937870</v>
          </cell>
          <cell r="BM21">
            <v>-858173236</v>
          </cell>
        </row>
        <row r="22">
          <cell r="BB22" t="str">
            <v>3141100000  Sub Ramal Talca-Conc</v>
          </cell>
          <cell r="BC22">
            <v>0</v>
          </cell>
          <cell r="BE22">
            <v>-95190196</v>
          </cell>
          <cell r="BM22">
            <v>-95190196</v>
          </cell>
        </row>
        <row r="23">
          <cell r="BB23" t="str">
            <v>3-1-02-01-01  Ingresos Por Subsidio Al Transporte</v>
          </cell>
          <cell r="BG23">
            <v>-614937870</v>
          </cell>
          <cell r="BM23">
            <v>-614937870</v>
          </cell>
        </row>
        <row r="24">
          <cell r="BB24" t="str">
            <v>3142100000  Subsidio Ministerio Transporte</v>
          </cell>
          <cell r="BF24">
            <v>-148045170</v>
          </cell>
          <cell r="BM24">
            <v>-148045170</v>
          </cell>
        </row>
        <row r="25">
          <cell r="BB25" t="str">
            <v>9. Ing Rec Filial Explotación</v>
          </cell>
          <cell r="BC25">
            <v>-4697517721</v>
          </cell>
          <cell r="BF25">
            <v>0</v>
          </cell>
          <cell r="BK25">
            <v>-449089344</v>
          </cell>
          <cell r="BL25">
            <v>5146607065</v>
          </cell>
          <cell r="BM25">
            <v>0</v>
          </cell>
        </row>
        <row r="26">
          <cell r="BB26" t="str">
            <v>10. Ing Rec Filial Administración</v>
          </cell>
          <cell r="BC26">
            <v>-156505109</v>
          </cell>
          <cell r="BK26">
            <v>-3760459</v>
          </cell>
          <cell r="BL26">
            <v>160265568</v>
          </cell>
          <cell r="BM26">
            <v>0</v>
          </cell>
        </row>
        <row r="27">
          <cell r="BB27" t="str">
            <v>2. Costo de ventas</v>
          </cell>
          <cell r="BC27">
            <v>28656857965</v>
          </cell>
          <cell r="BD27">
            <v>1616682274</v>
          </cell>
          <cell r="BE27">
            <v>2821747133</v>
          </cell>
          <cell r="BF27">
            <v>4200896849</v>
          </cell>
          <cell r="BG27">
            <v>5687715343</v>
          </cell>
          <cell r="BH27">
            <v>111333658</v>
          </cell>
          <cell r="BK27">
            <v>-5811838699</v>
          </cell>
          <cell r="BL27">
            <v>461281512</v>
          </cell>
          <cell r="BM27">
            <v>37744676035</v>
          </cell>
        </row>
        <row r="28">
          <cell r="BB28" t="str">
            <v>b. (Ganancia) pérdida</v>
          </cell>
          <cell r="BC28">
            <v>116525036400</v>
          </cell>
          <cell r="BD28">
            <v>460049432</v>
          </cell>
          <cell r="BE28">
            <v>886289374</v>
          </cell>
          <cell r="BF28">
            <v>688781816</v>
          </cell>
          <cell r="BG28">
            <v>3007305395</v>
          </cell>
          <cell r="BH28">
            <v>101391868</v>
          </cell>
          <cell r="BI28">
            <v>282947</v>
          </cell>
          <cell r="BJ28">
            <v>237860</v>
          </cell>
          <cell r="BK28">
            <v>-13674723150</v>
          </cell>
          <cell r="BL28">
            <v>2867017778</v>
          </cell>
          <cell r="BM28">
            <v>110861669720</v>
          </cell>
        </row>
        <row r="29">
          <cell r="BB29" t="str">
            <v>1. Ganancias que surgen de la baja en cuentas de activos financieros medidos al costo amortizado</v>
          </cell>
          <cell r="BC29">
            <v>-85295364</v>
          </cell>
          <cell r="BM29">
            <v>-85295364</v>
          </cell>
        </row>
        <row r="30">
          <cell r="BB30" t="str">
            <v>2. Pérdidas que surgen de la baja en cuentas de activos financieros medidos al costo amortizado</v>
          </cell>
          <cell r="BC30">
            <v>1850996</v>
          </cell>
          <cell r="BM30">
            <v>1850996</v>
          </cell>
        </row>
        <row r="31">
          <cell r="BB31" t="str">
            <v>5. Gasto de administración</v>
          </cell>
          <cell r="BC31">
            <v>5260389250</v>
          </cell>
          <cell r="BD31">
            <v>444164317</v>
          </cell>
          <cell r="BE31">
            <v>932899657</v>
          </cell>
          <cell r="BF31">
            <v>691416619</v>
          </cell>
          <cell r="BG31">
            <v>1186986446</v>
          </cell>
          <cell r="BH31">
            <v>161329071</v>
          </cell>
          <cell r="BI31">
            <v>289086</v>
          </cell>
          <cell r="BJ31">
            <v>289086</v>
          </cell>
          <cell r="BK31">
            <v>-167672422</v>
          </cell>
          <cell r="BL31">
            <v>99232820</v>
          </cell>
          <cell r="BM31">
            <v>8609323930</v>
          </cell>
        </row>
        <row r="32">
          <cell r="BB32" t="str">
            <v>7. Otras ganancias (pérdidas)</v>
          </cell>
          <cell r="BC32">
            <v>26337068569</v>
          </cell>
          <cell r="BD32">
            <v>5977982</v>
          </cell>
          <cell r="BE32">
            <v>-47474610</v>
          </cell>
          <cell r="BF32">
            <v>-3245117</v>
          </cell>
          <cell r="BG32">
            <v>78567643</v>
          </cell>
          <cell r="BH32">
            <v>-56859681</v>
          </cell>
          <cell r="BL32">
            <v>58346749</v>
          </cell>
          <cell r="BM32">
            <v>26372381535</v>
          </cell>
        </row>
        <row r="33">
          <cell r="BB33" t="str">
            <v>8. Ingresos financieros</v>
          </cell>
          <cell r="BC33">
            <v>-413423727</v>
          </cell>
          <cell r="BE33">
            <v>0</v>
          </cell>
          <cell r="BF33">
            <v>-154000</v>
          </cell>
          <cell r="BG33">
            <v>-1319689</v>
          </cell>
          <cell r="BH33">
            <v>-3071224</v>
          </cell>
          <cell r="BL33">
            <v>400322376</v>
          </cell>
          <cell r="BM33">
            <v>-17646264</v>
          </cell>
        </row>
        <row r="34">
          <cell r="BB34" t="str">
            <v>9. Costos financieros</v>
          </cell>
          <cell r="BC34">
            <v>23821181071</v>
          </cell>
          <cell r="BD34">
            <v>9977132</v>
          </cell>
          <cell r="BE34">
            <v>779232</v>
          </cell>
          <cell r="BF34">
            <v>763821</v>
          </cell>
          <cell r="BG34">
            <v>390137440</v>
          </cell>
          <cell r="BK34">
            <v>-458669125</v>
          </cell>
          <cell r="BM34">
            <v>23764169571</v>
          </cell>
        </row>
        <row r="35">
          <cell r="BB35" t="str">
            <v>10. Participación en las ganancias (pérdidas) de asociadas y negocios conjuntos que se contabilicen utilizando el método de la participación</v>
          </cell>
          <cell r="BC35">
            <v>10489625404</v>
          </cell>
          <cell r="BE35">
            <v>0</v>
          </cell>
          <cell r="BK35">
            <v>-13048381603</v>
          </cell>
          <cell r="BL35">
            <v>2309115833</v>
          </cell>
          <cell r="BM35">
            <v>-249640366</v>
          </cell>
        </row>
        <row r="36">
          <cell r="BB36" t="str">
            <v>11. Diferencias de cambio</v>
          </cell>
          <cell r="BC36">
            <v>44944959676</v>
          </cell>
          <cell r="BD36">
            <v>-69999</v>
          </cell>
          <cell r="BE36">
            <v>85095</v>
          </cell>
          <cell r="BF36">
            <v>493</v>
          </cell>
          <cell r="BG36">
            <v>1353456500</v>
          </cell>
          <cell r="BM36">
            <v>46298431765</v>
          </cell>
        </row>
        <row r="37">
          <cell r="BB37" t="str">
            <v>12. Resultados por unidades de reajuste</v>
          </cell>
          <cell r="BC37">
            <v>6206393189</v>
          </cell>
          <cell r="BE37">
            <v>0</v>
          </cell>
          <cell r="BF37">
            <v>0</v>
          </cell>
          <cell r="BG37">
            <v>-522945</v>
          </cell>
          <cell r="BH37">
            <v>-6298</v>
          </cell>
          <cell r="BI37">
            <v>-6139</v>
          </cell>
          <cell r="BJ37">
            <v>-51226</v>
          </cell>
          <cell r="BM37">
            <v>6205806581</v>
          </cell>
        </row>
        <row r="38">
          <cell r="BB38" t="str">
            <v>13. Ganancias (pérdidas) que surgen de la diferencia entre el valor libro anterior y el valor justo de activos financieros reclasificados medidos a valor razonable</v>
          </cell>
          <cell r="BC38">
            <v>-37712664</v>
          </cell>
          <cell r="BM38">
            <v>-37712664</v>
          </cell>
        </row>
        <row r="39">
          <cell r="BB39" t="str">
            <v>II. Gasto por impuestos</v>
          </cell>
          <cell r="BH39">
            <v>-35444362</v>
          </cell>
          <cell r="BM39">
            <v>-35444362</v>
          </cell>
        </row>
        <row r="40">
          <cell r="BB40" t="str">
            <v>c. Impuestos</v>
          </cell>
          <cell r="BH40">
            <v>-35444362</v>
          </cell>
          <cell r="BM40">
            <v>-35444362</v>
          </cell>
        </row>
        <row r="41">
          <cell r="BB41" t="str">
            <v>1. Gasto por impuestos a las ganancias</v>
          </cell>
          <cell r="BH41">
            <v>-35444362</v>
          </cell>
          <cell r="BM41">
            <v>-35444362</v>
          </cell>
        </row>
        <row r="42">
          <cell r="BB42" t="str">
            <v>III. (Ganancia) pérdida, atribuible</v>
          </cell>
          <cell r="BK42">
            <v>-17430</v>
          </cell>
          <cell r="BL42">
            <v>2129</v>
          </cell>
          <cell r="BM42">
            <v>-15301</v>
          </cell>
        </row>
        <row r="43">
          <cell r="BB43" t="str">
            <v>d. (Ganancia) pérdida, atribuible a</v>
          </cell>
          <cell r="BK43">
            <v>-17430</v>
          </cell>
          <cell r="BL43">
            <v>2129</v>
          </cell>
          <cell r="BM43">
            <v>-15301</v>
          </cell>
        </row>
        <row r="44">
          <cell r="BB44" t="str">
            <v>1. Ganancia (pérdida), atribuible a participaciones no controladoras</v>
          </cell>
          <cell r="BK44">
            <v>-17430</v>
          </cell>
          <cell r="BL44">
            <v>2129</v>
          </cell>
          <cell r="BM44">
            <v>-15301</v>
          </cell>
        </row>
        <row r="45">
          <cell r="BB45" t="str">
            <v>(Ganancia) pérdida</v>
          </cell>
          <cell r="BC45">
            <v>133560815292</v>
          </cell>
          <cell r="BD45">
            <v>1690445002</v>
          </cell>
          <cell r="BE45">
            <v>2261180830</v>
          </cell>
          <cell r="BF45">
            <v>1871073043</v>
          </cell>
          <cell r="BG45">
            <v>4834155240</v>
          </cell>
          <cell r="BH45">
            <v>4406242</v>
          </cell>
          <cell r="BI45">
            <v>282947</v>
          </cell>
          <cell r="BJ45">
            <v>237860</v>
          </cell>
          <cell r="BK45">
            <v>-19939429082</v>
          </cell>
          <cell r="BL45">
            <v>9200148011</v>
          </cell>
          <cell r="BM45">
            <v>133483315385</v>
          </cell>
        </row>
      </sheetData>
      <sheetData sheetId="13">
        <row r="1">
          <cell r="C1" t="str">
            <v>I   T</v>
          </cell>
          <cell r="D1" t="str">
            <v>II  T</v>
          </cell>
          <cell r="E1" t="str">
            <v>I   T - IV  T</v>
          </cell>
          <cell r="F1" t="str">
            <v>I   T - II  T</v>
          </cell>
          <cell r="G1">
            <v>0</v>
          </cell>
          <cell r="H1" t="str">
            <v>I   T 2011</v>
          </cell>
          <cell r="I1" t="str">
            <v>II  T 2011</v>
          </cell>
          <cell r="J1" t="str">
            <v>III T 2011</v>
          </cell>
          <cell r="K1" t="str">
            <v>IV  T 2011</v>
          </cell>
          <cell r="L1">
            <v>0</v>
          </cell>
          <cell r="M1" t="str">
            <v>I   T 2010</v>
          </cell>
          <cell r="N1" t="str">
            <v>II  T 2010</v>
          </cell>
          <cell r="O1" t="str">
            <v>III T 2010</v>
          </cell>
          <cell r="P1" t="str">
            <v>IV  T 2010</v>
          </cell>
          <cell r="Q1">
            <v>0</v>
          </cell>
          <cell r="R1">
            <v>2011</v>
          </cell>
          <cell r="S1">
            <v>2010</v>
          </cell>
        </row>
        <row r="2">
          <cell r="B2" t="str">
            <v>EMPRESA DE LOS FERROCARRILES DEL ESTADO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</row>
      </sheetData>
      <sheetData sheetId="14">
        <row r="1">
          <cell r="B1" t="str">
            <v>E.F.E.</v>
          </cell>
          <cell r="C1" t="str">
            <v>III T 2011</v>
          </cell>
          <cell r="D1" t="str">
            <v>II  T 2011</v>
          </cell>
          <cell r="E1" t="str">
            <v>I   T 2011</v>
          </cell>
          <cell r="F1" t="str">
            <v>Aj Cons III T 2011</v>
          </cell>
          <cell r="G1" t="str">
            <v>Aj Cons II  T 2011</v>
          </cell>
          <cell r="H1" t="str">
            <v>Aj Cons I   T 2011</v>
          </cell>
          <cell r="I1" t="str">
            <v>Total 2011</v>
          </cell>
          <cell r="J1" t="str">
            <v>III T 2010</v>
          </cell>
          <cell r="K1" t="str">
            <v>II  T 2010</v>
          </cell>
          <cell r="L1" t="str">
            <v>I   T 2010</v>
          </cell>
          <cell r="M1" t="str">
            <v>Aj Cons III T 2010</v>
          </cell>
          <cell r="N1" t="str">
            <v>Aj Cons II  T 2010</v>
          </cell>
          <cell r="O1" t="str">
            <v>Aj Cons I   T 2010</v>
          </cell>
          <cell r="P1" t="str">
            <v>Total 2010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</row>
        <row r="2"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  <cell r="AO2">
            <v>40</v>
          </cell>
          <cell r="AP2">
            <v>41</v>
          </cell>
          <cell r="AQ2">
            <v>42</v>
          </cell>
          <cell r="AR2">
            <v>43</v>
          </cell>
          <cell r="AS2">
            <v>44</v>
          </cell>
          <cell r="AT2">
            <v>45</v>
          </cell>
          <cell r="AU2">
            <v>46</v>
          </cell>
          <cell r="AV2">
            <v>47</v>
          </cell>
          <cell r="AW2">
            <v>48</v>
          </cell>
          <cell r="AX2">
            <v>49</v>
          </cell>
          <cell r="AY2">
            <v>50</v>
          </cell>
          <cell r="AZ2">
            <v>51</v>
          </cell>
        </row>
        <row r="3">
          <cell r="B3" t="str">
            <v>FERROCARRILES DEL ESTADO y FILIALES</v>
          </cell>
          <cell r="C3" t="str">
            <v>C</v>
          </cell>
          <cell r="D3" t="str">
            <v>D</v>
          </cell>
          <cell r="E3" t="str">
            <v>E</v>
          </cell>
          <cell r="F3" t="str">
            <v>F</v>
          </cell>
          <cell r="G3" t="str">
            <v>G</v>
          </cell>
          <cell r="H3" t="str">
            <v>H</v>
          </cell>
          <cell r="I3" t="str">
            <v>I</v>
          </cell>
          <cell r="J3" t="str">
            <v>J</v>
          </cell>
          <cell r="K3" t="str">
            <v>K</v>
          </cell>
          <cell r="L3" t="str">
            <v>L</v>
          </cell>
          <cell r="M3" t="str">
            <v>M</v>
          </cell>
          <cell r="N3" t="str">
            <v>N</v>
          </cell>
          <cell r="O3" t="str">
            <v>O</v>
          </cell>
          <cell r="P3" t="str">
            <v>P</v>
          </cell>
          <cell r="Q3" t="str">
            <v>Q</v>
          </cell>
          <cell r="R3" t="str">
            <v>R</v>
          </cell>
          <cell r="S3" t="str">
            <v>S</v>
          </cell>
          <cell r="T3" t="str">
            <v>T</v>
          </cell>
          <cell r="U3" t="str">
            <v>U</v>
          </cell>
          <cell r="V3" t="str">
            <v>V</v>
          </cell>
          <cell r="W3" t="str">
            <v>W</v>
          </cell>
          <cell r="X3" t="str">
            <v>X</v>
          </cell>
          <cell r="Y3" t="str">
            <v>Y</v>
          </cell>
          <cell r="Z3" t="str">
            <v>Z</v>
          </cell>
          <cell r="AA3" t="str">
            <v>AA</v>
          </cell>
          <cell r="AB3" t="str">
            <v>AB</v>
          </cell>
          <cell r="AC3" t="str">
            <v>AC</v>
          </cell>
          <cell r="AD3" t="str">
            <v>AD</v>
          </cell>
          <cell r="AE3" t="str">
            <v>AE</v>
          </cell>
          <cell r="AF3" t="str">
            <v>AF</v>
          </cell>
          <cell r="AG3" t="str">
            <v>AG</v>
          </cell>
          <cell r="AH3" t="str">
            <v>AH</v>
          </cell>
          <cell r="AI3" t="str">
            <v>AI</v>
          </cell>
          <cell r="AJ3" t="str">
            <v>AJ</v>
          </cell>
          <cell r="AK3" t="str">
            <v>AK</v>
          </cell>
          <cell r="AL3" t="str">
            <v>AL</v>
          </cell>
          <cell r="AM3" t="str">
            <v>AM</v>
          </cell>
          <cell r="AN3" t="str">
            <v>AN</v>
          </cell>
          <cell r="AO3" t="str">
            <v>AO</v>
          </cell>
          <cell r="AP3" t="str">
            <v>AP</v>
          </cell>
          <cell r="AQ3" t="str">
            <v>AQ</v>
          </cell>
          <cell r="AR3" t="str">
            <v>AR</v>
          </cell>
          <cell r="AS3" t="str">
            <v>AS</v>
          </cell>
          <cell r="AT3" t="str">
            <v>AT</v>
          </cell>
          <cell r="AU3" t="str">
            <v>AU</v>
          </cell>
          <cell r="AV3" t="str">
            <v>AV</v>
          </cell>
          <cell r="AW3" t="str">
            <v>AW</v>
          </cell>
          <cell r="AX3" t="str">
            <v>AX</v>
          </cell>
          <cell r="AY3" t="str">
            <v>AY</v>
          </cell>
          <cell r="AZ3" t="str">
            <v>AZ</v>
          </cell>
        </row>
        <row r="7">
          <cell r="B7" t="str">
            <v>Empresa</v>
          </cell>
          <cell r="C7" t="str">
            <v>(Varios elementos)</v>
          </cell>
        </row>
        <row r="9">
          <cell r="B9" t="str">
            <v>Conceptos</v>
          </cell>
          <cell r="C9" t="str">
            <v xml:space="preserve"> </v>
          </cell>
        </row>
        <row r="10">
          <cell r="C10">
            <v>2011</v>
          </cell>
          <cell r="I10" t="str">
            <v>Total 2011</v>
          </cell>
          <cell r="J10">
            <v>2010</v>
          </cell>
          <cell r="P10" t="str">
            <v>Total 2010</v>
          </cell>
        </row>
        <row r="11">
          <cell r="C11" t="str">
            <v>III T 2011</v>
          </cell>
          <cell r="D11" t="str">
            <v>II  T 2011</v>
          </cell>
          <cell r="E11" t="str">
            <v>I   T 2011</v>
          </cell>
          <cell r="F11" t="str">
            <v>Aj Cons III T 2011</v>
          </cell>
          <cell r="G11" t="str">
            <v>Aj Cons II  T 2011</v>
          </cell>
          <cell r="H11" t="str">
            <v>Aj Cons I   T 2011</v>
          </cell>
          <cell r="J11" t="str">
            <v>III T 2010</v>
          </cell>
          <cell r="K11" t="str">
            <v>II  T 2010</v>
          </cell>
          <cell r="L11" t="str">
            <v>I   T 2010</v>
          </cell>
          <cell r="M11" t="str">
            <v>Aj Cons III T 2010</v>
          </cell>
          <cell r="N11" t="str">
            <v>Aj Cons II  T 2010</v>
          </cell>
          <cell r="O11" t="str">
            <v>Aj Cons I   T 2010</v>
          </cell>
        </row>
        <row r="12">
          <cell r="B12" t="str">
            <v>Conceptos</v>
          </cell>
        </row>
        <row r="13">
          <cell r="B13" t="str">
            <v>I. (Ganancia) pérdida, antes de impuestos</v>
          </cell>
          <cell r="C13">
            <v>3642708729</v>
          </cell>
          <cell r="D13">
            <v>26749655048</v>
          </cell>
          <cell r="E13">
            <v>36163064829</v>
          </cell>
          <cell r="F13">
            <v>-1146626606</v>
          </cell>
          <cell r="G13">
            <v>-2312746668</v>
          </cell>
          <cell r="H13">
            <v>-3983718972</v>
          </cell>
          <cell r="I13">
            <v>59112336360</v>
          </cell>
          <cell r="J13">
            <v>27863463475</v>
          </cell>
          <cell r="K13">
            <v>62944517515</v>
          </cell>
          <cell r="L13">
            <v>53450059828</v>
          </cell>
          <cell r="M13">
            <v>731285173</v>
          </cell>
          <cell r="N13">
            <v>-4636897006</v>
          </cell>
          <cell r="O13">
            <v>-6833653937</v>
          </cell>
          <cell r="P13">
            <v>133518775048</v>
          </cell>
        </row>
        <row r="14">
          <cell r="B14" t="str">
            <v>a. Ganancia bruta</v>
          </cell>
          <cell r="C14">
            <v>3385444355</v>
          </cell>
          <cell r="D14">
            <v>8830919028</v>
          </cell>
          <cell r="E14">
            <v>9091601554</v>
          </cell>
          <cell r="F14">
            <v>29828819</v>
          </cell>
          <cell r="G14">
            <v>96788196</v>
          </cell>
          <cell r="H14">
            <v>80213899</v>
          </cell>
          <cell r="I14">
            <v>21514795851</v>
          </cell>
          <cell r="J14">
            <v>2646684929</v>
          </cell>
          <cell r="K14">
            <v>10308213065</v>
          </cell>
          <cell r="L14">
            <v>9633767732</v>
          </cell>
          <cell r="M14">
            <v>609886</v>
          </cell>
          <cell r="N14">
            <v>34822826</v>
          </cell>
          <cell r="O14">
            <v>33006890</v>
          </cell>
          <cell r="P14">
            <v>22657105328</v>
          </cell>
        </row>
        <row r="15">
          <cell r="B15" t="str">
            <v>1. Ingresos de actividades ordinarias</v>
          </cell>
          <cell r="C15">
            <v>-3680594467</v>
          </cell>
          <cell r="D15">
            <v>-10646233012</v>
          </cell>
          <cell r="E15">
            <v>-10692851975</v>
          </cell>
          <cell r="F15">
            <v>908032453</v>
          </cell>
          <cell r="G15">
            <v>2634760076</v>
          </cell>
          <cell r="H15">
            <v>2641842634</v>
          </cell>
          <cell r="I15">
            <v>-18835044291</v>
          </cell>
          <cell r="J15">
            <v>-2977972150</v>
          </cell>
          <cell r="K15">
            <v>-8410845319</v>
          </cell>
          <cell r="L15">
            <v>-9117750027</v>
          </cell>
          <cell r="M15">
            <v>605452573</v>
          </cell>
          <cell r="N15">
            <v>2067819475</v>
          </cell>
          <cell r="O15">
            <v>2745724741</v>
          </cell>
          <cell r="P15">
            <v>-15087570707</v>
          </cell>
        </row>
        <row r="16">
          <cell r="B16" t="str">
            <v>1. Pasajes Cercanias</v>
          </cell>
          <cell r="C16">
            <v>-1110468599</v>
          </cell>
          <cell r="D16">
            <v>-3221514051</v>
          </cell>
          <cell r="E16">
            <v>-3280762495</v>
          </cell>
          <cell r="I16">
            <v>-7612745145</v>
          </cell>
          <cell r="J16">
            <v>-935568056</v>
          </cell>
          <cell r="K16">
            <v>-2554098278</v>
          </cell>
          <cell r="L16">
            <v>-2477431986</v>
          </cell>
          <cell r="P16">
            <v>-5967098320</v>
          </cell>
        </row>
        <row r="17">
          <cell r="B17" t="str">
            <v>2. Pasajes Largo Recorrido</v>
          </cell>
          <cell r="C17">
            <v>-318596351</v>
          </cell>
          <cell r="D17">
            <v>-626080474</v>
          </cell>
          <cell r="E17">
            <v>-484594565</v>
          </cell>
          <cell r="I17">
            <v>-1429271390</v>
          </cell>
          <cell r="J17">
            <v>-122607186</v>
          </cell>
          <cell r="K17">
            <v>-125025993</v>
          </cell>
          <cell r="L17">
            <v>-1100551630</v>
          </cell>
          <cell r="P17">
            <v>-1348184809</v>
          </cell>
        </row>
        <row r="18">
          <cell r="B18" t="str">
            <v>3. Pasajes Regionales</v>
          </cell>
          <cell r="C18">
            <v>-74020515</v>
          </cell>
          <cell r="D18">
            <v>-231481224</v>
          </cell>
          <cell r="E18">
            <v>-244427682</v>
          </cell>
          <cell r="I18">
            <v>-549929421</v>
          </cell>
          <cell r="J18">
            <v>-55095837</v>
          </cell>
          <cell r="K18">
            <v>-124501822</v>
          </cell>
          <cell r="L18">
            <v>-206689045</v>
          </cell>
          <cell r="P18">
            <v>-386286704</v>
          </cell>
        </row>
        <row r="19">
          <cell r="B19" t="str">
            <v>4. Ingresos Operadores</v>
          </cell>
          <cell r="C19">
            <v>-897622260</v>
          </cell>
          <cell r="D19">
            <v>-2642729251</v>
          </cell>
          <cell r="E19">
            <v>-2414070081</v>
          </cell>
          <cell r="F19">
            <v>88707217</v>
          </cell>
          <cell r="G19">
            <v>263785223</v>
          </cell>
          <cell r="H19">
            <v>256187974</v>
          </cell>
          <cell r="I19">
            <v>-5345741178</v>
          </cell>
          <cell r="J19">
            <v>-972103898</v>
          </cell>
          <cell r="K19">
            <v>-1825649118</v>
          </cell>
          <cell r="L19">
            <v>-1792832240</v>
          </cell>
          <cell r="M19">
            <v>84053026</v>
          </cell>
          <cell r="N19">
            <v>247829998</v>
          </cell>
          <cell r="O19">
            <v>233090935</v>
          </cell>
          <cell r="P19">
            <v>-4025611297</v>
          </cell>
        </row>
        <row r="20">
          <cell r="B20" t="str">
            <v>5. Ingresos Atraviesos</v>
          </cell>
          <cell r="C20">
            <v>-47952061</v>
          </cell>
          <cell r="D20">
            <v>-117577340</v>
          </cell>
          <cell r="E20">
            <v>-138591440</v>
          </cell>
          <cell r="I20">
            <v>-304120841</v>
          </cell>
          <cell r="J20">
            <v>-78654104</v>
          </cell>
          <cell r="K20">
            <v>-386526871</v>
          </cell>
          <cell r="L20">
            <v>-272138983</v>
          </cell>
          <cell r="P20">
            <v>-737319958</v>
          </cell>
        </row>
        <row r="21">
          <cell r="B21" t="str">
            <v>9. Ing Rec Filial Explotación</v>
          </cell>
          <cell r="C21">
            <v>-789496417</v>
          </cell>
          <cell r="D21">
            <v>-2273621584</v>
          </cell>
          <cell r="E21">
            <v>-2306005834</v>
          </cell>
          <cell r="F21">
            <v>789496417</v>
          </cell>
          <cell r="G21">
            <v>2273621584</v>
          </cell>
          <cell r="H21">
            <v>2306005834</v>
          </cell>
          <cell r="I21">
            <v>0</v>
          </cell>
          <cell r="J21">
            <v>-498766975</v>
          </cell>
          <cell r="K21">
            <v>-1744583729</v>
          </cell>
          <cell r="L21">
            <v>-2454167017</v>
          </cell>
          <cell r="M21">
            <v>498766975</v>
          </cell>
          <cell r="N21">
            <v>1744583729</v>
          </cell>
          <cell r="O21">
            <v>2454167017</v>
          </cell>
          <cell r="P21">
            <v>0</v>
          </cell>
        </row>
        <row r="22">
          <cell r="B22" t="str">
            <v>10. Ing Rec Filial Administración</v>
          </cell>
          <cell r="C22">
            <v>-29828819</v>
          </cell>
          <cell r="D22">
            <v>-97353269</v>
          </cell>
          <cell r="E22">
            <v>-79648826</v>
          </cell>
          <cell r="F22">
            <v>29828819</v>
          </cell>
          <cell r="G22">
            <v>97353269</v>
          </cell>
          <cell r="H22">
            <v>79648826</v>
          </cell>
          <cell r="I22">
            <v>0</v>
          </cell>
          <cell r="J22">
            <v>-22632572</v>
          </cell>
          <cell r="K22">
            <v>-75405748</v>
          </cell>
          <cell r="L22">
            <v>-58466789</v>
          </cell>
          <cell r="M22">
            <v>22632572</v>
          </cell>
          <cell r="N22">
            <v>75405748</v>
          </cell>
          <cell r="O22">
            <v>58466789</v>
          </cell>
          <cell r="P22">
            <v>0</v>
          </cell>
        </row>
        <row r="23">
          <cell r="B23" t="str">
            <v>7. Venta de Servicios y Otros</v>
          </cell>
          <cell r="C23">
            <v>-23660045</v>
          </cell>
          <cell r="D23">
            <v>-179638372</v>
          </cell>
          <cell r="E23">
            <v>-154266805</v>
          </cell>
          <cell r="I23">
            <v>-357565222</v>
          </cell>
          <cell r="J23">
            <v>57580933</v>
          </cell>
          <cell r="K23">
            <v>-459065163</v>
          </cell>
          <cell r="L23">
            <v>-230297320</v>
          </cell>
          <cell r="P23">
            <v>-631781550</v>
          </cell>
        </row>
        <row r="24">
          <cell r="B24" t="str">
            <v>6. Ingresos Inmobiliarios</v>
          </cell>
          <cell r="C24">
            <v>-145998138</v>
          </cell>
          <cell r="D24">
            <v>-475942087</v>
          </cell>
          <cell r="E24">
            <v>-897916968</v>
          </cell>
          <cell r="I24">
            <v>-1519857193</v>
          </cell>
          <cell r="J24">
            <v>-158735316</v>
          </cell>
          <cell r="K24">
            <v>-517117511</v>
          </cell>
          <cell r="L24">
            <v>-457262006</v>
          </cell>
          <cell r="P24">
            <v>-1133114833</v>
          </cell>
        </row>
        <row r="25">
          <cell r="B25" t="str">
            <v>8. Transferencias Sector Público</v>
          </cell>
          <cell r="C25">
            <v>-242951262</v>
          </cell>
          <cell r="D25">
            <v>-780295360</v>
          </cell>
          <cell r="E25">
            <v>-692567279</v>
          </cell>
          <cell r="I25">
            <v>-1715813901</v>
          </cell>
          <cell r="J25">
            <v>-191389139</v>
          </cell>
          <cell r="K25">
            <v>-598871086</v>
          </cell>
          <cell r="L25">
            <v>-67913011</v>
          </cell>
          <cell r="P25">
            <v>-858173236</v>
          </cell>
        </row>
        <row r="26">
          <cell r="B26" t="str">
            <v>2. Costo de ventas</v>
          </cell>
          <cell r="C26">
            <v>7066038822</v>
          </cell>
          <cell r="D26">
            <v>19477152040</v>
          </cell>
          <cell r="E26">
            <v>19784453529</v>
          </cell>
          <cell r="F26">
            <v>-878203634</v>
          </cell>
          <cell r="G26">
            <v>-2537971880</v>
          </cell>
          <cell r="H26">
            <v>-2561628735</v>
          </cell>
          <cell r="I26">
            <v>40349840142</v>
          </cell>
          <cell r="J26">
            <v>5624657079</v>
          </cell>
          <cell r="K26">
            <v>18719058384</v>
          </cell>
          <cell r="L26">
            <v>18751517759</v>
          </cell>
          <cell r="M26">
            <v>-604842687</v>
          </cell>
          <cell r="N26">
            <v>-2032996649</v>
          </cell>
          <cell r="O26">
            <v>-2712717851</v>
          </cell>
          <cell r="P26">
            <v>37744676035</v>
          </cell>
        </row>
        <row r="27">
          <cell r="B27" t="str">
            <v>1. Energia y Combustibles</v>
          </cell>
          <cell r="C27">
            <v>605081462</v>
          </cell>
          <cell r="D27">
            <v>1757452115</v>
          </cell>
          <cell r="E27">
            <v>1913472714</v>
          </cell>
          <cell r="F27">
            <v>-264008839</v>
          </cell>
          <cell r="G27">
            <v>-626218204</v>
          </cell>
          <cell r="H27">
            <v>-734398830</v>
          </cell>
          <cell r="I27">
            <v>2651380418</v>
          </cell>
          <cell r="J27">
            <v>854777609</v>
          </cell>
          <cell r="K27">
            <v>1467548452</v>
          </cell>
          <cell r="L27">
            <v>2082873994</v>
          </cell>
          <cell r="M27">
            <v>-69337026</v>
          </cell>
          <cell r="N27">
            <v>-163035247</v>
          </cell>
          <cell r="O27">
            <v>-659674288</v>
          </cell>
          <cell r="P27">
            <v>3513153494</v>
          </cell>
        </row>
        <row r="28">
          <cell r="B28" t="str">
            <v>4202100000  Consumo Petroleo</v>
          </cell>
          <cell r="C28">
            <v>46489601</v>
          </cell>
          <cell r="D28">
            <v>83100836</v>
          </cell>
          <cell r="E28">
            <v>60067871</v>
          </cell>
          <cell r="I28">
            <v>189658308</v>
          </cell>
          <cell r="J28">
            <v>21514894</v>
          </cell>
          <cell r="K28">
            <v>34442960</v>
          </cell>
          <cell r="L28">
            <v>37240237</v>
          </cell>
          <cell r="P28">
            <v>93198091</v>
          </cell>
        </row>
        <row r="29">
          <cell r="B29" t="str">
            <v>4202200000  Consumo Gasolina</v>
          </cell>
          <cell r="C29">
            <v>0</v>
          </cell>
          <cell r="D29">
            <v>12671160</v>
          </cell>
          <cell r="E29">
            <v>20106774</v>
          </cell>
          <cell r="I29">
            <v>32777934</v>
          </cell>
          <cell r="J29">
            <v>5715934</v>
          </cell>
          <cell r="K29">
            <v>21111141</v>
          </cell>
          <cell r="L29">
            <v>9587410</v>
          </cell>
          <cell r="P29">
            <v>36414485</v>
          </cell>
        </row>
        <row r="30">
          <cell r="B30" t="str">
            <v>4202300000  Consumo Lubricante</v>
          </cell>
          <cell r="C30">
            <v>926427</v>
          </cell>
          <cell r="D30">
            <v>4252433</v>
          </cell>
          <cell r="E30">
            <v>4175879</v>
          </cell>
          <cell r="I30">
            <v>9354739</v>
          </cell>
          <cell r="J30">
            <v>1152478</v>
          </cell>
          <cell r="K30">
            <v>607937</v>
          </cell>
          <cell r="L30">
            <v>2055088</v>
          </cell>
          <cell r="P30">
            <v>3815503</v>
          </cell>
        </row>
        <row r="31">
          <cell r="B31" t="str">
            <v>4202400000  Consumo Energia Trac</v>
          </cell>
          <cell r="C31">
            <v>452882654</v>
          </cell>
          <cell r="D31">
            <v>1367667733</v>
          </cell>
          <cell r="E31">
            <v>1536633557</v>
          </cell>
          <cell r="F31">
            <v>-264008839</v>
          </cell>
          <cell r="G31">
            <v>-626218204</v>
          </cell>
          <cell r="H31">
            <v>-734398830</v>
          </cell>
          <cell r="I31">
            <v>1732558071</v>
          </cell>
          <cell r="J31">
            <v>722471511</v>
          </cell>
          <cell r="K31">
            <v>1135902178</v>
          </cell>
          <cell r="L31">
            <v>1798592146</v>
          </cell>
          <cell r="M31">
            <v>-69337026</v>
          </cell>
          <cell r="N31">
            <v>-163035247</v>
          </cell>
          <cell r="O31">
            <v>-659674288</v>
          </cell>
          <cell r="P31">
            <v>2764919274</v>
          </cell>
        </row>
        <row r="32">
          <cell r="B32" t="str">
            <v>4202500000  Consumo Carbon</v>
          </cell>
          <cell r="E32">
            <v>0</v>
          </cell>
          <cell r="I32">
            <v>0</v>
          </cell>
          <cell r="J32">
            <v>0</v>
          </cell>
          <cell r="K32">
            <v>-117</v>
          </cell>
          <cell r="L32">
            <v>39091</v>
          </cell>
          <cell r="P32">
            <v>38974</v>
          </cell>
        </row>
        <row r="33">
          <cell r="B33" t="str">
            <v>4-1-03-01-01  Energía Tracción</v>
          </cell>
          <cell r="C33">
            <v>104782780</v>
          </cell>
          <cell r="D33">
            <v>289759953</v>
          </cell>
          <cell r="E33">
            <v>292488633</v>
          </cell>
          <cell r="I33">
            <v>687031366</v>
          </cell>
          <cell r="J33">
            <v>103922792</v>
          </cell>
          <cell r="K33">
            <v>275484353</v>
          </cell>
          <cell r="L33">
            <v>235360022</v>
          </cell>
          <cell r="P33">
            <v>614767167</v>
          </cell>
        </row>
        <row r="34">
          <cell r="B34" t="str">
            <v>2. Mantenimiento Mat Rodante</v>
          </cell>
          <cell r="C34">
            <v>1068093089</v>
          </cell>
          <cell r="D34">
            <v>3519172530</v>
          </cell>
          <cell r="E34">
            <v>2945118602</v>
          </cell>
          <cell r="F34">
            <v>-343401455</v>
          </cell>
          <cell r="G34">
            <v>-1065952872</v>
          </cell>
          <cell r="H34">
            <v>-993064962</v>
          </cell>
          <cell r="I34">
            <v>5129964932</v>
          </cell>
          <cell r="J34">
            <v>919457359</v>
          </cell>
          <cell r="K34">
            <v>2970507381</v>
          </cell>
          <cell r="L34">
            <v>3055342965</v>
          </cell>
          <cell r="M34">
            <v>-183413257</v>
          </cell>
          <cell r="N34">
            <v>-895054302</v>
          </cell>
          <cell r="O34">
            <v>-1037614902</v>
          </cell>
          <cell r="P34">
            <v>4829225244</v>
          </cell>
        </row>
        <row r="35">
          <cell r="B35" t="str">
            <v>3. Mantenimiento Infraestructura</v>
          </cell>
          <cell r="C35">
            <v>1073263263</v>
          </cell>
          <cell r="D35">
            <v>1293415963</v>
          </cell>
          <cell r="E35">
            <v>2007978382</v>
          </cell>
          <cell r="F35">
            <v>-159342401</v>
          </cell>
          <cell r="G35">
            <v>-500442989</v>
          </cell>
          <cell r="H35">
            <v>-460645105</v>
          </cell>
          <cell r="I35">
            <v>3254227113</v>
          </cell>
          <cell r="J35">
            <v>-72487724</v>
          </cell>
          <cell r="K35">
            <v>1873251615</v>
          </cell>
          <cell r="L35">
            <v>1330084189</v>
          </cell>
          <cell r="M35">
            <v>-145736884</v>
          </cell>
          <cell r="N35">
            <v>-399067726</v>
          </cell>
          <cell r="O35">
            <v>-448795284</v>
          </cell>
          <cell r="P35">
            <v>2137248186</v>
          </cell>
        </row>
        <row r="36">
          <cell r="B36" t="str">
            <v>4. Mantenimiento SEC y Tráfico</v>
          </cell>
          <cell r="C36">
            <v>610030773</v>
          </cell>
          <cell r="D36">
            <v>1748548000</v>
          </cell>
          <cell r="E36">
            <v>1787419838</v>
          </cell>
          <cell r="F36">
            <v>-85896206</v>
          </cell>
          <cell r="G36">
            <v>-259464529</v>
          </cell>
          <cell r="H36">
            <v>-254756531</v>
          </cell>
          <cell r="I36">
            <v>3545881345</v>
          </cell>
          <cell r="J36">
            <v>529195174</v>
          </cell>
          <cell r="K36">
            <v>1754193005</v>
          </cell>
          <cell r="L36">
            <v>1519079712</v>
          </cell>
          <cell r="M36">
            <v>-78657468</v>
          </cell>
          <cell r="N36">
            <v>-204131212</v>
          </cell>
          <cell r="O36">
            <v>-233903663</v>
          </cell>
          <cell r="P36">
            <v>3285775548</v>
          </cell>
        </row>
        <row r="37">
          <cell r="B37" t="str">
            <v>4201120000  Rep y Accesorio Linea Contacto</v>
          </cell>
          <cell r="C37">
            <v>0</v>
          </cell>
          <cell r="D37">
            <v>487384</v>
          </cell>
          <cell r="E37">
            <v>20298380</v>
          </cell>
          <cell r="I37">
            <v>20785764</v>
          </cell>
          <cell r="J37">
            <v>0</v>
          </cell>
          <cell r="K37">
            <v>7978026</v>
          </cell>
          <cell r="L37">
            <v>8293274</v>
          </cell>
          <cell r="P37">
            <v>16271300</v>
          </cell>
        </row>
        <row r="38">
          <cell r="B38" t="str">
            <v>4201130000  Rep/Acc Subestacion</v>
          </cell>
          <cell r="C38">
            <v>773100</v>
          </cell>
          <cell r="D38">
            <v>3005700</v>
          </cell>
          <cell r="E38">
            <v>0</v>
          </cell>
          <cell r="I38">
            <v>3778800</v>
          </cell>
          <cell r="J38">
            <v>3990120</v>
          </cell>
          <cell r="K38">
            <v>11842</v>
          </cell>
          <cell r="L38">
            <v>125176</v>
          </cell>
          <cell r="P38">
            <v>4127138</v>
          </cell>
        </row>
        <row r="39">
          <cell r="B39" t="str">
            <v>4201140000  Rep y Accesorio Señalizacion</v>
          </cell>
          <cell r="C39">
            <v>200968</v>
          </cell>
          <cell r="D39">
            <v>23893592</v>
          </cell>
          <cell r="E39">
            <v>1342000</v>
          </cell>
          <cell r="I39">
            <v>25436560</v>
          </cell>
          <cell r="J39">
            <v>0</v>
          </cell>
          <cell r="K39">
            <v>3520587</v>
          </cell>
          <cell r="L39">
            <v>2121631</v>
          </cell>
          <cell r="P39">
            <v>5642218</v>
          </cell>
        </row>
        <row r="40">
          <cell r="B40" t="str">
            <v>4201160000  Rep/Acc Sist Comunic</v>
          </cell>
          <cell r="C40">
            <v>24745633</v>
          </cell>
          <cell r="D40">
            <v>73601570</v>
          </cell>
          <cell r="E40">
            <v>72706047</v>
          </cell>
          <cell r="I40">
            <v>171053250</v>
          </cell>
          <cell r="J40">
            <v>24320816</v>
          </cell>
          <cell r="K40">
            <v>79569943</v>
          </cell>
          <cell r="L40">
            <v>71069839</v>
          </cell>
          <cell r="P40">
            <v>174960598</v>
          </cell>
        </row>
        <row r="41">
          <cell r="B41" t="str">
            <v>4220030000  Serv Mantencion Linea Contacto</v>
          </cell>
          <cell r="C41">
            <v>5930000</v>
          </cell>
          <cell r="D41">
            <v>11860000</v>
          </cell>
          <cell r="E41">
            <v>0</v>
          </cell>
          <cell r="I41">
            <v>17790000</v>
          </cell>
          <cell r="J41">
            <v>0</v>
          </cell>
          <cell r="K41">
            <v>2571200</v>
          </cell>
          <cell r="L41">
            <v>0</v>
          </cell>
          <cell r="P41">
            <v>2571200</v>
          </cell>
        </row>
        <row r="42">
          <cell r="B42" t="str">
            <v>4220045000  Serv Mantencion Linea Alta</v>
          </cell>
          <cell r="C42">
            <v>28873218</v>
          </cell>
          <cell r="D42">
            <v>119335632</v>
          </cell>
          <cell r="E42">
            <v>119252603</v>
          </cell>
          <cell r="I42">
            <v>267461453</v>
          </cell>
          <cell r="J42">
            <v>44060660</v>
          </cell>
          <cell r="K42">
            <v>119710145</v>
          </cell>
          <cell r="L42">
            <v>101946850</v>
          </cell>
          <cell r="P42">
            <v>265717655</v>
          </cell>
        </row>
        <row r="43">
          <cell r="B43" t="str">
            <v>4220050000  Serv Mantencion Señalizacion</v>
          </cell>
          <cell r="C43">
            <v>445665717</v>
          </cell>
          <cell r="D43">
            <v>1230107562</v>
          </cell>
          <cell r="E43">
            <v>1270884250</v>
          </cell>
          <cell r="F43">
            <v>-41496863</v>
          </cell>
          <cell r="G43">
            <v>-148561075</v>
          </cell>
          <cell r="H43">
            <v>-97224953</v>
          </cell>
          <cell r="I43">
            <v>2659374638</v>
          </cell>
          <cell r="J43">
            <v>369525295</v>
          </cell>
          <cell r="K43">
            <v>1280552513</v>
          </cell>
          <cell r="L43">
            <v>1080886463</v>
          </cell>
          <cell r="M43">
            <v>-29644769</v>
          </cell>
          <cell r="N43">
            <v>-113382523</v>
          </cell>
          <cell r="O43">
            <v>-112647187</v>
          </cell>
          <cell r="P43">
            <v>2475289792</v>
          </cell>
        </row>
        <row r="44">
          <cell r="B44" t="str">
            <v>4220060000  Serv Mantencion Trafico</v>
          </cell>
          <cell r="C44">
            <v>52775008</v>
          </cell>
          <cell r="D44">
            <v>161363824</v>
          </cell>
          <cell r="E44">
            <v>157531578</v>
          </cell>
          <cell r="F44">
            <v>-44399343</v>
          </cell>
          <cell r="G44">
            <v>-110903454</v>
          </cell>
          <cell r="H44">
            <v>-157531578</v>
          </cell>
          <cell r="I44">
            <v>58836035</v>
          </cell>
          <cell r="J44">
            <v>49012699</v>
          </cell>
          <cell r="K44">
            <v>87202688</v>
          </cell>
          <cell r="L44">
            <v>121256476</v>
          </cell>
          <cell r="M44">
            <v>-49012699</v>
          </cell>
          <cell r="N44">
            <v>-90748689</v>
          </cell>
          <cell r="O44">
            <v>-121256476</v>
          </cell>
          <cell r="P44">
            <v>-3546001</v>
          </cell>
        </row>
        <row r="45">
          <cell r="B45" t="str">
            <v>4220070000  Serv Mant Comunicac</v>
          </cell>
          <cell r="C45">
            <v>9027763</v>
          </cell>
          <cell r="D45">
            <v>21306009</v>
          </cell>
          <cell r="E45">
            <v>0</v>
          </cell>
          <cell r="I45">
            <v>30333772</v>
          </cell>
          <cell r="J45">
            <v>290500</v>
          </cell>
          <cell r="K45">
            <v>-960</v>
          </cell>
          <cell r="L45">
            <v>120960</v>
          </cell>
          <cell r="P45">
            <v>410500</v>
          </cell>
        </row>
        <row r="46">
          <cell r="B46" t="str">
            <v>4230440000  Serv Pago Adm Trafico MERVAL</v>
          </cell>
          <cell r="E46">
            <v>0</v>
          </cell>
          <cell r="I46">
            <v>0</v>
          </cell>
          <cell r="J46">
            <v>0</v>
          </cell>
          <cell r="K46">
            <v>0</v>
          </cell>
          <cell r="L46">
            <v>-24326671</v>
          </cell>
          <cell r="P46">
            <v>-24326671</v>
          </cell>
        </row>
        <row r="47">
          <cell r="B47" t="str">
            <v>4270150000  Sist Administracion Trafico</v>
          </cell>
          <cell r="C47">
            <v>41975892</v>
          </cell>
          <cell r="D47">
            <v>101961243</v>
          </cell>
          <cell r="E47">
            <v>133140393</v>
          </cell>
          <cell r="I47">
            <v>277077528</v>
          </cell>
          <cell r="J47">
            <v>37995084</v>
          </cell>
          <cell r="K47">
            <v>173077021</v>
          </cell>
          <cell r="L47">
            <v>157585714</v>
          </cell>
          <cell r="P47">
            <v>368657819</v>
          </cell>
        </row>
        <row r="48">
          <cell r="B48" t="str">
            <v>4220040000  Serv Mant Sub Electr</v>
          </cell>
          <cell r="C48">
            <v>0</v>
          </cell>
          <cell r="D48">
            <v>1625484</v>
          </cell>
          <cell r="E48">
            <v>9346680</v>
          </cell>
          <cell r="I48">
            <v>10972164</v>
          </cell>
          <cell r="J48">
            <v>0</v>
          </cell>
          <cell r="P48">
            <v>0</v>
          </cell>
        </row>
        <row r="49">
          <cell r="B49" t="str">
            <v>4270500000  Sist AUV FEPASA</v>
          </cell>
          <cell r="C49">
            <v>0</v>
          </cell>
          <cell r="D49">
            <v>0</v>
          </cell>
          <cell r="E49">
            <v>2917907</v>
          </cell>
          <cell r="I49">
            <v>2917907</v>
          </cell>
        </row>
        <row r="50">
          <cell r="B50" t="str">
            <v>4201135000  Rep/Acc Líneas de Alta</v>
          </cell>
          <cell r="C50">
            <v>63474</v>
          </cell>
          <cell r="D50">
            <v>0</v>
          </cell>
          <cell r="I50">
            <v>63474</v>
          </cell>
        </row>
        <row r="51">
          <cell r="B51" t="str">
            <v>5. Serv Guardia y Guarda Cruce</v>
          </cell>
          <cell r="C51">
            <v>343918639</v>
          </cell>
          <cell r="D51">
            <v>926527560</v>
          </cell>
          <cell r="E51">
            <v>937734968</v>
          </cell>
          <cell r="F51">
            <v>-25333416</v>
          </cell>
          <cell r="G51">
            <v>-83108125</v>
          </cell>
          <cell r="H51">
            <v>-80618031</v>
          </cell>
          <cell r="I51">
            <v>2019121595</v>
          </cell>
          <cell r="J51">
            <v>229241166</v>
          </cell>
          <cell r="K51">
            <v>1438793211</v>
          </cell>
          <cell r="L51">
            <v>506335722</v>
          </cell>
          <cell r="M51">
            <v>-17672000</v>
          </cell>
          <cell r="N51">
            <v>-70481206</v>
          </cell>
          <cell r="O51">
            <v>-36346590</v>
          </cell>
          <cell r="P51">
            <v>2049870303</v>
          </cell>
        </row>
        <row r="52">
          <cell r="B52" t="str">
            <v>6. Serv Terceros y Ventas</v>
          </cell>
          <cell r="C52">
            <v>294126050</v>
          </cell>
          <cell r="D52">
            <v>824801040</v>
          </cell>
          <cell r="E52">
            <v>884654521</v>
          </cell>
          <cell r="F52">
            <v>-221317</v>
          </cell>
          <cell r="G52">
            <v>-2785161</v>
          </cell>
          <cell r="H52">
            <v>-38145276</v>
          </cell>
          <cell r="I52">
            <v>1962429857</v>
          </cell>
          <cell r="J52">
            <v>333587248</v>
          </cell>
          <cell r="K52">
            <v>911505398</v>
          </cell>
          <cell r="L52">
            <v>1187404118</v>
          </cell>
          <cell r="M52">
            <v>-110026052</v>
          </cell>
          <cell r="N52">
            <v>-301226956</v>
          </cell>
          <cell r="O52">
            <v>-296383124</v>
          </cell>
          <cell r="P52">
            <v>1724860632</v>
          </cell>
        </row>
        <row r="53">
          <cell r="B53" t="str">
            <v>7. Remuneraciones Fijas</v>
          </cell>
          <cell r="C53">
            <v>626183127</v>
          </cell>
          <cell r="D53">
            <v>1906030149</v>
          </cell>
          <cell r="E53">
            <v>1754615724</v>
          </cell>
          <cell r="I53">
            <v>4286829000</v>
          </cell>
          <cell r="J53">
            <v>621141371</v>
          </cell>
          <cell r="K53">
            <v>1839816421</v>
          </cell>
          <cell r="L53">
            <v>1802917261</v>
          </cell>
          <cell r="P53">
            <v>4263875053</v>
          </cell>
        </row>
        <row r="54">
          <cell r="B54" t="str">
            <v>8. Remuneraciones Variables</v>
          </cell>
          <cell r="C54">
            <v>379545992</v>
          </cell>
          <cell r="D54">
            <v>1049034127</v>
          </cell>
          <cell r="E54">
            <v>984465262</v>
          </cell>
          <cell r="I54">
            <v>2413045381</v>
          </cell>
          <cell r="J54">
            <v>303155057</v>
          </cell>
          <cell r="K54">
            <v>806804202</v>
          </cell>
          <cell r="L54">
            <v>916286859</v>
          </cell>
          <cell r="P54">
            <v>2026246118</v>
          </cell>
        </row>
        <row r="55">
          <cell r="B55" t="str">
            <v>9. Provisiones e indemnizaciones</v>
          </cell>
          <cell r="C55">
            <v>6518788</v>
          </cell>
          <cell r="D55">
            <v>24124039</v>
          </cell>
          <cell r="E55">
            <v>-52333282</v>
          </cell>
          <cell r="I55">
            <v>-21690455</v>
          </cell>
          <cell r="J55">
            <v>360779</v>
          </cell>
          <cell r="K55">
            <v>148777943</v>
          </cell>
          <cell r="L55">
            <v>-28478187</v>
          </cell>
          <cell r="P55">
            <v>120660535</v>
          </cell>
        </row>
        <row r="56">
          <cell r="B56" t="str">
            <v>11. Depreciación</v>
          </cell>
          <cell r="C56">
            <v>2059277639</v>
          </cell>
          <cell r="D56">
            <v>6428046517</v>
          </cell>
          <cell r="E56">
            <v>6621326800</v>
          </cell>
          <cell r="I56">
            <v>15108650956</v>
          </cell>
          <cell r="J56">
            <v>1906229040</v>
          </cell>
          <cell r="K56">
            <v>5507860756</v>
          </cell>
          <cell r="L56">
            <v>6379671126</v>
          </cell>
          <cell r="P56">
            <v>13793760922</v>
          </cell>
        </row>
        <row r="57">
          <cell r="B57" t="str">
            <v>b. (Ganancia) pérdida</v>
          </cell>
          <cell r="C57">
            <v>257264374</v>
          </cell>
          <cell r="D57">
            <v>17918736020</v>
          </cell>
          <cell r="E57">
            <v>27071463275</v>
          </cell>
          <cell r="F57">
            <v>-1176455425</v>
          </cell>
          <cell r="G57">
            <v>-2409534864</v>
          </cell>
          <cell r="H57">
            <v>-4063932871</v>
          </cell>
          <cell r="I57">
            <v>37597540509</v>
          </cell>
          <cell r="J57">
            <v>25216778546</v>
          </cell>
          <cell r="K57">
            <v>52636304450</v>
          </cell>
          <cell r="L57">
            <v>43816292096</v>
          </cell>
          <cell r="M57">
            <v>730675287</v>
          </cell>
          <cell r="N57">
            <v>-4671719832</v>
          </cell>
          <cell r="O57">
            <v>-6866660827</v>
          </cell>
          <cell r="P57">
            <v>110861669720</v>
          </cell>
        </row>
        <row r="58">
          <cell r="B58" t="str">
            <v>1. Ganancias que surgen de la baja en cuentas de activos financieros medidos al costo amortizado</v>
          </cell>
          <cell r="C58">
            <v>-112583663</v>
          </cell>
          <cell r="D58">
            <v>-377837024</v>
          </cell>
          <cell r="E58">
            <v>-232047811</v>
          </cell>
          <cell r="I58">
            <v>-722468498</v>
          </cell>
          <cell r="J58">
            <v>-12657601</v>
          </cell>
          <cell r="K58">
            <v>-72637763</v>
          </cell>
          <cell r="L58">
            <v>0</v>
          </cell>
          <cell r="P58">
            <v>-85295364</v>
          </cell>
        </row>
        <row r="59">
          <cell r="B59" t="str">
            <v>2. Pérdidas que surgen de la baja en cuentas de activos financieros medidos al costo amortizado</v>
          </cell>
          <cell r="E59">
            <v>0</v>
          </cell>
          <cell r="I59">
            <v>0</v>
          </cell>
          <cell r="J59">
            <v>1850996</v>
          </cell>
          <cell r="P59">
            <v>1850996</v>
          </cell>
        </row>
        <row r="60">
          <cell r="B60" t="str">
            <v>1. Pérdida x Baja Activo Financiero</v>
          </cell>
          <cell r="E60">
            <v>0</v>
          </cell>
          <cell r="I60">
            <v>0</v>
          </cell>
          <cell r="J60">
            <v>1850996</v>
          </cell>
          <cell r="P60">
            <v>1850996</v>
          </cell>
        </row>
        <row r="61">
          <cell r="B61" t="str">
            <v>4310300001  A.F Costo amortizado</v>
          </cell>
          <cell r="E61">
            <v>0</v>
          </cell>
          <cell r="I61">
            <v>0</v>
          </cell>
          <cell r="J61">
            <v>1850996</v>
          </cell>
          <cell r="P61">
            <v>1850996</v>
          </cell>
        </row>
        <row r="62">
          <cell r="B62" t="str">
            <v>5. Gasto de administración</v>
          </cell>
          <cell r="C62">
            <v>1261882764</v>
          </cell>
          <cell r="D62">
            <v>4175714097</v>
          </cell>
          <cell r="E62">
            <v>3596658866</v>
          </cell>
          <cell r="F62">
            <v>-29828819</v>
          </cell>
          <cell r="G62">
            <v>-96788196</v>
          </cell>
          <cell r="H62">
            <v>-80213899</v>
          </cell>
          <cell r="I62">
            <v>8827424813</v>
          </cell>
          <cell r="J62">
            <v>1286857282</v>
          </cell>
          <cell r="K62">
            <v>3941283443</v>
          </cell>
          <cell r="L62">
            <v>3449622807</v>
          </cell>
          <cell r="M62">
            <v>-609886</v>
          </cell>
          <cell r="N62">
            <v>-34822826</v>
          </cell>
          <cell r="O62">
            <v>-33006890</v>
          </cell>
          <cell r="P62">
            <v>8609323930</v>
          </cell>
        </row>
        <row r="63">
          <cell r="B63" t="str">
            <v>1. Remuneraciones Fijas</v>
          </cell>
          <cell r="C63">
            <v>410518331</v>
          </cell>
          <cell r="D63">
            <v>1133964290</v>
          </cell>
          <cell r="E63">
            <v>1150678860</v>
          </cell>
          <cell r="I63">
            <v>2695161481</v>
          </cell>
          <cell r="J63">
            <v>423143687</v>
          </cell>
          <cell r="K63">
            <v>1234972647</v>
          </cell>
          <cell r="L63">
            <v>1292946991</v>
          </cell>
          <cell r="P63">
            <v>2951063325</v>
          </cell>
        </row>
        <row r="64">
          <cell r="B64" t="str">
            <v>2. Remuneraciones Variables</v>
          </cell>
          <cell r="C64">
            <v>86366662</v>
          </cell>
          <cell r="D64">
            <v>109869970</v>
          </cell>
          <cell r="E64">
            <v>99646069</v>
          </cell>
          <cell r="I64">
            <v>295882701</v>
          </cell>
          <cell r="J64">
            <v>121038150</v>
          </cell>
          <cell r="K64">
            <v>356335743</v>
          </cell>
          <cell r="L64">
            <v>331087712</v>
          </cell>
          <cell r="P64">
            <v>808461605</v>
          </cell>
        </row>
        <row r="65">
          <cell r="B65" t="str">
            <v>3. Provisiones e indemnizaciones</v>
          </cell>
          <cell r="C65">
            <v>53447860</v>
          </cell>
          <cell r="D65">
            <v>294018008</v>
          </cell>
          <cell r="E65">
            <v>110189044</v>
          </cell>
          <cell r="I65">
            <v>457654912</v>
          </cell>
          <cell r="J65">
            <v>45287141</v>
          </cell>
          <cell r="K65">
            <v>-92530439</v>
          </cell>
          <cell r="L65">
            <v>4691538</v>
          </cell>
          <cell r="P65">
            <v>-42551760</v>
          </cell>
        </row>
        <row r="66">
          <cell r="B66" t="str">
            <v>4. Otros Gastos en Personal</v>
          </cell>
          <cell r="C66">
            <v>137221122</v>
          </cell>
          <cell r="D66">
            <v>288820277</v>
          </cell>
          <cell r="E66">
            <v>269799149</v>
          </cell>
          <cell r="I66">
            <v>695840548</v>
          </cell>
          <cell r="J66">
            <v>81874519</v>
          </cell>
          <cell r="K66">
            <v>284734197</v>
          </cell>
          <cell r="L66">
            <v>230995916</v>
          </cell>
          <cell r="P66">
            <v>597604632</v>
          </cell>
        </row>
        <row r="67">
          <cell r="B67" t="str">
            <v>7. Investigacion y Desarrollo</v>
          </cell>
          <cell r="C67">
            <v>128379144</v>
          </cell>
          <cell r="D67">
            <v>298555649</v>
          </cell>
          <cell r="E67">
            <v>320921780</v>
          </cell>
          <cell r="I67">
            <v>747856573</v>
          </cell>
          <cell r="J67">
            <v>125973173</v>
          </cell>
          <cell r="K67">
            <v>205841564</v>
          </cell>
          <cell r="L67">
            <v>204683224</v>
          </cell>
          <cell r="P67">
            <v>536497961</v>
          </cell>
        </row>
        <row r="68">
          <cell r="B68" t="str">
            <v>8. Costo Mercadotecnia</v>
          </cell>
          <cell r="C68">
            <v>13068003</v>
          </cell>
          <cell r="D68">
            <v>68742186</v>
          </cell>
          <cell r="E68">
            <v>110404950</v>
          </cell>
          <cell r="I68">
            <v>192215139</v>
          </cell>
          <cell r="J68">
            <v>31314885</v>
          </cell>
          <cell r="K68">
            <v>106932901</v>
          </cell>
          <cell r="L68">
            <v>71029056</v>
          </cell>
          <cell r="P68">
            <v>209276842</v>
          </cell>
        </row>
        <row r="69">
          <cell r="B69" t="str">
            <v>9. Informática y Comunicaciones</v>
          </cell>
          <cell r="C69">
            <v>-35894726</v>
          </cell>
          <cell r="D69">
            <v>426972035</v>
          </cell>
          <cell r="E69">
            <v>333938048</v>
          </cell>
          <cell r="F69">
            <v>-6372074</v>
          </cell>
          <cell r="G69">
            <v>-18991261</v>
          </cell>
          <cell r="H69">
            <v>-18748407</v>
          </cell>
          <cell r="I69">
            <v>680903615</v>
          </cell>
          <cell r="J69">
            <v>53137211</v>
          </cell>
          <cell r="K69">
            <v>335241265</v>
          </cell>
          <cell r="L69">
            <v>164874777</v>
          </cell>
          <cell r="M69">
            <v>-6163130</v>
          </cell>
          <cell r="N69">
            <v>-17848879</v>
          </cell>
          <cell r="O69">
            <v>-18772035</v>
          </cell>
          <cell r="P69">
            <v>510469209</v>
          </cell>
        </row>
        <row r="70">
          <cell r="B70" t="str">
            <v>10. Consumos Basicos</v>
          </cell>
          <cell r="C70">
            <v>113315211</v>
          </cell>
          <cell r="D70">
            <v>394160418</v>
          </cell>
          <cell r="E70">
            <v>400184882</v>
          </cell>
          <cell r="F70">
            <v>-23014113</v>
          </cell>
          <cell r="G70">
            <v>-52238084</v>
          </cell>
          <cell r="H70">
            <v>-51349986</v>
          </cell>
          <cell r="I70">
            <v>781058328</v>
          </cell>
          <cell r="J70">
            <v>156075210</v>
          </cell>
          <cell r="K70">
            <v>478816631</v>
          </cell>
          <cell r="L70">
            <v>313416783</v>
          </cell>
          <cell r="M70">
            <v>-16041324</v>
          </cell>
          <cell r="N70">
            <v>-56339241</v>
          </cell>
          <cell r="O70">
            <v>-38080186</v>
          </cell>
          <cell r="P70">
            <v>837847873</v>
          </cell>
        </row>
        <row r="71">
          <cell r="B71" t="str">
            <v>11. Fletes y Seguros</v>
          </cell>
          <cell r="C71">
            <v>120495201</v>
          </cell>
          <cell r="D71">
            <v>414522437</v>
          </cell>
          <cell r="E71">
            <v>331286544</v>
          </cell>
          <cell r="I71">
            <v>866304182</v>
          </cell>
          <cell r="J71">
            <v>58261028</v>
          </cell>
          <cell r="K71">
            <v>431342216</v>
          </cell>
          <cell r="L71">
            <v>208902560</v>
          </cell>
          <cell r="P71">
            <v>698505804</v>
          </cell>
        </row>
        <row r="72">
          <cell r="B72" t="str">
            <v>12. Serv Administración</v>
          </cell>
          <cell r="C72">
            <v>148334884</v>
          </cell>
          <cell r="D72">
            <v>440500809</v>
          </cell>
          <cell r="E72">
            <v>188494546</v>
          </cell>
          <cell r="I72">
            <v>777330239</v>
          </cell>
          <cell r="J72">
            <v>101789318</v>
          </cell>
          <cell r="K72">
            <v>227384758</v>
          </cell>
          <cell r="L72">
            <v>206149211</v>
          </cell>
          <cell r="P72">
            <v>535323287</v>
          </cell>
        </row>
        <row r="73">
          <cell r="B73" t="str">
            <v>13. Patentes e Incobrables</v>
          </cell>
          <cell r="C73">
            <v>0</v>
          </cell>
          <cell r="D73">
            <v>3400</v>
          </cell>
          <cell r="E73">
            <v>0</v>
          </cell>
          <cell r="I73">
            <v>3400</v>
          </cell>
          <cell r="J73">
            <v>8251015</v>
          </cell>
          <cell r="K73">
            <v>37797414</v>
          </cell>
          <cell r="L73">
            <v>827714</v>
          </cell>
          <cell r="P73">
            <v>46876143</v>
          </cell>
        </row>
        <row r="74">
          <cell r="B74" t="str">
            <v>14. Gastos Generales</v>
          </cell>
          <cell r="C74">
            <v>65288759</v>
          </cell>
          <cell r="D74">
            <v>242766686</v>
          </cell>
          <cell r="E74">
            <v>221641638</v>
          </cell>
          <cell r="F74">
            <v>-442632</v>
          </cell>
          <cell r="G74">
            <v>-26123924</v>
          </cell>
          <cell r="H74">
            <v>-9550433</v>
          </cell>
          <cell r="I74">
            <v>493580094</v>
          </cell>
          <cell r="J74">
            <v>53652681</v>
          </cell>
          <cell r="K74">
            <v>176445936</v>
          </cell>
          <cell r="L74">
            <v>201489438</v>
          </cell>
          <cell r="M74">
            <v>-428118</v>
          </cell>
          <cell r="N74">
            <v>-1217628</v>
          </cell>
          <cell r="O74">
            <v>-1614568</v>
          </cell>
          <cell r="P74">
            <v>428327741</v>
          </cell>
        </row>
        <row r="75">
          <cell r="B75" t="str">
            <v>16. Depreciación</v>
          </cell>
          <cell r="C75">
            <v>14806758</v>
          </cell>
          <cell r="D75">
            <v>42784309</v>
          </cell>
          <cell r="E75">
            <v>40132898</v>
          </cell>
          <cell r="I75">
            <v>97723965</v>
          </cell>
          <cell r="J75">
            <v>14832569</v>
          </cell>
          <cell r="K75">
            <v>37641140</v>
          </cell>
          <cell r="L75">
            <v>53187900</v>
          </cell>
          <cell r="P75">
            <v>105661609</v>
          </cell>
        </row>
        <row r="76">
          <cell r="B76" t="str">
            <v>17. IVA No recuperable</v>
          </cell>
          <cell r="C76">
            <v>6535555</v>
          </cell>
          <cell r="D76">
            <v>20033623</v>
          </cell>
          <cell r="E76">
            <v>19340458</v>
          </cell>
          <cell r="G76">
            <v>565073</v>
          </cell>
          <cell r="H76">
            <v>-565073</v>
          </cell>
          <cell r="I76">
            <v>45909636</v>
          </cell>
          <cell r="J76">
            <v>12226695</v>
          </cell>
          <cell r="K76">
            <v>120327470</v>
          </cell>
          <cell r="L76">
            <v>165339987</v>
          </cell>
          <cell r="M76">
            <v>22022686</v>
          </cell>
          <cell r="N76">
            <v>40582922</v>
          </cell>
          <cell r="O76">
            <v>25459899</v>
          </cell>
          <cell r="P76">
            <v>385959659</v>
          </cell>
        </row>
        <row r="77">
          <cell r="B77" t="str">
            <v>7. Otras ganancias (pérdidas)</v>
          </cell>
          <cell r="C77">
            <v>-206915067</v>
          </cell>
          <cell r="D77">
            <v>439382498</v>
          </cell>
          <cell r="E77">
            <v>-513861027</v>
          </cell>
          <cell r="F77">
            <v>24836974</v>
          </cell>
          <cell r="G77">
            <v>104562081</v>
          </cell>
          <cell r="H77">
            <v>87528040</v>
          </cell>
          <cell r="I77">
            <v>-64466501</v>
          </cell>
          <cell r="J77">
            <v>141970230</v>
          </cell>
          <cell r="K77">
            <v>9482744664</v>
          </cell>
          <cell r="L77">
            <v>16689319892</v>
          </cell>
          <cell r="M77">
            <v>12555160</v>
          </cell>
          <cell r="N77">
            <v>32472503</v>
          </cell>
          <cell r="O77">
            <v>13319086</v>
          </cell>
          <cell r="P77">
            <v>26372381535</v>
          </cell>
        </row>
        <row r="78">
          <cell r="B78" t="str">
            <v>1. Ingresos Fuera de Explotación</v>
          </cell>
          <cell r="C78">
            <v>-400655886</v>
          </cell>
          <cell r="D78">
            <v>-286219001</v>
          </cell>
          <cell r="E78">
            <v>-574592626</v>
          </cell>
          <cell r="F78">
            <v>24836974</v>
          </cell>
          <cell r="G78">
            <v>104562081</v>
          </cell>
          <cell r="H78">
            <v>87528040</v>
          </cell>
          <cell r="I78">
            <v>-1044540418</v>
          </cell>
          <cell r="J78">
            <v>-120753947</v>
          </cell>
          <cell r="K78">
            <v>-6509530</v>
          </cell>
          <cell r="L78">
            <v>-694508385</v>
          </cell>
          <cell r="M78">
            <v>12555160</v>
          </cell>
          <cell r="N78">
            <v>32472503</v>
          </cell>
          <cell r="O78">
            <v>13319086</v>
          </cell>
          <cell r="P78">
            <v>-763425113</v>
          </cell>
        </row>
        <row r="79">
          <cell r="B79" t="str">
            <v>2. Ingresos Sector Público</v>
          </cell>
          <cell r="C79">
            <v>0</v>
          </cell>
          <cell r="D79">
            <v>153416884</v>
          </cell>
          <cell r="E79">
            <v>-153416884</v>
          </cell>
          <cell r="I79">
            <v>0</v>
          </cell>
          <cell r="J79">
            <v>0</v>
          </cell>
          <cell r="K79">
            <v>9737858081</v>
          </cell>
          <cell r="L79">
            <v>-9737858081</v>
          </cell>
          <cell r="P79">
            <v>0</v>
          </cell>
        </row>
        <row r="80">
          <cell r="B80" t="str">
            <v>3. Otros Gastos Fuera Explotación</v>
          </cell>
          <cell r="C80">
            <v>193740819</v>
          </cell>
          <cell r="D80">
            <v>572184615</v>
          </cell>
          <cell r="E80">
            <v>214148483</v>
          </cell>
          <cell r="I80">
            <v>980073917</v>
          </cell>
          <cell r="J80">
            <v>262724177</v>
          </cell>
          <cell r="K80">
            <v>-248603887</v>
          </cell>
          <cell r="L80">
            <v>27121686358</v>
          </cell>
          <cell r="P80">
            <v>27135806648</v>
          </cell>
        </row>
        <row r="81">
          <cell r="B81" t="str">
            <v>8. Ingresos financieros</v>
          </cell>
          <cell r="C81">
            <v>-41801415</v>
          </cell>
          <cell r="D81">
            <v>-198467612</v>
          </cell>
          <cell r="E81">
            <v>-247806053</v>
          </cell>
          <cell r="F81">
            <v>37275436</v>
          </cell>
          <cell r="G81">
            <v>134532614</v>
          </cell>
          <cell r="H81">
            <v>198764497</v>
          </cell>
          <cell r="I81">
            <v>-117502533</v>
          </cell>
          <cell r="J81">
            <v>-63903270</v>
          </cell>
          <cell r="K81">
            <v>420004810</v>
          </cell>
          <cell r="L81">
            <v>-774070180</v>
          </cell>
          <cell r="M81">
            <v>61641684</v>
          </cell>
          <cell r="N81">
            <v>167565289</v>
          </cell>
          <cell r="O81">
            <v>171115403</v>
          </cell>
          <cell r="P81">
            <v>-17646264</v>
          </cell>
        </row>
        <row r="82">
          <cell r="B82" t="str">
            <v>9. Costos financieros</v>
          </cell>
          <cell r="C82">
            <v>3740210338</v>
          </cell>
          <cell r="D82">
            <v>11464320050</v>
          </cell>
          <cell r="E82">
            <v>10079522032</v>
          </cell>
          <cell r="F82">
            <v>-62112410</v>
          </cell>
          <cell r="G82">
            <v>-239094695</v>
          </cell>
          <cell r="H82">
            <v>-286292537</v>
          </cell>
          <cell r="I82">
            <v>24696552778</v>
          </cell>
          <cell r="J82">
            <v>2908383571</v>
          </cell>
          <cell r="K82">
            <v>10628700663</v>
          </cell>
          <cell r="L82">
            <v>10685754462</v>
          </cell>
          <cell r="M82">
            <v>-74196844</v>
          </cell>
          <cell r="N82">
            <v>-200037792</v>
          </cell>
          <cell r="O82">
            <v>-184434489</v>
          </cell>
          <cell r="P82">
            <v>23764169571</v>
          </cell>
        </row>
        <row r="83">
          <cell r="B83" t="str">
            <v>1. Costos Financieros</v>
          </cell>
          <cell r="C83">
            <v>3740210338</v>
          </cell>
          <cell r="D83">
            <v>11464320050</v>
          </cell>
          <cell r="E83">
            <v>10079522032</v>
          </cell>
          <cell r="F83">
            <v>-62112410</v>
          </cell>
          <cell r="G83">
            <v>-239094695</v>
          </cell>
          <cell r="H83">
            <v>-286292537</v>
          </cell>
          <cell r="I83">
            <v>24696552778</v>
          </cell>
          <cell r="J83">
            <v>2908383571</v>
          </cell>
          <cell r="K83">
            <v>10628700663</v>
          </cell>
          <cell r="L83">
            <v>10685754462</v>
          </cell>
          <cell r="M83">
            <v>-74196844</v>
          </cell>
          <cell r="N83">
            <v>-200037792</v>
          </cell>
          <cell r="O83">
            <v>-184434489</v>
          </cell>
          <cell r="P83">
            <v>23764169571</v>
          </cell>
        </row>
        <row r="84">
          <cell r="B84" t="str">
            <v>10. Participación en las ganancias (pérdidas) de asociadas y negocios conjuntos que se contabilicen utilizando el método de la participación</v>
          </cell>
          <cell r="C84">
            <v>1146626586</v>
          </cell>
          <cell r="D84">
            <v>2054538740</v>
          </cell>
          <cell r="E84">
            <v>3704975722</v>
          </cell>
          <cell r="F84">
            <v>-1146626606</v>
          </cell>
          <cell r="G84">
            <v>-2312746668</v>
          </cell>
          <cell r="H84">
            <v>-3983718972</v>
          </cell>
          <cell r="I84">
            <v>-536951198</v>
          </cell>
          <cell r="J84">
            <v>-731285173</v>
          </cell>
          <cell r="K84">
            <v>4771397230</v>
          </cell>
          <cell r="L84">
            <v>6449513347</v>
          </cell>
          <cell r="M84">
            <v>731285173</v>
          </cell>
          <cell r="N84">
            <v>-4636897006</v>
          </cell>
          <cell r="O84">
            <v>-6833653937</v>
          </cell>
          <cell r="P84">
            <v>-249640366</v>
          </cell>
        </row>
        <row r="85">
          <cell r="B85" t="str">
            <v>11. Diferencias de cambio</v>
          </cell>
          <cell r="C85">
            <v>-7025098851</v>
          </cell>
          <cell r="D85">
            <v>-8082160315</v>
          </cell>
          <cell r="E85">
            <v>7522711293</v>
          </cell>
          <cell r="I85">
            <v>-7584547873</v>
          </cell>
          <cell r="J85">
            <v>22593608950</v>
          </cell>
          <cell r="K85">
            <v>13595014683</v>
          </cell>
          <cell r="L85">
            <v>10109808132</v>
          </cell>
          <cell r="P85">
            <v>46298431765</v>
          </cell>
        </row>
        <row r="86">
          <cell r="B86" t="str">
            <v>12. Resultados por unidades de reajuste</v>
          </cell>
          <cell r="C86">
            <v>1560060100</v>
          </cell>
          <cell r="D86">
            <v>8588438031</v>
          </cell>
          <cell r="E86">
            <v>3266957189</v>
          </cell>
          <cell r="I86">
            <v>13415455320</v>
          </cell>
          <cell r="J86">
            <v>-899857964</v>
          </cell>
          <cell r="K86">
            <v>9899320909</v>
          </cell>
          <cell r="L86">
            <v>-2793656364</v>
          </cell>
          <cell r="P86">
            <v>6205806581</v>
          </cell>
        </row>
        <row r="87">
          <cell r="B87" t="str">
            <v>13. Ganancias (pérdidas) que surgen de la diferencia entre el valor libro anterior y el valor justo de activos financieros reclasificados medidos a valor razonable</v>
          </cell>
          <cell r="C87">
            <v>-65116418</v>
          </cell>
          <cell r="D87">
            <v>-145192445</v>
          </cell>
          <cell r="E87">
            <v>-105646936</v>
          </cell>
          <cell r="I87">
            <v>-315955799</v>
          </cell>
          <cell r="J87">
            <v>-8188475</v>
          </cell>
          <cell r="K87">
            <v>-29524189</v>
          </cell>
          <cell r="L87">
            <v>0</v>
          </cell>
          <cell r="P87">
            <v>-37712664</v>
          </cell>
        </row>
        <row r="88">
          <cell r="B88" t="str">
            <v>II. Gasto por impuestos</v>
          </cell>
          <cell r="C88">
            <v>0</v>
          </cell>
          <cell r="D88">
            <v>49855317</v>
          </cell>
          <cell r="E88">
            <v>0</v>
          </cell>
          <cell r="I88">
            <v>49855317</v>
          </cell>
          <cell r="J88">
            <v>-37454846</v>
          </cell>
          <cell r="K88">
            <v>-349335</v>
          </cell>
          <cell r="L88">
            <v>2359819</v>
          </cell>
          <cell r="P88">
            <v>-35444362</v>
          </cell>
        </row>
        <row r="89">
          <cell r="B89" t="str">
            <v>c. Impuestos</v>
          </cell>
          <cell r="C89">
            <v>0</v>
          </cell>
          <cell r="D89">
            <v>49855317</v>
          </cell>
          <cell r="E89">
            <v>0</v>
          </cell>
          <cell r="I89">
            <v>49855317</v>
          </cell>
          <cell r="J89">
            <v>-37454846</v>
          </cell>
          <cell r="K89">
            <v>-349335</v>
          </cell>
          <cell r="L89">
            <v>2359819</v>
          </cell>
          <cell r="P89">
            <v>-35444362</v>
          </cell>
        </row>
        <row r="90">
          <cell r="B90" t="str">
            <v>1. Gasto por impuestos a las ganancias</v>
          </cell>
          <cell r="C90">
            <v>0</v>
          </cell>
          <cell r="D90">
            <v>49855317</v>
          </cell>
          <cell r="E90">
            <v>0</v>
          </cell>
          <cell r="I90">
            <v>49855317</v>
          </cell>
          <cell r="J90">
            <v>-37454846</v>
          </cell>
          <cell r="K90">
            <v>-349335</v>
          </cell>
          <cell r="L90">
            <v>2359819</v>
          </cell>
          <cell r="P90">
            <v>-35444362</v>
          </cell>
        </row>
        <row r="91">
          <cell r="B91" t="str">
            <v>1. Impuesto a la Renta</v>
          </cell>
          <cell r="C91">
            <v>0</v>
          </cell>
          <cell r="D91">
            <v>49855317</v>
          </cell>
          <cell r="E91">
            <v>0</v>
          </cell>
          <cell r="I91">
            <v>49855317</v>
          </cell>
          <cell r="J91">
            <v>-37454846</v>
          </cell>
          <cell r="K91">
            <v>-349335</v>
          </cell>
          <cell r="L91">
            <v>2359819</v>
          </cell>
          <cell r="P91">
            <v>-35444362</v>
          </cell>
        </row>
        <row r="92">
          <cell r="B92" t="str">
            <v>3501002  Impuestos Diferidos</v>
          </cell>
          <cell r="C92">
            <v>0</v>
          </cell>
          <cell r="D92">
            <v>48558411</v>
          </cell>
          <cell r="E92">
            <v>0</v>
          </cell>
          <cell r="I92">
            <v>48558411</v>
          </cell>
          <cell r="J92">
            <v>-37454846</v>
          </cell>
          <cell r="K92">
            <v>-349335</v>
          </cell>
          <cell r="L92">
            <v>2359819</v>
          </cell>
          <cell r="P92">
            <v>-35444362</v>
          </cell>
        </row>
        <row r="93">
          <cell r="B93" t="str">
            <v>4340100000  IMP. L. 824 DE 1974</v>
          </cell>
          <cell r="C93">
            <v>0</v>
          </cell>
          <cell r="D93">
            <v>1296906</v>
          </cell>
          <cell r="I93">
            <v>1296906</v>
          </cell>
        </row>
        <row r="94">
          <cell r="B94" t="str">
            <v>III. (Ganancia) pérdida, atribuible</v>
          </cell>
          <cell r="D94">
            <v>0</v>
          </cell>
          <cell r="F94">
            <v>-1867</v>
          </cell>
          <cell r="G94">
            <v>-8504</v>
          </cell>
          <cell r="H94">
            <v>-4859</v>
          </cell>
          <cell r="I94">
            <v>-15230</v>
          </cell>
          <cell r="M94">
            <v>-536</v>
          </cell>
          <cell r="N94">
            <v>-5884</v>
          </cell>
          <cell r="O94">
            <v>-8881</v>
          </cell>
          <cell r="P94">
            <v>-15301</v>
          </cell>
        </row>
        <row r="95">
          <cell r="B95" t="str">
            <v>d. (Ganancia) pérdida, atribuible a</v>
          </cell>
          <cell r="D95">
            <v>0</v>
          </cell>
          <cell r="F95">
            <v>-1867</v>
          </cell>
          <cell r="G95">
            <v>-8504</v>
          </cell>
          <cell r="H95">
            <v>-4859</v>
          </cell>
          <cell r="I95">
            <v>-15230</v>
          </cell>
          <cell r="M95">
            <v>-536</v>
          </cell>
          <cell r="N95">
            <v>-5884</v>
          </cell>
          <cell r="O95">
            <v>-8881</v>
          </cell>
          <cell r="P95">
            <v>-15301</v>
          </cell>
        </row>
        <row r="96">
          <cell r="B96" t="str">
            <v>1. Ganancia (pérdida), atribuible a participaciones no controladoras</v>
          </cell>
          <cell r="D96">
            <v>0</v>
          </cell>
          <cell r="F96">
            <v>-1867</v>
          </cell>
          <cell r="G96">
            <v>-8504</v>
          </cell>
          <cell r="H96">
            <v>-4859</v>
          </cell>
          <cell r="I96">
            <v>-15230</v>
          </cell>
          <cell r="M96">
            <v>-536</v>
          </cell>
          <cell r="N96">
            <v>-5884</v>
          </cell>
          <cell r="O96">
            <v>-8881</v>
          </cell>
          <cell r="P96">
            <v>-15301</v>
          </cell>
        </row>
        <row r="97">
          <cell r="B97" t="str">
            <v>1. Interés Minoritario</v>
          </cell>
          <cell r="D97">
            <v>0</v>
          </cell>
          <cell r="F97">
            <v>-1867</v>
          </cell>
          <cell r="G97">
            <v>-8504</v>
          </cell>
          <cell r="H97">
            <v>-4859</v>
          </cell>
          <cell r="I97">
            <v>-15230</v>
          </cell>
          <cell r="M97">
            <v>-536</v>
          </cell>
          <cell r="N97">
            <v>-5884</v>
          </cell>
          <cell r="O97">
            <v>-8881</v>
          </cell>
          <cell r="P97">
            <v>-15301</v>
          </cell>
        </row>
        <row r="98">
          <cell r="B98" t="str">
            <v>(Ganancia) pérdida</v>
          </cell>
          <cell r="C98">
            <v>3642708729</v>
          </cell>
          <cell r="D98">
            <v>26799510365</v>
          </cell>
          <cell r="E98">
            <v>36163064829</v>
          </cell>
          <cell r="F98">
            <v>-1146628473</v>
          </cell>
          <cell r="G98">
            <v>-2312755172</v>
          </cell>
          <cell r="H98">
            <v>-3983723831</v>
          </cell>
          <cell r="I98">
            <v>59162176447</v>
          </cell>
          <cell r="J98">
            <v>27826008629</v>
          </cell>
          <cell r="K98">
            <v>62944168180</v>
          </cell>
          <cell r="L98">
            <v>53452419647</v>
          </cell>
          <cell r="M98">
            <v>731284637</v>
          </cell>
          <cell r="N98">
            <v>-4636902890</v>
          </cell>
          <cell r="O98">
            <v>-6833662818</v>
          </cell>
          <cell r="P98">
            <v>133483315385</v>
          </cell>
        </row>
      </sheetData>
      <sheetData sheetId="15">
        <row r="1">
          <cell r="B1" t="str">
            <v>E.F.E.</v>
          </cell>
          <cell r="C1" t="str">
            <v>II  T 2011</v>
          </cell>
          <cell r="D1" t="str">
            <v>I   T 2011</v>
          </cell>
          <cell r="E1" t="str">
            <v>III T 2011</v>
          </cell>
          <cell r="F1" t="str">
            <v>Total 2011</v>
          </cell>
          <cell r="G1" t="str">
            <v>III T 2010</v>
          </cell>
          <cell r="H1" t="str">
            <v>II  T 2010</v>
          </cell>
          <cell r="I1" t="str">
            <v>I   T 2010</v>
          </cell>
          <cell r="J1" t="str">
            <v>Total 2010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</row>
        <row r="2"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  <cell r="AO2">
            <v>40</v>
          </cell>
          <cell r="AP2">
            <v>41</v>
          </cell>
          <cell r="AQ2">
            <v>42</v>
          </cell>
          <cell r="AR2">
            <v>43</v>
          </cell>
          <cell r="AS2">
            <v>44</v>
          </cell>
          <cell r="AT2">
            <v>45</v>
          </cell>
          <cell r="AU2">
            <v>46</v>
          </cell>
          <cell r="AV2">
            <v>47</v>
          </cell>
          <cell r="AW2">
            <v>48</v>
          </cell>
          <cell r="AX2">
            <v>49</v>
          </cell>
          <cell r="AY2">
            <v>50</v>
          </cell>
          <cell r="AZ2">
            <v>51</v>
          </cell>
        </row>
        <row r="3">
          <cell r="B3" t="str">
            <v>FERROCARRILES DEL ESTADO y FILIALES</v>
          </cell>
          <cell r="C3" t="str">
            <v>C</v>
          </cell>
          <cell r="D3" t="str">
            <v>D</v>
          </cell>
          <cell r="E3" t="str">
            <v>E</v>
          </cell>
          <cell r="F3" t="str">
            <v>F</v>
          </cell>
          <cell r="G3" t="str">
            <v>G</v>
          </cell>
          <cell r="H3" t="str">
            <v>H</v>
          </cell>
          <cell r="I3" t="str">
            <v>I</v>
          </cell>
          <cell r="J3" t="str">
            <v>J</v>
          </cell>
          <cell r="K3" t="str">
            <v>K</v>
          </cell>
          <cell r="L3" t="str">
            <v>L</v>
          </cell>
          <cell r="M3" t="str">
            <v>M</v>
          </cell>
          <cell r="N3" t="str">
            <v>N</v>
          </cell>
          <cell r="O3" t="str">
            <v>O</v>
          </cell>
          <cell r="P3" t="str">
            <v>P</v>
          </cell>
          <cell r="Q3" t="str">
            <v>Q</v>
          </cell>
          <cell r="R3" t="str">
            <v>R</v>
          </cell>
          <cell r="S3" t="str">
            <v>S</v>
          </cell>
          <cell r="T3" t="str">
            <v>T</v>
          </cell>
          <cell r="U3" t="str">
            <v>U</v>
          </cell>
          <cell r="V3" t="str">
            <v>V</v>
          </cell>
          <cell r="W3" t="str">
            <v>W</v>
          </cell>
          <cell r="X3" t="str">
            <v>X</v>
          </cell>
          <cell r="Y3" t="str">
            <v>Y</v>
          </cell>
          <cell r="Z3" t="str">
            <v>Z</v>
          </cell>
          <cell r="AA3" t="str">
            <v>AA</v>
          </cell>
          <cell r="AB3" t="str">
            <v>AB</v>
          </cell>
          <cell r="AC3" t="str">
            <v>AC</v>
          </cell>
          <cell r="AD3" t="str">
            <v>AD</v>
          </cell>
          <cell r="AE3" t="str">
            <v>AE</v>
          </cell>
          <cell r="AF3" t="str">
            <v>AF</v>
          </cell>
          <cell r="AG3" t="str">
            <v>AG</v>
          </cell>
          <cell r="AH3" t="str">
            <v>AH</v>
          </cell>
          <cell r="AI3" t="str">
            <v>AI</v>
          </cell>
          <cell r="AJ3" t="str">
            <v>AJ</v>
          </cell>
          <cell r="AK3" t="str">
            <v>AK</v>
          </cell>
          <cell r="AL3" t="str">
            <v>AL</v>
          </cell>
          <cell r="AM3" t="str">
            <v>AM</v>
          </cell>
          <cell r="AN3" t="str">
            <v>AN</v>
          </cell>
          <cell r="AO3" t="str">
            <v>AO</v>
          </cell>
          <cell r="AP3" t="str">
            <v>AP</v>
          </cell>
          <cell r="AQ3" t="str">
            <v>AQ</v>
          </cell>
          <cell r="AR3" t="str">
            <v>AR</v>
          </cell>
          <cell r="AS3" t="str">
            <v>AS</v>
          </cell>
          <cell r="AT3" t="str">
            <v>AT</v>
          </cell>
          <cell r="AU3" t="str">
            <v>AU</v>
          </cell>
          <cell r="AV3" t="str">
            <v>AV</v>
          </cell>
          <cell r="AW3" t="str">
            <v>AW</v>
          </cell>
          <cell r="AX3" t="str">
            <v>AX</v>
          </cell>
          <cell r="AY3" t="str">
            <v>AY</v>
          </cell>
          <cell r="AZ3" t="str">
            <v>AZ</v>
          </cell>
        </row>
        <row r="4">
          <cell r="B4" t="str">
            <v>Resultado por trimestres, netos de eliminaciones de consolidación.</v>
          </cell>
        </row>
        <row r="7">
          <cell r="B7" t="str">
            <v>Empresa</v>
          </cell>
          <cell r="C7" t="str">
            <v>(Varios elementos)</v>
          </cell>
        </row>
        <row r="9">
          <cell r="B9" t="str">
            <v xml:space="preserve"> </v>
          </cell>
          <cell r="C9" t="str">
            <v xml:space="preserve"> </v>
          </cell>
        </row>
        <row r="10">
          <cell r="C10">
            <v>2011</v>
          </cell>
          <cell r="F10" t="str">
            <v>Total 2011</v>
          </cell>
          <cell r="G10">
            <v>2010</v>
          </cell>
          <cell r="J10" t="str">
            <v>Total 2010</v>
          </cell>
        </row>
        <row r="11">
          <cell r="C11" t="str">
            <v>II  T 2011</v>
          </cell>
          <cell r="D11" t="str">
            <v>I   T 2011</v>
          </cell>
          <cell r="E11" t="str">
            <v>III T 2011</v>
          </cell>
          <cell r="G11" t="str">
            <v>III T 2010</v>
          </cell>
          <cell r="H11" t="str">
            <v>II  T 2010</v>
          </cell>
          <cell r="I11" t="str">
            <v>I   T 2010</v>
          </cell>
        </row>
        <row r="12">
          <cell r="B12" t="str">
            <v>Conceptos</v>
          </cell>
        </row>
        <row r="13">
          <cell r="B13" t="str">
            <v>I. (Ganancia) pérdida, antes de impuestos</v>
          </cell>
          <cell r="C13">
            <v>24436908380</v>
          </cell>
          <cell r="D13">
            <v>32179345857</v>
          </cell>
          <cell r="E13">
            <v>2496082123</v>
          </cell>
          <cell r="F13">
            <v>59112336360</v>
          </cell>
          <cell r="G13">
            <v>28594748648</v>
          </cell>
          <cell r="H13">
            <v>58307620509</v>
          </cell>
          <cell r="I13">
            <v>46616405891</v>
          </cell>
          <cell r="J13">
            <v>133518775048</v>
          </cell>
        </row>
        <row r="14">
          <cell r="B14" t="str">
            <v>a. Ganancia bruta</v>
          </cell>
          <cell r="C14">
            <v>8927707224</v>
          </cell>
          <cell r="D14">
            <v>9171815453</v>
          </cell>
          <cell r="E14">
            <v>3415273174</v>
          </cell>
          <cell r="F14">
            <v>21514795851</v>
          </cell>
          <cell r="G14">
            <v>2647294815</v>
          </cell>
          <cell r="H14">
            <v>10343035891</v>
          </cell>
          <cell r="I14">
            <v>9666774622</v>
          </cell>
          <cell r="J14">
            <v>22657105328</v>
          </cell>
        </row>
        <row r="15">
          <cell r="B15" t="str">
            <v>1. Ingresos de actividades ordinarias</v>
          </cell>
          <cell r="C15">
            <v>-8011472936</v>
          </cell>
          <cell r="D15">
            <v>-8051009341</v>
          </cell>
          <cell r="E15">
            <v>-2772562014</v>
          </cell>
          <cell r="F15">
            <v>-18835044291</v>
          </cell>
          <cell r="G15">
            <v>-2372519577</v>
          </cell>
          <cell r="H15">
            <v>-6343025844</v>
          </cell>
          <cell r="I15">
            <v>-6372025286</v>
          </cell>
          <cell r="J15">
            <v>-15087570707</v>
          </cell>
        </row>
        <row r="16">
          <cell r="B16" t="str">
            <v>1. Pasajes Cercanias</v>
          </cell>
          <cell r="C16">
            <v>-3221514051</v>
          </cell>
          <cell r="D16">
            <v>-3280762495</v>
          </cell>
          <cell r="E16">
            <v>-1110468599</v>
          </cell>
          <cell r="F16">
            <v>-7612745145</v>
          </cell>
          <cell r="G16">
            <v>-935568056</v>
          </cell>
          <cell r="H16">
            <v>-2554098278</v>
          </cell>
          <cell r="I16">
            <v>-2477431986</v>
          </cell>
          <cell r="J16">
            <v>-5967098320</v>
          </cell>
        </row>
        <row r="17">
          <cell r="B17" t="str">
            <v>2. Pasajes Largo Recorrido</v>
          </cell>
          <cell r="C17">
            <v>-626080474</v>
          </cell>
          <cell r="D17">
            <v>-484594565</v>
          </cell>
          <cell r="E17">
            <v>-318596351</v>
          </cell>
          <cell r="F17">
            <v>-1429271390</v>
          </cell>
          <cell r="G17">
            <v>-122607186</v>
          </cell>
          <cell r="H17">
            <v>-125025993</v>
          </cell>
          <cell r="I17">
            <v>-1100551630</v>
          </cell>
          <cell r="J17">
            <v>-1348184809</v>
          </cell>
        </row>
        <row r="18">
          <cell r="B18" t="str">
            <v>3. Pasajes Regionales</v>
          </cell>
          <cell r="C18">
            <v>-231481224</v>
          </cell>
          <cell r="D18">
            <v>-244427682</v>
          </cell>
          <cell r="E18">
            <v>-74020515</v>
          </cell>
          <cell r="F18">
            <v>-549929421</v>
          </cell>
          <cell r="G18">
            <v>-55095837</v>
          </cell>
          <cell r="H18">
            <v>-124501822</v>
          </cell>
          <cell r="I18">
            <v>-206689045</v>
          </cell>
          <cell r="J18">
            <v>-386286704</v>
          </cell>
        </row>
        <row r="19">
          <cell r="B19" t="str">
            <v>4. Ingresos Operadores</v>
          </cell>
          <cell r="C19">
            <v>-2378944028</v>
          </cell>
          <cell r="D19">
            <v>-2157882107</v>
          </cell>
          <cell r="E19">
            <v>-808915043</v>
          </cell>
          <cell r="F19">
            <v>-5345741178</v>
          </cell>
          <cell r="G19">
            <v>-888050872</v>
          </cell>
          <cell r="H19">
            <v>-1577819120</v>
          </cell>
          <cell r="I19">
            <v>-1559741305</v>
          </cell>
          <cell r="J19">
            <v>-4025611297</v>
          </cell>
        </row>
        <row r="20">
          <cell r="B20" t="str">
            <v>5. Ingresos Atraviesos</v>
          </cell>
          <cell r="C20">
            <v>-117577340</v>
          </cell>
          <cell r="D20">
            <v>-138591440</v>
          </cell>
          <cell r="E20">
            <v>-47952061</v>
          </cell>
          <cell r="F20">
            <v>-304120841</v>
          </cell>
          <cell r="G20">
            <v>-78654104</v>
          </cell>
          <cell r="H20">
            <v>-386526871</v>
          </cell>
          <cell r="I20">
            <v>-272138983</v>
          </cell>
          <cell r="J20">
            <v>-737319958</v>
          </cell>
        </row>
        <row r="21">
          <cell r="B21" t="str">
            <v>6. Ingresos Inmobiliarios</v>
          </cell>
          <cell r="C21">
            <v>-475942087</v>
          </cell>
          <cell r="D21">
            <v>-897916968</v>
          </cell>
          <cell r="E21">
            <v>-145998138</v>
          </cell>
          <cell r="F21">
            <v>-1519857193</v>
          </cell>
          <cell r="G21">
            <v>-158735316</v>
          </cell>
          <cell r="H21">
            <v>-517117511</v>
          </cell>
          <cell r="I21">
            <v>-457262006</v>
          </cell>
          <cell r="J21">
            <v>-1133114833</v>
          </cell>
        </row>
        <row r="22">
          <cell r="B22" t="str">
            <v>7. Venta de Servicios y Otros</v>
          </cell>
          <cell r="C22">
            <v>-179638372</v>
          </cell>
          <cell r="D22">
            <v>-154266805</v>
          </cell>
          <cell r="E22">
            <v>-23660045</v>
          </cell>
          <cell r="F22">
            <v>-357565222</v>
          </cell>
          <cell r="G22">
            <v>57580933</v>
          </cell>
          <cell r="H22">
            <v>-459065163</v>
          </cell>
          <cell r="I22">
            <v>-230297320</v>
          </cell>
          <cell r="J22">
            <v>-631781550</v>
          </cell>
        </row>
        <row r="23">
          <cell r="B23" t="str">
            <v>8. Transferencias Sector Público</v>
          </cell>
          <cell r="C23">
            <v>-780295360</v>
          </cell>
          <cell r="D23">
            <v>-692567279</v>
          </cell>
          <cell r="E23">
            <v>-242951262</v>
          </cell>
          <cell r="F23">
            <v>-1715813901</v>
          </cell>
          <cell r="G23">
            <v>-191389139</v>
          </cell>
          <cell r="H23">
            <v>-598871086</v>
          </cell>
          <cell r="I23">
            <v>-67913011</v>
          </cell>
          <cell r="J23">
            <v>-858173236</v>
          </cell>
        </row>
        <row r="24">
          <cell r="B24" t="str">
            <v>3141100000  Sub Ramal Talca-Conc</v>
          </cell>
          <cell r="C24">
            <v>-86980000</v>
          </cell>
          <cell r="D24">
            <v>-99267888</v>
          </cell>
          <cell r="E24">
            <v>-31021000</v>
          </cell>
          <cell r="F24">
            <v>-217268888</v>
          </cell>
          <cell r="G24">
            <v>-12821734</v>
          </cell>
          <cell r="H24">
            <v>-22981795</v>
          </cell>
          <cell r="I24">
            <v>-59386667</v>
          </cell>
          <cell r="J24">
            <v>-95190196</v>
          </cell>
        </row>
        <row r="25">
          <cell r="B25" t="str">
            <v>3-1-02-01-01  Ingresos Por Subsidio Al Transporte</v>
          </cell>
          <cell r="C25">
            <v>-577694422</v>
          </cell>
          <cell r="D25">
            <v>-473218977</v>
          </cell>
          <cell r="E25">
            <v>-165914688</v>
          </cell>
          <cell r="F25">
            <v>-1216828087</v>
          </cell>
          <cell r="G25">
            <v>-138319500</v>
          </cell>
          <cell r="H25">
            <v>-476618370</v>
          </cell>
          <cell r="J25">
            <v>-614937870</v>
          </cell>
        </row>
        <row r="26">
          <cell r="B26" t="str">
            <v>3142100000  Subsidio Ministerio Transporte</v>
          </cell>
          <cell r="C26">
            <v>-115620938</v>
          </cell>
          <cell r="D26">
            <v>-120080414</v>
          </cell>
          <cell r="E26">
            <v>-46015574</v>
          </cell>
          <cell r="F26">
            <v>-281716926</v>
          </cell>
          <cell r="G26">
            <v>-40247905</v>
          </cell>
          <cell r="H26">
            <v>-99270921</v>
          </cell>
          <cell r="I26">
            <v>-8526344</v>
          </cell>
          <cell r="J26">
            <v>-148045170</v>
          </cell>
        </row>
        <row r="27">
          <cell r="B27" t="str">
            <v>9. Ing Rec Filial Explotación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 t="str">
            <v>10. Ing Rec Filial Administración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 t="str">
            <v>2. Costo de ventas</v>
          </cell>
          <cell r="C29">
            <v>16939180160</v>
          </cell>
          <cell r="D29">
            <v>17222824794</v>
          </cell>
          <cell r="E29">
            <v>6187835188</v>
          </cell>
          <cell r="F29">
            <v>40349840142</v>
          </cell>
          <cell r="G29">
            <v>5019814392</v>
          </cell>
          <cell r="H29">
            <v>16686061735</v>
          </cell>
          <cell r="I29">
            <v>16038799908</v>
          </cell>
          <cell r="J29">
            <v>37744676035</v>
          </cell>
        </row>
        <row r="30">
          <cell r="B30" t="str">
            <v>1. Energia y Combustibles</v>
          </cell>
          <cell r="C30">
            <v>1131233911</v>
          </cell>
          <cell r="D30">
            <v>1179073884</v>
          </cell>
          <cell r="E30">
            <v>341072623</v>
          </cell>
          <cell r="F30">
            <v>2651380418</v>
          </cell>
          <cell r="G30">
            <v>785440583</v>
          </cell>
          <cell r="H30">
            <v>1304513205</v>
          </cell>
          <cell r="I30">
            <v>1423199706</v>
          </cell>
          <cell r="J30">
            <v>3513153494</v>
          </cell>
        </row>
        <row r="31">
          <cell r="B31" t="str">
            <v>2. Mantenimiento Mat Rodante</v>
          </cell>
          <cell r="C31">
            <v>2453219658</v>
          </cell>
          <cell r="D31">
            <v>1952053640</v>
          </cell>
          <cell r="E31">
            <v>724691634</v>
          </cell>
          <cell r="F31">
            <v>5129964932</v>
          </cell>
          <cell r="G31">
            <v>736044102</v>
          </cell>
          <cell r="H31">
            <v>2075453079</v>
          </cell>
          <cell r="I31">
            <v>2017728063</v>
          </cell>
          <cell r="J31">
            <v>4829225244</v>
          </cell>
        </row>
        <row r="32">
          <cell r="B32" t="str">
            <v>3. Mantenimiento Infraestructura</v>
          </cell>
          <cell r="C32">
            <v>792972974</v>
          </cell>
          <cell r="D32">
            <v>1547333277</v>
          </cell>
          <cell r="E32">
            <v>913920862</v>
          </cell>
          <cell r="F32">
            <v>3254227113</v>
          </cell>
          <cell r="G32">
            <v>-218224608</v>
          </cell>
          <cell r="H32">
            <v>1474183889</v>
          </cell>
          <cell r="I32">
            <v>881288905</v>
          </cell>
          <cell r="J32">
            <v>2137248186</v>
          </cell>
        </row>
        <row r="33">
          <cell r="B33" t="str">
            <v>4. Mantenimiento SEC y Tráfico</v>
          </cell>
          <cell r="C33">
            <v>1489083471</v>
          </cell>
          <cell r="D33">
            <v>1532663307</v>
          </cell>
          <cell r="E33">
            <v>524134567</v>
          </cell>
          <cell r="F33">
            <v>3545881345</v>
          </cell>
          <cell r="G33">
            <v>450537706</v>
          </cell>
          <cell r="H33">
            <v>1550061793</v>
          </cell>
          <cell r="I33">
            <v>1285176049</v>
          </cell>
          <cell r="J33">
            <v>3285775548</v>
          </cell>
        </row>
        <row r="34">
          <cell r="B34" t="str">
            <v>5. Serv Guardia y Guarda Cruce</v>
          </cell>
          <cell r="C34">
            <v>843419435</v>
          </cell>
          <cell r="D34">
            <v>857116937</v>
          </cell>
          <cell r="E34">
            <v>318585223</v>
          </cell>
          <cell r="F34">
            <v>2019121595</v>
          </cell>
          <cell r="G34">
            <v>211569166</v>
          </cell>
          <cell r="H34">
            <v>1368312005</v>
          </cell>
          <cell r="I34">
            <v>469989132</v>
          </cell>
          <cell r="J34">
            <v>2049870303</v>
          </cell>
        </row>
        <row r="35">
          <cell r="B35" t="str">
            <v>6. Serv Terceros y Ventas</v>
          </cell>
          <cell r="C35">
            <v>822015879</v>
          </cell>
          <cell r="D35">
            <v>846509245</v>
          </cell>
          <cell r="E35">
            <v>293904733</v>
          </cell>
          <cell r="F35">
            <v>1962429857</v>
          </cell>
          <cell r="G35">
            <v>223561196</v>
          </cell>
          <cell r="H35">
            <v>610278442</v>
          </cell>
          <cell r="I35">
            <v>891020994</v>
          </cell>
          <cell r="J35">
            <v>1724860632</v>
          </cell>
        </row>
        <row r="36">
          <cell r="B36" t="str">
            <v>7. Remuneraciones Fijas</v>
          </cell>
          <cell r="C36">
            <v>1906030149</v>
          </cell>
          <cell r="D36">
            <v>1754615724</v>
          </cell>
          <cell r="E36">
            <v>626183127</v>
          </cell>
          <cell r="F36">
            <v>4286829000</v>
          </cell>
          <cell r="G36">
            <v>621141371</v>
          </cell>
          <cell r="H36">
            <v>1839816421</v>
          </cell>
          <cell r="I36">
            <v>1802917261</v>
          </cell>
          <cell r="J36">
            <v>4263875053</v>
          </cell>
        </row>
        <row r="37">
          <cell r="B37" t="str">
            <v>8. Remuneraciones Variables</v>
          </cell>
          <cell r="C37">
            <v>1049034127</v>
          </cell>
          <cell r="D37">
            <v>984465262</v>
          </cell>
          <cell r="E37">
            <v>379545992</v>
          </cell>
          <cell r="F37">
            <v>2413045381</v>
          </cell>
          <cell r="G37">
            <v>303155057</v>
          </cell>
          <cell r="H37">
            <v>806804202</v>
          </cell>
          <cell r="I37">
            <v>916286859</v>
          </cell>
          <cell r="J37">
            <v>2026246118</v>
          </cell>
        </row>
        <row r="38">
          <cell r="B38" t="str">
            <v>9. Provisiones e indemnizaciones</v>
          </cell>
          <cell r="C38">
            <v>24124039</v>
          </cell>
          <cell r="D38">
            <v>-52333282</v>
          </cell>
          <cell r="E38">
            <v>6518788</v>
          </cell>
          <cell r="F38">
            <v>-21690455</v>
          </cell>
          <cell r="G38">
            <v>360779</v>
          </cell>
          <cell r="H38">
            <v>148777943</v>
          </cell>
          <cell r="I38">
            <v>-28478187</v>
          </cell>
          <cell r="J38">
            <v>120660535</v>
          </cell>
        </row>
        <row r="39">
          <cell r="B39" t="str">
            <v>11. Depreciación</v>
          </cell>
          <cell r="C39">
            <v>6428046517</v>
          </cell>
          <cell r="D39">
            <v>6621326800</v>
          </cell>
          <cell r="E39">
            <v>2059277639</v>
          </cell>
          <cell r="F39">
            <v>15108650956</v>
          </cell>
          <cell r="G39">
            <v>1906229040</v>
          </cell>
          <cell r="H39">
            <v>5507860756</v>
          </cell>
          <cell r="I39">
            <v>6379671126</v>
          </cell>
          <cell r="J39">
            <v>13793760922</v>
          </cell>
        </row>
        <row r="40">
          <cell r="B40" t="str">
            <v>b. (Ganancia) pérdida</v>
          </cell>
          <cell r="C40">
            <v>15509201156</v>
          </cell>
          <cell r="D40">
            <v>23007530404</v>
          </cell>
          <cell r="E40">
            <v>-919191051</v>
          </cell>
          <cell r="F40">
            <v>37597540509</v>
          </cell>
          <cell r="G40">
            <v>25947453833</v>
          </cell>
          <cell r="H40">
            <v>47964584618</v>
          </cell>
          <cell r="I40">
            <v>36949631269</v>
          </cell>
          <cell r="J40">
            <v>110861669720</v>
          </cell>
        </row>
        <row r="41">
          <cell r="B41" t="str">
            <v>1. Ganancias que surgen de la baja en cuentas de activos financieros medidos al costo amortizado</v>
          </cell>
          <cell r="C41">
            <v>-377837024</v>
          </cell>
          <cell r="D41">
            <v>-232047811</v>
          </cell>
          <cell r="E41">
            <v>-112583663</v>
          </cell>
          <cell r="F41">
            <v>-722468498</v>
          </cell>
          <cell r="G41">
            <v>-12657601</v>
          </cell>
          <cell r="H41">
            <v>-72637763</v>
          </cell>
          <cell r="I41">
            <v>0</v>
          </cell>
          <cell r="J41">
            <v>-85295364</v>
          </cell>
        </row>
        <row r="42">
          <cell r="B42" t="str">
            <v>1. Ganancias x Baja Cta Activo Financiero</v>
          </cell>
          <cell r="C42">
            <v>-377837024</v>
          </cell>
          <cell r="D42">
            <v>-232047811</v>
          </cell>
          <cell r="E42">
            <v>-112583663</v>
          </cell>
          <cell r="F42">
            <v>-722468498</v>
          </cell>
          <cell r="G42">
            <v>-12657601</v>
          </cell>
          <cell r="H42">
            <v>-72637763</v>
          </cell>
          <cell r="I42">
            <v>0</v>
          </cell>
          <cell r="J42">
            <v>-85295364</v>
          </cell>
        </row>
        <row r="43">
          <cell r="B43" t="str">
            <v>5. Gasto de administración</v>
          </cell>
          <cell r="C43">
            <v>4078925901</v>
          </cell>
          <cell r="D43">
            <v>3516444967</v>
          </cell>
          <cell r="E43">
            <v>1232053945</v>
          </cell>
          <cell r="F43">
            <v>8827424813</v>
          </cell>
          <cell r="G43">
            <v>1286247396</v>
          </cell>
          <cell r="H43">
            <v>3906460617</v>
          </cell>
          <cell r="I43">
            <v>3416615917</v>
          </cell>
          <cell r="J43">
            <v>8609323930</v>
          </cell>
        </row>
        <row r="44">
          <cell r="B44" t="str">
            <v>1. Remuneraciones Fijas</v>
          </cell>
          <cell r="C44">
            <v>1133964290</v>
          </cell>
          <cell r="D44">
            <v>1150678860</v>
          </cell>
          <cell r="E44">
            <v>410518331</v>
          </cell>
          <cell r="F44">
            <v>2695161481</v>
          </cell>
          <cell r="G44">
            <v>423143687</v>
          </cell>
          <cell r="H44">
            <v>1234972647</v>
          </cell>
          <cell r="I44">
            <v>1292946991</v>
          </cell>
          <cell r="J44">
            <v>2951063325</v>
          </cell>
        </row>
        <row r="45">
          <cell r="B45" t="str">
            <v>2. Remuneraciones Variables</v>
          </cell>
          <cell r="C45">
            <v>109869970</v>
          </cell>
          <cell r="D45">
            <v>99646069</v>
          </cell>
          <cell r="E45">
            <v>86366662</v>
          </cell>
          <cell r="F45">
            <v>295882701</v>
          </cell>
          <cell r="G45">
            <v>121038150</v>
          </cell>
          <cell r="H45">
            <v>356335743</v>
          </cell>
          <cell r="I45">
            <v>331087712</v>
          </cell>
          <cell r="J45">
            <v>808461605</v>
          </cell>
        </row>
        <row r="46">
          <cell r="B46" t="str">
            <v>3. Provisiones e indemnizaciones</v>
          </cell>
          <cell r="C46">
            <v>294018008</v>
          </cell>
          <cell r="D46">
            <v>110189044</v>
          </cell>
          <cell r="E46">
            <v>53447860</v>
          </cell>
          <cell r="F46">
            <v>457654912</v>
          </cell>
          <cell r="G46">
            <v>45287141</v>
          </cell>
          <cell r="H46">
            <v>-92530439</v>
          </cell>
          <cell r="I46">
            <v>4691538</v>
          </cell>
          <cell r="J46">
            <v>-42551760</v>
          </cell>
        </row>
        <row r="47">
          <cell r="B47" t="str">
            <v>4. Otros Gastos en Personal</v>
          </cell>
          <cell r="C47">
            <v>288820277</v>
          </cell>
          <cell r="D47">
            <v>269799149</v>
          </cell>
          <cell r="E47">
            <v>137221122</v>
          </cell>
          <cell r="F47">
            <v>695840548</v>
          </cell>
          <cell r="G47">
            <v>81874519</v>
          </cell>
          <cell r="H47">
            <v>284734197</v>
          </cell>
          <cell r="I47">
            <v>230995916</v>
          </cell>
          <cell r="J47">
            <v>597604632</v>
          </cell>
        </row>
        <row r="48">
          <cell r="B48" t="str">
            <v>7. Investigacion y Desarrollo</v>
          </cell>
          <cell r="C48">
            <v>298555649</v>
          </cell>
          <cell r="D48">
            <v>320921780</v>
          </cell>
          <cell r="E48">
            <v>128379144</v>
          </cell>
          <cell r="F48">
            <v>747856573</v>
          </cell>
          <cell r="G48">
            <v>125973173</v>
          </cell>
          <cell r="H48">
            <v>205841564</v>
          </cell>
          <cell r="I48">
            <v>204683224</v>
          </cell>
          <cell r="J48">
            <v>536497961</v>
          </cell>
        </row>
        <row r="49">
          <cell r="B49" t="str">
            <v>8. Costo Mercadotecnia</v>
          </cell>
          <cell r="C49">
            <v>68742186</v>
          </cell>
          <cell r="D49">
            <v>110404950</v>
          </cell>
          <cell r="E49">
            <v>13068003</v>
          </cell>
          <cell r="F49">
            <v>192215139</v>
          </cell>
          <cell r="G49">
            <v>31314885</v>
          </cell>
          <cell r="H49">
            <v>106932901</v>
          </cell>
          <cell r="I49">
            <v>71029056</v>
          </cell>
          <cell r="J49">
            <v>209276842</v>
          </cell>
        </row>
        <row r="50">
          <cell r="B50" t="str">
            <v>9. Informática y Comunicaciones</v>
          </cell>
          <cell r="C50">
            <v>407980774</v>
          </cell>
          <cell r="D50">
            <v>315189641</v>
          </cell>
          <cell r="E50">
            <v>-42266800</v>
          </cell>
          <cell r="F50">
            <v>680903615</v>
          </cell>
          <cell r="G50">
            <v>46974081</v>
          </cell>
          <cell r="H50">
            <v>317392386</v>
          </cell>
          <cell r="I50">
            <v>146102742</v>
          </cell>
          <cell r="J50">
            <v>510469209</v>
          </cell>
        </row>
        <row r="51">
          <cell r="B51" t="str">
            <v>10. Consumos Basicos</v>
          </cell>
          <cell r="C51">
            <v>341922334</v>
          </cell>
          <cell r="D51">
            <v>348834896</v>
          </cell>
          <cell r="E51">
            <v>90301098</v>
          </cell>
          <cell r="F51">
            <v>781058328</v>
          </cell>
          <cell r="G51">
            <v>140033886</v>
          </cell>
          <cell r="H51">
            <v>422477390</v>
          </cell>
          <cell r="I51">
            <v>275336597</v>
          </cell>
          <cell r="J51">
            <v>837847873</v>
          </cell>
        </row>
        <row r="52">
          <cell r="B52" t="str">
            <v>11. Fletes y Seguros</v>
          </cell>
          <cell r="C52">
            <v>414522437</v>
          </cell>
          <cell r="D52">
            <v>331286544</v>
          </cell>
          <cell r="E52">
            <v>120495201</v>
          </cell>
          <cell r="F52">
            <v>866304182</v>
          </cell>
          <cell r="G52">
            <v>58261028</v>
          </cell>
          <cell r="H52">
            <v>431342216</v>
          </cell>
          <cell r="I52">
            <v>208902560</v>
          </cell>
          <cell r="J52">
            <v>698505804</v>
          </cell>
        </row>
        <row r="53">
          <cell r="B53" t="str">
            <v>12. Serv Administración</v>
          </cell>
          <cell r="C53">
            <v>440500809</v>
          </cell>
          <cell r="D53">
            <v>188494546</v>
          </cell>
          <cell r="E53">
            <v>148334884</v>
          </cell>
          <cell r="F53">
            <v>777330239</v>
          </cell>
          <cell r="G53">
            <v>101789318</v>
          </cell>
          <cell r="H53">
            <v>227384758</v>
          </cell>
          <cell r="I53">
            <v>206149211</v>
          </cell>
          <cell r="J53">
            <v>535323287</v>
          </cell>
        </row>
        <row r="54">
          <cell r="B54" t="str">
            <v>13. Patentes e Incobrables</v>
          </cell>
          <cell r="C54">
            <v>3400</v>
          </cell>
          <cell r="D54">
            <v>0</v>
          </cell>
          <cell r="E54">
            <v>0</v>
          </cell>
          <cell r="F54">
            <v>3400</v>
          </cell>
          <cell r="G54">
            <v>8251015</v>
          </cell>
          <cell r="H54">
            <v>37797414</v>
          </cell>
          <cell r="I54">
            <v>827714</v>
          </cell>
          <cell r="J54">
            <v>46876143</v>
          </cell>
        </row>
        <row r="55">
          <cell r="B55" t="str">
            <v>14. Gastos Generales</v>
          </cell>
          <cell r="C55">
            <v>216642762</v>
          </cell>
          <cell r="D55">
            <v>212091205</v>
          </cell>
          <cell r="E55">
            <v>64846127</v>
          </cell>
          <cell r="F55">
            <v>493580094</v>
          </cell>
          <cell r="G55">
            <v>53224563</v>
          </cell>
          <cell r="H55">
            <v>175228308</v>
          </cell>
          <cell r="I55">
            <v>199874870</v>
          </cell>
          <cell r="J55">
            <v>428327741</v>
          </cell>
        </row>
        <row r="56">
          <cell r="B56" t="str">
            <v>16. Depreciación</v>
          </cell>
          <cell r="C56">
            <v>42784309</v>
          </cell>
          <cell r="D56">
            <v>40132898</v>
          </cell>
          <cell r="E56">
            <v>14806758</v>
          </cell>
          <cell r="F56">
            <v>97723965</v>
          </cell>
          <cell r="G56">
            <v>14832569</v>
          </cell>
          <cell r="H56">
            <v>37641140</v>
          </cell>
          <cell r="I56">
            <v>53187900</v>
          </cell>
          <cell r="J56">
            <v>105661609</v>
          </cell>
        </row>
        <row r="57">
          <cell r="B57" t="str">
            <v>17. IVA No recuperable</v>
          </cell>
          <cell r="C57">
            <v>20598696</v>
          </cell>
          <cell r="D57">
            <v>18775385</v>
          </cell>
          <cell r="E57">
            <v>6535555</v>
          </cell>
          <cell r="F57">
            <v>45909636</v>
          </cell>
          <cell r="G57">
            <v>34249381</v>
          </cell>
          <cell r="H57">
            <v>160910392</v>
          </cell>
          <cell r="I57">
            <v>190799886</v>
          </cell>
          <cell r="J57">
            <v>385959659</v>
          </cell>
        </row>
        <row r="58">
          <cell r="B58" t="str">
            <v>7. Otras ganancias (pérdidas)</v>
          </cell>
          <cell r="C58">
            <v>543944579</v>
          </cell>
          <cell r="D58">
            <v>-426332987</v>
          </cell>
          <cell r="E58">
            <v>-182078093</v>
          </cell>
          <cell r="F58">
            <v>-64466501</v>
          </cell>
          <cell r="G58">
            <v>154525390</v>
          </cell>
          <cell r="H58">
            <v>9515217167</v>
          </cell>
          <cell r="I58">
            <v>16702638978</v>
          </cell>
          <cell r="J58">
            <v>26372381535</v>
          </cell>
        </row>
        <row r="59">
          <cell r="B59" t="str">
            <v>1. Ingresos Fuera de Explotación</v>
          </cell>
          <cell r="C59">
            <v>-181656920</v>
          </cell>
          <cell r="D59">
            <v>-487064586</v>
          </cell>
          <cell r="E59">
            <v>-375818912</v>
          </cell>
          <cell r="F59">
            <v>-1044540418</v>
          </cell>
          <cell r="G59">
            <v>-108198787</v>
          </cell>
          <cell r="H59">
            <v>25962973</v>
          </cell>
          <cell r="I59">
            <v>-681189299</v>
          </cell>
          <cell r="J59">
            <v>-763425113</v>
          </cell>
        </row>
        <row r="60">
          <cell r="B60" t="str">
            <v>2. Ingresos Sector Público</v>
          </cell>
          <cell r="C60">
            <v>153416884</v>
          </cell>
          <cell r="D60">
            <v>-153416884</v>
          </cell>
          <cell r="E60">
            <v>0</v>
          </cell>
          <cell r="F60">
            <v>0</v>
          </cell>
          <cell r="G60">
            <v>0</v>
          </cell>
          <cell r="H60">
            <v>9737858081</v>
          </cell>
          <cell r="I60">
            <v>-9737858081</v>
          </cell>
          <cell r="J60">
            <v>0</v>
          </cell>
        </row>
        <row r="61">
          <cell r="B61" t="str">
            <v>3. Otros Gastos Fuera Explotación</v>
          </cell>
          <cell r="C61">
            <v>572184615</v>
          </cell>
          <cell r="D61">
            <v>214148483</v>
          </cell>
          <cell r="E61">
            <v>193740819</v>
          </cell>
          <cell r="F61">
            <v>980073917</v>
          </cell>
          <cell r="G61">
            <v>262724177</v>
          </cell>
          <cell r="H61">
            <v>-248603887</v>
          </cell>
          <cell r="I61">
            <v>27121686358</v>
          </cell>
          <cell r="J61">
            <v>27135806648</v>
          </cell>
        </row>
        <row r="62">
          <cell r="B62" t="str">
            <v>8. Ingresos financieros</v>
          </cell>
          <cell r="C62">
            <v>-63934998</v>
          </cell>
          <cell r="D62">
            <v>-49041556</v>
          </cell>
          <cell r="E62">
            <v>-4525979</v>
          </cell>
          <cell r="F62">
            <v>-117502533</v>
          </cell>
          <cell r="G62">
            <v>-2261586</v>
          </cell>
          <cell r="H62">
            <v>587570099</v>
          </cell>
          <cell r="I62">
            <v>-602954777</v>
          </cell>
          <cell r="J62">
            <v>-17646264</v>
          </cell>
        </row>
        <row r="63">
          <cell r="B63" t="str">
            <v>1. Ingresos Financieros</v>
          </cell>
          <cell r="C63">
            <v>-63934998</v>
          </cell>
          <cell r="D63">
            <v>-49041556</v>
          </cell>
          <cell r="E63">
            <v>-4525979</v>
          </cell>
          <cell r="F63">
            <v>-117502533</v>
          </cell>
          <cell r="G63">
            <v>-2261586</v>
          </cell>
          <cell r="H63">
            <v>587570099</v>
          </cell>
          <cell r="I63">
            <v>-602954777</v>
          </cell>
          <cell r="J63">
            <v>-17646264</v>
          </cell>
        </row>
        <row r="64">
          <cell r="B64" t="str">
            <v>9. Costos financieros</v>
          </cell>
          <cell r="C64">
            <v>11225225355</v>
          </cell>
          <cell r="D64">
            <v>9793229495</v>
          </cell>
          <cell r="E64">
            <v>3678097928</v>
          </cell>
          <cell r="F64">
            <v>24696552778</v>
          </cell>
          <cell r="G64">
            <v>2834186727</v>
          </cell>
          <cell r="H64">
            <v>10428662871</v>
          </cell>
          <cell r="I64">
            <v>10501319973</v>
          </cell>
          <cell r="J64">
            <v>23764169571</v>
          </cell>
        </row>
        <row r="65">
          <cell r="B65" t="str">
            <v>1. Costos Financieros</v>
          </cell>
          <cell r="C65">
            <v>11225225355</v>
          </cell>
          <cell r="D65">
            <v>9793229495</v>
          </cell>
          <cell r="E65">
            <v>3678097928</v>
          </cell>
          <cell r="F65">
            <v>24696552778</v>
          </cell>
          <cell r="G65">
            <v>2834186727</v>
          </cell>
          <cell r="H65">
            <v>10428662871</v>
          </cell>
          <cell r="I65">
            <v>10501319973</v>
          </cell>
          <cell r="J65">
            <v>23764169571</v>
          </cell>
        </row>
        <row r="66">
          <cell r="B66" t="str">
            <v>10. Participación en las ganancias (pérdidas) de asociadas y negocios conjuntos que se contabilicen utilizando el método de la participación</v>
          </cell>
          <cell r="C66">
            <v>-258207928</v>
          </cell>
          <cell r="D66">
            <v>-278743250</v>
          </cell>
          <cell r="E66">
            <v>-20</v>
          </cell>
          <cell r="F66">
            <v>-536951198</v>
          </cell>
          <cell r="G66">
            <v>0</v>
          </cell>
          <cell r="H66">
            <v>134500224</v>
          </cell>
          <cell r="I66">
            <v>-384140590</v>
          </cell>
          <cell r="J66">
            <v>-249640366</v>
          </cell>
        </row>
        <row r="67">
          <cell r="B67" t="str">
            <v>1. Participación Inversión en asociadas</v>
          </cell>
          <cell r="C67">
            <v>20</v>
          </cell>
          <cell r="D67">
            <v>0</v>
          </cell>
          <cell r="E67">
            <v>-20</v>
          </cell>
          <cell r="F67">
            <v>0</v>
          </cell>
          <cell r="G67">
            <v>0</v>
          </cell>
          <cell r="H67">
            <v>134500224</v>
          </cell>
          <cell r="I67">
            <v>-384140590</v>
          </cell>
          <cell r="J67">
            <v>-249640366</v>
          </cell>
        </row>
        <row r="68">
          <cell r="B68" t="str">
            <v>4310940000  Pérdida Inversión Asociadas</v>
          </cell>
          <cell r="C68">
            <v>20</v>
          </cell>
          <cell r="D68">
            <v>0</v>
          </cell>
          <cell r="E68">
            <v>-20</v>
          </cell>
          <cell r="F68">
            <v>0</v>
          </cell>
          <cell r="G68">
            <v>0</v>
          </cell>
          <cell r="H68">
            <v>390912754</v>
          </cell>
          <cell r="I68">
            <v>-384140590</v>
          </cell>
          <cell r="J68">
            <v>6772164</v>
          </cell>
        </row>
        <row r="69">
          <cell r="B69" t="str">
            <v>3212100000  Utilidad Inversión Asociadas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-256412530</v>
          </cell>
          <cell r="I69">
            <v>0</v>
          </cell>
          <cell r="J69">
            <v>-256412530</v>
          </cell>
        </row>
        <row r="70">
          <cell r="B70" t="str">
            <v>2. Participación Inversión en otras asociadas</v>
          </cell>
          <cell r="C70">
            <v>-258207948</v>
          </cell>
          <cell r="D70">
            <v>-278743250</v>
          </cell>
          <cell r="E70">
            <v>0</v>
          </cell>
          <cell r="F70">
            <v>-536951198</v>
          </cell>
        </row>
        <row r="71">
          <cell r="B71" t="str">
            <v>3212100001  Utilidad Inversión Otras asociadas</v>
          </cell>
          <cell r="C71">
            <v>-257851998</v>
          </cell>
          <cell r="D71">
            <v>-279099200</v>
          </cell>
          <cell r="E71">
            <v>0</v>
          </cell>
          <cell r="F71">
            <v>-536951198</v>
          </cell>
        </row>
        <row r="72">
          <cell r="B72" t="str">
            <v>4310940001  Pérdida Inversión Otras asociadas</v>
          </cell>
          <cell r="C72">
            <v>-355950</v>
          </cell>
          <cell r="D72">
            <v>355950</v>
          </cell>
          <cell r="E72">
            <v>0</v>
          </cell>
          <cell r="F72">
            <v>0</v>
          </cell>
        </row>
        <row r="73">
          <cell r="B73" t="str">
            <v>11. Diferencias de cambio</v>
          </cell>
          <cell r="C73">
            <v>-8082160315</v>
          </cell>
          <cell r="D73">
            <v>7522711293</v>
          </cell>
          <cell r="E73">
            <v>-7025098851</v>
          </cell>
          <cell r="F73">
            <v>-7584547873</v>
          </cell>
          <cell r="G73">
            <v>22593608950</v>
          </cell>
          <cell r="H73">
            <v>13595014683</v>
          </cell>
          <cell r="I73">
            <v>10109808132</v>
          </cell>
          <cell r="J73">
            <v>46298431765</v>
          </cell>
        </row>
        <row r="74">
          <cell r="B74" t="str">
            <v>1. Diferencia de Cambio</v>
          </cell>
          <cell r="C74">
            <v>-8082160315</v>
          </cell>
          <cell r="D74">
            <v>7522711293</v>
          </cell>
          <cell r="E74">
            <v>-7025098851</v>
          </cell>
          <cell r="F74">
            <v>-7584547873</v>
          </cell>
          <cell r="G74">
            <v>22593608950</v>
          </cell>
          <cell r="H74">
            <v>13595014683</v>
          </cell>
          <cell r="I74">
            <v>10109808132</v>
          </cell>
          <cell r="J74">
            <v>46298431765</v>
          </cell>
        </row>
        <row r="75">
          <cell r="B75" t="str">
            <v>12. Resultados por unidades de reajuste</v>
          </cell>
          <cell r="C75">
            <v>8588438031</v>
          </cell>
          <cell r="D75">
            <v>3266957189</v>
          </cell>
          <cell r="E75">
            <v>1560060100</v>
          </cell>
          <cell r="F75">
            <v>13415455320</v>
          </cell>
          <cell r="G75">
            <v>-899857964</v>
          </cell>
          <cell r="H75">
            <v>9899320909</v>
          </cell>
          <cell r="I75">
            <v>-2793656364</v>
          </cell>
          <cell r="J75">
            <v>6205806581</v>
          </cell>
        </row>
        <row r="76">
          <cell r="B76" t="str">
            <v>1. Resultado Unidad de Reajuste</v>
          </cell>
          <cell r="C76">
            <v>8588438031</v>
          </cell>
          <cell r="D76">
            <v>3266957189</v>
          </cell>
          <cell r="E76">
            <v>1560060100</v>
          </cell>
          <cell r="F76">
            <v>13415455320</v>
          </cell>
          <cell r="G76">
            <v>-899857964</v>
          </cell>
          <cell r="H76">
            <v>9899320909</v>
          </cell>
          <cell r="I76">
            <v>-2793656364</v>
          </cell>
          <cell r="J76">
            <v>6205806581</v>
          </cell>
        </row>
        <row r="77">
          <cell r="B77" t="str">
            <v>13. Ganancias (pérdidas) que surgen de la diferencia entre el valor libro anterior y el valor justo de activos financieros reclasificados medidos a valor razonable</v>
          </cell>
          <cell r="C77">
            <v>-145192445</v>
          </cell>
          <cell r="D77">
            <v>-105646936</v>
          </cell>
          <cell r="E77">
            <v>-65116418</v>
          </cell>
          <cell r="F77">
            <v>-315955799</v>
          </cell>
          <cell r="G77">
            <v>-8188475</v>
          </cell>
          <cell r="H77">
            <v>-29524189</v>
          </cell>
          <cell r="I77">
            <v>0</v>
          </cell>
          <cell r="J77">
            <v>-37712664</v>
          </cell>
        </row>
        <row r="78">
          <cell r="B78" t="str">
            <v>1. Ganancias x Baja Cta Activo Financiero</v>
          </cell>
          <cell r="C78">
            <v>-145192445</v>
          </cell>
          <cell r="D78">
            <v>-105646936</v>
          </cell>
          <cell r="E78">
            <v>-65116418</v>
          </cell>
          <cell r="F78">
            <v>-315955799</v>
          </cell>
          <cell r="G78">
            <v>-8188475</v>
          </cell>
          <cell r="H78">
            <v>-29524189</v>
          </cell>
          <cell r="I78">
            <v>0</v>
          </cell>
          <cell r="J78">
            <v>-37712664</v>
          </cell>
        </row>
        <row r="79">
          <cell r="B79" t="str">
            <v>2. Pérdidas que surgen de la baja en cuentas de activos financieros medidos al costo amortizado</v>
          </cell>
          <cell r="D79">
            <v>0</v>
          </cell>
          <cell r="F79">
            <v>0</v>
          </cell>
          <cell r="G79">
            <v>1850996</v>
          </cell>
          <cell r="J79">
            <v>1850996</v>
          </cell>
        </row>
        <row r="80">
          <cell r="B80" t="str">
            <v>1. Pérdida x Baja Activo Financiero</v>
          </cell>
          <cell r="D80">
            <v>0</v>
          </cell>
          <cell r="F80">
            <v>0</v>
          </cell>
          <cell r="G80">
            <v>1850996</v>
          </cell>
          <cell r="J80">
            <v>1850996</v>
          </cell>
        </row>
        <row r="81">
          <cell r="B81" t="str">
            <v>II. Gasto por impuestos</v>
          </cell>
          <cell r="C81">
            <v>49855317</v>
          </cell>
          <cell r="D81">
            <v>0</v>
          </cell>
          <cell r="E81">
            <v>0</v>
          </cell>
          <cell r="F81">
            <v>49855317</v>
          </cell>
          <cell r="G81">
            <v>-37454846</v>
          </cell>
          <cell r="H81">
            <v>-349335</v>
          </cell>
          <cell r="I81">
            <v>2359819</v>
          </cell>
          <cell r="J81">
            <v>-35444362</v>
          </cell>
        </row>
        <row r="82">
          <cell r="B82" t="str">
            <v>c. Impuestos</v>
          </cell>
          <cell r="C82">
            <v>49855317</v>
          </cell>
          <cell r="D82">
            <v>0</v>
          </cell>
          <cell r="E82">
            <v>0</v>
          </cell>
          <cell r="F82">
            <v>49855317</v>
          </cell>
          <cell r="G82">
            <v>-37454846</v>
          </cell>
          <cell r="H82">
            <v>-349335</v>
          </cell>
          <cell r="I82">
            <v>2359819</v>
          </cell>
          <cell r="J82">
            <v>-35444362</v>
          </cell>
        </row>
        <row r="83">
          <cell r="B83" t="str">
            <v>1. Gasto por impuestos a las ganancias</v>
          </cell>
          <cell r="C83">
            <v>49855317</v>
          </cell>
          <cell r="D83">
            <v>0</v>
          </cell>
          <cell r="E83">
            <v>0</v>
          </cell>
          <cell r="F83">
            <v>49855317</v>
          </cell>
          <cell r="G83">
            <v>-37454846</v>
          </cell>
          <cell r="H83">
            <v>-349335</v>
          </cell>
          <cell r="I83">
            <v>2359819</v>
          </cell>
          <cell r="J83">
            <v>-35444362</v>
          </cell>
        </row>
        <row r="84">
          <cell r="B84" t="str">
            <v>1. Impuesto a la Renta</v>
          </cell>
          <cell r="C84">
            <v>49855317</v>
          </cell>
          <cell r="D84">
            <v>0</v>
          </cell>
          <cell r="E84">
            <v>0</v>
          </cell>
          <cell r="F84">
            <v>49855317</v>
          </cell>
          <cell r="G84">
            <v>-37454846</v>
          </cell>
          <cell r="H84">
            <v>-349335</v>
          </cell>
          <cell r="I84">
            <v>2359819</v>
          </cell>
          <cell r="J84">
            <v>-35444362</v>
          </cell>
        </row>
        <row r="85">
          <cell r="B85" t="str">
            <v>III. (Ganancia) pérdida, atribuible</v>
          </cell>
          <cell r="C85">
            <v>-8504</v>
          </cell>
          <cell r="D85">
            <v>-4859</v>
          </cell>
          <cell r="E85">
            <v>-1867</v>
          </cell>
          <cell r="F85">
            <v>-15230</v>
          </cell>
          <cell r="G85">
            <v>-536</v>
          </cell>
          <cell r="H85">
            <v>-5884</v>
          </cell>
          <cell r="I85">
            <v>-8881</v>
          </cell>
          <cell r="J85">
            <v>-15301</v>
          </cell>
        </row>
        <row r="86">
          <cell r="B86" t="str">
            <v>d. (Ganancia) pérdida, atribuible a</v>
          </cell>
          <cell r="C86">
            <v>-8504</v>
          </cell>
          <cell r="D86">
            <v>-4859</v>
          </cell>
          <cell r="E86">
            <v>-1867</v>
          </cell>
          <cell r="F86">
            <v>-15230</v>
          </cell>
          <cell r="G86">
            <v>-536</v>
          </cell>
          <cell r="H86">
            <v>-5884</v>
          </cell>
          <cell r="I86">
            <v>-8881</v>
          </cell>
          <cell r="J86">
            <v>-15301</v>
          </cell>
        </row>
        <row r="87">
          <cell r="B87" t="str">
            <v>1. Ganancia (pérdida), atribuible a participaciones no controladoras</v>
          </cell>
          <cell r="C87">
            <v>-8504</v>
          </cell>
          <cell r="D87">
            <v>-4859</v>
          </cell>
          <cell r="E87">
            <v>-1867</v>
          </cell>
          <cell r="F87">
            <v>-15230</v>
          </cell>
          <cell r="G87">
            <v>-536</v>
          </cell>
          <cell r="H87">
            <v>-5884</v>
          </cell>
          <cell r="I87">
            <v>-8881</v>
          </cell>
          <cell r="J87">
            <v>-15301</v>
          </cell>
        </row>
        <row r="88">
          <cell r="B88" t="str">
            <v>1. Interés Minoritario</v>
          </cell>
          <cell r="C88">
            <v>-8504</v>
          </cell>
          <cell r="D88">
            <v>-4859</v>
          </cell>
          <cell r="E88">
            <v>-1867</v>
          </cell>
          <cell r="F88">
            <v>-15230</v>
          </cell>
          <cell r="G88">
            <v>-536</v>
          </cell>
          <cell r="H88">
            <v>-5884</v>
          </cell>
          <cell r="I88">
            <v>-8881</v>
          </cell>
          <cell r="J88">
            <v>-15301</v>
          </cell>
        </row>
        <row r="89">
          <cell r="B89" t="str">
            <v>(Ganancia) pérdida</v>
          </cell>
          <cell r="C89">
            <v>24486755193</v>
          </cell>
          <cell r="D89">
            <v>32179340998</v>
          </cell>
          <cell r="E89">
            <v>2496080256</v>
          </cell>
          <cell r="F89">
            <v>59162176447</v>
          </cell>
          <cell r="G89">
            <v>28557293266</v>
          </cell>
          <cell r="H89">
            <v>58307265290</v>
          </cell>
          <cell r="I89">
            <v>46618756829</v>
          </cell>
          <cell r="J89">
            <v>133483315385</v>
          </cell>
        </row>
      </sheetData>
      <sheetData sheetId="16">
        <row r="1">
          <cell r="C1" t="str">
            <v>filial concepto</v>
          </cell>
          <cell r="D1" t="str">
            <v>E.F.E.</v>
          </cell>
          <cell r="E1" t="str">
            <v>I   T 2011</v>
          </cell>
          <cell r="F1" t="str">
            <v>II  T 2011</v>
          </cell>
          <cell r="G1" t="str">
            <v>III T 2011</v>
          </cell>
          <cell r="H1" t="str">
            <v>Total 2011</v>
          </cell>
          <cell r="I1" t="str">
            <v>I   T 2010</v>
          </cell>
          <cell r="J1" t="str">
            <v>II  T 2010</v>
          </cell>
          <cell r="K1" t="str">
            <v>III T 2010</v>
          </cell>
          <cell r="L1" t="str">
            <v>Total 2010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2"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  <cell r="K2">
            <v>9</v>
          </cell>
          <cell r="L2">
            <v>10</v>
          </cell>
          <cell r="M2">
            <v>11</v>
          </cell>
          <cell r="N2">
            <v>12</v>
          </cell>
          <cell r="O2">
            <v>13</v>
          </cell>
          <cell r="P2">
            <v>14</v>
          </cell>
          <cell r="Q2">
            <v>15</v>
          </cell>
          <cell r="R2">
            <v>16</v>
          </cell>
          <cell r="S2">
            <v>17</v>
          </cell>
          <cell r="T2">
            <v>18</v>
          </cell>
          <cell r="U2">
            <v>19</v>
          </cell>
          <cell r="V2">
            <v>20</v>
          </cell>
          <cell r="W2">
            <v>21</v>
          </cell>
          <cell r="X2">
            <v>22</v>
          </cell>
          <cell r="Y2">
            <v>23</v>
          </cell>
          <cell r="Z2">
            <v>24</v>
          </cell>
        </row>
        <row r="3">
          <cell r="D3" t="str">
            <v>FERROCARRILES DEL ESTADO y FILIALES</v>
          </cell>
        </row>
        <row r="9">
          <cell r="D9" t="str">
            <v>Conceptos</v>
          </cell>
          <cell r="E9" t="str">
            <v xml:space="preserve"> </v>
          </cell>
        </row>
        <row r="10">
          <cell r="E10">
            <v>2011</v>
          </cell>
          <cell r="H10" t="str">
            <v>Total 2011</v>
          </cell>
          <cell r="I10">
            <v>2010</v>
          </cell>
          <cell r="L10" t="str">
            <v>Total 2010</v>
          </cell>
        </row>
        <row r="11">
          <cell r="E11" t="str">
            <v>I   T 2011</v>
          </cell>
          <cell r="F11" t="str">
            <v>II  T 2011</v>
          </cell>
          <cell r="G11" t="str">
            <v>III T 2011</v>
          </cell>
          <cell r="I11" t="str">
            <v>I   T 2010</v>
          </cell>
          <cell r="J11" t="str">
            <v>II  T 2010</v>
          </cell>
          <cell r="K11" t="str">
            <v>III T 2010</v>
          </cell>
        </row>
        <row r="12">
          <cell r="C12" t="e">
            <v>#REF!</v>
          </cell>
          <cell r="D12" t="str">
            <v>Conceptos</v>
          </cell>
          <cell r="AR12" t="str">
            <v>Ingresos Ordinarios</v>
          </cell>
          <cell r="AS12" t="str">
            <v>(Ganancia) pérdida neta</v>
          </cell>
          <cell r="AT12" t="str">
            <v>Ingresos Ordinarios</v>
          </cell>
          <cell r="AU12" t="str">
            <v>(Ganancia) pérdida neta</v>
          </cell>
          <cell r="AV12" t="str">
            <v>Ingresos Ordinarios</v>
          </cell>
          <cell r="AW12" t="str">
            <v>(Ganancia) pérdida neta</v>
          </cell>
          <cell r="AX12" t="str">
            <v>Ingresos Ordinarios</v>
          </cell>
          <cell r="AY12" t="str">
            <v>(Ganancia) pérdida neta</v>
          </cell>
          <cell r="AZ12" t="str">
            <v>Ingresos Ordinarios</v>
          </cell>
          <cell r="BA12" t="str">
            <v>(Ganancia) pérdida neta</v>
          </cell>
          <cell r="BB12" t="str">
            <v>Ingresos Ordinarios</v>
          </cell>
          <cell r="BC12" t="str">
            <v>(Ganancia) pérdida neta</v>
          </cell>
          <cell r="BD12" t="str">
            <v>Ingresos Ordinarios</v>
          </cell>
          <cell r="BE12" t="str">
            <v>(Ganancia) pérdida neta</v>
          </cell>
          <cell r="BF12" t="str">
            <v>Ingresos Ordinarios</v>
          </cell>
          <cell r="BG12" t="str">
            <v>(Ganancia) pérdida neta</v>
          </cell>
          <cell r="BH12" t="str">
            <v>Ingresos Ordinarios</v>
          </cell>
          <cell r="BI12" t="str">
            <v>(Ganancia) pérdida neta</v>
          </cell>
          <cell r="BK12" t="str">
            <v>Ingresos Ordinarios</v>
          </cell>
          <cell r="BL12" t="str">
            <v>(Ganancia) pérdida neta</v>
          </cell>
          <cell r="BM12" t="str">
            <v>Ingresos Ordinarios</v>
          </cell>
          <cell r="BN12" t="str">
            <v>(Ganancia) pérdida neta</v>
          </cell>
          <cell r="BO12" t="str">
            <v>Ingresos Ordinarios</v>
          </cell>
          <cell r="BP12" t="str">
            <v>(Ganancia) pérdida neta</v>
          </cell>
          <cell r="BQ12" t="str">
            <v>Ingresos Ordinarios</v>
          </cell>
          <cell r="BR12" t="str">
            <v>(Ganancia) pérdida neta</v>
          </cell>
          <cell r="BS12" t="str">
            <v>Ingresos Ordinarios</v>
          </cell>
          <cell r="BT12" t="str">
            <v>(Ganancia) pérdida neta</v>
          </cell>
          <cell r="BU12" t="str">
            <v>Ingresos Ordinarios</v>
          </cell>
          <cell r="BV12" t="str">
            <v>(Ganancia) pérdida neta</v>
          </cell>
          <cell r="BW12" t="str">
            <v>Ingresos Ordinarios</v>
          </cell>
          <cell r="BX12" t="str">
            <v>(Ganancia) pérdida neta</v>
          </cell>
          <cell r="BY12" t="str">
            <v>Ingresos Ordinarios</v>
          </cell>
          <cell r="BZ12" t="str">
            <v>(Ganancia) pérdida neta</v>
          </cell>
          <cell r="CA12" t="str">
            <v>Ingresos Ordinarios</v>
          </cell>
          <cell r="CB12" t="str">
            <v>(Ganancia) pérdida neta</v>
          </cell>
        </row>
        <row r="13">
          <cell r="C13" t="str">
            <v>EFE</v>
          </cell>
          <cell r="D13" t="str">
            <v>EFE</v>
          </cell>
          <cell r="E13">
            <v>32245046943</v>
          </cell>
          <cell r="F13">
            <v>24454049741</v>
          </cell>
          <cell r="G13">
            <v>2502542702</v>
          </cell>
          <cell r="H13">
            <v>59201639386</v>
          </cell>
          <cell r="I13">
            <v>46842835052</v>
          </cell>
          <cell r="J13">
            <v>58147760035</v>
          </cell>
          <cell r="K13">
            <v>28568369209</v>
          </cell>
          <cell r="L13">
            <v>133558964296</v>
          </cell>
          <cell r="AQ13" t="str">
            <v>Conceptos</v>
          </cell>
          <cell r="AR13" t="str">
            <v>I   T 2011</v>
          </cell>
          <cell r="AS13" t="str">
            <v>I   T 2011</v>
          </cell>
          <cell r="AT13" t="str">
            <v>II  T 2011</v>
          </cell>
          <cell r="AU13" t="str">
            <v>II  T 2011</v>
          </cell>
          <cell r="AV13" t="str">
            <v>III T 2011</v>
          </cell>
          <cell r="AW13" t="str">
            <v>III T 2011</v>
          </cell>
          <cell r="AX13" t="str">
            <v>IV  T 2011</v>
          </cell>
          <cell r="AY13" t="str">
            <v>IV  T 2011</v>
          </cell>
          <cell r="AZ13" t="str">
            <v>Total</v>
          </cell>
          <cell r="BA13" t="str">
            <v>Total</v>
          </cell>
          <cell r="BB13" t="str">
            <v>Aj Cons I   T 2011</v>
          </cell>
          <cell r="BC13" t="str">
            <v>Aj Cons I   T 2011</v>
          </cell>
          <cell r="BD13" t="str">
            <v>Aj Cons II  T 2011</v>
          </cell>
          <cell r="BE13" t="str">
            <v>Aj Cons II  T 2011</v>
          </cell>
          <cell r="BF13" t="str">
            <v>Aj Cons III T 2011</v>
          </cell>
          <cell r="BG13" t="str">
            <v>Aj Cons III T 2011</v>
          </cell>
          <cell r="BH13" t="str">
            <v>Aj Cons IV  T 2011</v>
          </cell>
          <cell r="BI13" t="str">
            <v>Aj Cons IV  T 2011</v>
          </cell>
          <cell r="BK13" t="str">
            <v>I   T 2010</v>
          </cell>
          <cell r="BL13" t="str">
            <v>I   T 2010</v>
          </cell>
          <cell r="BM13" t="str">
            <v>II  T 2010</v>
          </cell>
          <cell r="BN13" t="str">
            <v>II  T 2010</v>
          </cell>
          <cell r="BO13" t="str">
            <v>III T 2010</v>
          </cell>
          <cell r="BP13" t="str">
            <v>III T 2010</v>
          </cell>
          <cell r="BQ13" t="str">
            <v>IV  T 2010</v>
          </cell>
          <cell r="BR13" t="str">
            <v>IV  T 2010</v>
          </cell>
          <cell r="BS13" t="str">
            <v>Total</v>
          </cell>
          <cell r="BT13" t="str">
            <v>Total</v>
          </cell>
          <cell r="BU13" t="str">
            <v>Aj Cons I   T 2010</v>
          </cell>
          <cell r="BV13" t="str">
            <v>Aj Cons I   T 2010</v>
          </cell>
          <cell r="BW13" t="str">
            <v>Aj Cons II  T 2010</v>
          </cell>
          <cell r="BX13" t="str">
            <v>Aj Cons II  T 2010</v>
          </cell>
          <cell r="BY13" t="str">
            <v>Aj Cons III T 2010</v>
          </cell>
          <cell r="BZ13" t="str">
            <v>Aj Cons III T 2010</v>
          </cell>
          <cell r="CA13" t="str">
            <v>Aj Cons IV  T 2010</v>
          </cell>
          <cell r="CB13" t="str">
            <v>Aj Cons IV  T 2010</v>
          </cell>
        </row>
        <row r="14">
          <cell r="C14" t="str">
            <v>EFEI. (Ganancia) pérdida, antes de impuestos</v>
          </cell>
          <cell r="D14" t="str">
            <v>I. (Ganancia) pérdida, antes de impuestos</v>
          </cell>
          <cell r="E14">
            <v>32245046943</v>
          </cell>
          <cell r="F14">
            <v>24454049741</v>
          </cell>
          <cell r="G14">
            <v>2502542702</v>
          </cell>
          <cell r="H14">
            <v>59201639386</v>
          </cell>
          <cell r="I14">
            <v>46842835052</v>
          </cell>
          <cell r="J14">
            <v>58147760035</v>
          </cell>
          <cell r="K14">
            <v>28568369209</v>
          </cell>
          <cell r="L14">
            <v>133558964296</v>
          </cell>
          <cell r="AR14" t="str">
            <v>M$</v>
          </cell>
          <cell r="AS14" t="str">
            <v>M$</v>
          </cell>
          <cell r="AT14" t="str">
            <v>M$</v>
          </cell>
          <cell r="AU14" t="str">
            <v>M$</v>
          </cell>
          <cell r="AV14" t="str">
            <v>M$</v>
          </cell>
          <cell r="AW14" t="str">
            <v>M$</v>
          </cell>
          <cell r="AX14" t="str">
            <v>M$</v>
          </cell>
          <cell r="AY14" t="str">
            <v>M$</v>
          </cell>
          <cell r="AZ14" t="str">
            <v>M$</v>
          </cell>
          <cell r="BA14" t="str">
            <v>M$</v>
          </cell>
          <cell r="BK14" t="str">
            <v>M$</v>
          </cell>
          <cell r="BL14" t="str">
            <v>M$</v>
          </cell>
          <cell r="BM14" t="str">
            <v>M$</v>
          </cell>
          <cell r="BN14" t="str">
            <v>M$</v>
          </cell>
          <cell r="BO14" t="str">
            <v>M$</v>
          </cell>
          <cell r="BP14" t="str">
            <v>M$</v>
          </cell>
          <cell r="BQ14" t="str">
            <v>M$</v>
          </cell>
          <cell r="BR14" t="str">
            <v>M$</v>
          </cell>
          <cell r="BS14" t="str">
            <v>M$</v>
          </cell>
          <cell r="BT14" t="str">
            <v>M$</v>
          </cell>
        </row>
        <row r="15">
          <cell r="C15" t="str">
            <v>EFEa. Ganancia bruta</v>
          </cell>
          <cell r="D15" t="str">
            <v>a. Ganancia bruta</v>
          </cell>
          <cell r="E15">
            <v>7547948923</v>
          </cell>
          <cell r="F15">
            <v>6727044514</v>
          </cell>
          <cell r="G15">
            <v>2789533306</v>
          </cell>
          <cell r="H15">
            <v>17064526743</v>
          </cell>
          <cell r="I15">
            <v>6248681071</v>
          </cell>
          <cell r="J15">
            <v>9004019817</v>
          </cell>
          <cell r="K15">
            <v>1783078004</v>
          </cell>
          <cell r="L15">
            <v>17035778892</v>
          </cell>
        </row>
        <row r="16">
          <cell r="C16" t="str">
            <v>EFE1. Ingresos de actividades ordinarias</v>
          </cell>
          <cell r="D16" t="str">
            <v>1. Ingresos de actividades ordinarias</v>
          </cell>
          <cell r="E16">
            <v>-5397267129</v>
          </cell>
          <cell r="F16">
            <v>-5651849801</v>
          </cell>
          <cell r="G16">
            <v>-1892133705</v>
          </cell>
          <cell r="H16">
            <v>-12941250635</v>
          </cell>
          <cell r="I16">
            <v>-5113841061</v>
          </cell>
          <cell r="J16">
            <v>-4887160833</v>
          </cell>
          <cell r="K16">
            <v>-1620077179</v>
          </cell>
          <cell r="L16">
            <v>-11621079073</v>
          </cell>
          <cell r="AP16" t="str">
            <v>INVIA</v>
          </cell>
          <cell r="AQ16" t="str">
            <v>Inmobiliaria Nueva Vía S.A.</v>
          </cell>
          <cell r="AR16">
            <v>-512865014</v>
          </cell>
          <cell r="AS16">
            <v>-449756365</v>
          </cell>
          <cell r="AT16">
            <v>-73574218</v>
          </cell>
          <cell r="AU16">
            <v>-42387892</v>
          </cell>
          <cell r="AV16">
            <v>-24276675</v>
          </cell>
          <cell r="AW16">
            <v>21472476</v>
          </cell>
          <cell r="AX16">
            <v>0</v>
          </cell>
          <cell r="AY16">
            <v>0</v>
          </cell>
          <cell r="AZ16">
            <v>-610715907</v>
          </cell>
          <cell r="BA16">
            <v>-470671781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K16">
            <v>-80415493</v>
          </cell>
          <cell r="BL16">
            <v>62871457</v>
          </cell>
          <cell r="BM16">
            <v>-61598126</v>
          </cell>
          <cell r="BN16">
            <v>-35381441</v>
          </cell>
          <cell r="BO16">
            <v>-30861303</v>
          </cell>
          <cell r="BP16">
            <v>12360588</v>
          </cell>
          <cell r="BQ16">
            <v>0</v>
          </cell>
          <cell r="BR16">
            <v>0</v>
          </cell>
          <cell r="BS16">
            <v>-172874922</v>
          </cell>
          <cell r="BT16">
            <v>39850604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</row>
        <row r="17">
          <cell r="C17" t="str">
            <v>EFE1. Pasajes Cercanias</v>
          </cell>
          <cell r="D17" t="str">
            <v>1. Pasajes Cercanias</v>
          </cell>
          <cell r="E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AP17" t="str">
            <v>MERVAL</v>
          </cell>
          <cell r="AQ17" t="str">
            <v>Metro Regional de Valparaíso S.A.</v>
          </cell>
          <cell r="AR17">
            <v>-2278698128</v>
          </cell>
          <cell r="AS17">
            <v>1912081908</v>
          </cell>
          <cell r="AT17">
            <v>-2419239469</v>
          </cell>
          <cell r="AU17">
            <v>-320802797</v>
          </cell>
          <cell r="AV17">
            <v>-749134557</v>
          </cell>
          <cell r="AW17">
            <v>378147603</v>
          </cell>
          <cell r="AX17">
            <v>0</v>
          </cell>
          <cell r="AY17">
            <v>0</v>
          </cell>
          <cell r="AZ17">
            <v>-5447072154</v>
          </cell>
          <cell r="BA17">
            <v>1969426714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K17">
            <v>-1292423548</v>
          </cell>
          <cell r="BL17">
            <v>3239236087</v>
          </cell>
          <cell r="BM17">
            <v>-1946512806</v>
          </cell>
          <cell r="BN17">
            <v>3260825601</v>
          </cell>
          <cell r="BO17">
            <v>-621929144</v>
          </cell>
          <cell r="BP17">
            <v>-1665906448</v>
          </cell>
          <cell r="BQ17">
            <v>0</v>
          </cell>
          <cell r="BR17">
            <v>0</v>
          </cell>
          <cell r="BS17">
            <v>-3860865498</v>
          </cell>
          <cell r="BT17">
            <v>4834155240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</row>
        <row r="18">
          <cell r="C18" t="str">
            <v>EFE2. Pasajes Largo Recorrido</v>
          </cell>
          <cell r="D18" t="str">
            <v>2. Pasajes Largo Recorrido</v>
          </cell>
          <cell r="E18">
            <v>0</v>
          </cell>
          <cell r="H18">
            <v>0</v>
          </cell>
          <cell r="I18">
            <v>-157357</v>
          </cell>
          <cell r="J18">
            <v>574</v>
          </cell>
          <cell r="K18">
            <v>0</v>
          </cell>
          <cell r="L18">
            <v>-156783</v>
          </cell>
          <cell r="AP18" t="str">
            <v>FESUB</v>
          </cell>
          <cell r="AQ18" t="str">
            <v>Ferrocarriles Suburbanos de Concepción S.A.</v>
          </cell>
          <cell r="AR18">
            <v>-262531039</v>
          </cell>
          <cell r="AS18">
            <v>813636590</v>
          </cell>
          <cell r="AT18">
            <v>-250902881</v>
          </cell>
          <cell r="AU18">
            <v>830306917</v>
          </cell>
          <cell r="AV18">
            <v>-80453644</v>
          </cell>
          <cell r="AW18">
            <v>307348256</v>
          </cell>
          <cell r="AX18">
            <v>0</v>
          </cell>
          <cell r="AY18">
            <v>0</v>
          </cell>
          <cell r="AZ18">
            <v>-593887564</v>
          </cell>
          <cell r="BA18">
            <v>1951291763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K18">
            <v>-206689045</v>
          </cell>
          <cell r="BL18">
            <v>812728309</v>
          </cell>
          <cell r="BM18">
            <v>-124501822</v>
          </cell>
          <cell r="BN18">
            <v>554250787</v>
          </cell>
          <cell r="BO18">
            <v>-55095837</v>
          </cell>
          <cell r="BP18">
            <v>323465906</v>
          </cell>
          <cell r="BQ18">
            <v>0</v>
          </cell>
          <cell r="BR18">
            <v>0</v>
          </cell>
          <cell r="BS18">
            <v>-386286704</v>
          </cell>
          <cell r="BT18">
            <v>1690445002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</row>
        <row r="19">
          <cell r="C19" t="str">
            <v>EFE4. Ingresos Operadores</v>
          </cell>
          <cell r="D19" t="str">
            <v>4. Ingresos Operadores</v>
          </cell>
          <cell r="E19">
            <v>-2414070081</v>
          </cell>
          <cell r="F19">
            <v>-2642729251</v>
          </cell>
          <cell r="G19">
            <v>-897622260</v>
          </cell>
          <cell r="H19">
            <v>-5954421592</v>
          </cell>
          <cell r="I19">
            <v>-1792832240</v>
          </cell>
          <cell r="J19">
            <v>-1825649118</v>
          </cell>
          <cell r="K19">
            <v>-972103898</v>
          </cell>
          <cell r="L19">
            <v>-4590585256</v>
          </cell>
          <cell r="AP19" t="str">
            <v>TERRA</v>
          </cell>
          <cell r="AQ19" t="str">
            <v>Ferrocarriles del Sur S.A.</v>
          </cell>
          <cell r="AR19">
            <v>-576943924</v>
          </cell>
          <cell r="AS19">
            <v>1192784935</v>
          </cell>
          <cell r="AT19">
            <v>-714660474</v>
          </cell>
          <cell r="AU19">
            <v>1210007283</v>
          </cell>
          <cell r="AV19">
            <v>-349617351</v>
          </cell>
          <cell r="AW19">
            <v>304598734</v>
          </cell>
          <cell r="AX19">
            <v>0</v>
          </cell>
          <cell r="AY19">
            <v>0</v>
          </cell>
          <cell r="AZ19">
            <v>-1641221749</v>
          </cell>
          <cell r="BA19">
            <v>2707390952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K19">
            <v>-1161291100</v>
          </cell>
          <cell r="BL19">
            <v>1143762936</v>
          </cell>
          <cell r="BM19">
            <v>-148120279</v>
          </cell>
          <cell r="BN19">
            <v>777272870</v>
          </cell>
          <cell r="BO19">
            <v>-137444298</v>
          </cell>
          <cell r="BP19">
            <v>340145024</v>
          </cell>
          <cell r="BQ19">
            <v>0</v>
          </cell>
          <cell r="BR19">
            <v>0</v>
          </cell>
          <cell r="BS19">
            <v>-1446855677</v>
          </cell>
          <cell r="BT19">
            <v>2261180830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</row>
        <row r="20">
          <cell r="C20" t="str">
            <v>EFE3120100000  Canon FEPASA</v>
          </cell>
          <cell r="D20" t="str">
            <v>3120100000  Canon FEPASA</v>
          </cell>
          <cell r="E20">
            <v>-215924073</v>
          </cell>
          <cell r="F20">
            <v>-218322498</v>
          </cell>
          <cell r="G20">
            <v>-73170171</v>
          </cell>
          <cell r="H20">
            <v>-507416742</v>
          </cell>
          <cell r="I20">
            <v>-211040390</v>
          </cell>
          <cell r="J20">
            <v>-210902599</v>
          </cell>
          <cell r="K20">
            <v>-71079127</v>
          </cell>
          <cell r="L20">
            <v>-493022116</v>
          </cell>
          <cell r="AP20" t="str">
            <v>TMSA</v>
          </cell>
          <cell r="AQ20" t="str">
            <v>Trenes Metropolitanos S.A.</v>
          </cell>
          <cell r="AR20">
            <v>-1664546741</v>
          </cell>
          <cell r="AS20">
            <v>448986996</v>
          </cell>
          <cell r="AT20">
            <v>-1536006169</v>
          </cell>
          <cell r="AU20">
            <v>614380621</v>
          </cell>
          <cell r="AV20">
            <v>-584978535</v>
          </cell>
          <cell r="AW20">
            <v>128626014</v>
          </cell>
          <cell r="AX20">
            <v>0</v>
          </cell>
          <cell r="AY20">
            <v>0</v>
          </cell>
          <cell r="AZ20">
            <v>-3785531445</v>
          </cell>
          <cell r="BA20">
            <v>1191993631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K20">
            <v>-1263089780</v>
          </cell>
          <cell r="BL20">
            <v>1348625987</v>
          </cell>
          <cell r="BM20">
            <v>-1242951453</v>
          </cell>
          <cell r="BN20">
            <v>239268856</v>
          </cell>
          <cell r="BO20">
            <v>-512564389</v>
          </cell>
          <cell r="BP20">
            <v>283178200</v>
          </cell>
          <cell r="BQ20">
            <v>0</v>
          </cell>
          <cell r="BR20">
            <v>0</v>
          </cell>
          <cell r="BS20">
            <v>-3018605622</v>
          </cell>
          <cell r="BT20">
            <v>1871073043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</row>
        <row r="21">
          <cell r="C21" t="str">
            <v>EFE3120150000  Canon TRANSAP</v>
          </cell>
          <cell r="D21" t="str">
            <v>3120150000  Canon TRANSAP</v>
          </cell>
          <cell r="E21">
            <v>-214555500</v>
          </cell>
          <cell r="F21">
            <v>-215852201</v>
          </cell>
          <cell r="G21">
            <v>-72762700</v>
          </cell>
          <cell r="H21">
            <v>-503170401</v>
          </cell>
          <cell r="I21">
            <v>-210933576</v>
          </cell>
          <cell r="J21">
            <v>-208412624</v>
          </cell>
          <cell r="K21">
            <v>-212162800</v>
          </cell>
          <cell r="L21">
            <v>-631509000</v>
          </cell>
          <cell r="AP21" t="str">
            <v>FCALP</v>
          </cell>
          <cell r="AQ21" t="str">
            <v>Ferrocarril de Arica a La Paz S.A.</v>
          </cell>
          <cell r="AR21">
            <v>0</v>
          </cell>
          <cell r="AS21">
            <v>151182</v>
          </cell>
          <cell r="AT21">
            <v>0</v>
          </cell>
          <cell r="AU21">
            <v>2073907</v>
          </cell>
          <cell r="AV21">
            <v>0</v>
          </cell>
          <cell r="AW21">
            <v>234462</v>
          </cell>
          <cell r="AX21">
            <v>0</v>
          </cell>
          <cell r="AY21">
            <v>0</v>
          </cell>
          <cell r="AZ21">
            <v>0</v>
          </cell>
          <cell r="BA21">
            <v>2459551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282947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282947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</row>
        <row r="22">
          <cell r="C22" t="str">
            <v>EFE3120200000  Peaje Fijo FEPASA</v>
          </cell>
          <cell r="D22" t="str">
            <v>3120200000  Peaje Fijo FEPASA</v>
          </cell>
          <cell r="E22">
            <v>-486384326</v>
          </cell>
          <cell r="F22">
            <v>-460098631</v>
          </cell>
          <cell r="G22">
            <v>-154248484</v>
          </cell>
          <cell r="H22">
            <v>-1100731441</v>
          </cell>
          <cell r="I22">
            <v>-475360647</v>
          </cell>
          <cell r="J22">
            <v>-312057480</v>
          </cell>
          <cell r="K22">
            <v>-165204687</v>
          </cell>
          <cell r="L22">
            <v>-952622814</v>
          </cell>
          <cell r="AP22" t="str">
            <v>ITF</v>
          </cell>
          <cell r="AQ22" t="str">
            <v>Infraestructura y Tráfico Ferroviario S.A.</v>
          </cell>
          <cell r="AR22">
            <v>0</v>
          </cell>
          <cell r="AS22">
            <v>132640</v>
          </cell>
          <cell r="AT22">
            <v>0</v>
          </cell>
          <cell r="AU22">
            <v>2027268</v>
          </cell>
          <cell r="AV22">
            <v>0</v>
          </cell>
          <cell r="AW22">
            <v>-261518</v>
          </cell>
          <cell r="AX22">
            <v>0</v>
          </cell>
          <cell r="AY22">
            <v>0</v>
          </cell>
          <cell r="AZ22">
            <v>0</v>
          </cell>
          <cell r="BA22">
            <v>1898390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237860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237860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</row>
        <row r="23">
          <cell r="C23" t="str">
            <v>EFE3120250000  Peaje Fijo TRANSAP</v>
          </cell>
          <cell r="D23" t="str">
            <v>3120250000  Peaje Fijo TRANSAP</v>
          </cell>
          <cell r="E23">
            <v>-142876584</v>
          </cell>
          <cell r="F23">
            <v>-143740081</v>
          </cell>
          <cell r="G23">
            <v>-48454065</v>
          </cell>
          <cell r="H23">
            <v>-335070730</v>
          </cell>
          <cell r="I23">
            <v>-140464676</v>
          </cell>
          <cell r="J23">
            <v>-98968271</v>
          </cell>
          <cell r="K23">
            <v>-141283239</v>
          </cell>
          <cell r="L23">
            <v>-380716186</v>
          </cell>
        </row>
        <row r="24">
          <cell r="C24" t="str">
            <v>EFE3120300000  Peaje Variable FEPASA</v>
          </cell>
          <cell r="D24" t="str">
            <v>3120300000  Peaje Variable FEPASA</v>
          </cell>
          <cell r="E24">
            <v>-786948116</v>
          </cell>
          <cell r="F24">
            <v>-1072802849</v>
          </cell>
          <cell r="G24">
            <v>-362567979</v>
          </cell>
          <cell r="H24">
            <v>-2222318944</v>
          </cell>
          <cell r="I24">
            <v>-407655039</v>
          </cell>
          <cell r="J24">
            <v>-587993669</v>
          </cell>
          <cell r="K24">
            <v>-228011910</v>
          </cell>
          <cell r="L24">
            <v>-1223660618</v>
          </cell>
          <cell r="AQ24" t="str">
            <v>Totales</v>
          </cell>
          <cell r="AR24">
            <v>-5295584846</v>
          </cell>
          <cell r="AS24">
            <v>3918017886</v>
          </cell>
          <cell r="AT24">
            <v>-4994383211</v>
          </cell>
          <cell r="AU24">
            <v>2295605307</v>
          </cell>
          <cell r="AV24">
            <v>-1788460762</v>
          </cell>
          <cell r="AW24">
            <v>1140166027</v>
          </cell>
          <cell r="AX24">
            <v>0</v>
          </cell>
          <cell r="AY24">
            <v>0</v>
          </cell>
          <cell r="AZ24">
            <v>-12078428819</v>
          </cell>
          <cell r="BA24">
            <v>7353789220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K24">
            <v>-4003908966</v>
          </cell>
          <cell r="BL24">
            <v>6607224776</v>
          </cell>
          <cell r="BM24">
            <v>-3523684486</v>
          </cell>
          <cell r="BN24">
            <v>4796757480</v>
          </cell>
          <cell r="BO24">
            <v>-1357894971</v>
          </cell>
          <cell r="BP24">
            <v>-706756730</v>
          </cell>
          <cell r="BQ24">
            <v>0</v>
          </cell>
          <cell r="BR24">
            <v>0</v>
          </cell>
          <cell r="BS24">
            <v>-8885488423</v>
          </cell>
          <cell r="BT24">
            <v>10697225526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</row>
        <row r="25">
          <cell r="C25" t="str">
            <v>EFE3120350000  Peaje Variable TRANSAP</v>
          </cell>
          <cell r="D25" t="str">
            <v>3120350000  Peaje Variable TRANSAP</v>
          </cell>
          <cell r="E25">
            <v>-311193508</v>
          </cell>
          <cell r="F25">
            <v>-268127768</v>
          </cell>
          <cell r="G25">
            <v>-97711644</v>
          </cell>
          <cell r="H25">
            <v>-677032920</v>
          </cell>
          <cell r="I25">
            <v>-114286977</v>
          </cell>
          <cell r="J25">
            <v>-159484477</v>
          </cell>
          <cell r="K25">
            <v>-70309109</v>
          </cell>
          <cell r="L25">
            <v>-344080563</v>
          </cell>
        </row>
        <row r="26">
          <cell r="C26" t="str">
            <v>EFE3120400000  Peaje MERVAL</v>
          </cell>
          <cell r="D26" t="str">
            <v>3120400000  Peaje MERVAL</v>
          </cell>
          <cell r="E26">
            <v>-256187974</v>
          </cell>
          <cell r="F26">
            <v>-263785223</v>
          </cell>
          <cell r="G26">
            <v>-88707217</v>
          </cell>
          <cell r="H26">
            <v>-608680414</v>
          </cell>
          <cell r="I26">
            <v>-233090935</v>
          </cell>
          <cell r="J26">
            <v>-247829998</v>
          </cell>
          <cell r="K26">
            <v>-84053026</v>
          </cell>
          <cell r="L26">
            <v>-564973959</v>
          </cell>
          <cell r="AP26" t="str">
            <v>EFE</v>
          </cell>
          <cell r="AQ26" t="str">
            <v>Ferrocarriles del Estado</v>
          </cell>
          <cell r="AR26">
            <v>-5397267129</v>
          </cell>
          <cell r="AS26">
            <v>32245046943</v>
          </cell>
          <cell r="AT26">
            <v>-5651849801</v>
          </cell>
          <cell r="AU26">
            <v>24454049741</v>
          </cell>
          <cell r="AV26">
            <v>-1892133705</v>
          </cell>
          <cell r="AW26">
            <v>2502542702</v>
          </cell>
          <cell r="AX26">
            <v>0</v>
          </cell>
          <cell r="AY26">
            <v>0</v>
          </cell>
          <cell r="AZ26">
            <v>-12941250635</v>
          </cell>
          <cell r="BA26">
            <v>59201639386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K26">
            <v>-5113841061</v>
          </cell>
          <cell r="BL26">
            <v>46842835052</v>
          </cell>
          <cell r="BM26">
            <v>-4887160833</v>
          </cell>
          <cell r="BN26">
            <v>58147760035</v>
          </cell>
          <cell r="BO26">
            <v>-1620077179</v>
          </cell>
          <cell r="BP26">
            <v>28568369209</v>
          </cell>
          <cell r="BQ26">
            <v>0</v>
          </cell>
          <cell r="BR26">
            <v>0</v>
          </cell>
          <cell r="BS26">
            <v>-11621079073</v>
          </cell>
          <cell r="BT26">
            <v>133558964296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</row>
        <row r="27">
          <cell r="C27" t="str">
            <v>EFE5. Ingresos Atraviesos</v>
          </cell>
          <cell r="D27" t="str">
            <v>5. Ingresos Atraviesos</v>
          </cell>
          <cell r="E27">
            <v>-138591440</v>
          </cell>
          <cell r="F27">
            <v>-117577340</v>
          </cell>
          <cell r="G27">
            <v>-47952061</v>
          </cell>
          <cell r="H27">
            <v>-304120841</v>
          </cell>
          <cell r="I27">
            <v>-272138983</v>
          </cell>
          <cell r="J27">
            <v>-386526871</v>
          </cell>
          <cell r="K27">
            <v>-78654104</v>
          </cell>
          <cell r="L27">
            <v>-737319958</v>
          </cell>
        </row>
        <row r="28">
          <cell r="C28" t="str">
            <v>EFE6. Ingresos Inmobiliarios</v>
          </cell>
          <cell r="D28" t="str">
            <v>6. Ingresos Inmobiliarios</v>
          </cell>
          <cell r="E28">
            <v>-305697597</v>
          </cell>
          <cell r="F28">
            <v>-342689395</v>
          </cell>
          <cell r="G28">
            <v>-103798603</v>
          </cell>
          <cell r="H28">
            <v>-752185595</v>
          </cell>
          <cell r="I28">
            <v>-307293314</v>
          </cell>
          <cell r="J28">
            <v>-396042778</v>
          </cell>
          <cell r="K28">
            <v>-107515941</v>
          </cell>
          <cell r="L28">
            <v>-810852033</v>
          </cell>
        </row>
        <row r="29">
          <cell r="C29" t="str">
            <v>EFE9. Ing Rec Filial Explotación</v>
          </cell>
          <cell r="D29" t="str">
            <v>9. Ing Rec Filial Explotación</v>
          </cell>
          <cell r="E29">
            <v>-2306005834</v>
          </cell>
          <cell r="F29">
            <v>-2273621584</v>
          </cell>
          <cell r="G29">
            <v>-789496417</v>
          </cell>
          <cell r="H29">
            <v>-5369123835</v>
          </cell>
          <cell r="I29">
            <v>-2454167017</v>
          </cell>
          <cell r="J29">
            <v>-1744583729</v>
          </cell>
          <cell r="K29">
            <v>-498766975</v>
          </cell>
          <cell r="L29">
            <v>-4697517721</v>
          </cell>
        </row>
        <row r="30">
          <cell r="C30" t="str">
            <v>EFE10. Ing Rec Filial Administración</v>
          </cell>
          <cell r="D30" t="str">
            <v>10. Ing Rec Filial Administración</v>
          </cell>
          <cell r="E30">
            <v>-79648826</v>
          </cell>
          <cell r="F30">
            <v>-97353269</v>
          </cell>
          <cell r="G30">
            <v>-29828819</v>
          </cell>
          <cell r="H30">
            <v>-206830914</v>
          </cell>
          <cell r="I30">
            <v>-58466789</v>
          </cell>
          <cell r="J30">
            <v>-75405748</v>
          </cell>
          <cell r="K30">
            <v>-22632572</v>
          </cell>
          <cell r="L30">
            <v>-156505109</v>
          </cell>
        </row>
        <row r="31">
          <cell r="C31" t="str">
            <v>EFE7. Venta de Servicios y Otros</v>
          </cell>
          <cell r="D31" t="str">
            <v>7. Venta de Servicios y Otros</v>
          </cell>
          <cell r="E31">
            <v>-153253351</v>
          </cell>
          <cell r="F31">
            <v>-177878962</v>
          </cell>
          <cell r="G31">
            <v>-23435545</v>
          </cell>
          <cell r="H31">
            <v>-354567858</v>
          </cell>
          <cell r="I31">
            <v>-228785361</v>
          </cell>
          <cell r="J31">
            <v>-458953163</v>
          </cell>
          <cell r="K31">
            <v>59596311</v>
          </cell>
          <cell r="L31">
            <v>-628142213</v>
          </cell>
        </row>
        <row r="32">
          <cell r="C32" t="str">
            <v>EFE8. Transferencias Sector Público</v>
          </cell>
          <cell r="D32" t="str">
            <v>8. Transferencias Sector Público</v>
          </cell>
          <cell r="E32">
            <v>0</v>
          </cell>
          <cell r="H32">
            <v>0</v>
          </cell>
          <cell r="K32">
            <v>0</v>
          </cell>
          <cell r="L32">
            <v>0</v>
          </cell>
        </row>
        <row r="33">
          <cell r="C33" t="str">
            <v>EFE2. Costo de ventas</v>
          </cell>
          <cell r="D33" t="str">
            <v>2. Costo de ventas</v>
          </cell>
          <cell r="E33">
            <v>12945216052</v>
          </cell>
          <cell r="F33">
            <v>12378894315</v>
          </cell>
          <cell r="G33">
            <v>4681667011</v>
          </cell>
          <cell r="H33">
            <v>30005777378</v>
          </cell>
          <cell r="I33">
            <v>11362522132</v>
          </cell>
          <cell r="J33">
            <v>13891180650</v>
          </cell>
          <cell r="K33">
            <v>3403155183</v>
          </cell>
          <cell r="L33">
            <v>28656857965</v>
          </cell>
        </row>
        <row r="34">
          <cell r="C34" t="str">
            <v>EFEb. (Ganancia) pérdida</v>
          </cell>
          <cell r="D34" t="str">
            <v>b. (Ganancia) pérdida</v>
          </cell>
          <cell r="E34">
            <v>24697098020</v>
          </cell>
          <cell r="F34">
            <v>17727005227</v>
          </cell>
          <cell r="G34">
            <v>-286990604</v>
          </cell>
          <cell r="H34">
            <v>42137112643</v>
          </cell>
          <cell r="I34">
            <v>40594153981</v>
          </cell>
          <cell r="J34">
            <v>49143740218</v>
          </cell>
          <cell r="K34">
            <v>26785291205</v>
          </cell>
          <cell r="L34">
            <v>116523185404</v>
          </cell>
        </row>
        <row r="35">
          <cell r="C35" t="str">
            <v>EFE1. Ganancias que surgen de la baja en cuentas de activos financieros medidos al costo amortizado</v>
          </cell>
          <cell r="D35" t="str">
            <v>1. Ganancias que surgen de la baja en cuentas de activos financieros medidos al costo amortizado</v>
          </cell>
          <cell r="E35">
            <v>-232047811</v>
          </cell>
          <cell r="F35">
            <v>-377837024</v>
          </cell>
          <cell r="G35">
            <v>-112583663</v>
          </cell>
          <cell r="H35">
            <v>-722468498</v>
          </cell>
          <cell r="I35">
            <v>0</v>
          </cell>
          <cell r="J35">
            <v>-72637763</v>
          </cell>
          <cell r="K35">
            <v>-12657601</v>
          </cell>
          <cell r="L35">
            <v>-85295364</v>
          </cell>
        </row>
        <row r="36">
          <cell r="C36" t="str">
            <v>EFE5. Gasto de administración</v>
          </cell>
          <cell r="D36" t="str">
            <v>5. Gasto de administración</v>
          </cell>
          <cell r="E36">
            <v>2158785133</v>
          </cell>
          <cell r="F36">
            <v>2548734600</v>
          </cell>
          <cell r="G36">
            <v>724315193</v>
          </cell>
          <cell r="H36">
            <v>5431834926</v>
          </cell>
          <cell r="I36">
            <v>1860434186</v>
          </cell>
          <cell r="J36">
            <v>2618039493</v>
          </cell>
          <cell r="K36">
            <v>781915571</v>
          </cell>
          <cell r="L36">
            <v>5260389250</v>
          </cell>
        </row>
        <row r="37">
          <cell r="C37" t="str">
            <v>EFE7. Otras ganancias (pérdidas)</v>
          </cell>
          <cell r="D37" t="str">
            <v>7. Otras ganancias (pérdidas)</v>
          </cell>
          <cell r="E37">
            <v>-383918857</v>
          </cell>
          <cell r="F37">
            <v>534504768</v>
          </cell>
          <cell r="G37">
            <v>-180530240</v>
          </cell>
          <cell r="H37">
            <v>-29944329</v>
          </cell>
          <cell r="I37">
            <v>16689949701</v>
          </cell>
          <cell r="J37">
            <v>9492674357</v>
          </cell>
          <cell r="K37">
            <v>154444511</v>
          </cell>
          <cell r="L37">
            <v>26337068569</v>
          </cell>
        </row>
        <row r="38">
          <cell r="C38" t="str">
            <v>EFE1. Ingresos Fuera de Explotación</v>
          </cell>
          <cell r="D38" t="str">
            <v>1. Ingresos Fuera de Explotación</v>
          </cell>
          <cell r="E38">
            <v>-392556802</v>
          </cell>
          <cell r="F38">
            <v>-66235272</v>
          </cell>
          <cell r="G38">
            <v>-370176268</v>
          </cell>
          <cell r="H38">
            <v>-828968342</v>
          </cell>
          <cell r="I38">
            <v>-631650435</v>
          </cell>
          <cell r="J38">
            <v>85591355</v>
          </cell>
          <cell r="K38">
            <v>-95329193</v>
          </cell>
          <cell r="L38">
            <v>-641388273</v>
          </cell>
        </row>
        <row r="39">
          <cell r="C39" t="str">
            <v>EFE3221000000  Utilidad Venta de Activo Fijo</v>
          </cell>
          <cell r="D39" t="str">
            <v>3221000000  Utilidad Venta de Activo Fijo</v>
          </cell>
          <cell r="E39">
            <v>0</v>
          </cell>
          <cell r="F39">
            <v>-204889715</v>
          </cell>
          <cell r="G39">
            <v>-147424452</v>
          </cell>
          <cell r="H39">
            <v>-352314167</v>
          </cell>
          <cell r="I39">
            <v>0</v>
          </cell>
          <cell r="J39">
            <v>-117956733</v>
          </cell>
          <cell r="K39">
            <v>0</v>
          </cell>
          <cell r="L39">
            <v>-117956733</v>
          </cell>
        </row>
        <row r="40">
          <cell r="C40" t="str">
            <v>EFE3221000010  Utilidad Venta de Materiales</v>
          </cell>
          <cell r="D40" t="str">
            <v>3221000010  Utilidad Venta de Materiales</v>
          </cell>
          <cell r="E40">
            <v>-450000</v>
          </cell>
          <cell r="F40">
            <v>0</v>
          </cell>
          <cell r="G40">
            <v>0</v>
          </cell>
          <cell r="H40">
            <v>-450000</v>
          </cell>
          <cell r="I40">
            <v>-95270694</v>
          </cell>
          <cell r="J40">
            <v>-10916747</v>
          </cell>
          <cell r="K40">
            <v>3164532</v>
          </cell>
          <cell r="L40">
            <v>-103022909</v>
          </cell>
        </row>
        <row r="41">
          <cell r="C41" t="str">
            <v>EFE3231600000  Rec Impuesto Renta</v>
          </cell>
          <cell r="D41" t="str">
            <v>3231600000  Rec Impuesto Renta</v>
          </cell>
          <cell r="E41">
            <v>0</v>
          </cell>
          <cell r="H41">
            <v>0</v>
          </cell>
          <cell r="I41">
            <v>0</v>
          </cell>
          <cell r="J41">
            <v>-31310596</v>
          </cell>
          <cell r="K41">
            <v>0</v>
          </cell>
          <cell r="L41">
            <v>-31310596</v>
          </cell>
        </row>
        <row r="42">
          <cell r="C42" t="str">
            <v>EFE3240100000  Ing Indem Siniestro</v>
          </cell>
          <cell r="D42" t="str">
            <v>3240100000  Ing Indem Siniestro</v>
          </cell>
          <cell r="E42">
            <v>0</v>
          </cell>
          <cell r="H42">
            <v>0</v>
          </cell>
          <cell r="K42">
            <v>0</v>
          </cell>
          <cell r="L42">
            <v>0</v>
          </cell>
        </row>
        <row r="43">
          <cell r="C43" t="str">
            <v>EFE3240350000  PER. BS. RETIR. ANTI</v>
          </cell>
          <cell r="D43" t="str">
            <v>3240350000  PER. BS. RETIR. ANTI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-11445101</v>
          </cell>
          <cell r="K43">
            <v>0</v>
          </cell>
          <cell r="L43">
            <v>-11445101</v>
          </cell>
        </row>
        <row r="44">
          <cell r="C44" t="str">
            <v>EFE3240400000  Reintegro Ejercicio Anterior</v>
          </cell>
          <cell r="D44" t="str">
            <v>3240400000  Reintegro Ejercicio Anterior</v>
          </cell>
          <cell r="E44">
            <v>-288069793</v>
          </cell>
          <cell r="F44">
            <v>199449429</v>
          </cell>
          <cell r="G44">
            <v>9627842</v>
          </cell>
          <cell r="H44">
            <v>-78992522</v>
          </cell>
          <cell r="I44">
            <v>-510679385</v>
          </cell>
          <cell r="J44">
            <v>367309973</v>
          </cell>
          <cell r="K44">
            <v>-910000</v>
          </cell>
          <cell r="L44">
            <v>-144279412</v>
          </cell>
        </row>
        <row r="45">
          <cell r="C45" t="str">
            <v>EFE3240600000  Recuperacion Contingencias</v>
          </cell>
          <cell r="D45" t="str">
            <v>3240600000  Recuperacion Contingencias</v>
          </cell>
          <cell r="E45">
            <v>0</v>
          </cell>
          <cell r="H45">
            <v>0</v>
          </cell>
          <cell r="I45">
            <v>-222000</v>
          </cell>
          <cell r="J45">
            <v>-341949</v>
          </cell>
          <cell r="K45">
            <v>-55000000</v>
          </cell>
          <cell r="L45">
            <v>-55563949</v>
          </cell>
        </row>
        <row r="46">
          <cell r="C46" t="str">
            <v>EFE3240900000  Otro Ingreso No Clasificado</v>
          </cell>
          <cell r="D46" t="str">
            <v>3240900000  Otro Ingreso No Clasificado</v>
          </cell>
          <cell r="E46">
            <v>-104037009</v>
          </cell>
          <cell r="F46">
            <v>-60794986</v>
          </cell>
          <cell r="G46">
            <v>-232379658</v>
          </cell>
          <cell r="H46">
            <v>-397211653</v>
          </cell>
          <cell r="I46">
            <v>-25478356</v>
          </cell>
          <cell r="J46">
            <v>-109747492</v>
          </cell>
          <cell r="K46">
            <v>-42583725</v>
          </cell>
          <cell r="L46">
            <v>-177809573</v>
          </cell>
        </row>
        <row r="47">
          <cell r="C47" t="str">
            <v>EFE3. Otros Gastos Fuera Explotación</v>
          </cell>
          <cell r="D47" t="str">
            <v>3. Otros Gastos Fuera Explotación</v>
          </cell>
          <cell r="E47">
            <v>162054829</v>
          </cell>
          <cell r="F47">
            <v>447323156</v>
          </cell>
          <cell r="G47">
            <v>189646028</v>
          </cell>
          <cell r="H47">
            <v>799024013</v>
          </cell>
          <cell r="I47">
            <v>27059458217</v>
          </cell>
          <cell r="J47">
            <v>-330775079</v>
          </cell>
          <cell r="K47">
            <v>249773704</v>
          </cell>
          <cell r="L47">
            <v>26978456842</v>
          </cell>
        </row>
        <row r="48">
          <cell r="C48" t="str">
            <v>EFE2. Ingresos Sector Público</v>
          </cell>
          <cell r="D48" t="str">
            <v>2. Ingresos Sector Público</v>
          </cell>
          <cell r="E48">
            <v>-153416884</v>
          </cell>
          <cell r="F48">
            <v>153416884</v>
          </cell>
          <cell r="G48">
            <v>0</v>
          </cell>
          <cell r="H48">
            <v>0</v>
          </cell>
          <cell r="I48">
            <v>-9737858081</v>
          </cell>
          <cell r="J48">
            <v>9737858081</v>
          </cell>
          <cell r="K48">
            <v>0</v>
          </cell>
          <cell r="L48">
            <v>0</v>
          </cell>
        </row>
        <row r="49">
          <cell r="C49" t="str">
            <v>EFE8. Ingresos financieros</v>
          </cell>
          <cell r="D49" t="str">
            <v>8. Ingresos financieros</v>
          </cell>
          <cell r="E49">
            <v>-247530053</v>
          </cell>
          <cell r="F49">
            <v>-193420963</v>
          </cell>
          <cell r="G49">
            <v>-37349650</v>
          </cell>
          <cell r="H49">
            <v>-478300666</v>
          </cell>
          <cell r="I49">
            <v>-770572378</v>
          </cell>
          <cell r="J49">
            <v>421574583</v>
          </cell>
          <cell r="K49">
            <v>-64425932</v>
          </cell>
          <cell r="L49">
            <v>-413423727</v>
          </cell>
        </row>
        <row r="50">
          <cell r="C50" t="str">
            <v>EFE9. Costos financieros</v>
          </cell>
          <cell r="D50" t="str">
            <v>9. Costos financieros</v>
          </cell>
          <cell r="E50">
            <v>9879361013</v>
          </cell>
          <cell r="F50">
            <v>11328696822</v>
          </cell>
          <cell r="G50">
            <v>3702351317</v>
          </cell>
          <cell r="H50">
            <v>24910409152</v>
          </cell>
          <cell r="I50">
            <v>10514651011</v>
          </cell>
          <cell r="J50">
            <v>10459421321</v>
          </cell>
          <cell r="K50">
            <v>2847108739</v>
          </cell>
          <cell r="L50">
            <v>23821181071</v>
          </cell>
        </row>
        <row r="51">
          <cell r="C51" t="str">
            <v>EFE11. Diferencias de cambio</v>
          </cell>
          <cell r="D51" t="str">
            <v>11. Diferencias de cambio</v>
          </cell>
          <cell r="E51">
            <v>6655529735</v>
          </cell>
          <cell r="F51">
            <v>-6613570984</v>
          </cell>
          <cell r="G51">
            <v>-7025098709</v>
          </cell>
          <cell r="H51">
            <v>-6983139958</v>
          </cell>
          <cell r="I51">
            <v>8608236142</v>
          </cell>
          <cell r="J51">
            <v>11618530768</v>
          </cell>
          <cell r="K51">
            <v>24718192766</v>
          </cell>
          <cell r="L51">
            <v>44944959676</v>
          </cell>
        </row>
        <row r="52">
          <cell r="C52" t="str">
            <v>012. Resultados por unidades de reajuste</v>
          </cell>
          <cell r="D52" t="str">
            <v>12. Resultados por unidades de reajuste</v>
          </cell>
          <cell r="E52">
            <v>3267590074</v>
          </cell>
          <cell r="F52">
            <v>8590551713</v>
          </cell>
          <cell r="G52">
            <v>1560394980</v>
          </cell>
          <cell r="H52">
            <v>13418536767</v>
          </cell>
          <cell r="I52">
            <v>-2758058028</v>
          </cell>
          <cell r="J52">
            <v>9864264418</v>
          </cell>
          <cell r="K52">
            <v>-899813201</v>
          </cell>
          <cell r="L52">
            <v>6206393189</v>
          </cell>
        </row>
        <row r="53">
          <cell r="C53" t="str">
            <v>013. Ganancias (pérdidas) que surgen de la diferencia entre el valor libro anterior y el valor justo de activos financieros reclasificados medidos a valor razonable</v>
          </cell>
          <cell r="D53" t="str">
            <v>13. Ganancias (pérdidas) que surgen de la diferencia entre el valor libro anterior y el valor justo de activos financieros reclasificados medidos a valor razonable</v>
          </cell>
          <cell r="E53">
            <v>-105646936</v>
          </cell>
          <cell r="F53">
            <v>-145192445</v>
          </cell>
          <cell r="G53">
            <v>-65116418</v>
          </cell>
          <cell r="H53">
            <v>-315955799</v>
          </cell>
          <cell r="I53">
            <v>0</v>
          </cell>
          <cell r="J53">
            <v>-29524189</v>
          </cell>
          <cell r="K53">
            <v>-8188475</v>
          </cell>
          <cell r="L53">
            <v>-37712664</v>
          </cell>
        </row>
        <row r="54">
          <cell r="C54" t="str">
            <v>010. Participación en las ganancias (pérdidas) de asociadas y negocios conjuntos que se contabilicen utilizando el método de la participación</v>
          </cell>
          <cell r="D54" t="str">
            <v>10. Participación en las ganancias (pérdidas) de asociadas y negocios conjuntos que se contabilicen utilizando el método de la participación</v>
          </cell>
          <cell r="E54">
            <v>3704975722</v>
          </cell>
          <cell r="F54">
            <v>2054538740</v>
          </cell>
          <cell r="G54">
            <v>1146626586</v>
          </cell>
          <cell r="H54">
            <v>6906141048</v>
          </cell>
          <cell r="I54">
            <v>6449513347</v>
          </cell>
          <cell r="J54">
            <v>4771397230</v>
          </cell>
          <cell r="K54">
            <v>-731285173</v>
          </cell>
          <cell r="L54">
            <v>10489625404</v>
          </cell>
        </row>
        <row r="55">
          <cell r="C55" t="str">
            <v>0III. (Ganancia) pérdida, atribuible</v>
          </cell>
          <cell r="D55" t="str">
            <v>III. (Ganancia) pérdida, atribuible</v>
          </cell>
          <cell r="F55">
            <v>0</v>
          </cell>
          <cell r="H55">
            <v>0</v>
          </cell>
        </row>
        <row r="56">
          <cell r="C56" t="str">
            <v>0d. (Ganancia) pérdida, atribuible a</v>
          </cell>
          <cell r="D56" t="str">
            <v>d. (Ganancia) pérdida, atribuible a</v>
          </cell>
          <cell r="F56">
            <v>0</v>
          </cell>
          <cell r="H56">
            <v>0</v>
          </cell>
        </row>
        <row r="57">
          <cell r="C57" t="str">
            <v>01. Ganancia (pérdida), atribuible a participaciones no controladoras</v>
          </cell>
          <cell r="D57" t="str">
            <v>1. Ganancia (pérdida), atribuible a participaciones no controladoras</v>
          </cell>
          <cell r="F57">
            <v>0</v>
          </cell>
          <cell r="H57">
            <v>0</v>
          </cell>
        </row>
        <row r="58">
          <cell r="C58" t="str">
            <v>FESUB</v>
          </cell>
          <cell r="D58" t="str">
            <v>FESUB</v>
          </cell>
          <cell r="E58">
            <v>813636590</v>
          </cell>
          <cell r="F58">
            <v>830306917</v>
          </cell>
          <cell r="G58">
            <v>307348256</v>
          </cell>
          <cell r="H58">
            <v>1951291763</v>
          </cell>
          <cell r="I58">
            <v>812728309</v>
          </cell>
          <cell r="J58">
            <v>554250787</v>
          </cell>
          <cell r="K58">
            <v>323465906</v>
          </cell>
          <cell r="L58">
            <v>1690445002</v>
          </cell>
        </row>
        <row r="59">
          <cell r="C59" t="str">
            <v>FESUBI. (Ganancia) pérdida, antes de impuestos</v>
          </cell>
          <cell r="D59" t="str">
            <v>I. (Ganancia) pérdida, antes de impuestos</v>
          </cell>
          <cell r="E59">
            <v>813636590</v>
          </cell>
          <cell r="F59">
            <v>830306917</v>
          </cell>
          <cell r="G59">
            <v>307348256</v>
          </cell>
          <cell r="H59">
            <v>1951291763</v>
          </cell>
          <cell r="I59">
            <v>812728309</v>
          </cell>
          <cell r="J59">
            <v>554250787</v>
          </cell>
          <cell r="K59">
            <v>323465906</v>
          </cell>
          <cell r="L59">
            <v>1690445002</v>
          </cell>
        </row>
        <row r="60">
          <cell r="C60" t="str">
            <v>FESUBa. Ganancia bruta</v>
          </cell>
          <cell r="D60" t="str">
            <v>a. Ganancia bruta</v>
          </cell>
          <cell r="E60">
            <v>563365372</v>
          </cell>
          <cell r="F60">
            <v>577309341</v>
          </cell>
          <cell r="G60">
            <v>221800032</v>
          </cell>
          <cell r="H60">
            <v>1362474745</v>
          </cell>
          <cell r="I60">
            <v>648593529</v>
          </cell>
          <cell r="J60">
            <v>343643112</v>
          </cell>
          <cell r="K60">
            <v>238158929</v>
          </cell>
          <cell r="L60">
            <v>1230395570</v>
          </cell>
        </row>
        <row r="61">
          <cell r="C61" t="str">
            <v>FESUB1. Ingresos de actividades ordinarias</v>
          </cell>
          <cell r="D61" t="str">
            <v>1. Ingresos de actividades ordinarias</v>
          </cell>
          <cell r="E61">
            <v>-262531039</v>
          </cell>
          <cell r="F61">
            <v>-250902881</v>
          </cell>
          <cell r="G61">
            <v>-80453644</v>
          </cell>
          <cell r="H61">
            <v>-593887564</v>
          </cell>
          <cell r="I61">
            <v>-206689045</v>
          </cell>
          <cell r="J61">
            <v>-124501822</v>
          </cell>
          <cell r="K61">
            <v>-55095837</v>
          </cell>
          <cell r="L61">
            <v>-386286704</v>
          </cell>
        </row>
        <row r="62">
          <cell r="C62" t="str">
            <v>FESUB3. Pasajes Regionales</v>
          </cell>
          <cell r="D62" t="str">
            <v>3. Pasajes Regionales</v>
          </cell>
          <cell r="E62">
            <v>-244427682</v>
          </cell>
          <cell r="F62">
            <v>-231481224</v>
          </cell>
          <cell r="G62">
            <v>-74020515</v>
          </cell>
          <cell r="H62">
            <v>-549929421</v>
          </cell>
          <cell r="I62">
            <v>-206689045</v>
          </cell>
          <cell r="J62">
            <v>-124501822</v>
          </cell>
          <cell r="K62">
            <v>-55095837</v>
          </cell>
          <cell r="L62">
            <v>-386286704</v>
          </cell>
        </row>
        <row r="63">
          <cell r="C63" t="str">
            <v>FESUB6. Ingresos Inmobiliarios</v>
          </cell>
          <cell r="D63" t="str">
            <v>6. Ingresos Inmobiliarios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FESUB7. Venta de Servicios y Otros</v>
          </cell>
          <cell r="D64" t="str">
            <v>7. Venta de Servicios y Otros</v>
          </cell>
          <cell r="E64">
            <v>-1454390</v>
          </cell>
          <cell r="F64">
            <v>-1759410</v>
          </cell>
          <cell r="G64">
            <v>-224500</v>
          </cell>
          <cell r="H64">
            <v>-3438300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FESUB8. Transferencias Sector Público</v>
          </cell>
          <cell r="D65" t="str">
            <v>8. Transferencias Sector Público</v>
          </cell>
          <cell r="E65">
            <v>-16648967</v>
          </cell>
          <cell r="F65">
            <v>-17662247</v>
          </cell>
          <cell r="G65">
            <v>-6208629</v>
          </cell>
          <cell r="H65">
            <v>-40519843</v>
          </cell>
        </row>
        <row r="66">
          <cell r="C66" t="str">
            <v>FESUB2. Costo de ventas</v>
          </cell>
          <cell r="D66" t="str">
            <v>2. Costo de ventas</v>
          </cell>
          <cell r="E66">
            <v>825896411</v>
          </cell>
          <cell r="F66">
            <v>828212222</v>
          </cell>
          <cell r="G66">
            <v>302253676</v>
          </cell>
          <cell r="H66">
            <v>1956362309</v>
          </cell>
          <cell r="I66">
            <v>855282574</v>
          </cell>
          <cell r="J66">
            <v>468144934</v>
          </cell>
          <cell r="K66">
            <v>293254766</v>
          </cell>
          <cell r="L66">
            <v>1616682274</v>
          </cell>
        </row>
        <row r="67">
          <cell r="C67" t="str">
            <v>FESUBb. (Ganancia) pérdida</v>
          </cell>
          <cell r="D67" t="str">
            <v>b. (Ganancia) pérdida</v>
          </cell>
          <cell r="E67">
            <v>250271218</v>
          </cell>
          <cell r="F67">
            <v>252997576</v>
          </cell>
          <cell r="G67">
            <v>85548224</v>
          </cell>
          <cell r="H67">
            <v>588817018</v>
          </cell>
          <cell r="I67">
            <v>164134780</v>
          </cell>
          <cell r="J67">
            <v>210607675</v>
          </cell>
          <cell r="K67">
            <v>85306977</v>
          </cell>
          <cell r="L67">
            <v>460049432</v>
          </cell>
        </row>
        <row r="68">
          <cell r="C68" t="str">
            <v>FESUB5. Gasto de administración</v>
          </cell>
          <cell r="D68" t="str">
            <v>5. Gasto de administración</v>
          </cell>
          <cell r="E68">
            <v>230459939</v>
          </cell>
          <cell r="F68">
            <v>218212612</v>
          </cell>
          <cell r="G68">
            <v>76682031</v>
          </cell>
          <cell r="H68">
            <v>525354582</v>
          </cell>
          <cell r="I68">
            <v>160297191</v>
          </cell>
          <cell r="J68">
            <v>200744104</v>
          </cell>
          <cell r="K68">
            <v>83123022</v>
          </cell>
          <cell r="L68">
            <v>444164317</v>
          </cell>
        </row>
        <row r="69">
          <cell r="C69" t="str">
            <v>FESUB7. Otras ganancias (pérdidas)</v>
          </cell>
          <cell r="D69" t="str">
            <v>7. Otras ganancias (pérdidas)</v>
          </cell>
          <cell r="E69">
            <v>-6156518</v>
          </cell>
          <cell r="F69">
            <v>66667</v>
          </cell>
          <cell r="G69">
            <v>-2773050</v>
          </cell>
          <cell r="H69">
            <v>-8862901</v>
          </cell>
          <cell r="I69">
            <v>911304</v>
          </cell>
          <cell r="J69">
            <v>5358020</v>
          </cell>
          <cell r="K69">
            <v>-291342</v>
          </cell>
          <cell r="L69">
            <v>5977982</v>
          </cell>
          <cell r="AQ69" t="str">
            <v>Operadores</v>
          </cell>
        </row>
        <row r="70">
          <cell r="C70" t="str">
            <v>FESUB1. Ingresos Fuera de Explotación</v>
          </cell>
          <cell r="D70" t="str">
            <v>1. Ingresos Fuera de Explotación</v>
          </cell>
          <cell r="E70">
            <v>-6199762</v>
          </cell>
          <cell r="F70">
            <v>0</v>
          </cell>
          <cell r="G70">
            <v>-2773050</v>
          </cell>
          <cell r="H70">
            <v>-8972812</v>
          </cell>
          <cell r="K70">
            <v>-286841</v>
          </cell>
          <cell r="L70">
            <v>-286841</v>
          </cell>
          <cell r="AQ70" t="str">
            <v>3120100000  Canon FEPASA</v>
          </cell>
          <cell r="AR70">
            <v>-215924073</v>
          </cell>
          <cell r="AS70">
            <v>-218322498</v>
          </cell>
          <cell r="AT70">
            <v>-73170171</v>
          </cell>
          <cell r="AU70">
            <v>0</v>
          </cell>
          <cell r="AV70">
            <v>-507416742</v>
          </cell>
          <cell r="AW70">
            <v>-211040390</v>
          </cell>
          <cell r="AX70">
            <v>-210902599</v>
          </cell>
          <cell r="AY70">
            <v>-71079127</v>
          </cell>
          <cell r="AZ70">
            <v>0</v>
          </cell>
          <cell r="BA70">
            <v>-493022116</v>
          </cell>
        </row>
        <row r="71">
          <cell r="C71" t="str">
            <v>FESUB3221000000  Utilidad Venta de Activo Fijo</v>
          </cell>
          <cell r="D71" t="str">
            <v>3221000000  Utilidad Venta de Activo Fijo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K71">
            <v>-286841</v>
          </cell>
          <cell r="L71">
            <v>-286841</v>
          </cell>
          <cell r="AQ71" t="str">
            <v>3120150000  Canon TRANSAP</v>
          </cell>
          <cell r="AR71">
            <v>-214555500</v>
          </cell>
          <cell r="AS71">
            <v>-215852201</v>
          </cell>
          <cell r="AT71">
            <v>-72762700</v>
          </cell>
          <cell r="AU71">
            <v>0</v>
          </cell>
          <cell r="AV71">
            <v>-503170401</v>
          </cell>
          <cell r="AW71">
            <v>-210933576</v>
          </cell>
          <cell r="AX71">
            <v>-208412624</v>
          </cell>
          <cell r="AY71">
            <v>-212162800</v>
          </cell>
          <cell r="AZ71">
            <v>0</v>
          </cell>
          <cell r="BA71">
            <v>-631509000</v>
          </cell>
        </row>
        <row r="72">
          <cell r="C72" t="str">
            <v>FESUB3240900000  Otro Ingreso No Clasificado</v>
          </cell>
          <cell r="D72" t="str">
            <v>3240900000  Otro Ingreso No Clasificado</v>
          </cell>
          <cell r="E72">
            <v>-6199762</v>
          </cell>
          <cell r="F72">
            <v>0</v>
          </cell>
          <cell r="G72">
            <v>-2773050</v>
          </cell>
          <cell r="H72">
            <v>-8972812</v>
          </cell>
          <cell r="AQ72" t="str">
            <v>3120200000  Peaje Fijo FEPASA</v>
          </cell>
          <cell r="AR72">
            <v>-486384326</v>
          </cell>
          <cell r="AS72">
            <v>-460098631</v>
          </cell>
          <cell r="AT72">
            <v>-154248484</v>
          </cell>
          <cell r="AU72">
            <v>0</v>
          </cell>
          <cell r="AV72">
            <v>-1100731441</v>
          </cell>
          <cell r="AW72">
            <v>-475360647</v>
          </cell>
          <cell r="AX72">
            <v>-312057480</v>
          </cell>
          <cell r="AY72">
            <v>-165204687</v>
          </cell>
          <cell r="AZ72">
            <v>0</v>
          </cell>
          <cell r="BA72">
            <v>-952622814</v>
          </cell>
        </row>
        <row r="73">
          <cell r="C73" t="str">
            <v>FESUB3. Otros Gastos Fuera Explotación</v>
          </cell>
          <cell r="D73" t="str">
            <v>3. Otros Gastos Fuera Explotación</v>
          </cell>
          <cell r="E73">
            <v>43244</v>
          </cell>
          <cell r="F73">
            <v>66667</v>
          </cell>
          <cell r="G73">
            <v>0</v>
          </cell>
          <cell r="H73">
            <v>109911</v>
          </cell>
          <cell r="I73">
            <v>911304</v>
          </cell>
          <cell r="J73">
            <v>5358020</v>
          </cell>
          <cell r="K73">
            <v>-4501</v>
          </cell>
          <cell r="L73">
            <v>6264823</v>
          </cell>
          <cell r="AQ73" t="str">
            <v>3120250000  Peaje Fijo TRANSAP</v>
          </cell>
          <cell r="AR73">
            <v>-142876584</v>
          </cell>
          <cell r="AS73">
            <v>-143740081</v>
          </cell>
          <cell r="AT73">
            <v>-48454065</v>
          </cell>
          <cell r="AU73">
            <v>0</v>
          </cell>
          <cell r="AV73">
            <v>-335070730</v>
          </cell>
          <cell r="AW73">
            <v>-140464676</v>
          </cell>
          <cell r="AX73">
            <v>-98968271</v>
          </cell>
          <cell r="AY73">
            <v>-141283239</v>
          </cell>
          <cell r="AZ73">
            <v>0</v>
          </cell>
          <cell r="BA73">
            <v>-380716186</v>
          </cell>
        </row>
        <row r="74">
          <cell r="C74" t="str">
            <v>FESUB2. Ingresos Sector Público</v>
          </cell>
          <cell r="D74" t="str">
            <v>2. Ingresos Sector Público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AQ74" t="str">
            <v>3120300000  Peaje Variable FEPASA</v>
          </cell>
          <cell r="AR74">
            <v>-786948116</v>
          </cell>
          <cell r="AS74">
            <v>-1072802849</v>
          </cell>
          <cell r="AT74">
            <v>-362567979</v>
          </cell>
          <cell r="AU74">
            <v>0</v>
          </cell>
          <cell r="AV74">
            <v>-2222318944</v>
          </cell>
          <cell r="AW74">
            <v>-407655039</v>
          </cell>
          <cell r="AX74">
            <v>-587993669</v>
          </cell>
          <cell r="AY74">
            <v>-228011910</v>
          </cell>
          <cell r="AZ74">
            <v>0</v>
          </cell>
          <cell r="BA74">
            <v>-1223660618</v>
          </cell>
        </row>
        <row r="75">
          <cell r="C75" t="str">
            <v>FESUB9. Costos financieros</v>
          </cell>
          <cell r="D75" t="str">
            <v>9. Costos financieros</v>
          </cell>
          <cell r="E75">
            <v>25976769</v>
          </cell>
          <cell r="F75">
            <v>34767672</v>
          </cell>
          <cell r="G75">
            <v>11639332</v>
          </cell>
          <cell r="H75">
            <v>72383773</v>
          </cell>
          <cell r="I75">
            <v>2926262</v>
          </cell>
          <cell r="J75">
            <v>4575573</v>
          </cell>
          <cell r="K75">
            <v>2475297</v>
          </cell>
          <cell r="L75">
            <v>9977132</v>
          </cell>
          <cell r="AQ75" t="str">
            <v>3120350000  Peaje Variable TRANSAP</v>
          </cell>
          <cell r="AR75">
            <v>-311193508</v>
          </cell>
          <cell r="AS75">
            <v>-268127768</v>
          </cell>
          <cell r="AT75">
            <v>-97711644</v>
          </cell>
          <cell r="AU75">
            <v>0</v>
          </cell>
          <cell r="AV75">
            <v>-677032920</v>
          </cell>
          <cell r="AW75">
            <v>-114286977</v>
          </cell>
          <cell r="AX75">
            <v>-159484477</v>
          </cell>
          <cell r="AY75">
            <v>-70309109</v>
          </cell>
          <cell r="AZ75">
            <v>0</v>
          </cell>
          <cell r="BA75">
            <v>-344080563</v>
          </cell>
        </row>
        <row r="76">
          <cell r="C76" t="str">
            <v>FESUB11. Diferencias de cambio</v>
          </cell>
          <cell r="D76" t="str">
            <v>11. Diferencias de cambio</v>
          </cell>
          <cell r="E76">
            <v>-8972</v>
          </cell>
          <cell r="F76">
            <v>-49375</v>
          </cell>
          <cell r="G76">
            <v>-89</v>
          </cell>
          <cell r="H76">
            <v>-58436</v>
          </cell>
          <cell r="I76">
            <v>23</v>
          </cell>
          <cell r="J76">
            <v>-70022</v>
          </cell>
          <cell r="L76">
            <v>-69999</v>
          </cell>
        </row>
        <row r="77">
          <cell r="C77" t="str">
            <v>FESUB12. Resultados por unidades de reajuste</v>
          </cell>
          <cell r="D77" t="str">
            <v>12. Resultados por unidades de reajuste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AQ77" t="str">
            <v>Inmobiliarios</v>
          </cell>
        </row>
        <row r="78">
          <cell r="C78" t="str">
            <v>TERRA</v>
          </cell>
          <cell r="D78" t="str">
            <v>TERRA</v>
          </cell>
          <cell r="E78">
            <v>1192784935</v>
          </cell>
          <cell r="F78">
            <v>1210007283</v>
          </cell>
          <cell r="G78">
            <v>304598734</v>
          </cell>
          <cell r="H78">
            <v>2707390952</v>
          </cell>
          <cell r="I78">
            <v>1143762936</v>
          </cell>
          <cell r="J78">
            <v>777272870</v>
          </cell>
          <cell r="K78">
            <v>340145024</v>
          </cell>
          <cell r="L78">
            <v>2261180830</v>
          </cell>
          <cell r="AQ78" t="str">
            <v>5. Ingresos Atraviesos</v>
          </cell>
          <cell r="AR78">
            <v>-138591440</v>
          </cell>
          <cell r="AS78">
            <v>-117577340</v>
          </cell>
          <cell r="AT78">
            <v>-47952061</v>
          </cell>
          <cell r="AU78">
            <v>0</v>
          </cell>
          <cell r="AV78">
            <v>-304120841</v>
          </cell>
          <cell r="AW78">
            <v>-272138983</v>
          </cell>
          <cell r="AX78">
            <v>-386526871</v>
          </cell>
          <cell r="AY78">
            <v>-78654104</v>
          </cell>
          <cell r="AZ78">
            <v>0</v>
          </cell>
          <cell r="BA78">
            <v>-737319958</v>
          </cell>
        </row>
        <row r="79">
          <cell r="C79" t="str">
            <v>TERRAI. (Ganancia) pérdida, antes de impuestos</v>
          </cell>
          <cell r="D79" t="str">
            <v>I. (Ganancia) pérdida, antes de impuestos</v>
          </cell>
          <cell r="E79">
            <v>1192784935</v>
          </cell>
          <cell r="F79">
            <v>1210007283</v>
          </cell>
          <cell r="G79">
            <v>304598734</v>
          </cell>
          <cell r="H79">
            <v>2707390952</v>
          </cell>
          <cell r="I79">
            <v>1143762936</v>
          </cell>
          <cell r="J79">
            <v>777272870</v>
          </cell>
          <cell r="K79">
            <v>340145024</v>
          </cell>
          <cell r="L79">
            <v>2261180830</v>
          </cell>
          <cell r="AQ79" t="str">
            <v>6. Ingresos Inmobiliarios</v>
          </cell>
          <cell r="AR79">
            <v>-305697597</v>
          </cell>
          <cell r="AS79">
            <v>-342689395</v>
          </cell>
          <cell r="AT79">
            <v>-103798603</v>
          </cell>
          <cell r="AU79">
            <v>0</v>
          </cell>
          <cell r="AV79">
            <v>-752185595</v>
          </cell>
          <cell r="AW79">
            <v>-307293314</v>
          </cell>
          <cell r="AX79">
            <v>-396042778</v>
          </cell>
          <cell r="AY79">
            <v>-107515941</v>
          </cell>
          <cell r="AZ79">
            <v>0</v>
          </cell>
          <cell r="BA79">
            <v>-810852033</v>
          </cell>
        </row>
        <row r="80">
          <cell r="C80" t="str">
            <v>TERRAa. Ganancia bruta</v>
          </cell>
          <cell r="D80" t="str">
            <v>a. Ganancia bruta</v>
          </cell>
          <cell r="E80">
            <v>812602609</v>
          </cell>
          <cell r="F80">
            <v>861885505</v>
          </cell>
          <cell r="G80">
            <v>190097971</v>
          </cell>
          <cell r="H80">
            <v>1864586085</v>
          </cell>
          <cell r="I80">
            <v>691014213</v>
          </cell>
          <cell r="J80">
            <v>453635346</v>
          </cell>
          <cell r="K80">
            <v>230241897</v>
          </cell>
          <cell r="L80">
            <v>1374891456</v>
          </cell>
          <cell r="AQ80" t="str">
            <v>6. Ingresos Inmobiliarios</v>
          </cell>
          <cell r="AR80">
            <v>-512865014</v>
          </cell>
          <cell r="AS80">
            <v>-73574218</v>
          </cell>
          <cell r="AT80">
            <v>-24276675</v>
          </cell>
          <cell r="AU80">
            <v>0</v>
          </cell>
          <cell r="AV80">
            <v>-610715907</v>
          </cell>
          <cell r="AW80">
            <v>-80415493</v>
          </cell>
          <cell r="AX80">
            <v>-61598126</v>
          </cell>
          <cell r="AY80">
            <v>-30861303</v>
          </cell>
          <cell r="AZ80">
            <v>0</v>
          </cell>
          <cell r="BA80">
            <v>-172874922</v>
          </cell>
        </row>
        <row r="81">
          <cell r="C81" t="str">
            <v>TERRA1. Ingresos de actividades ordinarias</v>
          </cell>
          <cell r="D81" t="str">
            <v>1. Ingresos de actividades ordinarias</v>
          </cell>
          <cell r="E81">
            <v>-576943924</v>
          </cell>
          <cell r="F81">
            <v>-714660474</v>
          </cell>
          <cell r="G81">
            <v>-349617351</v>
          </cell>
          <cell r="H81">
            <v>-1641221749</v>
          </cell>
          <cell r="I81">
            <v>-1161291100</v>
          </cell>
          <cell r="J81">
            <v>-148120279</v>
          </cell>
          <cell r="K81">
            <v>-137444298</v>
          </cell>
          <cell r="L81">
            <v>-1446855677</v>
          </cell>
          <cell r="AQ81" t="str">
            <v>6. Ingresos Inmobiliarios</v>
          </cell>
          <cell r="AR81">
            <v>-10624837</v>
          </cell>
          <cell r="AS81">
            <v>-10822703</v>
          </cell>
          <cell r="AT81">
            <v>-4448483</v>
          </cell>
          <cell r="AU81">
            <v>0</v>
          </cell>
          <cell r="AV81">
            <v>-25896023</v>
          </cell>
          <cell r="AW81">
            <v>-12281842</v>
          </cell>
          <cell r="AX81">
            <v>-629647</v>
          </cell>
          <cell r="AY81">
            <v>-6934649</v>
          </cell>
          <cell r="AZ81">
            <v>0</v>
          </cell>
          <cell r="BA81">
            <v>-19846138</v>
          </cell>
        </row>
        <row r="82">
          <cell r="C82" t="str">
            <v>TERRA1. Pasajes Cercanias</v>
          </cell>
          <cell r="D82" t="str">
            <v>1. Pasajes Cercanias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-83</v>
          </cell>
          <cell r="J82">
            <v>83</v>
          </cell>
          <cell r="K82">
            <v>0</v>
          </cell>
          <cell r="L82">
            <v>0</v>
          </cell>
          <cell r="AQ82" t="str">
            <v>6. Ingresos Inmobiliarios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</row>
        <row r="83">
          <cell r="C83" t="str">
            <v>TERRA2. Pasajes Largo Recorrido</v>
          </cell>
          <cell r="D83" t="str">
            <v>2. Pasajes Largo Recorrido</v>
          </cell>
          <cell r="E83">
            <v>-484594565</v>
          </cell>
          <cell r="F83">
            <v>-626080474</v>
          </cell>
          <cell r="G83">
            <v>-318596351</v>
          </cell>
          <cell r="H83">
            <v>-1429271390</v>
          </cell>
          <cell r="I83">
            <v>-1100394273</v>
          </cell>
          <cell r="J83">
            <v>-125026567</v>
          </cell>
          <cell r="K83">
            <v>-122607186</v>
          </cell>
          <cell r="L83">
            <v>-1348028026</v>
          </cell>
          <cell r="AQ83" t="str">
            <v>3-2-02-01-01  Ingresos Arriendo Espacios Para Publicid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</row>
        <row r="84">
          <cell r="C84" t="str">
            <v>TERRA6. Ingresos Inmobiliarios</v>
          </cell>
          <cell r="D84" t="str">
            <v>6. Ingresos Inmobiliarios</v>
          </cell>
          <cell r="E84">
            <v>-4710295</v>
          </cell>
          <cell r="F84">
            <v>-1600000</v>
          </cell>
          <cell r="G84">
            <v>0</v>
          </cell>
          <cell r="H84">
            <v>-6310295</v>
          </cell>
          <cell r="I84">
            <v>1882</v>
          </cell>
          <cell r="J84">
            <v>0</v>
          </cell>
          <cell r="K84">
            <v>0</v>
          </cell>
          <cell r="L84">
            <v>1882</v>
          </cell>
          <cell r="AQ84" t="str">
            <v>3-2-02-02-01  Arriendos De Terrenos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</row>
        <row r="85">
          <cell r="C85" t="str">
            <v>TERRA7. Venta de Servicios y Otros</v>
          </cell>
          <cell r="D85" t="str">
            <v>7. Venta de Servicios y Otros</v>
          </cell>
          <cell r="E85">
            <v>440936</v>
          </cell>
          <cell r="F85">
            <v>0</v>
          </cell>
          <cell r="G85">
            <v>0</v>
          </cell>
          <cell r="H85">
            <v>440936</v>
          </cell>
          <cell r="I85">
            <v>-1511959</v>
          </cell>
          <cell r="J85">
            <v>-112000</v>
          </cell>
          <cell r="K85">
            <v>-2015378</v>
          </cell>
          <cell r="L85">
            <v>-3639337</v>
          </cell>
          <cell r="AQ85" t="str">
            <v>3-2-02-02-02  Arriendos De Locales Y Espacios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</row>
        <row r="86">
          <cell r="C86" t="str">
            <v>TERRA8. Transferencias Sector Público</v>
          </cell>
          <cell r="D86" t="str">
            <v>8. Transferencias Sector Público</v>
          </cell>
          <cell r="E86">
            <v>-88080000</v>
          </cell>
          <cell r="F86">
            <v>-86980000</v>
          </cell>
          <cell r="G86">
            <v>-31021000</v>
          </cell>
          <cell r="H86">
            <v>-206081000</v>
          </cell>
          <cell r="I86">
            <v>-59386667</v>
          </cell>
          <cell r="J86">
            <v>-22981795</v>
          </cell>
          <cell r="K86">
            <v>-12821734</v>
          </cell>
          <cell r="L86">
            <v>-95190196</v>
          </cell>
          <cell r="AQ86" t="str">
            <v>3-2-02-02-03  Otros Arriendos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</row>
        <row r="87">
          <cell r="C87" t="str">
            <v>TERRA2. Costo de ventas</v>
          </cell>
          <cell r="D87" t="str">
            <v>2. Costo de ventas</v>
          </cell>
          <cell r="E87">
            <v>1389546533</v>
          </cell>
          <cell r="F87">
            <v>1576545979</v>
          </cell>
          <cell r="G87">
            <v>539715322</v>
          </cell>
          <cell r="H87">
            <v>3505807834</v>
          </cell>
          <cell r="I87">
            <v>1852305313</v>
          </cell>
          <cell r="J87">
            <v>601755625</v>
          </cell>
          <cell r="K87">
            <v>367686195</v>
          </cell>
          <cell r="L87">
            <v>2821747133</v>
          </cell>
          <cell r="AQ87" t="str">
            <v>3-2-02-02-04  Arriendos Afectos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C88" t="str">
            <v>TERRAb. (Ganancia) pérdida</v>
          </cell>
          <cell r="D88" t="str">
            <v>b. (Ganancia) pérdida</v>
          </cell>
          <cell r="E88">
            <v>380182326</v>
          </cell>
          <cell r="F88">
            <v>348121778</v>
          </cell>
          <cell r="G88">
            <v>114500763</v>
          </cell>
          <cell r="H88">
            <v>842804867</v>
          </cell>
          <cell r="I88">
            <v>452748723</v>
          </cell>
          <cell r="J88">
            <v>323637524</v>
          </cell>
          <cell r="K88">
            <v>109903127</v>
          </cell>
          <cell r="L88">
            <v>886289374</v>
          </cell>
        </row>
        <row r="89">
          <cell r="C89" t="str">
            <v>TERRA5. Gasto de administración</v>
          </cell>
          <cell r="D89" t="str">
            <v>5. Gasto de administración</v>
          </cell>
          <cell r="E89">
            <v>394418895</v>
          </cell>
          <cell r="F89">
            <v>389331759</v>
          </cell>
          <cell r="G89">
            <v>115022448</v>
          </cell>
          <cell r="H89">
            <v>898773102</v>
          </cell>
          <cell r="I89">
            <v>478090563</v>
          </cell>
          <cell r="J89">
            <v>344553230</v>
          </cell>
          <cell r="K89">
            <v>110255864</v>
          </cell>
          <cell r="L89">
            <v>932899657</v>
          </cell>
        </row>
        <row r="90">
          <cell r="C90" t="str">
            <v>TERRA7. Otras ganancias (pérdidas)</v>
          </cell>
          <cell r="D90" t="str">
            <v>7. Otras ganancias (pérdidas)</v>
          </cell>
          <cell r="E90">
            <v>-14786581</v>
          </cell>
          <cell r="F90">
            <v>-40981163</v>
          </cell>
          <cell r="G90">
            <v>-673467</v>
          </cell>
          <cell r="H90">
            <v>-56441211</v>
          </cell>
          <cell r="I90">
            <v>-1384942</v>
          </cell>
          <cell r="J90">
            <v>-45673543</v>
          </cell>
          <cell r="K90">
            <v>-416125</v>
          </cell>
          <cell r="L90">
            <v>-47474610</v>
          </cell>
        </row>
        <row r="91">
          <cell r="C91" t="str">
            <v>TERRA1. Ingresos Fuera de Explotación</v>
          </cell>
          <cell r="D91" t="str">
            <v>1. Ingresos Fuera de Explotación</v>
          </cell>
          <cell r="E91">
            <v>-29997059</v>
          </cell>
          <cell r="F91">
            <v>-51390869</v>
          </cell>
          <cell r="G91">
            <v>-739137</v>
          </cell>
          <cell r="H91">
            <v>-82127065</v>
          </cell>
          <cell r="I91">
            <v>-1427374</v>
          </cell>
          <cell r="J91">
            <v>-45829192</v>
          </cell>
          <cell r="K91">
            <v>-434122</v>
          </cell>
          <cell r="L91">
            <v>-47690688</v>
          </cell>
        </row>
        <row r="92">
          <cell r="C92" t="str">
            <v>TERRA3231600000  Rec Impuesto Renta</v>
          </cell>
          <cell r="D92" t="str">
            <v>3231600000  Rec Impuesto Renta</v>
          </cell>
          <cell r="F92">
            <v>-344896</v>
          </cell>
          <cell r="G92">
            <v>0</v>
          </cell>
          <cell r="H92">
            <v>-344896</v>
          </cell>
        </row>
        <row r="93">
          <cell r="C93" t="str">
            <v>TERRA3240400000  Reintegro Ejercicio Anterior</v>
          </cell>
          <cell r="D93" t="str">
            <v>3240400000  Reintegro Ejercicio Anterior</v>
          </cell>
          <cell r="E93">
            <v>-27926999</v>
          </cell>
          <cell r="F93">
            <v>-2054535</v>
          </cell>
          <cell r="G93">
            <v>0</v>
          </cell>
          <cell r="H93">
            <v>-29981534</v>
          </cell>
        </row>
        <row r="94">
          <cell r="C94" t="str">
            <v>TERRA3240500000  Fondos de Terceros</v>
          </cell>
          <cell r="D94" t="str">
            <v>3240500000  Fondos de Terceros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-506488</v>
          </cell>
          <cell r="J94">
            <v>-1113716</v>
          </cell>
          <cell r="K94">
            <v>0</v>
          </cell>
          <cell r="L94">
            <v>-1620204</v>
          </cell>
        </row>
        <row r="95">
          <cell r="C95" t="str">
            <v>TERRA3240900000  Otro Ingreso No Clasificado</v>
          </cell>
          <cell r="D95" t="str">
            <v>3240900000  Otro Ingreso No Clasificado</v>
          </cell>
          <cell r="E95">
            <v>-2070060</v>
          </cell>
          <cell r="F95">
            <v>-48991438</v>
          </cell>
          <cell r="G95">
            <v>-739137</v>
          </cell>
          <cell r="H95">
            <v>-51800635</v>
          </cell>
          <cell r="I95">
            <v>-920886</v>
          </cell>
          <cell r="J95">
            <v>-44715476</v>
          </cell>
          <cell r="K95">
            <v>-434122</v>
          </cell>
          <cell r="L95">
            <v>-46070484</v>
          </cell>
        </row>
        <row r="96">
          <cell r="C96" t="str">
            <v>TERRA3. Otros Gastos Fuera Explotación</v>
          </cell>
          <cell r="D96" t="str">
            <v>3. Otros Gastos Fuera Explotación</v>
          </cell>
          <cell r="E96">
            <v>15210478</v>
          </cell>
          <cell r="F96">
            <v>10409706</v>
          </cell>
          <cell r="G96">
            <v>65670</v>
          </cell>
          <cell r="H96">
            <v>25685854</v>
          </cell>
          <cell r="I96">
            <v>42432</v>
          </cell>
          <cell r="J96">
            <v>155649</v>
          </cell>
          <cell r="K96">
            <v>17997</v>
          </cell>
          <cell r="L96">
            <v>216078</v>
          </cell>
        </row>
        <row r="97">
          <cell r="C97" t="str">
            <v>TERRA8. Ingresos financieros</v>
          </cell>
          <cell r="D97" t="str">
            <v>8. Ingresos financieros</v>
          </cell>
          <cell r="E97">
            <v>0</v>
          </cell>
          <cell r="F97">
            <v>-609707</v>
          </cell>
          <cell r="G97">
            <v>0</v>
          </cell>
          <cell r="H97">
            <v>-609707</v>
          </cell>
          <cell r="K97">
            <v>0</v>
          </cell>
          <cell r="L97">
            <v>0</v>
          </cell>
        </row>
        <row r="98">
          <cell r="C98" t="str">
            <v>TERRA9. Costos financieros</v>
          </cell>
          <cell r="D98" t="str">
            <v>9. Costos financieros</v>
          </cell>
          <cell r="E98">
            <v>513883</v>
          </cell>
          <cell r="F98">
            <v>449022</v>
          </cell>
          <cell r="G98">
            <v>151783</v>
          </cell>
          <cell r="H98">
            <v>1114688</v>
          </cell>
          <cell r="I98">
            <v>445297</v>
          </cell>
          <cell r="J98">
            <v>270555</v>
          </cell>
          <cell r="K98">
            <v>63380</v>
          </cell>
          <cell r="L98">
            <v>779232</v>
          </cell>
        </row>
        <row r="99">
          <cell r="C99" t="str">
            <v>TERRA11. Diferencias de cambio</v>
          </cell>
          <cell r="D99" t="str">
            <v>11. Diferencias de cambio</v>
          </cell>
          <cell r="E99">
            <v>36129</v>
          </cell>
          <cell r="F99">
            <v>-42173</v>
          </cell>
          <cell r="G99">
            <v>-1</v>
          </cell>
          <cell r="H99">
            <v>-6045</v>
          </cell>
          <cell r="I99">
            <v>75616</v>
          </cell>
          <cell r="J99">
            <v>9471</v>
          </cell>
          <cell r="K99">
            <v>8</v>
          </cell>
          <cell r="L99">
            <v>85095</v>
          </cell>
        </row>
        <row r="100">
          <cell r="C100" t="str">
            <v>TERRA12. Resultados por unidades de reajuste</v>
          </cell>
          <cell r="D100" t="str">
            <v>12. Resultados por unidades de reajuste</v>
          </cell>
          <cell r="E100">
            <v>0</v>
          </cell>
          <cell r="F100">
            <v>-25960</v>
          </cell>
          <cell r="G100">
            <v>0</v>
          </cell>
          <cell r="H100">
            <v>-25960</v>
          </cell>
          <cell r="I100">
            <v>-24477811</v>
          </cell>
          <cell r="J100">
            <v>24477811</v>
          </cell>
          <cell r="K100">
            <v>0</v>
          </cell>
          <cell r="L100">
            <v>0</v>
          </cell>
        </row>
        <row r="101">
          <cell r="C101" t="str">
            <v>TERRA10. Participación en las ganancias (pérdidas) de asociadas y negocios conjuntos que se contabilicen utilizando el método de la participación</v>
          </cell>
          <cell r="D101" t="str">
            <v>10. Participación en las ganancias (pérdidas) de asociadas y negocios conjuntos que se contabilicen utilizando el método de la participación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</row>
        <row r="102">
          <cell r="C102" t="str">
            <v>TMSA</v>
          </cell>
          <cell r="D102" t="str">
            <v>TMSA</v>
          </cell>
          <cell r="E102">
            <v>448986996</v>
          </cell>
          <cell r="F102">
            <v>614380621</v>
          </cell>
          <cell r="G102">
            <v>128626014</v>
          </cell>
          <cell r="H102">
            <v>1191993631</v>
          </cell>
          <cell r="I102">
            <v>1348625987</v>
          </cell>
          <cell r="J102">
            <v>239268856</v>
          </cell>
          <cell r="K102">
            <v>283178200</v>
          </cell>
          <cell r="L102">
            <v>1871073043</v>
          </cell>
        </row>
        <row r="103">
          <cell r="C103" t="str">
            <v>TMSAI. (Ganancia) pérdida, antes de impuestos</v>
          </cell>
          <cell r="D103" t="str">
            <v>I. (Ganancia) pérdida, antes de impuestos</v>
          </cell>
          <cell r="E103">
            <v>448986996</v>
          </cell>
          <cell r="F103">
            <v>614380621</v>
          </cell>
          <cell r="G103">
            <v>128626014</v>
          </cell>
          <cell r="H103">
            <v>1191993631</v>
          </cell>
          <cell r="I103">
            <v>1348625987</v>
          </cell>
          <cell r="J103">
            <v>239268856</v>
          </cell>
          <cell r="K103">
            <v>283178200</v>
          </cell>
          <cell r="L103">
            <v>1871073043</v>
          </cell>
        </row>
        <row r="104">
          <cell r="C104" t="str">
            <v>TMSAa. Ganancia bruta</v>
          </cell>
          <cell r="D104" t="str">
            <v>a. Ganancia bruta</v>
          </cell>
          <cell r="E104">
            <v>252955867</v>
          </cell>
          <cell r="F104">
            <v>389089009</v>
          </cell>
          <cell r="G104">
            <v>41136315</v>
          </cell>
          <cell r="H104">
            <v>683181191</v>
          </cell>
          <cell r="I104">
            <v>1012616596</v>
          </cell>
          <cell r="J104">
            <v>-19365015</v>
          </cell>
          <cell r="K104">
            <v>189039646</v>
          </cell>
          <cell r="L104">
            <v>1182291227</v>
          </cell>
        </row>
        <row r="105">
          <cell r="C105" t="str">
            <v>TMSA1. Ingresos de actividades ordinarias</v>
          </cell>
          <cell r="D105" t="str">
            <v>1. Ingresos de actividades ordinarias</v>
          </cell>
          <cell r="E105">
            <v>-1664546741</v>
          </cell>
          <cell r="F105">
            <v>-1536006169</v>
          </cell>
          <cell r="G105">
            <v>-584978535</v>
          </cell>
          <cell r="H105">
            <v>-3785531445</v>
          </cell>
          <cell r="I105">
            <v>-1263089780</v>
          </cell>
          <cell r="J105">
            <v>-1242951453</v>
          </cell>
          <cell r="K105">
            <v>-512564389</v>
          </cell>
          <cell r="L105">
            <v>-3018605622</v>
          </cell>
        </row>
        <row r="106">
          <cell r="C106" t="str">
            <v>TMSA1. Pasajes Cercanias</v>
          </cell>
          <cell r="D106" t="str">
            <v>1. Pasajes Cercanias</v>
          </cell>
          <cell r="E106">
            <v>-1539302569</v>
          </cell>
          <cell r="F106">
            <v>-1427224775</v>
          </cell>
          <cell r="G106">
            <v>-540723107</v>
          </cell>
          <cell r="H106">
            <v>-3507250451</v>
          </cell>
          <cell r="I106">
            <v>-1242281594</v>
          </cell>
          <cell r="J106">
            <v>-1143050885</v>
          </cell>
          <cell r="K106">
            <v>-465381835</v>
          </cell>
          <cell r="L106">
            <v>-2850714314</v>
          </cell>
        </row>
        <row r="107">
          <cell r="C107" t="str">
            <v>TMSA5. Ingresos Atraviesos</v>
          </cell>
          <cell r="D107" t="str">
            <v>5. Ingresos Atraviesos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K107">
            <v>0</v>
          </cell>
          <cell r="L107">
            <v>0</v>
          </cell>
        </row>
        <row r="108">
          <cell r="C108" t="str">
            <v>TMSA6. Ingresos Inmobiliarios</v>
          </cell>
          <cell r="D108" t="str">
            <v>6. Ingresos Inmobiliarios</v>
          </cell>
          <cell r="E108">
            <v>-10624837</v>
          </cell>
          <cell r="F108">
            <v>-10822703</v>
          </cell>
          <cell r="G108">
            <v>-4448483</v>
          </cell>
          <cell r="H108">
            <v>-25896023</v>
          </cell>
          <cell r="I108">
            <v>-12281842</v>
          </cell>
          <cell r="J108">
            <v>-629647</v>
          </cell>
          <cell r="K108">
            <v>-6934649</v>
          </cell>
          <cell r="L108">
            <v>-19846138</v>
          </cell>
        </row>
        <row r="109">
          <cell r="C109" t="str">
            <v>TMSA9. Ing Rec Filial Explotación</v>
          </cell>
          <cell r="D109" t="str">
            <v>9. Ing Rec Filial Explotación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K109">
            <v>0</v>
          </cell>
          <cell r="L109">
            <v>0</v>
          </cell>
        </row>
        <row r="110">
          <cell r="C110" t="str">
            <v>TMSA8. Transferencias Sector Público</v>
          </cell>
          <cell r="D110" t="str">
            <v>8. Transferencias Sector Público</v>
          </cell>
          <cell r="E110">
            <v>-114619335</v>
          </cell>
          <cell r="F110">
            <v>-97958691</v>
          </cell>
          <cell r="G110">
            <v>-39806945</v>
          </cell>
          <cell r="H110">
            <v>-252384971</v>
          </cell>
          <cell r="I110">
            <v>-8526344</v>
          </cell>
          <cell r="J110">
            <v>-99270921</v>
          </cell>
          <cell r="K110">
            <v>-40247905</v>
          </cell>
          <cell r="L110">
            <v>-148045170</v>
          </cell>
        </row>
        <row r="111">
          <cell r="C111" t="str">
            <v>TMSA2. Costo de ventas</v>
          </cell>
          <cell r="D111" t="str">
            <v>2. Costo de ventas</v>
          </cell>
          <cell r="E111">
            <v>1917502608</v>
          </cell>
          <cell r="F111">
            <v>1925095178</v>
          </cell>
          <cell r="G111">
            <v>626114850</v>
          </cell>
          <cell r="H111">
            <v>4468712636</v>
          </cell>
          <cell r="I111">
            <v>2275706376</v>
          </cell>
          <cell r="J111">
            <v>1223586438</v>
          </cell>
          <cell r="K111">
            <v>701604035</v>
          </cell>
          <cell r="L111">
            <v>4200896849</v>
          </cell>
        </row>
        <row r="112">
          <cell r="C112" t="str">
            <v>TMSAb. (Ganancia) pérdida</v>
          </cell>
          <cell r="D112" t="str">
            <v>b. (Ganancia) pérdida</v>
          </cell>
          <cell r="E112">
            <v>196031129</v>
          </cell>
          <cell r="F112">
            <v>225291612</v>
          </cell>
          <cell r="G112">
            <v>87489699</v>
          </cell>
          <cell r="H112">
            <v>508812440</v>
          </cell>
          <cell r="I112">
            <v>336009391</v>
          </cell>
          <cell r="J112">
            <v>258633871</v>
          </cell>
          <cell r="K112">
            <v>94138554</v>
          </cell>
          <cell r="L112">
            <v>688781816</v>
          </cell>
        </row>
        <row r="113">
          <cell r="C113" t="str">
            <v>TMSA5. Gasto de administración</v>
          </cell>
          <cell r="D113" t="str">
            <v>5. Gasto de administración</v>
          </cell>
          <cell r="E113">
            <v>237070024</v>
          </cell>
          <cell r="F113">
            <v>260094521</v>
          </cell>
          <cell r="G113">
            <v>87224454</v>
          </cell>
          <cell r="H113">
            <v>584388999</v>
          </cell>
          <cell r="I113">
            <v>347301403</v>
          </cell>
          <cell r="J113">
            <v>247283972</v>
          </cell>
          <cell r="K113">
            <v>96831244</v>
          </cell>
          <cell r="L113">
            <v>691416619</v>
          </cell>
        </row>
        <row r="114">
          <cell r="C114" t="str">
            <v>TMSA7. Otras ganancias (pérdidas)</v>
          </cell>
          <cell r="D114" t="str">
            <v>7. Otras ganancias (pérdidas)</v>
          </cell>
          <cell r="E114">
            <v>-41365672</v>
          </cell>
          <cell r="F114">
            <v>-33952541</v>
          </cell>
          <cell r="G114">
            <v>-66998</v>
          </cell>
          <cell r="H114">
            <v>-75385211</v>
          </cell>
          <cell r="I114">
            <v>-221066</v>
          </cell>
          <cell r="J114">
            <v>-235557</v>
          </cell>
          <cell r="K114">
            <v>-2788494</v>
          </cell>
          <cell r="L114">
            <v>-3245117</v>
          </cell>
        </row>
        <row r="115">
          <cell r="C115" t="str">
            <v>TMSA1. Ingresos Fuera de Explotación</v>
          </cell>
          <cell r="D115" t="str">
            <v>1. Ingresos Fuera de Explotación</v>
          </cell>
          <cell r="E115">
            <v>-41412844</v>
          </cell>
          <cell r="F115">
            <v>-39268689</v>
          </cell>
          <cell r="G115">
            <v>-82723</v>
          </cell>
          <cell r="H115">
            <v>-80764256</v>
          </cell>
          <cell r="I115">
            <v>-268414</v>
          </cell>
          <cell r="J115">
            <v>-780693</v>
          </cell>
          <cell r="K115">
            <v>-3090900</v>
          </cell>
          <cell r="L115">
            <v>-4140007</v>
          </cell>
        </row>
        <row r="116">
          <cell r="C116" t="str">
            <v>TMSA3240900000  Otro Ingreso No Clasificado</v>
          </cell>
          <cell r="D116" t="str">
            <v>3240900000  Otro Ingreso No Clasificado</v>
          </cell>
          <cell r="E116">
            <v>-41412844</v>
          </cell>
          <cell r="F116">
            <v>-39268689</v>
          </cell>
          <cell r="G116">
            <v>-82723</v>
          </cell>
          <cell r="H116">
            <v>-80764256</v>
          </cell>
          <cell r="I116">
            <v>-268414</v>
          </cell>
          <cell r="J116">
            <v>-780693</v>
          </cell>
          <cell r="K116">
            <v>-3090900</v>
          </cell>
          <cell r="L116">
            <v>-4140007</v>
          </cell>
        </row>
        <row r="117">
          <cell r="C117" t="str">
            <v>TMSA3. Otros Gastos Fuera Explotación</v>
          </cell>
          <cell r="D117" t="str">
            <v>3. Otros Gastos Fuera Explotación</v>
          </cell>
          <cell r="E117">
            <v>47172</v>
          </cell>
          <cell r="F117">
            <v>5316148</v>
          </cell>
          <cell r="G117">
            <v>15725</v>
          </cell>
          <cell r="H117">
            <v>5379045</v>
          </cell>
          <cell r="I117">
            <v>47348</v>
          </cell>
          <cell r="J117">
            <v>545136</v>
          </cell>
          <cell r="K117">
            <v>302406</v>
          </cell>
          <cell r="L117">
            <v>894890</v>
          </cell>
        </row>
        <row r="118">
          <cell r="C118" t="str">
            <v>TMSA8. Ingresos financieros</v>
          </cell>
          <cell r="D118" t="str">
            <v>8. Ingresos financieros</v>
          </cell>
          <cell r="E118">
            <v>-276000</v>
          </cell>
          <cell r="F118">
            <v>-1335000</v>
          </cell>
          <cell r="G118">
            <v>0</v>
          </cell>
          <cell r="H118">
            <v>-1611000</v>
          </cell>
          <cell r="I118">
            <v>-59216</v>
          </cell>
          <cell r="J118">
            <v>-94784</v>
          </cell>
          <cell r="K118">
            <v>0</v>
          </cell>
          <cell r="L118">
            <v>-154000</v>
          </cell>
        </row>
        <row r="119">
          <cell r="C119" t="str">
            <v>TMSA9. Costos financieros</v>
          </cell>
          <cell r="D119" t="str">
            <v>9. Costos financieros</v>
          </cell>
          <cell r="E119">
            <v>602906</v>
          </cell>
          <cell r="F119">
            <v>336698</v>
          </cell>
          <cell r="G119">
            <v>332295</v>
          </cell>
          <cell r="H119">
            <v>1271899</v>
          </cell>
          <cell r="J119">
            <v>668016</v>
          </cell>
          <cell r="K119">
            <v>95805</v>
          </cell>
          <cell r="L119">
            <v>763821</v>
          </cell>
        </row>
        <row r="120">
          <cell r="C120" t="str">
            <v>TMSA11. Diferencias de cambio</v>
          </cell>
          <cell r="D120" t="str">
            <v>11. Diferencias de cambio</v>
          </cell>
          <cell r="E120">
            <v>-129</v>
          </cell>
          <cell r="F120">
            <v>147934</v>
          </cell>
          <cell r="G120">
            <v>-52</v>
          </cell>
          <cell r="H120">
            <v>147753</v>
          </cell>
          <cell r="I120">
            <v>500</v>
          </cell>
          <cell r="J120">
            <v>-6</v>
          </cell>
          <cell r="K120">
            <v>-1</v>
          </cell>
          <cell r="L120">
            <v>493</v>
          </cell>
        </row>
        <row r="121">
          <cell r="C121" t="str">
            <v>TMSA12. Resultados por unidades de reajuste</v>
          </cell>
          <cell r="D121" t="str">
            <v>12. Resultados por unidades de reajuste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-11012230</v>
          </cell>
          <cell r="J121">
            <v>11012230</v>
          </cell>
          <cell r="K121">
            <v>0</v>
          </cell>
          <cell r="L121">
            <v>0</v>
          </cell>
        </row>
        <row r="122">
          <cell r="C122" t="str">
            <v>MERVAL</v>
          </cell>
          <cell r="D122" t="str">
            <v>MERVAL</v>
          </cell>
          <cell r="E122">
            <v>1912081908</v>
          </cell>
          <cell r="F122">
            <v>-320802797</v>
          </cell>
          <cell r="G122">
            <v>378147603</v>
          </cell>
          <cell r="H122">
            <v>1969426714</v>
          </cell>
          <cell r="I122">
            <v>3239236087</v>
          </cell>
          <cell r="J122">
            <v>3260825601</v>
          </cell>
          <cell r="K122">
            <v>-1665906448</v>
          </cell>
          <cell r="L122">
            <v>4834155240</v>
          </cell>
        </row>
        <row r="123">
          <cell r="C123" t="str">
            <v>MERVALI. (Ganancia) pérdida, antes de impuestos</v>
          </cell>
          <cell r="D123" t="str">
            <v>I. (Ganancia) pérdida, antes de impuestos</v>
          </cell>
          <cell r="E123">
            <v>1912081908</v>
          </cell>
          <cell r="F123">
            <v>-320802797</v>
          </cell>
          <cell r="G123">
            <v>378147603</v>
          </cell>
          <cell r="H123">
            <v>1969426714</v>
          </cell>
          <cell r="I123">
            <v>3239236087</v>
          </cell>
          <cell r="J123">
            <v>3260825601</v>
          </cell>
          <cell r="K123">
            <v>-1665906448</v>
          </cell>
          <cell r="L123">
            <v>4834155240</v>
          </cell>
        </row>
        <row r="124">
          <cell r="C124" t="str">
            <v>MERVALa. Ganancia bruta</v>
          </cell>
          <cell r="D124" t="str">
            <v>a. Ganancia bruta</v>
          </cell>
          <cell r="E124">
            <v>322289249</v>
          </cell>
          <cell r="F124">
            <v>307767337</v>
          </cell>
          <cell r="G124">
            <v>147593836</v>
          </cell>
          <cell r="H124">
            <v>777650422</v>
          </cell>
          <cell r="I124">
            <v>1048262150</v>
          </cell>
          <cell r="J124">
            <v>549904150</v>
          </cell>
          <cell r="K124">
            <v>228683545</v>
          </cell>
          <cell r="L124">
            <v>1826849845</v>
          </cell>
        </row>
        <row r="125">
          <cell r="C125" t="str">
            <v>MERVAL1. Ingresos de actividades ordinarias</v>
          </cell>
          <cell r="D125" t="str">
            <v>1. Ingresos de actividades ordinarias</v>
          </cell>
          <cell r="E125">
            <v>-2278698128</v>
          </cell>
          <cell r="F125">
            <v>-2419239469</v>
          </cell>
          <cell r="G125">
            <v>-749134557</v>
          </cell>
          <cell r="H125">
            <v>-5447072154</v>
          </cell>
          <cell r="I125">
            <v>-1292423548</v>
          </cell>
          <cell r="J125">
            <v>-1946512806</v>
          </cell>
          <cell r="K125">
            <v>-621929144</v>
          </cell>
          <cell r="L125">
            <v>-3860865498</v>
          </cell>
        </row>
        <row r="126">
          <cell r="C126" t="str">
            <v>MERVAL1. Pasajes Cercanias</v>
          </cell>
          <cell r="D126" t="str">
            <v>1. Pasajes Cercanias</v>
          </cell>
          <cell r="E126">
            <v>-1741459926</v>
          </cell>
          <cell r="F126">
            <v>-1794289276</v>
          </cell>
          <cell r="G126">
            <v>-569745492</v>
          </cell>
          <cell r="H126">
            <v>-4105494694</v>
          </cell>
          <cell r="I126">
            <v>-1235150309</v>
          </cell>
          <cell r="J126">
            <v>-1411047476</v>
          </cell>
          <cell r="K126">
            <v>-470186221</v>
          </cell>
          <cell r="L126">
            <v>-3116384006</v>
          </cell>
        </row>
        <row r="127">
          <cell r="C127" t="str">
            <v>MERVAL6. Ingresos Inmobiliarios</v>
          </cell>
          <cell r="D127" t="str">
            <v>6. Ingresos Inmobiliarios</v>
          </cell>
          <cell r="E127">
            <v>-64019225</v>
          </cell>
          <cell r="F127">
            <v>-47255771</v>
          </cell>
          <cell r="G127">
            <v>-13474377</v>
          </cell>
          <cell r="H127">
            <v>-124749373</v>
          </cell>
          <cell r="I127">
            <v>-57273239</v>
          </cell>
          <cell r="J127">
            <v>-58846960</v>
          </cell>
          <cell r="K127">
            <v>-13423423</v>
          </cell>
          <cell r="L127">
            <v>-129543622</v>
          </cell>
        </row>
        <row r="128">
          <cell r="C128" t="str">
            <v>MERVAL8. Transferencias Sector Público</v>
          </cell>
          <cell r="D128" t="str">
            <v>8. Transferencias Sector Público</v>
          </cell>
          <cell r="E128">
            <v>-473218977</v>
          </cell>
          <cell r="F128">
            <v>-577694422</v>
          </cell>
          <cell r="G128">
            <v>-165914688</v>
          </cell>
          <cell r="H128">
            <v>-1216828087</v>
          </cell>
          <cell r="J128">
            <v>-476618370</v>
          </cell>
          <cell r="K128">
            <v>-138319500</v>
          </cell>
          <cell r="L128">
            <v>-614937870</v>
          </cell>
        </row>
        <row r="129">
          <cell r="C129" t="str">
            <v>MERVAL2. Costo de ventas</v>
          </cell>
          <cell r="D129" t="str">
            <v>2. Costo de ventas</v>
          </cell>
          <cell r="E129">
            <v>2600987377</v>
          </cell>
          <cell r="F129">
            <v>2727006806</v>
          </cell>
          <cell r="G129">
            <v>896728393</v>
          </cell>
          <cell r="H129">
            <v>6224722576</v>
          </cell>
          <cell r="I129">
            <v>2340685698</v>
          </cell>
          <cell r="J129">
            <v>2496416956</v>
          </cell>
          <cell r="K129">
            <v>850612689</v>
          </cell>
          <cell r="L129">
            <v>5687715343</v>
          </cell>
        </row>
        <row r="130">
          <cell r="C130" t="str">
            <v>MERVALb. (Ganancia) pérdida</v>
          </cell>
          <cell r="D130" t="str">
            <v>b. (Ganancia) pérdida</v>
          </cell>
          <cell r="E130">
            <v>1589792659</v>
          </cell>
          <cell r="F130">
            <v>-628570134</v>
          </cell>
          <cell r="G130">
            <v>230553767</v>
          </cell>
          <cell r="H130">
            <v>1191776292</v>
          </cell>
          <cell r="I130">
            <v>2190973937</v>
          </cell>
          <cell r="J130">
            <v>2710921451</v>
          </cell>
          <cell r="K130">
            <v>-1894589993</v>
          </cell>
          <cell r="L130">
            <v>3007305395</v>
          </cell>
        </row>
        <row r="131">
          <cell r="C131" t="str">
            <v>MERVAL5. Gasto de administración</v>
          </cell>
          <cell r="D131" t="str">
            <v>5. Gasto de administración</v>
          </cell>
          <cell r="E131">
            <v>530354216</v>
          </cell>
          <cell r="F131">
            <v>659385497</v>
          </cell>
          <cell r="G131">
            <v>207646049</v>
          </cell>
          <cell r="H131">
            <v>1397385762</v>
          </cell>
          <cell r="I131">
            <v>509463532</v>
          </cell>
          <cell r="J131">
            <v>509435475</v>
          </cell>
          <cell r="K131">
            <v>168087439</v>
          </cell>
          <cell r="L131">
            <v>1186986446</v>
          </cell>
        </row>
        <row r="132">
          <cell r="C132" t="str">
            <v>MERVAL7. Otras ganancias (pérdidas)</v>
          </cell>
          <cell r="D132" t="str">
            <v>7. Otras ganancias (pérdidas)</v>
          </cell>
          <cell r="E132">
            <v>19825747</v>
          </cell>
          <cell r="F132">
            <v>85750575</v>
          </cell>
          <cell r="G132">
            <v>1950430</v>
          </cell>
          <cell r="H132">
            <v>107526752</v>
          </cell>
          <cell r="I132">
            <v>13289482</v>
          </cell>
          <cell r="J132">
            <v>62549407</v>
          </cell>
          <cell r="K132">
            <v>2728754</v>
          </cell>
          <cell r="L132">
            <v>78567643</v>
          </cell>
        </row>
        <row r="133">
          <cell r="C133" t="str">
            <v>MERVAL1. Ingresos Fuera de Explotación</v>
          </cell>
          <cell r="D133" t="str">
            <v>1. Ingresos Fuera de Explotación</v>
          </cell>
          <cell r="E133">
            <v>-16200899</v>
          </cell>
          <cell r="F133">
            <v>-22972196</v>
          </cell>
          <cell r="G133">
            <v>-2047734</v>
          </cell>
          <cell r="H133">
            <v>-41220829</v>
          </cell>
          <cell r="I133">
            <v>-47843076</v>
          </cell>
          <cell r="J133">
            <v>-13018497</v>
          </cell>
          <cell r="K133">
            <v>-9057731</v>
          </cell>
          <cell r="L133">
            <v>-69919304</v>
          </cell>
        </row>
        <row r="134">
          <cell r="C134" t="str">
            <v>MERVAL3-2-02-05-01  Reintegros Ejercicios Anteriores</v>
          </cell>
          <cell r="D134" t="str">
            <v>3-2-02-05-01  Reintegros Ejercicios Anteriores</v>
          </cell>
          <cell r="E134">
            <v>-4949853</v>
          </cell>
          <cell r="F134">
            <v>-11036740</v>
          </cell>
          <cell r="G134">
            <v>0</v>
          </cell>
          <cell r="H134">
            <v>-15986593</v>
          </cell>
          <cell r="I134">
            <v>-12051739</v>
          </cell>
          <cell r="J134">
            <v>-941603</v>
          </cell>
          <cell r="K134">
            <v>0</v>
          </cell>
          <cell r="L134">
            <v>-12993342</v>
          </cell>
        </row>
        <row r="135">
          <cell r="C135" t="str">
            <v>MERVAL3-2-02-07-99  Otros</v>
          </cell>
          <cell r="D135" t="str">
            <v>3-2-02-07-99  Otros</v>
          </cell>
          <cell r="E135">
            <v>-11251046</v>
          </cell>
          <cell r="F135">
            <v>-11935456</v>
          </cell>
          <cell r="G135">
            <v>-2047734</v>
          </cell>
          <cell r="H135">
            <v>-25234236</v>
          </cell>
          <cell r="I135">
            <v>-35791337</v>
          </cell>
          <cell r="J135">
            <v>-12076894</v>
          </cell>
          <cell r="K135">
            <v>-9057731</v>
          </cell>
          <cell r="L135">
            <v>-56925962</v>
          </cell>
        </row>
        <row r="136">
          <cell r="C136" t="str">
            <v>MERVAL3. Otros Gastos Fuera Explotación</v>
          </cell>
          <cell r="D136" t="str">
            <v>3. Otros Gastos Fuera Explotación</v>
          </cell>
          <cell r="E136">
            <v>36026646</v>
          </cell>
          <cell r="F136">
            <v>108722771</v>
          </cell>
          <cell r="G136">
            <v>3998164</v>
          </cell>
          <cell r="H136">
            <v>148747581</v>
          </cell>
          <cell r="I136">
            <v>61132558</v>
          </cell>
          <cell r="J136">
            <v>75567904</v>
          </cell>
          <cell r="K136">
            <v>11786485</v>
          </cell>
          <cell r="L136">
            <v>148486947</v>
          </cell>
        </row>
        <row r="137">
          <cell r="C137" t="str">
            <v>MERVAL8. Ingresos financieros</v>
          </cell>
          <cell r="D137" t="str">
            <v>8. Ingresos financieros</v>
          </cell>
          <cell r="E137">
            <v>0</v>
          </cell>
          <cell r="F137">
            <v>-3101942</v>
          </cell>
          <cell r="G137">
            <v>-4451445</v>
          </cell>
          <cell r="H137">
            <v>-7553387</v>
          </cell>
          <cell r="I137">
            <v>-898525</v>
          </cell>
          <cell r="J137">
            <v>-1003214</v>
          </cell>
          <cell r="K137">
            <v>582050</v>
          </cell>
          <cell r="L137">
            <v>-1319689</v>
          </cell>
        </row>
        <row r="138">
          <cell r="C138" t="str">
            <v>MERVAL9. Costos financieros</v>
          </cell>
          <cell r="D138" t="str">
            <v>9. Costos financieros</v>
          </cell>
          <cell r="E138">
            <v>173067461</v>
          </cell>
          <cell r="F138">
            <v>100069836</v>
          </cell>
          <cell r="G138">
            <v>25735611</v>
          </cell>
          <cell r="H138">
            <v>298872908</v>
          </cell>
          <cell r="I138">
            <v>167731892</v>
          </cell>
          <cell r="J138">
            <v>163765198</v>
          </cell>
          <cell r="K138">
            <v>58640350</v>
          </cell>
          <cell r="L138">
            <v>390137440</v>
          </cell>
        </row>
        <row r="139">
          <cell r="C139" t="str">
            <v>MERVAL11. Diferencias de cambio</v>
          </cell>
          <cell r="D139" t="str">
            <v>11. Diferencias de cambio</v>
          </cell>
          <cell r="E139">
            <v>867154530</v>
          </cell>
          <cell r="F139">
            <v>-1468645717</v>
          </cell>
          <cell r="G139">
            <v>0</v>
          </cell>
          <cell r="H139">
            <v>-601491187</v>
          </cell>
          <cell r="I139">
            <v>1501495851</v>
          </cell>
          <cell r="J139">
            <v>1976544472</v>
          </cell>
          <cell r="K139">
            <v>-2124583823</v>
          </cell>
          <cell r="L139">
            <v>1353456500</v>
          </cell>
        </row>
        <row r="140">
          <cell r="C140" t="str">
            <v>MERVAL12. Resultados por unidades de reajuste</v>
          </cell>
          <cell r="D140" t="str">
            <v>12. Resultados por unidades de reajuste</v>
          </cell>
          <cell r="E140">
            <v>-609295</v>
          </cell>
          <cell r="F140">
            <v>-2028383</v>
          </cell>
          <cell r="G140">
            <v>-326878</v>
          </cell>
          <cell r="H140">
            <v>-2964556</v>
          </cell>
          <cell r="I140">
            <v>-108295</v>
          </cell>
          <cell r="J140">
            <v>-369887</v>
          </cell>
          <cell r="K140">
            <v>-44763</v>
          </cell>
          <cell r="L140">
            <v>-522945</v>
          </cell>
        </row>
        <row r="141">
          <cell r="C141" t="str">
            <v>INVIA</v>
          </cell>
          <cell r="D141" t="str">
            <v>INVIA</v>
          </cell>
          <cell r="E141">
            <v>-449756365</v>
          </cell>
          <cell r="F141">
            <v>-42387892</v>
          </cell>
          <cell r="G141">
            <v>21472476</v>
          </cell>
          <cell r="H141">
            <v>-470671781</v>
          </cell>
          <cell r="I141">
            <v>62871457</v>
          </cell>
          <cell r="J141">
            <v>-35381441</v>
          </cell>
          <cell r="K141">
            <v>12360588</v>
          </cell>
          <cell r="L141">
            <v>39850604</v>
          </cell>
        </row>
        <row r="142">
          <cell r="C142" t="str">
            <v>INVIAI. (Ganancia) pérdida, antes de impuestos</v>
          </cell>
          <cell r="D142" t="str">
            <v>I. (Ganancia) pérdida, antes de impuestos</v>
          </cell>
          <cell r="E142">
            <v>-449756365</v>
          </cell>
          <cell r="F142">
            <v>-42387892</v>
          </cell>
          <cell r="G142">
            <v>21472476</v>
          </cell>
          <cell r="H142">
            <v>-470671781</v>
          </cell>
          <cell r="I142">
            <v>62871457</v>
          </cell>
          <cell r="J142">
            <v>-35381441</v>
          </cell>
          <cell r="K142">
            <v>12360588</v>
          </cell>
          <cell r="L142">
            <v>39850604</v>
          </cell>
        </row>
        <row r="143">
          <cell r="C143" t="str">
            <v>INVIAa. Ganancia bruta</v>
          </cell>
          <cell r="D143" t="str">
            <v>a. Ganancia bruta</v>
          </cell>
          <cell r="E143">
            <v>-407560466</v>
          </cell>
          <cell r="F143">
            <v>-32176678</v>
          </cell>
          <cell r="G143">
            <v>-4717105</v>
          </cell>
          <cell r="H143">
            <v>-444454249</v>
          </cell>
          <cell r="I143">
            <v>-15399827</v>
          </cell>
          <cell r="J143">
            <v>-23624345</v>
          </cell>
          <cell r="K143">
            <v>-22517092</v>
          </cell>
          <cell r="L143">
            <v>-61541264</v>
          </cell>
        </row>
        <row r="144">
          <cell r="C144" t="str">
            <v>INVIA1. Ingresos de actividades ordinarias</v>
          </cell>
          <cell r="D144" t="str">
            <v>1. Ingresos de actividades ordinarias</v>
          </cell>
          <cell r="E144">
            <v>-512865014</v>
          </cell>
          <cell r="F144">
            <v>-73574218</v>
          </cell>
          <cell r="G144">
            <v>-24276675</v>
          </cell>
          <cell r="H144">
            <v>-610715907</v>
          </cell>
          <cell r="I144">
            <v>-80415493</v>
          </cell>
          <cell r="J144">
            <v>-61598126</v>
          </cell>
          <cell r="K144">
            <v>-30861303</v>
          </cell>
          <cell r="L144">
            <v>-172874922</v>
          </cell>
        </row>
        <row r="145">
          <cell r="C145" t="str">
            <v>INVIA6. Ingresos Inmobiliarios</v>
          </cell>
          <cell r="D145" t="str">
            <v>6. Ingresos Inmobiliarios</v>
          </cell>
          <cell r="E145">
            <v>-512865014</v>
          </cell>
          <cell r="F145">
            <v>-73574218</v>
          </cell>
          <cell r="G145">
            <v>-24276675</v>
          </cell>
          <cell r="H145">
            <v>-610715907</v>
          </cell>
          <cell r="I145">
            <v>-80415493</v>
          </cell>
          <cell r="J145">
            <v>-61598126</v>
          </cell>
          <cell r="K145">
            <v>-30861303</v>
          </cell>
          <cell r="L145">
            <v>-172874922</v>
          </cell>
        </row>
        <row r="146">
          <cell r="C146" t="str">
            <v>INVIA2. Costo de ventas</v>
          </cell>
          <cell r="D146" t="str">
            <v>2. Costo de ventas</v>
          </cell>
          <cell r="E146">
            <v>105304548</v>
          </cell>
          <cell r="F146">
            <v>41397540</v>
          </cell>
          <cell r="G146">
            <v>19559570</v>
          </cell>
          <cell r="H146">
            <v>166261658</v>
          </cell>
          <cell r="I146">
            <v>65015666</v>
          </cell>
          <cell r="J146">
            <v>37973781</v>
          </cell>
          <cell r="K146">
            <v>8344211</v>
          </cell>
          <cell r="L146">
            <v>111333658</v>
          </cell>
        </row>
        <row r="147">
          <cell r="C147" t="str">
            <v>INVIAb. (Ganancia) pérdida</v>
          </cell>
          <cell r="D147" t="str">
            <v>b. (Ganancia) pérdida</v>
          </cell>
          <cell r="E147">
            <v>-42195899</v>
          </cell>
          <cell r="F147">
            <v>-10211214</v>
          </cell>
          <cell r="G147">
            <v>26189581</v>
          </cell>
          <cell r="H147">
            <v>-26217532</v>
          </cell>
          <cell r="I147">
            <v>78271284</v>
          </cell>
          <cell r="J147">
            <v>-11757096</v>
          </cell>
          <cell r="K147">
            <v>34877680</v>
          </cell>
          <cell r="L147">
            <v>101391868</v>
          </cell>
        </row>
        <row r="148">
          <cell r="C148" t="str">
            <v>INVIA5. Gasto de administración</v>
          </cell>
          <cell r="D148" t="str">
            <v>5. Gasto de administración</v>
          </cell>
          <cell r="E148">
            <v>45263247</v>
          </cell>
          <cell r="F148">
            <v>95794594</v>
          </cell>
          <cell r="G148">
            <v>51011643</v>
          </cell>
          <cell r="H148">
            <v>192069484</v>
          </cell>
          <cell r="I148">
            <v>94035932</v>
          </cell>
          <cell r="J148">
            <v>20648997</v>
          </cell>
          <cell r="K148">
            <v>46644142</v>
          </cell>
          <cell r="L148">
            <v>161329071</v>
          </cell>
        </row>
        <row r="149">
          <cell r="C149" t="str">
            <v>INVIA7. Otras ganancias (pérdidas)</v>
          </cell>
          <cell r="D149" t="str">
            <v>7. Otras ganancias (pérdidas)</v>
          </cell>
          <cell r="E149">
            <v>-87459146</v>
          </cell>
          <cell r="F149">
            <v>-106005808</v>
          </cell>
          <cell r="G149">
            <v>-24821742</v>
          </cell>
          <cell r="H149">
            <v>-218286696</v>
          </cell>
          <cell r="I149">
            <v>-13224587</v>
          </cell>
          <cell r="J149">
            <v>-31928020</v>
          </cell>
          <cell r="K149">
            <v>-11707074</v>
          </cell>
          <cell r="L149">
            <v>-56859681</v>
          </cell>
        </row>
        <row r="150">
          <cell r="C150" t="str">
            <v>INVIA1. Ingresos Fuera de Explotación</v>
          </cell>
          <cell r="D150" t="str">
            <v>1. Ingresos Fuera de Explotación</v>
          </cell>
          <cell r="E150">
            <v>-88225260</v>
          </cell>
          <cell r="F150">
            <v>-106351975</v>
          </cell>
          <cell r="G150">
            <v>-24836974</v>
          </cell>
          <cell r="H150">
            <v>-219414209</v>
          </cell>
          <cell r="I150">
            <v>-13319086</v>
          </cell>
          <cell r="J150">
            <v>-32472503</v>
          </cell>
          <cell r="K150">
            <v>-12555160</v>
          </cell>
          <cell r="L150">
            <v>-58346749</v>
          </cell>
        </row>
        <row r="151">
          <cell r="C151" t="str">
            <v>INVIA4107003  Intereses cta mercantil EFE</v>
          </cell>
          <cell r="D151" t="str">
            <v>4107003  Intereses cta mercantil EFE</v>
          </cell>
          <cell r="E151">
            <v>-87528040</v>
          </cell>
          <cell r="F151">
            <v>-104562081</v>
          </cell>
          <cell r="G151">
            <v>-24836974</v>
          </cell>
          <cell r="H151">
            <v>-216927095</v>
          </cell>
          <cell r="I151">
            <v>-13319086</v>
          </cell>
          <cell r="J151">
            <v>-32472503</v>
          </cell>
          <cell r="K151">
            <v>-12555160</v>
          </cell>
          <cell r="L151">
            <v>-58346749</v>
          </cell>
        </row>
        <row r="152">
          <cell r="C152" t="str">
            <v>INVIA4201102  Reajustes financieros</v>
          </cell>
          <cell r="D152" t="str">
            <v>4201102  Reajustes financieros</v>
          </cell>
          <cell r="E152">
            <v>-697220</v>
          </cell>
          <cell r="F152">
            <v>-1789894</v>
          </cell>
          <cell r="G152">
            <v>0</v>
          </cell>
          <cell r="H152">
            <v>-2487114</v>
          </cell>
          <cell r="K152">
            <v>0</v>
          </cell>
          <cell r="L152">
            <v>0</v>
          </cell>
        </row>
        <row r="153">
          <cell r="C153" t="str">
            <v>INVIA3. Otros Gastos Fuera Explotación</v>
          </cell>
          <cell r="D153" t="str">
            <v>3. Otros Gastos Fuera Explotación</v>
          </cell>
          <cell r="E153">
            <v>766114</v>
          </cell>
          <cell r="F153">
            <v>346167</v>
          </cell>
          <cell r="G153">
            <v>15232</v>
          </cell>
          <cell r="H153">
            <v>1127513</v>
          </cell>
          <cell r="I153">
            <v>94499</v>
          </cell>
          <cell r="J153">
            <v>544483</v>
          </cell>
          <cell r="K153">
            <v>848086</v>
          </cell>
          <cell r="L153">
            <v>1487068</v>
          </cell>
        </row>
        <row r="154">
          <cell r="C154" t="str">
            <v>INVIA8. Ingresos financieros</v>
          </cell>
          <cell r="D154" t="str">
            <v>8. Ingresos financieros</v>
          </cell>
          <cell r="E154">
            <v>0</v>
          </cell>
          <cell r="F154">
            <v>0</v>
          </cell>
          <cell r="G154">
            <v>-320</v>
          </cell>
          <cell r="H154">
            <v>-320</v>
          </cell>
          <cell r="I154">
            <v>-2540061</v>
          </cell>
          <cell r="J154">
            <v>-471775</v>
          </cell>
          <cell r="K154">
            <v>-59388</v>
          </cell>
          <cell r="L154">
            <v>-3071224</v>
          </cell>
        </row>
        <row r="155">
          <cell r="C155" t="str">
            <v>INVIA12. Resultados por unidades de reajuste</v>
          </cell>
          <cell r="D155" t="str">
            <v>12. Resultados por unidades de reajuste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J155">
            <v>-6298</v>
          </cell>
          <cell r="K155">
            <v>0</v>
          </cell>
          <cell r="L155">
            <v>-6298</v>
          </cell>
        </row>
        <row r="156">
          <cell r="C156" t="str">
            <v>FCALP</v>
          </cell>
          <cell r="D156" t="str">
            <v>FCALP</v>
          </cell>
          <cell r="E156">
            <v>151182</v>
          </cell>
          <cell r="F156">
            <v>2073907</v>
          </cell>
          <cell r="G156">
            <v>234462</v>
          </cell>
          <cell r="H156">
            <v>2459551</v>
          </cell>
          <cell r="I156">
            <v>0</v>
          </cell>
          <cell r="J156">
            <v>282947</v>
          </cell>
          <cell r="K156">
            <v>0</v>
          </cell>
          <cell r="L156">
            <v>282947</v>
          </cell>
        </row>
        <row r="157">
          <cell r="C157" t="str">
            <v>FCALPI. (Ganancia) pérdida, antes de impuestos</v>
          </cell>
          <cell r="D157" t="str">
            <v>I. (Ganancia) pérdida, antes de impuestos</v>
          </cell>
          <cell r="E157">
            <v>151182</v>
          </cell>
          <cell r="F157">
            <v>2073907</v>
          </cell>
          <cell r="G157">
            <v>234462</v>
          </cell>
          <cell r="H157">
            <v>2459551</v>
          </cell>
          <cell r="I157">
            <v>0</v>
          </cell>
          <cell r="J157">
            <v>282947</v>
          </cell>
          <cell r="K157">
            <v>0</v>
          </cell>
          <cell r="L157">
            <v>282947</v>
          </cell>
        </row>
        <row r="158">
          <cell r="C158" t="str">
            <v>FCALPb. (Ganancia) pérdida</v>
          </cell>
          <cell r="D158" t="str">
            <v>b. (Ganancia) pérdida</v>
          </cell>
          <cell r="E158">
            <v>151182</v>
          </cell>
          <cell r="F158">
            <v>2073907</v>
          </cell>
          <cell r="G158">
            <v>234462</v>
          </cell>
          <cell r="H158">
            <v>2459551</v>
          </cell>
          <cell r="I158">
            <v>0</v>
          </cell>
          <cell r="J158">
            <v>282947</v>
          </cell>
          <cell r="K158">
            <v>0</v>
          </cell>
          <cell r="L158">
            <v>282947</v>
          </cell>
        </row>
        <row r="159">
          <cell r="C159" t="str">
            <v>FCALP5. Gasto de administración</v>
          </cell>
          <cell r="D159" t="str">
            <v>5. Gasto de administración</v>
          </cell>
          <cell r="E159">
            <v>153706</v>
          </cell>
          <cell r="F159">
            <v>2080257</v>
          </cell>
          <cell r="G159">
            <v>235318</v>
          </cell>
          <cell r="H159">
            <v>2469281</v>
          </cell>
          <cell r="I159">
            <v>0</v>
          </cell>
          <cell r="J159">
            <v>289086</v>
          </cell>
          <cell r="K159">
            <v>0</v>
          </cell>
          <cell r="L159">
            <v>289086</v>
          </cell>
        </row>
        <row r="160">
          <cell r="C160" t="str">
            <v>FCALP12. Resultados por unidades de reajuste</v>
          </cell>
          <cell r="D160" t="str">
            <v>12. Resultados por unidades de reajuste</v>
          </cell>
          <cell r="E160">
            <v>-2524</v>
          </cell>
          <cell r="F160">
            <v>-6350</v>
          </cell>
          <cell r="G160">
            <v>-856</v>
          </cell>
          <cell r="H160">
            <v>-9730</v>
          </cell>
          <cell r="I160">
            <v>0</v>
          </cell>
          <cell r="J160">
            <v>-6139</v>
          </cell>
          <cell r="K160">
            <v>0</v>
          </cell>
          <cell r="L160">
            <v>-6139</v>
          </cell>
        </row>
        <row r="161">
          <cell r="C161" t="str">
            <v>ITF</v>
          </cell>
          <cell r="D161" t="str">
            <v>ITF</v>
          </cell>
          <cell r="E161">
            <v>132640</v>
          </cell>
          <cell r="F161">
            <v>2027268</v>
          </cell>
          <cell r="G161">
            <v>-261518</v>
          </cell>
          <cell r="H161">
            <v>1898390</v>
          </cell>
          <cell r="I161">
            <v>0</v>
          </cell>
          <cell r="J161">
            <v>237860</v>
          </cell>
          <cell r="K161">
            <v>0</v>
          </cell>
          <cell r="L161">
            <v>237860</v>
          </cell>
        </row>
        <row r="162">
          <cell r="C162" t="str">
            <v>ITFI. (Ganancia) pérdida, antes de impuestos</v>
          </cell>
          <cell r="D162" t="str">
            <v>I. (Ganancia) pérdida, antes de impuestos</v>
          </cell>
          <cell r="E162">
            <v>132640</v>
          </cell>
          <cell r="F162">
            <v>2027268</v>
          </cell>
          <cell r="G162">
            <v>-261518</v>
          </cell>
          <cell r="H162">
            <v>1898390</v>
          </cell>
          <cell r="I162">
            <v>0</v>
          </cell>
          <cell r="J162">
            <v>237860</v>
          </cell>
          <cell r="K162">
            <v>0</v>
          </cell>
          <cell r="L162">
            <v>237860</v>
          </cell>
        </row>
        <row r="163">
          <cell r="C163" t="str">
            <v>ITFb. (Ganancia) pérdida</v>
          </cell>
          <cell r="D163" t="str">
            <v>b. (Ganancia) pérdida</v>
          </cell>
          <cell r="E163">
            <v>132640</v>
          </cell>
          <cell r="F163">
            <v>2027268</v>
          </cell>
          <cell r="G163">
            <v>-261518</v>
          </cell>
          <cell r="H163">
            <v>1898390</v>
          </cell>
          <cell r="I163">
            <v>0</v>
          </cell>
          <cell r="J163">
            <v>237860</v>
          </cell>
          <cell r="K163">
            <v>0</v>
          </cell>
          <cell r="L163">
            <v>237860</v>
          </cell>
        </row>
        <row r="164">
          <cell r="C164" t="str">
            <v>ITF5. Gasto de administración</v>
          </cell>
          <cell r="D164" t="str">
            <v>5. Gasto de administración</v>
          </cell>
          <cell r="E164">
            <v>153706</v>
          </cell>
          <cell r="F164">
            <v>2080257</v>
          </cell>
          <cell r="G164">
            <v>-254372</v>
          </cell>
          <cell r="H164">
            <v>1979591</v>
          </cell>
          <cell r="I164">
            <v>0</v>
          </cell>
          <cell r="J164">
            <v>289086</v>
          </cell>
          <cell r="K164">
            <v>0</v>
          </cell>
          <cell r="L164">
            <v>289086</v>
          </cell>
        </row>
        <row r="165">
          <cell r="C165" t="str">
            <v>ITF12. Resultados por unidades de reajuste</v>
          </cell>
          <cell r="D165" t="str">
            <v>12. Resultados por unidades de reajuste</v>
          </cell>
          <cell r="E165">
            <v>-21066</v>
          </cell>
          <cell r="F165">
            <v>-52989</v>
          </cell>
          <cell r="G165">
            <v>-7146</v>
          </cell>
          <cell r="H165">
            <v>-81201</v>
          </cell>
          <cell r="I165">
            <v>0</v>
          </cell>
          <cell r="J165">
            <v>-51226</v>
          </cell>
          <cell r="K165">
            <v>0</v>
          </cell>
          <cell r="L165">
            <v>-51226</v>
          </cell>
        </row>
        <row r="166">
          <cell r="C166" t="str">
            <v>ITF(Ganancia) pérdida</v>
          </cell>
          <cell r="D166" t="str">
            <v>(Ganancia) pérdida</v>
          </cell>
          <cell r="E166">
            <v>36163064829</v>
          </cell>
          <cell r="F166">
            <v>26749655048</v>
          </cell>
          <cell r="G166">
            <v>3642708729</v>
          </cell>
          <cell r="H166">
            <v>66555428606</v>
          </cell>
          <cell r="I166">
            <v>53450059828</v>
          </cell>
          <cell r="J166">
            <v>62944517515</v>
          </cell>
          <cell r="K166">
            <v>27861612479</v>
          </cell>
          <cell r="L166">
            <v>144256189822</v>
          </cell>
        </row>
        <row r="167">
          <cell r="C167" t="str">
            <v>ITF</v>
          </cell>
        </row>
        <row r="168">
          <cell r="C168" t="str">
            <v>ITF</v>
          </cell>
        </row>
        <row r="169">
          <cell r="C169" t="str">
            <v>ITF</v>
          </cell>
        </row>
        <row r="170">
          <cell r="C170" t="str">
            <v>ITF</v>
          </cell>
        </row>
        <row r="171">
          <cell r="C171" t="str">
            <v>ITF</v>
          </cell>
        </row>
        <row r="172">
          <cell r="C172" t="str">
            <v>ITF</v>
          </cell>
        </row>
        <row r="173">
          <cell r="C173" t="str">
            <v>ITF</v>
          </cell>
        </row>
        <row r="174">
          <cell r="C174" t="str">
            <v>ITF</v>
          </cell>
        </row>
        <row r="175">
          <cell r="C175" t="str">
            <v>ITF</v>
          </cell>
        </row>
        <row r="176">
          <cell r="C176" t="str">
            <v>ITF</v>
          </cell>
        </row>
        <row r="177">
          <cell r="C177" t="str">
            <v>ITF</v>
          </cell>
        </row>
        <row r="178">
          <cell r="C178" t="str">
            <v>ITF</v>
          </cell>
        </row>
        <row r="179">
          <cell r="C179" t="str">
            <v>ITF</v>
          </cell>
        </row>
        <row r="180">
          <cell r="C180" t="str">
            <v>ITF</v>
          </cell>
        </row>
        <row r="181">
          <cell r="C181" t="str">
            <v>ITF</v>
          </cell>
        </row>
        <row r="182">
          <cell r="C182" t="str">
            <v>ITF</v>
          </cell>
        </row>
        <row r="183">
          <cell r="C183" t="str">
            <v>ITF</v>
          </cell>
        </row>
        <row r="184">
          <cell r="C184" t="str">
            <v>ITF</v>
          </cell>
        </row>
        <row r="185">
          <cell r="C185" t="str">
            <v>ITF</v>
          </cell>
        </row>
        <row r="186">
          <cell r="C186" t="str">
            <v>ITF</v>
          </cell>
        </row>
        <row r="187">
          <cell r="C187" t="str">
            <v>ITF</v>
          </cell>
        </row>
        <row r="188">
          <cell r="C188" t="str">
            <v>ITF</v>
          </cell>
        </row>
        <row r="189">
          <cell r="C189" t="str">
            <v>ITF</v>
          </cell>
        </row>
        <row r="190">
          <cell r="C190" t="str">
            <v>ITF</v>
          </cell>
        </row>
        <row r="191">
          <cell r="C191" t="str">
            <v>ITF</v>
          </cell>
        </row>
        <row r="192">
          <cell r="C192" t="str">
            <v>ITF</v>
          </cell>
        </row>
        <row r="193">
          <cell r="C193" t="str">
            <v>ITF</v>
          </cell>
        </row>
        <row r="194">
          <cell r="C194" t="str">
            <v>ITF</v>
          </cell>
        </row>
        <row r="195">
          <cell r="C195" t="str">
            <v>ITF</v>
          </cell>
        </row>
        <row r="196">
          <cell r="C196" t="str">
            <v>ITF</v>
          </cell>
        </row>
        <row r="197">
          <cell r="C197" t="str">
            <v>ITF</v>
          </cell>
        </row>
        <row r="198">
          <cell r="C198" t="str">
            <v>ITF</v>
          </cell>
        </row>
        <row r="199">
          <cell r="C199" t="str">
            <v>ITF</v>
          </cell>
        </row>
        <row r="200">
          <cell r="C200" t="str">
            <v>0</v>
          </cell>
        </row>
        <row r="201">
          <cell r="C201" t="str">
            <v>0</v>
          </cell>
        </row>
        <row r="202">
          <cell r="C202" t="str">
            <v>0</v>
          </cell>
        </row>
        <row r="203">
          <cell r="C203" t="str">
            <v>0</v>
          </cell>
        </row>
        <row r="204">
          <cell r="C204" t="str">
            <v>0</v>
          </cell>
        </row>
        <row r="205">
          <cell r="C205" t="str">
            <v>0</v>
          </cell>
        </row>
        <row r="206">
          <cell r="C206" t="str">
            <v>0</v>
          </cell>
        </row>
        <row r="207">
          <cell r="C207" t="str">
            <v>0</v>
          </cell>
        </row>
        <row r="208">
          <cell r="C208" t="str">
            <v>0</v>
          </cell>
        </row>
        <row r="209">
          <cell r="C209" t="str">
            <v>0</v>
          </cell>
        </row>
        <row r="210">
          <cell r="C210" t="str">
            <v>0</v>
          </cell>
        </row>
        <row r="211">
          <cell r="C211" t="str">
            <v>0</v>
          </cell>
        </row>
        <row r="212">
          <cell r="C212" t="str">
            <v>0</v>
          </cell>
        </row>
        <row r="213">
          <cell r="C213" t="str">
            <v>0</v>
          </cell>
        </row>
        <row r="214">
          <cell r="C214" t="str">
            <v>0</v>
          </cell>
        </row>
        <row r="215">
          <cell r="C215" t="str">
            <v>0</v>
          </cell>
        </row>
        <row r="216">
          <cell r="C216" t="str">
            <v>0</v>
          </cell>
        </row>
        <row r="217">
          <cell r="C217" t="str">
            <v>0</v>
          </cell>
        </row>
        <row r="218">
          <cell r="C218" t="str">
            <v>0</v>
          </cell>
        </row>
        <row r="219">
          <cell r="C219" t="str">
            <v>0</v>
          </cell>
        </row>
        <row r="220">
          <cell r="C220" t="str">
            <v>0</v>
          </cell>
        </row>
        <row r="221">
          <cell r="C221" t="str">
            <v>0</v>
          </cell>
        </row>
        <row r="222">
          <cell r="C222" t="str">
            <v>0</v>
          </cell>
        </row>
        <row r="223">
          <cell r="C223" t="str">
            <v>0</v>
          </cell>
        </row>
        <row r="224">
          <cell r="C224" t="str">
            <v>0</v>
          </cell>
        </row>
        <row r="225">
          <cell r="C225" t="str">
            <v>0</v>
          </cell>
        </row>
        <row r="226">
          <cell r="C226" t="str">
            <v>0</v>
          </cell>
        </row>
        <row r="227">
          <cell r="C227" t="str">
            <v>0</v>
          </cell>
        </row>
        <row r="228">
          <cell r="C228" t="str">
            <v>0</v>
          </cell>
        </row>
        <row r="229">
          <cell r="C229" t="str">
            <v>0</v>
          </cell>
        </row>
        <row r="230">
          <cell r="C230" t="str">
            <v>0</v>
          </cell>
        </row>
        <row r="231">
          <cell r="C231" t="str">
            <v>0</v>
          </cell>
        </row>
        <row r="232">
          <cell r="C232" t="str">
            <v>0</v>
          </cell>
        </row>
        <row r="233">
          <cell r="C233" t="str">
            <v>0</v>
          </cell>
        </row>
        <row r="234">
          <cell r="C234" t="str">
            <v>0</v>
          </cell>
        </row>
        <row r="235">
          <cell r="C235" t="str">
            <v>0</v>
          </cell>
        </row>
        <row r="236">
          <cell r="C236" t="str">
            <v>0</v>
          </cell>
        </row>
        <row r="237">
          <cell r="C237" t="str">
            <v>0</v>
          </cell>
        </row>
        <row r="238">
          <cell r="C238" t="str">
            <v>0</v>
          </cell>
        </row>
        <row r="239">
          <cell r="C239" t="str">
            <v>0</v>
          </cell>
        </row>
        <row r="240">
          <cell r="C240" t="str">
            <v>0</v>
          </cell>
        </row>
        <row r="241">
          <cell r="C241" t="str">
            <v>0</v>
          </cell>
        </row>
        <row r="242">
          <cell r="C242" t="str">
            <v>0</v>
          </cell>
        </row>
        <row r="243">
          <cell r="C243" t="str">
            <v>0</v>
          </cell>
        </row>
        <row r="244">
          <cell r="C244" t="str">
            <v>0</v>
          </cell>
        </row>
        <row r="245">
          <cell r="C245" t="str">
            <v>0</v>
          </cell>
        </row>
        <row r="246">
          <cell r="C246" t="str">
            <v>0</v>
          </cell>
        </row>
        <row r="247">
          <cell r="C247" t="str">
            <v>0</v>
          </cell>
        </row>
        <row r="248">
          <cell r="C248" t="str">
            <v>0</v>
          </cell>
        </row>
        <row r="249">
          <cell r="C249" t="str">
            <v>0</v>
          </cell>
        </row>
        <row r="250">
          <cell r="C250" t="str">
            <v>0</v>
          </cell>
        </row>
        <row r="251">
          <cell r="C251" t="str">
            <v>0</v>
          </cell>
        </row>
        <row r="252">
          <cell r="C252" t="str">
            <v>0</v>
          </cell>
        </row>
        <row r="253">
          <cell r="C253" t="str">
            <v>0</v>
          </cell>
        </row>
        <row r="254">
          <cell r="C254" t="str">
            <v>0</v>
          </cell>
        </row>
        <row r="255">
          <cell r="C255" t="str">
            <v>0</v>
          </cell>
        </row>
        <row r="256">
          <cell r="C256" t="str">
            <v>0</v>
          </cell>
        </row>
        <row r="257">
          <cell r="C257" t="str">
            <v>0</v>
          </cell>
        </row>
        <row r="258">
          <cell r="C258" t="str">
            <v>0</v>
          </cell>
        </row>
        <row r="259">
          <cell r="C259" t="str">
            <v>0</v>
          </cell>
        </row>
        <row r="260">
          <cell r="C260" t="str">
            <v>0</v>
          </cell>
        </row>
        <row r="261">
          <cell r="C261" t="str">
            <v>0</v>
          </cell>
        </row>
        <row r="262">
          <cell r="C262" t="str">
            <v>0</v>
          </cell>
        </row>
        <row r="263">
          <cell r="C263" t="str">
            <v>0</v>
          </cell>
        </row>
        <row r="264">
          <cell r="C264" t="str">
            <v>0</v>
          </cell>
        </row>
        <row r="265">
          <cell r="C265" t="str">
            <v>0</v>
          </cell>
        </row>
        <row r="266">
          <cell r="C266" t="str">
            <v>0</v>
          </cell>
        </row>
        <row r="267">
          <cell r="C267" t="str">
            <v>0</v>
          </cell>
        </row>
        <row r="268">
          <cell r="C268" t="str">
            <v>0</v>
          </cell>
        </row>
        <row r="269">
          <cell r="C269" t="str">
            <v>0</v>
          </cell>
        </row>
        <row r="270">
          <cell r="C270" t="str">
            <v>0</v>
          </cell>
        </row>
        <row r="271">
          <cell r="C271" t="str">
            <v>0</v>
          </cell>
        </row>
        <row r="272">
          <cell r="C272" t="str">
            <v>0</v>
          </cell>
        </row>
        <row r="273">
          <cell r="C273" t="str">
            <v>0</v>
          </cell>
        </row>
        <row r="274">
          <cell r="C274" t="str">
            <v>0</v>
          </cell>
        </row>
        <row r="275">
          <cell r="C275" t="str">
            <v>0</v>
          </cell>
        </row>
        <row r="276">
          <cell r="C276" t="str">
            <v>0</v>
          </cell>
        </row>
        <row r="277">
          <cell r="C277" t="str">
            <v>0</v>
          </cell>
        </row>
        <row r="278">
          <cell r="C278" t="str">
            <v>0</v>
          </cell>
        </row>
        <row r="279">
          <cell r="C279" t="str">
            <v>0</v>
          </cell>
        </row>
        <row r="280">
          <cell r="C280" t="str">
            <v>0</v>
          </cell>
        </row>
        <row r="281">
          <cell r="C281" t="str">
            <v>0</v>
          </cell>
        </row>
        <row r="282">
          <cell r="C282" t="str">
            <v>0</v>
          </cell>
        </row>
        <row r="283">
          <cell r="C283" t="str">
            <v>0</v>
          </cell>
        </row>
        <row r="284">
          <cell r="C284" t="str">
            <v>0</v>
          </cell>
        </row>
        <row r="285">
          <cell r="C285" t="str">
            <v>0</v>
          </cell>
        </row>
        <row r="286">
          <cell r="C286" t="str">
            <v>0</v>
          </cell>
        </row>
        <row r="287">
          <cell r="C287" t="str">
            <v>0</v>
          </cell>
        </row>
        <row r="288">
          <cell r="C288" t="str">
            <v>0</v>
          </cell>
        </row>
        <row r="289">
          <cell r="C289" t="str">
            <v>0</v>
          </cell>
        </row>
        <row r="290">
          <cell r="C290" t="str">
            <v>0</v>
          </cell>
        </row>
        <row r="291">
          <cell r="C291" t="str">
            <v>0</v>
          </cell>
        </row>
        <row r="292">
          <cell r="C292" t="str">
            <v>0</v>
          </cell>
        </row>
        <row r="293">
          <cell r="C293" t="str">
            <v>0</v>
          </cell>
        </row>
        <row r="294">
          <cell r="C294" t="str">
            <v>0</v>
          </cell>
        </row>
        <row r="295">
          <cell r="C295" t="str">
            <v>0</v>
          </cell>
        </row>
        <row r="296">
          <cell r="C296" t="str">
            <v>0</v>
          </cell>
        </row>
        <row r="297">
          <cell r="C297" t="str">
            <v>0</v>
          </cell>
        </row>
        <row r="298">
          <cell r="C298" t="str">
            <v>0</v>
          </cell>
        </row>
        <row r="299">
          <cell r="C299" t="str">
            <v>0</v>
          </cell>
        </row>
        <row r="300">
          <cell r="C300" t="str">
            <v>0</v>
          </cell>
        </row>
        <row r="301">
          <cell r="C301" t="str">
            <v>0</v>
          </cell>
        </row>
        <row r="302">
          <cell r="C302" t="str">
            <v>0</v>
          </cell>
        </row>
        <row r="303">
          <cell r="C303" t="str">
            <v>0</v>
          </cell>
        </row>
        <row r="304">
          <cell r="C304" t="str">
            <v>0</v>
          </cell>
        </row>
        <row r="305">
          <cell r="C305" t="str">
            <v>0</v>
          </cell>
        </row>
        <row r="306">
          <cell r="C306" t="str">
            <v>0</v>
          </cell>
        </row>
        <row r="307">
          <cell r="C307" t="str">
            <v>0</v>
          </cell>
        </row>
        <row r="308">
          <cell r="C308" t="str">
            <v>0</v>
          </cell>
        </row>
        <row r="309">
          <cell r="C309" t="str">
            <v>0</v>
          </cell>
        </row>
        <row r="310">
          <cell r="C310" t="str">
            <v>0</v>
          </cell>
        </row>
        <row r="311">
          <cell r="C311" t="str">
            <v>0</v>
          </cell>
        </row>
        <row r="312">
          <cell r="C312" t="str">
            <v>0</v>
          </cell>
        </row>
        <row r="313">
          <cell r="C313" t="str">
            <v>0</v>
          </cell>
        </row>
        <row r="314">
          <cell r="C314" t="str">
            <v>0</v>
          </cell>
        </row>
        <row r="315">
          <cell r="C315" t="str">
            <v>0</v>
          </cell>
        </row>
        <row r="316">
          <cell r="C316" t="str">
            <v>0</v>
          </cell>
        </row>
        <row r="317">
          <cell r="C317" t="str">
            <v>0</v>
          </cell>
        </row>
        <row r="318">
          <cell r="C318" t="str">
            <v>0</v>
          </cell>
        </row>
        <row r="319">
          <cell r="C319" t="str">
            <v>0</v>
          </cell>
        </row>
        <row r="320">
          <cell r="C320" t="str">
            <v>0</v>
          </cell>
        </row>
        <row r="321">
          <cell r="C321" t="str">
            <v>0</v>
          </cell>
        </row>
        <row r="322">
          <cell r="C322" t="str">
            <v>0</v>
          </cell>
        </row>
        <row r="323">
          <cell r="C323" t="str">
            <v>0</v>
          </cell>
        </row>
        <row r="324">
          <cell r="C324" t="str">
            <v>0</v>
          </cell>
        </row>
        <row r="325">
          <cell r="C325" t="str">
            <v>0</v>
          </cell>
        </row>
        <row r="326">
          <cell r="C326" t="str">
            <v>0</v>
          </cell>
        </row>
        <row r="327">
          <cell r="C327" t="str">
            <v>0</v>
          </cell>
        </row>
        <row r="328">
          <cell r="C328" t="str">
            <v>0</v>
          </cell>
        </row>
        <row r="329">
          <cell r="C329" t="str">
            <v>0</v>
          </cell>
        </row>
        <row r="330">
          <cell r="C330" t="str">
            <v>0</v>
          </cell>
        </row>
        <row r="331">
          <cell r="C331" t="str">
            <v>0</v>
          </cell>
        </row>
        <row r="332">
          <cell r="C332" t="str">
            <v>0</v>
          </cell>
        </row>
        <row r="333">
          <cell r="C333" t="str">
            <v>0</v>
          </cell>
        </row>
        <row r="334">
          <cell r="C334" t="str">
            <v>0</v>
          </cell>
        </row>
        <row r="335">
          <cell r="C335" t="str">
            <v>0</v>
          </cell>
        </row>
        <row r="336">
          <cell r="C336" t="str">
            <v>0</v>
          </cell>
        </row>
        <row r="337">
          <cell r="C337" t="str">
            <v>0</v>
          </cell>
        </row>
        <row r="338">
          <cell r="C338" t="str">
            <v>0</v>
          </cell>
        </row>
        <row r="339">
          <cell r="C339" t="str">
            <v>0</v>
          </cell>
        </row>
        <row r="340">
          <cell r="C340" t="str">
            <v>0</v>
          </cell>
        </row>
        <row r="341">
          <cell r="C341" t="str">
            <v>0</v>
          </cell>
        </row>
        <row r="342">
          <cell r="C342" t="str">
            <v>0</v>
          </cell>
        </row>
        <row r="343">
          <cell r="C343" t="str">
            <v>0</v>
          </cell>
        </row>
        <row r="344">
          <cell r="C344" t="str">
            <v>0</v>
          </cell>
        </row>
        <row r="345">
          <cell r="C345" t="str">
            <v>0</v>
          </cell>
        </row>
        <row r="346">
          <cell r="C346" t="str">
            <v>0</v>
          </cell>
        </row>
        <row r="347">
          <cell r="C347" t="str">
            <v>0</v>
          </cell>
        </row>
        <row r="348">
          <cell r="C348" t="str">
            <v>0</v>
          </cell>
        </row>
        <row r="349">
          <cell r="C349" t="str">
            <v>0</v>
          </cell>
        </row>
        <row r="350">
          <cell r="C350" t="str">
            <v>0</v>
          </cell>
        </row>
        <row r="351">
          <cell r="C351" t="str">
            <v>0</v>
          </cell>
        </row>
        <row r="352">
          <cell r="C352" t="str">
            <v>0</v>
          </cell>
        </row>
        <row r="353">
          <cell r="C353" t="str">
            <v>0</v>
          </cell>
        </row>
        <row r="354">
          <cell r="C354" t="str">
            <v>0</v>
          </cell>
        </row>
        <row r="355">
          <cell r="C355" t="str">
            <v>0</v>
          </cell>
        </row>
        <row r="356">
          <cell r="C356" t="str">
            <v>0</v>
          </cell>
        </row>
        <row r="357">
          <cell r="C357" t="str">
            <v>0</v>
          </cell>
        </row>
        <row r="358">
          <cell r="C358" t="str">
            <v>0</v>
          </cell>
        </row>
        <row r="359">
          <cell r="C359" t="str">
            <v>0</v>
          </cell>
        </row>
        <row r="360">
          <cell r="C360" t="str">
            <v>FALSO</v>
          </cell>
        </row>
      </sheetData>
      <sheetData sheetId="17"/>
      <sheetData sheetId="18"/>
      <sheetData sheetId="19">
        <row r="6">
          <cell r="D6">
            <v>1</v>
          </cell>
        </row>
        <row r="2906">
          <cell r="E2906" t="str">
            <v>Meses</v>
          </cell>
          <cell r="F2906">
            <v>2</v>
          </cell>
          <cell r="G2906">
            <v>3</v>
          </cell>
          <cell r="H2906">
            <v>4</v>
          </cell>
          <cell r="I2906">
            <v>5</v>
          </cell>
          <cell r="J2906">
            <v>6</v>
          </cell>
          <cell r="K2906">
            <v>7</v>
          </cell>
          <cell r="L2906">
            <v>8</v>
          </cell>
          <cell r="M2906">
            <v>9</v>
          </cell>
          <cell r="N2906">
            <v>10</v>
          </cell>
          <cell r="O2906">
            <v>11</v>
          </cell>
          <cell r="P2906">
            <v>12</v>
          </cell>
          <cell r="Q2906">
            <v>13</v>
          </cell>
          <cell r="R2906">
            <v>14</v>
          </cell>
        </row>
        <row r="2907">
          <cell r="E2907">
            <v>1</v>
          </cell>
          <cell r="F2907" t="str">
            <v>ene.</v>
          </cell>
          <cell r="G2907" t="str">
            <v>I   T</v>
          </cell>
          <cell r="H2907">
            <v>31</v>
          </cell>
          <cell r="I2907" t="str">
            <v>enero</v>
          </cell>
          <cell r="J2907" t="str">
            <v>01</v>
          </cell>
          <cell r="L2907">
            <v>2010</v>
          </cell>
          <cell r="M2907" t="str">
            <v>Si</v>
          </cell>
          <cell r="N2907" t="str">
            <v>Si</v>
          </cell>
          <cell r="Q2907" t="str">
            <v>I   T 2011</v>
          </cell>
          <cell r="R2907" t="str">
            <v>I   T 2010</v>
          </cell>
        </row>
        <row r="2908">
          <cell r="E2908">
            <v>2</v>
          </cell>
          <cell r="F2908" t="str">
            <v>feb.</v>
          </cell>
          <cell r="G2908" t="str">
            <v>I   T</v>
          </cell>
          <cell r="H2908">
            <v>28</v>
          </cell>
          <cell r="I2908" t="str">
            <v>febrero</v>
          </cell>
          <cell r="J2908" t="str">
            <v>02</v>
          </cell>
          <cell r="L2908">
            <v>2011</v>
          </cell>
          <cell r="M2908" t="str">
            <v>No</v>
          </cell>
          <cell r="N2908" t="str">
            <v>No</v>
          </cell>
          <cell r="Q2908" t="str">
            <v>I   T 2011</v>
          </cell>
          <cell r="R2908" t="str">
            <v>I   T 2010</v>
          </cell>
        </row>
        <row r="2909">
          <cell r="E2909">
            <v>3</v>
          </cell>
          <cell r="F2909" t="str">
            <v>mar.</v>
          </cell>
          <cell r="G2909" t="str">
            <v>I   T</v>
          </cell>
          <cell r="H2909">
            <v>31</v>
          </cell>
          <cell r="I2909" t="str">
            <v>marzo</v>
          </cell>
          <cell r="J2909" t="str">
            <v>03</v>
          </cell>
          <cell r="L2909">
            <v>2012</v>
          </cell>
          <cell r="O2909" t="str">
            <v xml:space="preserve">01 ene. </v>
          </cell>
          <cell r="P2909" t="str">
            <v xml:space="preserve">31 mar. </v>
          </cell>
          <cell r="Q2909" t="str">
            <v>I   T 2011</v>
          </cell>
          <cell r="R2909" t="str">
            <v>I   T 2010</v>
          </cell>
        </row>
        <row r="2910">
          <cell r="E2910">
            <v>4</v>
          </cell>
          <cell r="F2910" t="str">
            <v>abr.</v>
          </cell>
          <cell r="G2910" t="str">
            <v>II  T</v>
          </cell>
          <cell r="H2910">
            <v>30</v>
          </cell>
          <cell r="I2910" t="str">
            <v>abril</v>
          </cell>
          <cell r="J2910" t="str">
            <v>04</v>
          </cell>
          <cell r="L2910">
            <v>2013</v>
          </cell>
          <cell r="O2910" t="str">
            <v xml:space="preserve">01 feb. </v>
          </cell>
          <cell r="P2910" t="str">
            <v xml:space="preserve">30 abr. </v>
          </cell>
          <cell r="Q2910" t="str">
            <v>II  T 2011</v>
          </cell>
          <cell r="R2910" t="str">
            <v>II  T 2010</v>
          </cell>
        </row>
        <row r="2911">
          <cell r="E2911">
            <v>5</v>
          </cell>
          <cell r="F2911" t="str">
            <v>may.</v>
          </cell>
          <cell r="G2911" t="str">
            <v>II  T</v>
          </cell>
          <cell r="H2911">
            <v>31</v>
          </cell>
          <cell r="I2911" t="str">
            <v>mayo</v>
          </cell>
          <cell r="J2911" t="str">
            <v>05</v>
          </cell>
          <cell r="L2911">
            <v>2014</v>
          </cell>
          <cell r="O2911" t="str">
            <v xml:space="preserve">01 mar. </v>
          </cell>
          <cell r="P2911" t="str">
            <v xml:space="preserve">31 may. </v>
          </cell>
          <cell r="Q2911" t="str">
            <v>II  T 2011</v>
          </cell>
          <cell r="R2911" t="str">
            <v>II  T 2010</v>
          </cell>
        </row>
        <row r="2912">
          <cell r="E2912">
            <v>6</v>
          </cell>
          <cell r="F2912" t="str">
            <v>jun.</v>
          </cell>
          <cell r="G2912" t="str">
            <v>II  T</v>
          </cell>
          <cell r="H2912">
            <v>30</v>
          </cell>
          <cell r="I2912" t="str">
            <v>junio</v>
          </cell>
          <cell r="J2912" t="str">
            <v>06</v>
          </cell>
          <cell r="L2912">
            <v>2015</v>
          </cell>
          <cell r="O2912" t="str">
            <v xml:space="preserve">01 abr. </v>
          </cell>
          <cell r="P2912" t="str">
            <v xml:space="preserve">30 jun. </v>
          </cell>
          <cell r="Q2912" t="str">
            <v>II  T 2011</v>
          </cell>
          <cell r="R2912" t="str">
            <v>II  T 2010</v>
          </cell>
        </row>
        <row r="2913">
          <cell r="E2913">
            <v>7</v>
          </cell>
          <cell r="F2913" t="str">
            <v>jul.</v>
          </cell>
          <cell r="G2913" t="str">
            <v>III T</v>
          </cell>
          <cell r="H2913">
            <v>31</v>
          </cell>
          <cell r="I2913" t="str">
            <v>julio</v>
          </cell>
          <cell r="J2913" t="str">
            <v>07</v>
          </cell>
          <cell r="O2913" t="str">
            <v xml:space="preserve">01 may. </v>
          </cell>
          <cell r="P2913" t="str">
            <v xml:space="preserve">31 jul. </v>
          </cell>
          <cell r="Q2913" t="str">
            <v>III T 2011</v>
          </cell>
          <cell r="R2913" t="str">
            <v>III T 2010</v>
          </cell>
        </row>
        <row r="2914">
          <cell r="E2914">
            <v>8</v>
          </cell>
          <cell r="F2914" t="str">
            <v>ago.</v>
          </cell>
          <cell r="G2914" t="str">
            <v>III T</v>
          </cell>
          <cell r="H2914">
            <v>31</v>
          </cell>
          <cell r="I2914" t="str">
            <v>agosto</v>
          </cell>
          <cell r="J2914" t="str">
            <v>08</v>
          </cell>
          <cell r="O2914" t="str">
            <v xml:space="preserve">01 jun. </v>
          </cell>
          <cell r="P2914" t="str">
            <v xml:space="preserve">31 ago. </v>
          </cell>
          <cell r="Q2914" t="str">
            <v>III T 2011</v>
          </cell>
          <cell r="R2914" t="str">
            <v>III T 2010</v>
          </cell>
        </row>
        <row r="2915">
          <cell r="E2915">
            <v>9</v>
          </cell>
          <cell r="F2915" t="str">
            <v>sep.</v>
          </cell>
          <cell r="G2915" t="str">
            <v>III T</v>
          </cell>
          <cell r="H2915">
            <v>30</v>
          </cell>
          <cell r="I2915" t="str">
            <v>septiembre</v>
          </cell>
          <cell r="J2915" t="str">
            <v>09</v>
          </cell>
          <cell r="O2915" t="str">
            <v xml:space="preserve">01 jul. </v>
          </cell>
          <cell r="P2915" t="str">
            <v xml:space="preserve">30 sep. </v>
          </cell>
          <cell r="Q2915" t="str">
            <v>III T 2011</v>
          </cell>
          <cell r="R2915" t="str">
            <v>III T 2010</v>
          </cell>
        </row>
        <row r="2916">
          <cell r="E2916">
            <v>10</v>
          </cell>
          <cell r="F2916" t="str">
            <v>oct.</v>
          </cell>
          <cell r="G2916" t="str">
            <v>IV  T</v>
          </cell>
          <cell r="H2916">
            <v>31</v>
          </cell>
          <cell r="I2916" t="str">
            <v>octubre</v>
          </cell>
          <cell r="J2916" t="str">
            <v>10</v>
          </cell>
          <cell r="O2916" t="str">
            <v xml:space="preserve">01 ago. </v>
          </cell>
          <cell r="P2916" t="str">
            <v xml:space="preserve">31 oct. </v>
          </cell>
          <cell r="Q2916" t="str">
            <v>IV  T 2011</v>
          </cell>
          <cell r="R2916" t="str">
            <v>IV  T 2010</v>
          </cell>
        </row>
        <row r="2917">
          <cell r="E2917">
            <v>11</v>
          </cell>
          <cell r="F2917" t="str">
            <v>nov.</v>
          </cell>
          <cell r="G2917" t="str">
            <v>IV  T</v>
          </cell>
          <cell r="H2917">
            <v>30</v>
          </cell>
          <cell r="I2917" t="str">
            <v>noviembre</v>
          </cell>
          <cell r="J2917" t="str">
            <v>11</v>
          </cell>
          <cell r="O2917" t="str">
            <v xml:space="preserve">01 sep. </v>
          </cell>
          <cell r="P2917" t="str">
            <v xml:space="preserve">30 nov. </v>
          </cell>
          <cell r="Q2917" t="str">
            <v>IV  T 2011</v>
          </cell>
          <cell r="R2917" t="str">
            <v>IV  T 2010</v>
          </cell>
        </row>
        <row r="2918">
          <cell r="E2918">
            <v>12</v>
          </cell>
          <cell r="F2918" t="str">
            <v>dic.</v>
          </cell>
          <cell r="G2918" t="str">
            <v>IV  T</v>
          </cell>
          <cell r="H2918">
            <v>31</v>
          </cell>
          <cell r="I2918" t="str">
            <v>diciembre</v>
          </cell>
          <cell r="J2918" t="str">
            <v>12</v>
          </cell>
          <cell r="O2918" t="str">
            <v xml:space="preserve">01 oct. </v>
          </cell>
          <cell r="P2918" t="str">
            <v xml:space="preserve">31 dic. </v>
          </cell>
          <cell r="Q2918" t="str">
            <v>IV  T 2011</v>
          </cell>
          <cell r="R2918" t="str">
            <v>IV  T 2010</v>
          </cell>
        </row>
        <row r="2919">
          <cell r="F2919" t="str">
            <v>a ene.</v>
          </cell>
          <cell r="G2919" t="str">
            <v>I   T</v>
          </cell>
          <cell r="O2919" t="str">
            <v xml:space="preserve">01 nov. </v>
          </cell>
          <cell r="P2919" t="str">
            <v xml:space="preserve"> a ene. </v>
          </cell>
        </row>
        <row r="2920">
          <cell r="F2920" t="str">
            <v>a feb.</v>
          </cell>
          <cell r="G2920" t="str">
            <v>I   T</v>
          </cell>
          <cell r="O2920" t="str">
            <v xml:space="preserve">01 dic. </v>
          </cell>
          <cell r="P2920" t="str">
            <v xml:space="preserve"> a feb. </v>
          </cell>
        </row>
        <row r="2921">
          <cell r="F2921" t="str">
            <v>a mar.</v>
          </cell>
          <cell r="G2921" t="str">
            <v>I   T</v>
          </cell>
        </row>
        <row r="2922">
          <cell r="F2922" t="str">
            <v>a abr.</v>
          </cell>
          <cell r="G2922" t="str">
            <v>II  T</v>
          </cell>
        </row>
        <row r="2923">
          <cell r="F2923" t="str">
            <v>a may.</v>
          </cell>
          <cell r="G2923" t="str">
            <v>II  T</v>
          </cell>
        </row>
        <row r="2924">
          <cell r="F2924" t="str">
            <v>a jun.</v>
          </cell>
          <cell r="G2924" t="str">
            <v>II  T</v>
          </cell>
        </row>
        <row r="2925">
          <cell r="F2925" t="str">
            <v>a jul.</v>
          </cell>
          <cell r="G2925" t="str">
            <v>III T</v>
          </cell>
        </row>
        <row r="2926">
          <cell r="F2926" t="str">
            <v>a ago.</v>
          </cell>
          <cell r="G2926" t="str">
            <v>III T</v>
          </cell>
        </row>
        <row r="2927">
          <cell r="F2927" t="str">
            <v>a sep.</v>
          </cell>
          <cell r="G2927" t="str">
            <v>III T</v>
          </cell>
        </row>
        <row r="2928">
          <cell r="F2928" t="str">
            <v>a oct.</v>
          </cell>
          <cell r="G2928" t="str">
            <v>IV  T</v>
          </cell>
        </row>
        <row r="2929">
          <cell r="F2929" t="str">
            <v>a nov.</v>
          </cell>
          <cell r="G2929" t="str">
            <v>IV  T</v>
          </cell>
        </row>
        <row r="2930">
          <cell r="F2930" t="str">
            <v>a dic.</v>
          </cell>
          <cell r="G2930" t="str">
            <v>IV  T</v>
          </cell>
        </row>
        <row r="2934">
          <cell r="E2934" t="str">
            <v xml:space="preserve"> </v>
          </cell>
        </row>
        <row r="3113">
          <cell r="C3113" t="str">
            <v>dirección columnas</v>
          </cell>
          <cell r="D3113">
            <v>2</v>
          </cell>
          <cell r="E3113">
            <v>3</v>
          </cell>
          <cell r="F3113">
            <v>4</v>
          </cell>
          <cell r="G3113">
            <v>5</v>
          </cell>
          <cell r="H3113">
            <v>6</v>
          </cell>
          <cell r="I3113">
            <v>7</v>
          </cell>
          <cell r="J3113">
            <v>8</v>
          </cell>
          <cell r="K3113">
            <v>9</v>
          </cell>
          <cell r="L3113">
            <v>10</v>
          </cell>
          <cell r="M3113">
            <v>11</v>
          </cell>
          <cell r="N3113">
            <v>12</v>
          </cell>
          <cell r="O3113">
            <v>13</v>
          </cell>
        </row>
        <row r="3114">
          <cell r="D3114" t="str">
            <v>trimestres</v>
          </cell>
          <cell r="F3114">
            <v>3</v>
          </cell>
          <cell r="G3114">
            <v>4</v>
          </cell>
          <cell r="H3114">
            <v>5</v>
          </cell>
          <cell r="I3114">
            <v>6</v>
          </cell>
          <cell r="J3114">
            <v>7</v>
          </cell>
          <cell r="K3114">
            <v>8</v>
          </cell>
          <cell r="L3114">
            <v>9</v>
          </cell>
          <cell r="M3114">
            <v>10</v>
          </cell>
          <cell r="N3114">
            <v>11</v>
          </cell>
          <cell r="O3114">
            <v>12</v>
          </cell>
        </row>
        <row r="3115">
          <cell r="F3115">
            <v>3</v>
          </cell>
          <cell r="G3115">
            <v>4</v>
          </cell>
          <cell r="H3115">
            <v>5</v>
          </cell>
          <cell r="I3115">
            <v>6</v>
          </cell>
          <cell r="J3115">
            <v>7</v>
          </cell>
          <cell r="K3115">
            <v>8</v>
          </cell>
          <cell r="L3115">
            <v>9</v>
          </cell>
          <cell r="M3115">
            <v>10</v>
          </cell>
          <cell r="N3115">
            <v>11</v>
          </cell>
          <cell r="O3115">
            <v>12</v>
          </cell>
        </row>
        <row r="3116">
          <cell r="F3116" t="str">
            <v>estres x Trim bruto</v>
          </cell>
          <cell r="G3116" t="str">
            <v>Notas estres bruto</v>
          </cell>
          <cell r="H3116" t="str">
            <v>Trim bruto</v>
          </cell>
          <cell r="I3116" t="str">
            <v>Aj. Trim bruto</v>
          </cell>
          <cell r="K3116" t="str">
            <v>estres x Trim neto</v>
          </cell>
          <cell r="L3116" t="str">
            <v>Notas estres neto</v>
          </cell>
          <cell r="M3116" t="str">
            <v>Trim neto</v>
          </cell>
          <cell r="N3116" t="str">
            <v>Aj. Notas Trim neto</v>
          </cell>
          <cell r="O3116" t="str">
            <v>estres comp</v>
          </cell>
        </row>
        <row r="3118">
          <cell r="C3118">
            <v>3</v>
          </cell>
          <cell r="J3118" t="str">
            <v>F</v>
          </cell>
        </row>
        <row r="3119">
          <cell r="C3119">
            <v>4</v>
          </cell>
          <cell r="J3119" t="str">
            <v>G</v>
          </cell>
        </row>
        <row r="3120">
          <cell r="C3120">
            <v>5</v>
          </cell>
          <cell r="J3120" t="str">
            <v>H</v>
          </cell>
        </row>
        <row r="3121">
          <cell r="C3121">
            <v>6</v>
          </cell>
          <cell r="J3121" t="str">
            <v>I</v>
          </cell>
        </row>
        <row r="3122">
          <cell r="C3122">
            <v>7</v>
          </cell>
          <cell r="J3122" t="str">
            <v>J</v>
          </cell>
        </row>
        <row r="3123">
          <cell r="C3123">
            <v>8</v>
          </cell>
          <cell r="J3123" t="str">
            <v>K</v>
          </cell>
        </row>
        <row r="3124">
          <cell r="C3124">
            <v>9</v>
          </cell>
          <cell r="J3124" t="str">
            <v>L</v>
          </cell>
        </row>
        <row r="3125">
          <cell r="C3125">
            <v>10</v>
          </cell>
          <cell r="J3125" t="str">
            <v>M</v>
          </cell>
        </row>
        <row r="3126">
          <cell r="C3126">
            <v>11</v>
          </cell>
          <cell r="J3126" t="str">
            <v>N</v>
          </cell>
        </row>
        <row r="3128">
          <cell r="D3128" t="str">
            <v>I   T 2011</v>
          </cell>
          <cell r="E3128" t="str">
            <v>Aj Cons I   T 2011</v>
          </cell>
          <cell r="F3128" t="str">
            <v>BQ</v>
          </cell>
          <cell r="H3128" t="str">
            <v>E</v>
          </cell>
          <cell r="I3128" t="str">
            <v>H</v>
          </cell>
          <cell r="M3128" t="str">
            <v>D</v>
          </cell>
          <cell r="N3128" t="str">
            <v/>
          </cell>
          <cell r="O3128">
            <v>7</v>
          </cell>
        </row>
        <row r="3129">
          <cell r="D3129" t="str">
            <v>II  T 2011</v>
          </cell>
          <cell r="E3129" t="str">
            <v>Aj Cons II  T 2011</v>
          </cell>
          <cell r="F3129" t="str">
            <v>BR</v>
          </cell>
          <cell r="H3129" t="str">
            <v>D</v>
          </cell>
          <cell r="I3129" t="str">
            <v>G</v>
          </cell>
          <cell r="M3129" t="str">
            <v>C</v>
          </cell>
          <cell r="N3129" t="str">
            <v/>
          </cell>
          <cell r="O3129">
            <v>8</v>
          </cell>
        </row>
        <row r="3130">
          <cell r="D3130" t="str">
            <v>III T 2011</v>
          </cell>
          <cell r="E3130" t="str">
            <v>Aj Cons III T 2011</v>
          </cell>
          <cell r="F3130" t="str">
            <v>BS</v>
          </cell>
          <cell r="H3130" t="str">
            <v>C</v>
          </cell>
          <cell r="I3130" t="str">
            <v>F</v>
          </cell>
          <cell r="M3130" t="str">
            <v>E</v>
          </cell>
          <cell r="N3130" t="str">
            <v/>
          </cell>
          <cell r="O3130">
            <v>9</v>
          </cell>
        </row>
        <row r="3131">
          <cell r="D3131" t="str">
            <v>IV  T 2011</v>
          </cell>
          <cell r="E3131" t="str">
            <v>Aj Cons IV  T 2011</v>
          </cell>
          <cell r="F3131" t="str">
            <v>BT</v>
          </cell>
          <cell r="H3131" t="str">
            <v/>
          </cell>
          <cell r="I3131" t="str">
            <v/>
          </cell>
          <cell r="M3131" t="str">
            <v/>
          </cell>
          <cell r="N3131" t="str">
            <v/>
          </cell>
          <cell r="O3131">
            <v>10</v>
          </cell>
        </row>
        <row r="3132">
          <cell r="D3132" t="str">
            <v>I   T 2010</v>
          </cell>
          <cell r="E3132" t="str">
            <v>Aj Cons I   T 2010</v>
          </cell>
          <cell r="H3132" t="str">
            <v>L</v>
          </cell>
          <cell r="I3132" t="str">
            <v>O</v>
          </cell>
          <cell r="M3132" t="str">
            <v>I</v>
          </cell>
          <cell r="N3132" t="str">
            <v/>
          </cell>
          <cell r="O3132">
            <v>12</v>
          </cell>
        </row>
        <row r="3133">
          <cell r="D3133" t="str">
            <v>II  T 2010</v>
          </cell>
          <cell r="E3133" t="str">
            <v>Aj Cons II  T 2010</v>
          </cell>
          <cell r="H3133" t="str">
            <v>K</v>
          </cell>
          <cell r="I3133" t="str">
            <v>N</v>
          </cell>
          <cell r="M3133" t="str">
            <v>H</v>
          </cell>
          <cell r="N3133" t="str">
            <v/>
          </cell>
          <cell r="O3133">
            <v>13</v>
          </cell>
        </row>
        <row r="3134">
          <cell r="D3134" t="str">
            <v>III T 2010</v>
          </cell>
          <cell r="E3134" t="str">
            <v>Aj Cons III T 2010</v>
          </cell>
          <cell r="H3134" t="str">
            <v>J</v>
          </cell>
          <cell r="I3134" t="str">
            <v>M</v>
          </cell>
          <cell r="M3134" t="str">
            <v>G</v>
          </cell>
          <cell r="N3134" t="str">
            <v/>
          </cell>
          <cell r="O3134">
            <v>14</v>
          </cell>
        </row>
        <row r="3135">
          <cell r="D3135" t="str">
            <v>IV  T 2010</v>
          </cell>
          <cell r="E3135" t="str">
            <v>Aj Cons IV  T 2010</v>
          </cell>
          <cell r="H3135" t="str">
            <v/>
          </cell>
          <cell r="I3135" t="str">
            <v/>
          </cell>
          <cell r="M3135" t="str">
            <v/>
          </cell>
          <cell r="N3135" t="str">
            <v/>
          </cell>
          <cell r="O3135">
            <v>15</v>
          </cell>
        </row>
        <row r="3136">
          <cell r="D3136" t="str">
            <v>Total 2011</v>
          </cell>
          <cell r="G3136" t="str">
            <v>I</v>
          </cell>
          <cell r="L3136" t="str">
            <v>F</v>
          </cell>
        </row>
        <row r="3137">
          <cell r="D3137" t="str">
            <v>Total 2010</v>
          </cell>
          <cell r="G3137" t="str">
            <v>P</v>
          </cell>
          <cell r="L3137" t="str">
            <v>J</v>
          </cell>
        </row>
        <row r="3261">
          <cell r="C3261">
            <v>2011</v>
          </cell>
        </row>
        <row r="3262">
          <cell r="C3262" t="str">
            <v>ago.</v>
          </cell>
        </row>
        <row r="3267">
          <cell r="C3267" t="str">
            <v>moneda</v>
          </cell>
          <cell r="D3267">
            <v>2</v>
          </cell>
          <cell r="E3267">
            <v>3</v>
          </cell>
          <cell r="F3267">
            <v>4</v>
          </cell>
        </row>
        <row r="3268">
          <cell r="C3268">
            <v>1</v>
          </cell>
          <cell r="D3268">
            <v>1</v>
          </cell>
          <cell r="E3268" t="str">
            <v>pesos</v>
          </cell>
          <cell r="F3268" t="str">
            <v>$</v>
          </cell>
        </row>
        <row r="3269">
          <cell r="C3269">
            <v>2</v>
          </cell>
          <cell r="D3269">
            <v>1000</v>
          </cell>
          <cell r="E3269" t="str">
            <v>miles_de_pesos</v>
          </cell>
          <cell r="F3269" t="str">
            <v>M$</v>
          </cell>
        </row>
        <row r="3270">
          <cell r="C3270">
            <v>3</v>
          </cell>
          <cell r="D3270">
            <v>1000000</v>
          </cell>
          <cell r="E3270" t="str">
            <v>millones_de_pesos</v>
          </cell>
          <cell r="F3270" t="str">
            <v>MM$</v>
          </cell>
        </row>
        <row r="3273">
          <cell r="C3273" t="str">
            <v>CONSOLIDADO</v>
          </cell>
        </row>
      </sheetData>
      <sheetData sheetId="20">
        <row r="8">
          <cell r="F8" t="str">
            <v xml:space="preserve">  </v>
          </cell>
        </row>
      </sheetData>
      <sheetData sheetId="21">
        <row r="4">
          <cell r="S4" t="str">
            <v>Otras asociadas</v>
          </cell>
          <cell r="V4">
            <v>4</v>
          </cell>
          <cell r="W4">
            <v>5</v>
          </cell>
          <cell r="X4">
            <v>6</v>
          </cell>
          <cell r="Y4">
            <v>7</v>
          </cell>
          <cell r="Z4">
            <v>8</v>
          </cell>
          <cell r="AA4">
            <v>9</v>
          </cell>
          <cell r="AB4">
            <v>10</v>
          </cell>
          <cell r="AC4">
            <v>11</v>
          </cell>
          <cell r="AD4">
            <v>12</v>
          </cell>
        </row>
        <row r="5">
          <cell r="V5" t="str">
            <v>Activos</v>
          </cell>
          <cell r="W5" t="str">
            <v>Activos</v>
          </cell>
          <cell r="X5" t="str">
            <v>Total</v>
          </cell>
          <cell r="Y5" t="str">
            <v>Pasivos</v>
          </cell>
          <cell r="Z5" t="str">
            <v>Pasivos</v>
          </cell>
          <cell r="AA5" t="str">
            <v>Patrimonio</v>
          </cell>
          <cell r="AB5" t="str">
            <v>Total</v>
          </cell>
          <cell r="AC5" t="str">
            <v>Ingresos de</v>
          </cell>
          <cell r="AD5" t="str">
            <v>(Ganancia) pérdida</v>
          </cell>
        </row>
        <row r="6">
          <cell r="S6" t="str">
            <v>año</v>
          </cell>
          <cell r="T6" t="str">
            <v>mes</v>
          </cell>
          <cell r="U6" t="str">
            <v>empresas</v>
          </cell>
          <cell r="V6" t="str">
            <v>Corrientes</v>
          </cell>
          <cell r="W6" t="str">
            <v xml:space="preserve"> no Corrientes</v>
          </cell>
          <cell r="X6" t="str">
            <v>Activos</v>
          </cell>
          <cell r="Y6" t="str">
            <v>Corrientes</v>
          </cell>
          <cell r="Z6" t="str">
            <v xml:space="preserve"> no Corrientes</v>
          </cell>
          <cell r="AB6" t="str">
            <v>Pasivos</v>
          </cell>
          <cell r="AC6" t="str">
            <v>activ. ordinarias</v>
          </cell>
        </row>
        <row r="8">
          <cell r="S8" t="str">
            <v>IPESA dic. 2011</v>
          </cell>
          <cell r="AA8">
            <v>0</v>
          </cell>
          <cell r="AD8">
            <v>0</v>
          </cell>
        </row>
        <row r="9">
          <cell r="S9" t="str">
            <v>DIBSA dic. 2011</v>
          </cell>
          <cell r="AA9">
            <v>0</v>
          </cell>
          <cell r="AD9">
            <v>0</v>
          </cell>
        </row>
        <row r="10">
          <cell r="S10" t="str">
            <v>TransSub dic. 2011</v>
          </cell>
          <cell r="AA10">
            <v>0</v>
          </cell>
          <cell r="AD10">
            <v>0</v>
          </cell>
        </row>
        <row r="12">
          <cell r="S12" t="str">
            <v>IPESA nov. 2011</v>
          </cell>
          <cell r="AA12">
            <v>0</v>
          </cell>
          <cell r="AD12">
            <v>0</v>
          </cell>
        </row>
        <row r="13">
          <cell r="S13" t="str">
            <v>DIBSA nov. 2011</v>
          </cell>
          <cell r="AA13">
            <v>0</v>
          </cell>
          <cell r="AD13">
            <v>0</v>
          </cell>
        </row>
        <row r="14">
          <cell r="S14" t="str">
            <v>TransSub nov. 2011</v>
          </cell>
          <cell r="AA14">
            <v>0</v>
          </cell>
          <cell r="AD14">
            <v>0</v>
          </cell>
        </row>
        <row r="16">
          <cell r="S16" t="str">
            <v>IPESA oct. 2011</v>
          </cell>
          <cell r="AA16">
            <v>0</v>
          </cell>
          <cell r="AD16">
            <v>0</v>
          </cell>
        </row>
        <row r="17">
          <cell r="S17" t="str">
            <v>DIBSA oct. 2011</v>
          </cell>
          <cell r="AA17">
            <v>0</v>
          </cell>
          <cell r="AD17">
            <v>0</v>
          </cell>
        </row>
        <row r="18">
          <cell r="S18" t="str">
            <v>TransSub oct. 2011</v>
          </cell>
          <cell r="AA18">
            <v>0</v>
          </cell>
          <cell r="AD18">
            <v>0</v>
          </cell>
        </row>
        <row r="20">
          <cell r="S20" t="str">
            <v>IPESA sep. 2011</v>
          </cell>
          <cell r="AA20">
            <v>0</v>
          </cell>
          <cell r="AD20">
            <v>0</v>
          </cell>
        </row>
        <row r="21">
          <cell r="S21" t="str">
            <v>DIBSA sep. 2011</v>
          </cell>
          <cell r="AA21">
            <v>0</v>
          </cell>
          <cell r="AD21">
            <v>0</v>
          </cell>
        </row>
        <row r="22">
          <cell r="S22" t="str">
            <v>TransSub sep. 2011</v>
          </cell>
          <cell r="AA22">
            <v>0</v>
          </cell>
          <cell r="AD22">
            <v>0</v>
          </cell>
        </row>
        <row r="24">
          <cell r="S24" t="str">
            <v>IPESA ago. 2011</v>
          </cell>
          <cell r="AA24">
            <v>-65174161000</v>
          </cell>
          <cell r="AD24">
            <v>-3629180387</v>
          </cell>
        </row>
        <row r="25">
          <cell r="S25" t="str">
            <v>DIBSA ago. 2011</v>
          </cell>
          <cell r="AA25">
            <v>0</v>
          </cell>
          <cell r="AD25">
            <v>0</v>
          </cell>
        </row>
        <row r="26">
          <cell r="S26" t="str">
            <v>TransSub ago. 2011</v>
          </cell>
          <cell r="AA26">
            <v>0</v>
          </cell>
          <cell r="AD26">
            <v>0</v>
          </cell>
        </row>
        <row r="28">
          <cell r="S28" t="str">
            <v>IPESA jul. 2011</v>
          </cell>
          <cell r="AA28">
            <v>-64640725461</v>
          </cell>
          <cell r="AD28">
            <v>-3158536461</v>
          </cell>
        </row>
        <row r="29">
          <cell r="S29" t="str">
            <v>DIBSA jul. 2011</v>
          </cell>
          <cell r="AA29">
            <v>0</v>
          </cell>
          <cell r="AD29">
            <v>0</v>
          </cell>
        </row>
        <row r="30">
          <cell r="S30" t="str">
            <v>TransSub jul. 2011</v>
          </cell>
          <cell r="AA30">
            <v>0</v>
          </cell>
          <cell r="AD30">
            <v>0</v>
          </cell>
        </row>
        <row r="32">
          <cell r="S32" t="str">
            <v>IPESA jun. 2011</v>
          </cell>
          <cell r="AA32">
            <v>-64640725461</v>
          </cell>
          <cell r="AD32">
            <v>-3158536461</v>
          </cell>
        </row>
        <row r="33">
          <cell r="S33" t="str">
            <v>DIBSA jun. 2011</v>
          </cell>
          <cell r="AA33">
            <v>0</v>
          </cell>
          <cell r="AD33">
            <v>0</v>
          </cell>
        </row>
        <row r="34">
          <cell r="S34" t="str">
            <v>TransSub jun. 2011</v>
          </cell>
          <cell r="AA34">
            <v>0</v>
          </cell>
          <cell r="AD34">
            <v>0</v>
          </cell>
        </row>
        <row r="36">
          <cell r="S36" t="str">
            <v>IPESA may. 2011</v>
          </cell>
          <cell r="AA36">
            <v>-64370226000</v>
          </cell>
          <cell r="AD36">
            <v>-2699844000</v>
          </cell>
        </row>
        <row r="37">
          <cell r="S37" t="str">
            <v>DIBSA may. 2011</v>
          </cell>
          <cell r="AA37">
            <v>0</v>
          </cell>
          <cell r="AD37">
            <v>0</v>
          </cell>
        </row>
        <row r="38">
          <cell r="S38" t="str">
            <v>TransSub may. 2011</v>
          </cell>
          <cell r="AA38">
            <v>0</v>
          </cell>
          <cell r="AD38">
            <v>0</v>
          </cell>
        </row>
        <row r="40">
          <cell r="S40" t="str">
            <v>IPESA abr. 2011</v>
          </cell>
          <cell r="AA40">
            <v>-62540479001</v>
          </cell>
          <cell r="AD40">
            <v>-1641760001</v>
          </cell>
        </row>
        <row r="41">
          <cell r="S41" t="str">
            <v>DIBSA abr. 2011</v>
          </cell>
          <cell r="AA41">
            <v>-1239598000</v>
          </cell>
          <cell r="AD41">
            <v>3133895</v>
          </cell>
        </row>
        <row r="42">
          <cell r="S42" t="str">
            <v>TransSub abr. 2011</v>
          </cell>
          <cell r="AA42">
            <v>0</v>
          </cell>
          <cell r="AD42">
            <v>0</v>
          </cell>
        </row>
        <row r="44">
          <cell r="S44" t="str">
            <v>IPESA mar. 2011</v>
          </cell>
          <cell r="AA44">
            <v>-62540479001</v>
          </cell>
          <cell r="AD44">
            <v>-1641760001</v>
          </cell>
        </row>
        <row r="45">
          <cell r="S45" t="str">
            <v>DIBSA mar. 2011</v>
          </cell>
          <cell r="AA45">
            <v>-1239598000</v>
          </cell>
          <cell r="AD45">
            <v>1017000</v>
          </cell>
        </row>
        <row r="46">
          <cell r="S46" t="str">
            <v>TransSub mar. 2011</v>
          </cell>
          <cell r="AA46">
            <v>0</v>
          </cell>
          <cell r="AD46">
            <v>0</v>
          </cell>
        </row>
        <row r="48">
          <cell r="S48" t="str">
            <v>IPESA feb. 2011</v>
          </cell>
          <cell r="AA48">
            <v>0</v>
          </cell>
          <cell r="AD48">
            <v>0</v>
          </cell>
        </row>
        <row r="49">
          <cell r="S49" t="str">
            <v>DIBSA feb. 2011</v>
          </cell>
          <cell r="AA49">
            <v>0</v>
          </cell>
          <cell r="AD49">
            <v>0</v>
          </cell>
        </row>
        <row r="50">
          <cell r="S50" t="str">
            <v>TransSub feb. 2011</v>
          </cell>
          <cell r="AA50">
            <v>0</v>
          </cell>
          <cell r="AD50">
            <v>0</v>
          </cell>
        </row>
        <row r="52">
          <cell r="S52" t="str">
            <v>IPESA ene. 2011</v>
          </cell>
          <cell r="AA52">
            <v>0</v>
          </cell>
          <cell r="AD52">
            <v>0</v>
          </cell>
        </row>
        <row r="53">
          <cell r="S53" t="str">
            <v>DIBSA ene. 2011</v>
          </cell>
          <cell r="AA53">
            <v>0</v>
          </cell>
          <cell r="AD53">
            <v>0</v>
          </cell>
        </row>
        <row r="54">
          <cell r="S54" t="str">
            <v>TransSub ene. 2011</v>
          </cell>
          <cell r="AA54">
            <v>0</v>
          </cell>
          <cell r="AD54">
            <v>0</v>
          </cell>
        </row>
      </sheetData>
      <sheetData sheetId="22">
        <row r="1">
          <cell r="B1" t="str">
            <v>E.F.E.</v>
          </cell>
          <cell r="D1" t="str">
            <v>Código cuenta</v>
          </cell>
          <cell r="F1" t="str">
            <v>EFE-FESUB</v>
          </cell>
          <cell r="G1" t="str">
            <v>EFE-TERRA</v>
          </cell>
          <cell r="H1" t="str">
            <v>EFE-TMSA</v>
          </cell>
          <cell r="I1" t="str">
            <v>EFE-MERVAL</v>
          </cell>
          <cell r="J1" t="str">
            <v>EFE-INVIA</v>
          </cell>
          <cell r="K1" t="str">
            <v>EFE-FCALP</v>
          </cell>
          <cell r="L1" t="str">
            <v>EFE-ITF</v>
          </cell>
          <cell r="M1" t="str">
            <v>saldos EE.RR.</v>
          </cell>
          <cell r="N1">
            <v>0</v>
          </cell>
        </row>
        <row r="2"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  <cell r="L2">
            <v>9</v>
          </cell>
          <cell r="M2">
            <v>10</v>
          </cell>
          <cell r="N2">
            <v>11</v>
          </cell>
        </row>
      </sheetData>
      <sheetData sheetId="23"/>
      <sheetData sheetId="24"/>
      <sheetData sheetId="25"/>
      <sheetData sheetId="26"/>
      <sheetData sheetId="27">
        <row r="7">
          <cell r="B7" t="str">
            <v>Tipo</v>
          </cell>
          <cell r="C7" t="str">
            <v>Clasif.</v>
          </cell>
          <cell r="D7" t="str">
            <v>Empresa</v>
          </cell>
          <cell r="E7" t="str">
            <v>Código cuenta</v>
          </cell>
          <cell r="F7" t="str">
            <v>Nombre cuenta</v>
          </cell>
          <cell r="G7" t="str">
            <v>Total</v>
          </cell>
          <cell r="H7" t="str">
            <v>ene.</v>
          </cell>
          <cell r="I7" t="str">
            <v>feb.</v>
          </cell>
          <cell r="J7" t="str">
            <v>mar.</v>
          </cell>
          <cell r="K7" t="str">
            <v>abr.</v>
          </cell>
          <cell r="L7" t="str">
            <v>may.</v>
          </cell>
          <cell r="M7" t="str">
            <v>jun.</v>
          </cell>
          <cell r="N7" t="str">
            <v>jul.</v>
          </cell>
          <cell r="O7" t="str">
            <v>ago.</v>
          </cell>
          <cell r="P7" t="str">
            <v>sep.</v>
          </cell>
          <cell r="Q7" t="str">
            <v>oct.</v>
          </cell>
          <cell r="R7" t="str">
            <v>nov.</v>
          </cell>
          <cell r="S7" t="str">
            <v>dic.</v>
          </cell>
        </row>
        <row r="8">
          <cell r="G8">
            <v>7</v>
          </cell>
          <cell r="H8">
            <v>8</v>
          </cell>
          <cell r="I8">
            <v>9</v>
          </cell>
          <cell r="J8">
            <v>10</v>
          </cell>
          <cell r="K8">
            <v>11</v>
          </cell>
          <cell r="L8">
            <v>12</v>
          </cell>
          <cell r="M8">
            <v>13</v>
          </cell>
          <cell r="N8">
            <v>14</v>
          </cell>
          <cell r="O8">
            <v>15</v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  <row r="9">
          <cell r="A9" t="str">
            <v>-e2011</v>
          </cell>
          <cell r="B9" t="str">
            <v>INT</v>
          </cell>
          <cell r="C9" t="str">
            <v>E</v>
          </cell>
          <cell r="G9">
            <v>0</v>
          </cell>
        </row>
        <row r="10">
          <cell r="A10" t="str">
            <v>-e2011</v>
          </cell>
        </row>
        <row r="11">
          <cell r="A11" t="str">
            <v>-e2011</v>
          </cell>
          <cell r="B11" t="str">
            <v>IMPTOS</v>
          </cell>
          <cell r="C11" t="str">
            <v>E</v>
          </cell>
          <cell r="G11">
            <v>0</v>
          </cell>
        </row>
        <row r="12">
          <cell r="A12" t="str">
            <v>-e2011</v>
          </cell>
        </row>
        <row r="13">
          <cell r="A13" t="str">
            <v>EFE4360100000-e2011</v>
          </cell>
          <cell r="B13" t="str">
            <v>DEPRE</v>
          </cell>
          <cell r="C13" t="str">
            <v>E</v>
          </cell>
          <cell r="D13" t="str">
            <v>EFE</v>
          </cell>
          <cell r="E13" t="str">
            <v>4360100000</v>
          </cell>
          <cell r="F13" t="str">
            <v>Deprec Bienes Operac</v>
          </cell>
          <cell r="G13">
            <v>-7311460115</v>
          </cell>
          <cell r="H13">
            <v>-922006135</v>
          </cell>
          <cell r="I13">
            <v>-922006135</v>
          </cell>
          <cell r="J13">
            <v>-922006135</v>
          </cell>
          <cell r="K13">
            <v>-922006135</v>
          </cell>
          <cell r="L13">
            <v>-922006135</v>
          </cell>
          <cell r="M13">
            <v>-883032821</v>
          </cell>
          <cell r="N13">
            <v>-912153380</v>
          </cell>
          <cell r="O13">
            <v>-906243239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 t="str">
            <v>EFE4360200000-e2011</v>
          </cell>
          <cell r="B14" t="str">
            <v>DEPRE</v>
          </cell>
          <cell r="C14" t="str">
            <v>E</v>
          </cell>
          <cell r="D14" t="str">
            <v>EFE</v>
          </cell>
          <cell r="E14" t="str">
            <v>4360200000</v>
          </cell>
          <cell r="F14" t="str">
            <v>Deprec Bienes fuera de la Operac</v>
          </cell>
          <cell r="G14">
            <v>-1267579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-950687</v>
          </cell>
          <cell r="N14">
            <v>0</v>
          </cell>
          <cell r="O14">
            <v>-316892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EFE4360300000-e2011</v>
          </cell>
          <cell r="B15" t="str">
            <v>DEPRE</v>
          </cell>
          <cell r="C15" t="str">
            <v>E</v>
          </cell>
          <cell r="D15" t="str">
            <v>EFE</v>
          </cell>
          <cell r="E15" t="str">
            <v>4360300000</v>
          </cell>
          <cell r="F15" t="str">
            <v>Deprec Vias Operac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EFE4360310000-e2011</v>
          </cell>
          <cell r="B16" t="str">
            <v>DEPRE</v>
          </cell>
          <cell r="C16" t="str">
            <v>E</v>
          </cell>
          <cell r="D16" t="str">
            <v>EFE</v>
          </cell>
          <cell r="E16" t="str">
            <v>4360310000</v>
          </cell>
          <cell r="F16" t="str">
            <v>Deprec Vias Operac Comp.</v>
          </cell>
          <cell r="G16">
            <v>-6618210422</v>
          </cell>
          <cell r="H16">
            <v>-700404863</v>
          </cell>
          <cell r="I16">
            <v>-974679221</v>
          </cell>
          <cell r="J16">
            <v>-974679221</v>
          </cell>
          <cell r="K16">
            <v>-837542042</v>
          </cell>
          <cell r="L16">
            <v>-837542042</v>
          </cell>
          <cell r="M16">
            <v>-746661115</v>
          </cell>
          <cell r="N16">
            <v>-746660506</v>
          </cell>
          <cell r="O16">
            <v>-800041412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A17" t="str">
            <v>EFE4360400000-e2011</v>
          </cell>
          <cell r="B17" t="str">
            <v>DEPRE</v>
          </cell>
          <cell r="C17" t="str">
            <v>E</v>
          </cell>
          <cell r="D17" t="str">
            <v>EFE</v>
          </cell>
          <cell r="E17" t="str">
            <v>4360400000</v>
          </cell>
          <cell r="F17" t="str">
            <v>Deprec  Locom 269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EFE4360490000-e2011</v>
          </cell>
          <cell r="B18" t="str">
            <v>DEPRE</v>
          </cell>
          <cell r="C18" t="str">
            <v>E</v>
          </cell>
          <cell r="D18" t="str">
            <v>EFE</v>
          </cell>
          <cell r="E18" t="str">
            <v>4360490000</v>
          </cell>
          <cell r="F18" t="str">
            <v>Deprec Automot UT440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EFE4360500000-e2011</v>
          </cell>
          <cell r="B19" t="str">
            <v>DEPRE</v>
          </cell>
          <cell r="C19" t="str">
            <v>E</v>
          </cell>
          <cell r="D19" t="str">
            <v>EFE</v>
          </cell>
          <cell r="E19" t="str">
            <v>4360500000</v>
          </cell>
          <cell r="F19" t="str">
            <v>Deprec Retas Tecnica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 t="str">
            <v>EFE4360530000-e2011</v>
          </cell>
          <cell r="B20" t="str">
            <v>DEPRE</v>
          </cell>
          <cell r="C20" t="str">
            <v>E</v>
          </cell>
          <cell r="D20" t="str">
            <v>EFE</v>
          </cell>
          <cell r="E20" t="str">
            <v>4360530000</v>
          </cell>
          <cell r="F20" t="str">
            <v>Deprec Automot UT444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A21" t="str">
            <v>FESUB4360100000-e2011</v>
          </cell>
          <cell r="B21" t="str">
            <v>DEPRE</v>
          </cell>
          <cell r="C21" t="str">
            <v>E</v>
          </cell>
          <cell r="D21" t="str">
            <v>FESUB</v>
          </cell>
          <cell r="E21" t="str">
            <v>4360100000</v>
          </cell>
          <cell r="F21" t="str">
            <v>Deprec Bienes Operac</v>
          </cell>
          <cell r="G21">
            <v>-331425353</v>
          </cell>
          <cell r="H21">
            <v>-41737173</v>
          </cell>
          <cell r="I21">
            <v>-41387178</v>
          </cell>
          <cell r="J21">
            <v>-41387178</v>
          </cell>
          <cell r="K21">
            <v>-41387178</v>
          </cell>
          <cell r="L21">
            <v>-41387178</v>
          </cell>
          <cell r="M21">
            <v>-41387178</v>
          </cell>
          <cell r="N21">
            <v>-41387179</v>
          </cell>
          <cell r="O21">
            <v>-41365111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 t="str">
            <v>TERRA4360100000-e2011</v>
          </cell>
          <cell r="B22" t="str">
            <v>DEPRE</v>
          </cell>
          <cell r="C22" t="str">
            <v>E</v>
          </cell>
          <cell r="D22" t="str">
            <v>TERRA</v>
          </cell>
          <cell r="E22" t="str">
            <v>4360100000</v>
          </cell>
          <cell r="F22" t="str">
            <v>Deprec Bienes Operac</v>
          </cell>
          <cell r="G22">
            <v>-56229429</v>
          </cell>
          <cell r="H22">
            <v>-10305598</v>
          </cell>
          <cell r="I22">
            <v>-9231798</v>
          </cell>
          <cell r="J22">
            <v>-1832648</v>
          </cell>
          <cell r="K22">
            <v>-7123348</v>
          </cell>
          <cell r="L22">
            <v>-7123348</v>
          </cell>
          <cell r="M22">
            <v>-6555416</v>
          </cell>
          <cell r="N22">
            <v>-7028609</v>
          </cell>
          <cell r="O22">
            <v>-7028664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A23" t="str">
            <v>TERRA4360530000-e2011</v>
          </cell>
          <cell r="B23" t="str">
            <v>DEPRE</v>
          </cell>
          <cell r="C23" t="str">
            <v>E</v>
          </cell>
          <cell r="D23" t="str">
            <v>TERRA</v>
          </cell>
          <cell r="E23" t="str">
            <v>4360530000</v>
          </cell>
          <cell r="F23" t="str">
            <v>Deprec Automot UT444</v>
          </cell>
          <cell r="G23">
            <v>-346602422</v>
          </cell>
          <cell r="H23">
            <v>-38458245</v>
          </cell>
          <cell r="I23">
            <v>-38458246</v>
          </cell>
          <cell r="J23">
            <v>-49582947</v>
          </cell>
          <cell r="K23">
            <v>-44020597</v>
          </cell>
          <cell r="L23">
            <v>-44020597</v>
          </cell>
          <cell r="M23">
            <v>-44020599</v>
          </cell>
          <cell r="N23">
            <v>-44020594</v>
          </cell>
          <cell r="O23">
            <v>-44020597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A24" t="str">
            <v>TMSA4360100000-e2011</v>
          </cell>
          <cell r="B24" t="str">
            <v>DEPRE</v>
          </cell>
          <cell r="C24" t="str">
            <v>E</v>
          </cell>
          <cell r="D24" t="str">
            <v>TMSA</v>
          </cell>
          <cell r="E24" t="str">
            <v>4360100000</v>
          </cell>
          <cell r="F24" t="str">
            <v>Deprec Bienes Operac</v>
          </cell>
          <cell r="G24">
            <v>-4271999</v>
          </cell>
          <cell r="H24">
            <v>-534005</v>
          </cell>
          <cell r="I24">
            <v>-534001</v>
          </cell>
          <cell r="J24">
            <v>-534005</v>
          </cell>
          <cell r="K24">
            <v>-534000</v>
          </cell>
          <cell r="L24">
            <v>-533990</v>
          </cell>
          <cell r="M24">
            <v>-534033</v>
          </cell>
          <cell r="N24">
            <v>-533979</v>
          </cell>
          <cell r="O24">
            <v>-533986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 t="str">
            <v>TMSA4360490000-e2011</v>
          </cell>
          <cell r="B25" t="str">
            <v>DEPRE</v>
          </cell>
          <cell r="C25" t="str">
            <v>E</v>
          </cell>
          <cell r="D25" t="str">
            <v>TMSA</v>
          </cell>
          <cell r="E25" t="str">
            <v>4360490000</v>
          </cell>
          <cell r="F25" t="str">
            <v>Deprec Automot UT440</v>
          </cell>
          <cell r="G25">
            <v>-688186470</v>
          </cell>
          <cell r="H25">
            <v>-84679693</v>
          </cell>
          <cell r="I25">
            <v>-74880348</v>
          </cell>
          <cell r="J25">
            <v>-74880345</v>
          </cell>
          <cell r="K25">
            <v>-74880348</v>
          </cell>
          <cell r="L25">
            <v>-74880348</v>
          </cell>
          <cell r="M25">
            <v>-153746387</v>
          </cell>
          <cell r="N25">
            <v>-75119497</v>
          </cell>
          <cell r="O25">
            <v>-75119504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 t="str">
            <v>TMSA4360200000-e2011</v>
          </cell>
          <cell r="B26" t="str">
            <v>DEPRE</v>
          </cell>
          <cell r="C26" t="str">
            <v>E</v>
          </cell>
          <cell r="D26" t="str">
            <v>TMSA</v>
          </cell>
          <cell r="E26" t="str">
            <v>4360200000</v>
          </cell>
          <cell r="F26" t="str">
            <v>Deprec Bienes fuera de la Operac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 t="str">
            <v>MERVAL4-1-09-01-02-e2011</v>
          </cell>
          <cell r="B27" t="str">
            <v>DEPRE</v>
          </cell>
          <cell r="C27" t="str">
            <v>E</v>
          </cell>
          <cell r="D27" t="str">
            <v>MERVAL</v>
          </cell>
          <cell r="E27" t="str">
            <v>4-1-09-01-02</v>
          </cell>
          <cell r="F27" t="str">
            <v>Deprec. Del Ejerc. Maquinas Y Herramient</v>
          </cell>
          <cell r="G27">
            <v>-76947691</v>
          </cell>
          <cell r="H27">
            <v>-9618461</v>
          </cell>
          <cell r="I27">
            <v>-9618462</v>
          </cell>
          <cell r="J27">
            <v>-9618461</v>
          </cell>
          <cell r="K27">
            <v>-9618462</v>
          </cell>
          <cell r="L27">
            <v>-9618461</v>
          </cell>
          <cell r="M27">
            <v>-9618461</v>
          </cell>
          <cell r="N27">
            <v>-9618462</v>
          </cell>
          <cell r="O27">
            <v>-9618461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>MERVAL4-1-09-01-03-e2011</v>
          </cell>
          <cell r="B28" t="str">
            <v>DEPRE</v>
          </cell>
          <cell r="C28" t="str">
            <v>E</v>
          </cell>
          <cell r="D28" t="str">
            <v>MERVAL</v>
          </cell>
          <cell r="E28" t="str">
            <v>4-1-09-01-03</v>
          </cell>
          <cell r="F28" t="str">
            <v>Deprec.Del Ejerc. Vehiculos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MERVAL4-1-09-02-01-e2011</v>
          </cell>
          <cell r="B29" t="str">
            <v>DEPRE</v>
          </cell>
          <cell r="C29" t="str">
            <v>E</v>
          </cell>
          <cell r="D29" t="str">
            <v>MERVAL</v>
          </cell>
          <cell r="E29" t="str">
            <v>4-1-09-02-01</v>
          </cell>
          <cell r="F29" t="str">
            <v>Deprec. Del Ejerc. Edificios Y Construc.</v>
          </cell>
          <cell r="G29">
            <v>-60220218</v>
          </cell>
          <cell r="H29">
            <v>-7281820</v>
          </cell>
          <cell r="I29">
            <v>-7281820</v>
          </cell>
          <cell r="J29">
            <v>-7281820</v>
          </cell>
          <cell r="K29">
            <v>-7281820</v>
          </cell>
          <cell r="L29">
            <v>-7281820</v>
          </cell>
          <cell r="M29">
            <v>-7987418</v>
          </cell>
          <cell r="N29">
            <v>-7911850</v>
          </cell>
          <cell r="O29">
            <v>-7911850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MERVAL4-1-09-02-02-e2011</v>
          </cell>
          <cell r="B30" t="str">
            <v>DEPRE</v>
          </cell>
          <cell r="C30" t="str">
            <v>E</v>
          </cell>
          <cell r="D30" t="str">
            <v>MERVAL</v>
          </cell>
          <cell r="E30" t="str">
            <v>4-1-09-02-02</v>
          </cell>
          <cell r="F30" t="str">
            <v>Deprec. Del Ejerc. Maquinas Y Equip. Ofi</v>
          </cell>
          <cell r="G30">
            <v>-5089627</v>
          </cell>
          <cell r="H30">
            <v>-605541</v>
          </cell>
          <cell r="I30">
            <v>-632989</v>
          </cell>
          <cell r="J30">
            <v>-578092</v>
          </cell>
          <cell r="K30">
            <v>-649722</v>
          </cell>
          <cell r="L30">
            <v>-649722</v>
          </cell>
          <cell r="M30">
            <v>-657854</v>
          </cell>
          <cell r="N30">
            <v>-657854</v>
          </cell>
          <cell r="O30">
            <v>-657853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MERVAL4-1-09-01-01-e2011</v>
          </cell>
          <cell r="B31" t="str">
            <v>DEPRE</v>
          </cell>
          <cell r="C31" t="str">
            <v>E</v>
          </cell>
          <cell r="D31" t="str">
            <v>MERVAL</v>
          </cell>
          <cell r="E31" t="str">
            <v>4-1-09-01-01</v>
          </cell>
          <cell r="F31" t="str">
            <v>Deprec.Del Ejerc. Automotores</v>
          </cell>
          <cell r="G31">
            <v>-1782043461</v>
          </cell>
          <cell r="H31">
            <v>-222755433</v>
          </cell>
          <cell r="I31">
            <v>-222755432</v>
          </cell>
          <cell r="J31">
            <v>-222755433</v>
          </cell>
          <cell r="K31">
            <v>-222755433</v>
          </cell>
          <cell r="L31">
            <v>-222755432</v>
          </cell>
          <cell r="M31">
            <v>-222755433</v>
          </cell>
          <cell r="N31">
            <v>-222755433</v>
          </cell>
          <cell r="O31">
            <v>-222755432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MERVAL4-1-09-02-03-e2011</v>
          </cell>
          <cell r="B32" t="str">
            <v>DEPRE</v>
          </cell>
          <cell r="C32" t="str">
            <v>E</v>
          </cell>
          <cell r="D32" t="str">
            <v>MERVAL</v>
          </cell>
          <cell r="E32" t="str">
            <v>4-1-09-02-03</v>
          </cell>
          <cell r="F32" t="str">
            <v>Deprec. Del Ejerc. Muebles ( Adm. Y Vent</v>
          </cell>
          <cell r="G32">
            <v>-1179684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-13040</v>
          </cell>
          <cell r="M32">
            <v>-388882</v>
          </cell>
          <cell r="N32">
            <v>-388881</v>
          </cell>
          <cell r="O32">
            <v>-388881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A33" t="str">
            <v>MERVAL4-1-09-02-04-e2011</v>
          </cell>
          <cell r="B33" t="str">
            <v>DEPRE</v>
          </cell>
          <cell r="C33" t="str">
            <v>E</v>
          </cell>
          <cell r="D33" t="str">
            <v>MERVAL</v>
          </cell>
          <cell r="E33" t="str">
            <v>4-1-09-02-04</v>
          </cell>
          <cell r="F33" t="str">
            <v>Deprec. Del Ejerc. Equi. Computacionales</v>
          </cell>
          <cell r="G33">
            <v>-15821195</v>
          </cell>
          <cell r="H33">
            <v>-1698508</v>
          </cell>
          <cell r="I33">
            <v>-1708518</v>
          </cell>
          <cell r="J33">
            <v>-1839914</v>
          </cell>
          <cell r="K33">
            <v>-2047463</v>
          </cell>
          <cell r="L33">
            <v>-2081230</v>
          </cell>
          <cell r="M33">
            <v>-2107489</v>
          </cell>
          <cell r="N33">
            <v>-2100259</v>
          </cell>
          <cell r="O33">
            <v>-2237814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A34" t="str">
            <v>MERVAL4-1-09-02-05-e2011</v>
          </cell>
          <cell r="B34" t="str">
            <v>DEPRE</v>
          </cell>
          <cell r="C34" t="str">
            <v>E</v>
          </cell>
          <cell r="D34" t="str">
            <v>MERVAL</v>
          </cell>
          <cell r="E34" t="str">
            <v>4-1-09-02-05</v>
          </cell>
          <cell r="F34" t="str">
            <v>Deprec. Del Ejerc. Software</v>
          </cell>
          <cell r="G34">
            <v>-8943853</v>
          </cell>
          <cell r="H34">
            <v>-1069595</v>
          </cell>
          <cell r="I34">
            <v>-1196217</v>
          </cell>
          <cell r="J34">
            <v>-1215831</v>
          </cell>
          <cell r="K34">
            <v>-1215831</v>
          </cell>
          <cell r="L34">
            <v>-1171160</v>
          </cell>
          <cell r="M34">
            <v>-1171160</v>
          </cell>
          <cell r="N34">
            <v>-971391</v>
          </cell>
          <cell r="O34">
            <v>-932668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A35" t="str">
            <v>MERVAL4-1-09-02-06-e2011</v>
          </cell>
          <cell r="B35" t="str">
            <v>DEPRE</v>
          </cell>
          <cell r="C35" t="str">
            <v>E</v>
          </cell>
          <cell r="D35" t="str">
            <v>MERVAL</v>
          </cell>
          <cell r="E35" t="str">
            <v>4-1-09-02-06</v>
          </cell>
          <cell r="F35" t="str">
            <v>Deprec. Del Ejerc. Edif. y Constr.</v>
          </cell>
          <cell r="G35">
            <v>-14685580</v>
          </cell>
          <cell r="H35">
            <v>-1835698</v>
          </cell>
          <cell r="I35">
            <v>-1835697</v>
          </cell>
          <cell r="J35">
            <v>-1835698</v>
          </cell>
          <cell r="K35">
            <v>-1835697</v>
          </cell>
          <cell r="L35">
            <v>-1835698</v>
          </cell>
          <cell r="M35">
            <v>-1835697</v>
          </cell>
          <cell r="N35">
            <v>-1835698</v>
          </cell>
          <cell r="O35">
            <v>-1835697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A36" t="str">
            <v>INVIA3203101-e2011</v>
          </cell>
          <cell r="B36" t="str">
            <v>DEPRE</v>
          </cell>
          <cell r="C36" t="str">
            <v>E</v>
          </cell>
          <cell r="D36" t="str">
            <v>INVIA</v>
          </cell>
          <cell r="E36" t="str">
            <v>3203101</v>
          </cell>
          <cell r="F36" t="str">
            <v>Deprec.del ejercicio Act.Fijo</v>
          </cell>
          <cell r="G36">
            <v>-4533567</v>
          </cell>
          <cell r="H36">
            <v>-1723510</v>
          </cell>
          <cell r="I36">
            <v>-511630</v>
          </cell>
          <cell r="J36">
            <v>0</v>
          </cell>
          <cell r="K36">
            <v>-757641</v>
          </cell>
          <cell r="L36">
            <v>-660192</v>
          </cell>
          <cell r="M36">
            <v>0</v>
          </cell>
          <cell r="N36">
            <v>-178183</v>
          </cell>
          <cell r="O36">
            <v>-702411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 t="str">
            <v>INVIA3203102-e2011</v>
          </cell>
          <cell r="B37" t="str">
            <v>DEPRE</v>
          </cell>
          <cell r="C37" t="str">
            <v>E</v>
          </cell>
          <cell r="D37" t="str">
            <v>INVIA</v>
          </cell>
          <cell r="E37" t="str">
            <v>3203102</v>
          </cell>
          <cell r="F37" t="str">
            <v>Deprec.del ejercicio Existencias</v>
          </cell>
          <cell r="G37">
            <v>-1729370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-204086</v>
          </cell>
          <cell r="M37">
            <v>0</v>
          </cell>
          <cell r="N37">
            <v>-762642</v>
          </cell>
          <cell r="O37">
            <v>-762642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 t="str">
            <v>FCALP0-e2011</v>
          </cell>
          <cell r="B38" t="str">
            <v>DEPRE</v>
          </cell>
          <cell r="C38" t="str">
            <v>E</v>
          </cell>
          <cell r="D38" t="str">
            <v>FCALP</v>
          </cell>
          <cell r="E38" t="str">
            <v>0</v>
          </cell>
          <cell r="F38" t="str">
            <v>Deprec.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A39" t="str">
            <v>ITF0-e2011</v>
          </cell>
          <cell r="B39" t="str">
            <v>DEPRE</v>
          </cell>
          <cell r="C39" t="str">
            <v>E</v>
          </cell>
          <cell r="D39" t="str">
            <v>ITF</v>
          </cell>
          <cell r="E39" t="str">
            <v>0</v>
          </cell>
          <cell r="F39" t="str">
            <v>Deprec.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A40" t="str">
            <v>-e2011</v>
          </cell>
        </row>
        <row r="41">
          <cell r="A41" t="str">
            <v>-e2011</v>
          </cell>
          <cell r="B41" t="str">
            <v>AMORT</v>
          </cell>
          <cell r="C41" t="str">
            <v>E</v>
          </cell>
          <cell r="G41">
            <v>0</v>
          </cell>
        </row>
        <row r="43">
          <cell r="E43" t="str">
            <v>TOTAL</v>
          </cell>
          <cell r="G43">
            <v>-17328848035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uta"/>
      <sheetName val="IMG"/>
      <sheetName val="IMG 1"/>
      <sheetName val="Perfiles IMG"/>
      <sheetName val="EVALUACION"/>
      <sheetName val="INGRESOS"/>
      <sheetName val="Respaldo"/>
      <sheetName val="Hoja3"/>
      <sheetName val="Cotos de Explotación"/>
      <sheetName val="Costos Mensuales $"/>
    </sheetNames>
    <sheetDataSet>
      <sheetData sheetId="0">
        <row r="5">
          <cell r="E5">
            <v>4</v>
          </cell>
        </row>
        <row r="8">
          <cell r="G8">
            <v>6</v>
          </cell>
        </row>
        <row r="9">
          <cell r="G9">
            <v>0</v>
          </cell>
          <cell r="J9">
            <v>83074.92688074561</v>
          </cell>
        </row>
        <row r="10">
          <cell r="G10">
            <v>1</v>
          </cell>
        </row>
        <row r="11">
          <cell r="G11">
            <v>1.5</v>
          </cell>
        </row>
        <row r="108">
          <cell r="F108">
            <v>100</v>
          </cell>
        </row>
      </sheetData>
      <sheetData sheetId="1"/>
      <sheetData sheetId="2">
        <row r="3">
          <cell r="F3">
            <v>1</v>
          </cell>
        </row>
        <row r="4">
          <cell r="F4">
            <v>1</v>
          </cell>
        </row>
        <row r="26">
          <cell r="A26" t="str">
            <v>Series de IMG y Costos</v>
          </cell>
          <cell r="C26" t="str">
            <v>Caso</v>
          </cell>
          <cell r="D26">
            <v>6</v>
          </cell>
        </row>
        <row r="28">
          <cell r="B28">
            <v>24</v>
          </cell>
          <cell r="C28">
            <v>0.46108027103028326</v>
          </cell>
          <cell r="D28">
            <v>0.93</v>
          </cell>
        </row>
        <row r="29">
          <cell r="B29" t="str">
            <v>Año de Concesión</v>
          </cell>
          <cell r="C29" t="str">
            <v>IMG</v>
          </cell>
          <cell r="D29" t="str">
            <v>CO y CM</v>
          </cell>
          <cell r="E29" t="str">
            <v>Subsidio</v>
          </cell>
          <cell r="F29" t="str">
            <v>IMG-Costos</v>
          </cell>
        </row>
        <row r="30">
          <cell r="A30">
            <v>2000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A31">
            <v>2001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>
            <v>2002</v>
          </cell>
          <cell r="B32">
            <v>1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2003</v>
          </cell>
          <cell r="B33">
            <v>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2004</v>
          </cell>
          <cell r="B34">
            <v>3</v>
          </cell>
          <cell r="C34">
            <v>0</v>
          </cell>
          <cell r="D34">
            <v>19675.588596342728</v>
          </cell>
          <cell r="E34">
            <v>83074.92688074561</v>
          </cell>
          <cell r="F34">
            <v>-3843.1761056595387</v>
          </cell>
        </row>
        <row r="35">
          <cell r="A35">
            <v>2005</v>
          </cell>
          <cell r="B35">
            <v>4</v>
          </cell>
          <cell r="C35">
            <v>0</v>
          </cell>
          <cell r="D35">
            <v>19675.588596342728</v>
          </cell>
          <cell r="E35">
            <v>83074.92688074561</v>
          </cell>
          <cell r="F35">
            <v>-2096.5481197055706</v>
          </cell>
        </row>
        <row r="36">
          <cell r="A36">
            <v>2006</v>
          </cell>
          <cell r="B36">
            <v>5</v>
          </cell>
          <cell r="C36">
            <v>0</v>
          </cell>
          <cell r="D36">
            <v>19675.588596342728</v>
          </cell>
          <cell r="E36">
            <v>83074.92688074561</v>
          </cell>
          <cell r="F36">
            <v>-156.7948659637259</v>
          </cell>
        </row>
        <row r="37">
          <cell r="A37">
            <v>2007</v>
          </cell>
          <cell r="B37">
            <v>6</v>
          </cell>
          <cell r="C37">
            <v>0</v>
          </cell>
          <cell r="D37">
            <v>22177.167696342731</v>
          </cell>
          <cell r="E37">
            <v>83074.92688074561</v>
          </cell>
          <cell r="F37">
            <v>-504.10124178914339</v>
          </cell>
        </row>
        <row r="38">
          <cell r="A38">
            <v>2008</v>
          </cell>
          <cell r="B38">
            <v>7</v>
          </cell>
          <cell r="C38">
            <v>0</v>
          </cell>
          <cell r="D38">
            <v>19675.588596342728</v>
          </cell>
          <cell r="E38">
            <v>0</v>
          </cell>
          <cell r="F38">
            <v>4516.5146198002258</v>
          </cell>
        </row>
        <row r="39">
          <cell r="A39">
            <v>2009</v>
          </cell>
          <cell r="B39">
            <v>8</v>
          </cell>
          <cell r="C39">
            <v>0</v>
          </cell>
          <cell r="D39">
            <v>19675.588596342728</v>
          </cell>
          <cell r="E39">
            <v>0</v>
          </cell>
          <cell r="F39">
            <v>7329.2979114960399</v>
          </cell>
        </row>
        <row r="40">
          <cell r="A40">
            <v>2010</v>
          </cell>
          <cell r="B40">
            <v>9</v>
          </cell>
          <cell r="C40">
            <v>46973.873794156396</v>
          </cell>
          <cell r="D40">
            <v>19675.588596342728</v>
          </cell>
          <cell r="E40">
            <v>0</v>
          </cell>
          <cell r="F40">
            <v>10470.170386423768</v>
          </cell>
        </row>
        <row r="41">
          <cell r="A41">
            <v>2011</v>
          </cell>
          <cell r="B41">
            <v>10</v>
          </cell>
          <cell r="C41">
            <v>49598.736297870761</v>
          </cell>
          <cell r="D41">
            <v>31012.167696342731</v>
          </cell>
          <cell r="E41">
            <v>0</v>
          </cell>
          <cell r="F41">
            <v>2640.9188350726836</v>
          </cell>
        </row>
        <row r="42">
          <cell r="A42">
            <v>2012</v>
          </cell>
          <cell r="B42">
            <v>11</v>
          </cell>
          <cell r="C42">
            <v>52368.783008293904</v>
          </cell>
          <cell r="D42">
            <v>24604.588596342728</v>
          </cell>
          <cell r="E42">
            <v>0</v>
          </cell>
          <cell r="F42">
            <v>12965.141754230819</v>
          </cell>
        </row>
        <row r="43">
          <cell r="A43">
            <v>2013</v>
          </cell>
          <cell r="B43">
            <v>12</v>
          </cell>
          <cell r="C43">
            <v>55291.327527276546</v>
          </cell>
          <cell r="D43">
            <v>19675.588596342728</v>
          </cell>
          <cell r="E43">
            <v>0</v>
          </cell>
          <cell r="F43">
            <v>22267.985874767975</v>
          </cell>
        </row>
        <row r="44">
          <cell r="A44">
            <v>2014</v>
          </cell>
          <cell r="B44">
            <v>13</v>
          </cell>
          <cell r="C44">
            <v>58635.54446531408</v>
          </cell>
          <cell r="D44">
            <v>19675.588596342728</v>
          </cell>
          <cell r="E44">
            <v>0</v>
          </cell>
          <cell r="F44">
            <v>27152.526669839084</v>
          </cell>
        </row>
        <row r="45">
          <cell r="A45">
            <v>2015</v>
          </cell>
          <cell r="B45">
            <v>14</v>
          </cell>
          <cell r="C45">
            <v>62182.248804907023</v>
          </cell>
          <cell r="D45">
            <v>19675.588596342728</v>
          </cell>
          <cell r="E45">
            <v>0</v>
          </cell>
          <cell r="F45">
            <v>32607.531632540878</v>
          </cell>
        </row>
        <row r="46">
          <cell r="A46">
            <v>2016</v>
          </cell>
          <cell r="B46">
            <v>15</v>
          </cell>
          <cell r="C46">
            <v>65941.023698072633</v>
          </cell>
          <cell r="D46">
            <v>22177.288596342729</v>
          </cell>
          <cell r="E46">
            <v>0</v>
          </cell>
          <cell r="F46">
            <v>36198.075569882611</v>
          </cell>
        </row>
        <row r="47">
          <cell r="A47">
            <v>2017</v>
          </cell>
          <cell r="B47">
            <v>16</v>
          </cell>
          <cell r="C47">
            <v>69925.233439955555</v>
          </cell>
          <cell r="D47">
            <v>19675.588596342728</v>
          </cell>
          <cell r="E47">
            <v>0</v>
          </cell>
          <cell r="F47">
            <v>45503.86331877207</v>
          </cell>
        </row>
        <row r="48">
          <cell r="A48">
            <v>2018</v>
          </cell>
          <cell r="B48">
            <v>17</v>
          </cell>
          <cell r="C48">
            <v>74148.251857224954</v>
          </cell>
          <cell r="D48">
            <v>19675.588596342728</v>
          </cell>
          <cell r="E48">
            <v>0</v>
          </cell>
          <cell r="F48">
            <v>53103.149161469875</v>
          </cell>
        </row>
        <row r="49">
          <cell r="A49">
            <v>2019</v>
          </cell>
          <cell r="B49">
            <v>18</v>
          </cell>
          <cell r="C49">
            <v>78623.460768551318</v>
          </cell>
          <cell r="D49">
            <v>19675.588596342728</v>
          </cell>
          <cell r="E49">
            <v>0</v>
          </cell>
          <cell r="F49">
            <v>61590.76431593101</v>
          </cell>
        </row>
        <row r="50">
          <cell r="A50">
            <v>2020</v>
          </cell>
          <cell r="B50">
            <v>19</v>
          </cell>
          <cell r="C50">
            <v>83368.03280966953</v>
          </cell>
          <cell r="D50">
            <v>19675.588596342728</v>
          </cell>
          <cell r="E50">
            <v>0</v>
          </cell>
          <cell r="F50">
            <v>71070.765215502761</v>
          </cell>
        </row>
        <row r="51">
          <cell r="A51">
            <v>2021</v>
          </cell>
          <cell r="B51">
            <v>20</v>
          </cell>
          <cell r="C51">
            <v>88399.152792062145</v>
          </cell>
          <cell r="D51">
            <v>31012.288596342736</v>
          </cell>
          <cell r="E51">
            <v>0</v>
          </cell>
          <cell r="F51">
            <v>70322.716789202954</v>
          </cell>
        </row>
        <row r="52">
          <cell r="A52">
            <v>2022</v>
          </cell>
          <cell r="B52">
            <v>21</v>
          </cell>
          <cell r="C52">
            <v>93728.334534532594</v>
          </cell>
          <cell r="D52">
            <v>24604.588596342728</v>
          </cell>
          <cell r="E52">
            <v>0</v>
          </cell>
          <cell r="F52">
            <v>88557.626626844372</v>
          </cell>
        </row>
        <row r="53">
          <cell r="A53">
            <v>2023</v>
          </cell>
          <cell r="B53">
            <v>22</v>
          </cell>
          <cell r="C53">
            <v>99378.458449476981</v>
          </cell>
          <cell r="D53">
            <v>19675.588596342728</v>
          </cell>
          <cell r="E53">
            <v>0</v>
          </cell>
          <cell r="F53">
            <v>106697.54778337071</v>
          </cell>
        </row>
        <row r="54">
          <cell r="A54">
            <v>2024</v>
          </cell>
          <cell r="B54">
            <v>23</v>
          </cell>
          <cell r="C54">
            <v>0</v>
          </cell>
          <cell r="D54">
            <v>19675.588596342728</v>
          </cell>
          <cell r="E54">
            <v>0</v>
          </cell>
          <cell r="F54">
            <v>121454.37006714531</v>
          </cell>
        </row>
        <row r="55">
          <cell r="A55">
            <v>2025</v>
          </cell>
          <cell r="B55">
            <v>24</v>
          </cell>
          <cell r="C55">
            <v>0</v>
          </cell>
          <cell r="D55">
            <v>19675.588596342728</v>
          </cell>
          <cell r="E55">
            <v>0</v>
          </cell>
          <cell r="F55">
            <v>137938.32199354057</v>
          </cell>
        </row>
        <row r="56">
          <cell r="A56">
            <v>2026</v>
          </cell>
          <cell r="B56">
            <v>25</v>
          </cell>
          <cell r="C56">
            <v>0</v>
          </cell>
          <cell r="D56">
            <v>22177.288596342729</v>
          </cell>
          <cell r="E56">
            <v>0</v>
          </cell>
          <cell r="F56">
            <v>153850.20819703166</v>
          </cell>
        </row>
        <row r="57">
          <cell r="A57">
            <v>2027</v>
          </cell>
          <cell r="B57">
            <v>26</v>
          </cell>
          <cell r="C57">
            <v>0</v>
          </cell>
          <cell r="D57">
            <v>19675.588596342728</v>
          </cell>
          <cell r="E57">
            <v>0</v>
          </cell>
          <cell r="F57">
            <v>176921.41001453274</v>
          </cell>
        </row>
        <row r="58">
          <cell r="A58">
            <v>2028</v>
          </cell>
          <cell r="B58">
            <v>27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2029</v>
          </cell>
          <cell r="B59">
            <v>28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</row>
        <row r="60">
          <cell r="A60">
            <v>2030</v>
          </cell>
          <cell r="B60">
            <v>29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1">
          <cell r="A61">
            <v>2031</v>
          </cell>
          <cell r="B61">
            <v>30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A62">
            <v>2032</v>
          </cell>
          <cell r="B62">
            <v>31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</row>
        <row r="63">
          <cell r="A63">
            <v>2033</v>
          </cell>
          <cell r="B63">
            <v>32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A64">
            <v>2034</v>
          </cell>
          <cell r="C64">
            <v>377788.88217065105</v>
          </cell>
          <cell r="D64">
            <v>170207.12993467346</v>
          </cell>
          <cell r="E64">
            <v>225165.34741290333</v>
          </cell>
          <cell r="F64">
            <v>207581.75223597747</v>
          </cell>
        </row>
        <row r="98">
          <cell r="C98">
            <v>0.84540360682427085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aturas"/>
      <sheetName val="BT"/>
      <sheetName val="bce cons Flujo"/>
      <sheetName val="NOTAS dic. 2010"/>
      <sheetName val="estres X mes ind"/>
      <sheetName val="Ppto. X mes"/>
      <sheetName val="Real Gestión CONS X mes (Neto)"/>
      <sheetName val="Real Gestión CONS X mes"/>
      <sheetName val="IdeG"/>
      <sheetName val="EBITDA No Oper Gestión cons (N)"/>
      <sheetName val="Ingr_Inf"/>
      <sheetName val="EBITDA No Oper Gestión cons"/>
      <sheetName val="bce"/>
      <sheetName val="estres"/>
      <sheetName val="IAS 1-Est Sit Fin Clas"/>
      <sheetName val="Est Res Integral"/>
      <sheetName val="IAS 1-Est Res Funcion"/>
      <sheetName val="bce cons"/>
      <sheetName val="estres cons"/>
      <sheetName val="estres cons X Trim"/>
      <sheetName val="estres cons X Trim 2"/>
      <sheetName val="Notas"/>
      <sheetName val="Patrimonio"/>
      <sheetName val="Inversiones"/>
      <sheetName val="ctas EERR"/>
      <sheetName val="Resultado EERR"/>
      <sheetName val="Ajustes EBITDA"/>
      <sheetName val="CGR"/>
      <sheetName val="base"/>
      <sheetName val="separa"/>
      <sheetName val="Nota Segmentos"/>
      <sheetName val="Nota Particip"/>
      <sheetName val="Notas EERR"/>
      <sheetName val="Notas sep. 2010"/>
      <sheetName val="Apuntes dic. 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G3" t="str">
            <v>trimestres</v>
          </cell>
          <cell r="H3">
            <v>2</v>
          </cell>
        </row>
        <row r="4">
          <cell r="G4" t="str">
            <v>I   T</v>
          </cell>
          <cell r="H4" t="str">
            <v>AT</v>
          </cell>
        </row>
        <row r="5">
          <cell r="G5" t="str">
            <v>II  T</v>
          </cell>
          <cell r="H5" t="str">
            <v>AU</v>
          </cell>
        </row>
        <row r="6">
          <cell r="G6" t="str">
            <v>III T</v>
          </cell>
          <cell r="H6" t="str">
            <v>AV</v>
          </cell>
        </row>
        <row r="7">
          <cell r="G7" t="str">
            <v>IV  T</v>
          </cell>
          <cell r="H7" t="str">
            <v>AW</v>
          </cell>
        </row>
        <row r="16">
          <cell r="D16" t="str">
            <v>dic. 2009</v>
          </cell>
        </row>
        <row r="18">
          <cell r="D18">
            <v>1</v>
          </cell>
          <cell r="E18">
            <v>2</v>
          </cell>
          <cell r="F18">
            <v>3</v>
          </cell>
          <cell r="G18">
            <v>4</v>
          </cell>
          <cell r="H18">
            <v>5</v>
          </cell>
          <cell r="I18">
            <v>6</v>
          </cell>
          <cell r="J18">
            <v>7</v>
          </cell>
          <cell r="K18">
            <v>8</v>
          </cell>
          <cell r="L18">
            <v>9</v>
          </cell>
          <cell r="M18">
            <v>10</v>
          </cell>
          <cell r="N18">
            <v>11</v>
          </cell>
          <cell r="O18">
            <v>12</v>
          </cell>
          <cell r="P18">
            <v>13</v>
          </cell>
          <cell r="Q18">
            <v>14</v>
          </cell>
          <cell r="R18">
            <v>15</v>
          </cell>
          <cell r="S18">
            <v>16</v>
          </cell>
          <cell r="T18">
            <v>17</v>
          </cell>
          <cell r="U18">
            <v>18</v>
          </cell>
          <cell r="V18">
            <v>19</v>
          </cell>
          <cell r="W18">
            <v>20</v>
          </cell>
          <cell r="X18">
            <v>21</v>
          </cell>
          <cell r="Y18">
            <v>22</v>
          </cell>
          <cell r="Z18">
            <v>23</v>
          </cell>
          <cell r="AA18">
            <v>24</v>
          </cell>
          <cell r="AB18">
            <v>25</v>
          </cell>
          <cell r="AC18">
            <v>26</v>
          </cell>
          <cell r="AD18">
            <v>27</v>
          </cell>
          <cell r="AE18">
            <v>28</v>
          </cell>
          <cell r="AF18">
            <v>29</v>
          </cell>
          <cell r="AG18">
            <v>30</v>
          </cell>
          <cell r="AH18">
            <v>31</v>
          </cell>
        </row>
        <row r="19">
          <cell r="D19">
            <v>0</v>
          </cell>
        </row>
        <row r="20">
          <cell r="D20">
            <v>0</v>
          </cell>
          <cell r="F20" t="str">
            <v>Activos</v>
          </cell>
          <cell r="G20" t="str">
            <v/>
          </cell>
          <cell r="H20" t="str">
            <v/>
          </cell>
        </row>
        <row r="21">
          <cell r="D21">
            <v>0</v>
          </cell>
          <cell r="F21" t="str">
            <v>Activos Corrientes</v>
          </cell>
          <cell r="G21" t="str">
            <v/>
          </cell>
          <cell r="H21" t="str">
            <v/>
          </cell>
        </row>
        <row r="22">
          <cell r="D22">
            <v>0</v>
          </cell>
          <cell r="F22" t="str">
            <v>.</v>
          </cell>
          <cell r="G22" t="str">
            <v/>
          </cell>
          <cell r="H22" t="str">
            <v/>
          </cell>
        </row>
        <row r="23">
          <cell r="D23">
            <v>0</v>
          </cell>
          <cell r="F23" t="str">
            <v>.</v>
          </cell>
          <cell r="G23" t="str">
            <v/>
          </cell>
          <cell r="H23" t="str">
            <v/>
          </cell>
        </row>
        <row r="24">
          <cell r="D24" t="str">
            <v>1001100107</v>
          </cell>
          <cell r="E24" t="str">
            <v>1001100107</v>
          </cell>
          <cell r="F24" t="str">
            <v>Banco De Chile - Pago Por Transferencia</v>
          </cell>
          <cell r="G24" t="str">
            <v>1001100107  Banco De Chile - Pago Por Transferencia</v>
          </cell>
          <cell r="H24" t="str">
            <v>Balance</v>
          </cell>
          <cell r="I24" t="str">
            <v>I. Activos</v>
          </cell>
          <cell r="J24" t="str">
            <v>1. Activos corrientes</v>
          </cell>
          <cell r="K24" t="str">
            <v>1. Efectivo y Equivalentes al Efectivo</v>
          </cell>
          <cell r="L24" t="str">
            <v>A. corrtes. distintos de A. para su disposición clasif. para venta o distrib. a propiet.</v>
          </cell>
          <cell r="U24" t="str">
            <v>1. Efectivo y Equivalentes al Efectivo</v>
          </cell>
          <cell r="AG24" t="str">
            <v>Caja Bancos</v>
          </cell>
          <cell r="AH24" t="str">
            <v>I. Activos de los segmentos</v>
          </cell>
        </row>
        <row r="25">
          <cell r="D25" t="str">
            <v>1001100905</v>
          </cell>
          <cell r="E25" t="str">
            <v>1001100905</v>
          </cell>
          <cell r="F25" t="str">
            <v>Banco Internacional - Transferencia De Fondos</v>
          </cell>
          <cell r="G25" t="str">
            <v>1001100905  Banco Internacional - Transferencia De Fondos</v>
          </cell>
          <cell r="H25" t="str">
            <v>Balance</v>
          </cell>
          <cell r="I25" t="str">
            <v>I. Activos</v>
          </cell>
          <cell r="J25" t="str">
            <v>1. Activos corrientes</v>
          </cell>
          <cell r="K25" t="str">
            <v>1. Efectivo y Equivalentes al Efectivo</v>
          </cell>
          <cell r="L25" t="str">
            <v>A. corrtes. distintos de A. para su disposición clasif. para venta o distrib. a propiet.</v>
          </cell>
          <cell r="U25" t="str">
            <v>1. Efectivo y Equivalentes al Efectivo</v>
          </cell>
          <cell r="AG25" t="str">
            <v>Caja Bancos</v>
          </cell>
          <cell r="AH25" t="str">
            <v>I. Activos de los segmentos</v>
          </cell>
        </row>
        <row r="26">
          <cell r="D26" t="str">
            <v>1001100908</v>
          </cell>
          <cell r="E26" t="str">
            <v>1001100908</v>
          </cell>
          <cell r="F26" t="str">
            <v>Banco Internacional - Pago con cheque</v>
          </cell>
          <cell r="G26" t="str">
            <v>1001100908  Banco Internacional - Pago con cheque</v>
          </cell>
          <cell r="H26" t="str">
            <v>Balance</v>
          </cell>
          <cell r="I26" t="str">
            <v>I. Activos</v>
          </cell>
          <cell r="J26" t="str">
            <v>1. Activos corrientes</v>
          </cell>
          <cell r="K26" t="str">
            <v>1. Efectivo y Equivalentes al Efectivo</v>
          </cell>
          <cell r="L26" t="str">
            <v>A. corrtes. distintos de A. para su disposición clasif. para venta o distrib. a propiet.</v>
          </cell>
          <cell r="U26" t="str">
            <v>1. Efectivo y Equivalentes al Efectivo</v>
          </cell>
          <cell r="AG26" t="str">
            <v>Caja Bancos</v>
          </cell>
          <cell r="AH26" t="str">
            <v>I. Activos de los segmentos</v>
          </cell>
        </row>
        <row r="27">
          <cell r="D27" t="str">
            <v>1001106101</v>
          </cell>
          <cell r="E27" t="str">
            <v>1001106101</v>
          </cell>
          <cell r="F27" t="str">
            <v>Banco De Santiago - Ingreso Efectivo</v>
          </cell>
          <cell r="G27" t="str">
            <v>1001106101  Banco De Santiago - Ingreso Efectivo</v>
          </cell>
          <cell r="H27" t="str">
            <v>Balance</v>
          </cell>
          <cell r="I27" t="str">
            <v>I. Activos</v>
          </cell>
          <cell r="J27" t="str">
            <v>1. Activos corrientes</v>
          </cell>
          <cell r="K27" t="str">
            <v>1. Efectivo y Equivalentes al Efectivo</v>
          </cell>
          <cell r="L27" t="str">
            <v>A. corrtes. distintos de A. para su disposición clasif. para venta o distrib. a propiet.</v>
          </cell>
          <cell r="U27" t="str">
            <v>1. Efectivo y Equivalentes al Efectivo</v>
          </cell>
          <cell r="AG27" t="str">
            <v>Caja Bancos</v>
          </cell>
          <cell r="AH27" t="str">
            <v>I. Activos de los segmentos</v>
          </cell>
        </row>
        <row r="28">
          <cell r="D28" t="str">
            <v>1001109101</v>
          </cell>
          <cell r="E28" t="str">
            <v>1001109101</v>
          </cell>
          <cell r="F28" t="str">
            <v>Banco Estado-Ingreso Efectivo</v>
          </cell>
          <cell r="G28" t="str">
            <v>1001109101  Banco Estado-Ingreso Efectivo</v>
          </cell>
          <cell r="H28" t="str">
            <v>Balance</v>
          </cell>
          <cell r="I28" t="str">
            <v>I. Activos</v>
          </cell>
          <cell r="J28" t="str">
            <v>1. Activos corrientes</v>
          </cell>
          <cell r="K28" t="str">
            <v>1. Efectivo y Equivalentes al Efectivo</v>
          </cell>
          <cell r="L28" t="str">
            <v>A. corrtes. distintos de A. para su disposición clasif. para venta o distrib. a propiet.</v>
          </cell>
          <cell r="U28" t="str">
            <v>1. Efectivo y Equivalentes al Efectivo</v>
          </cell>
          <cell r="AG28" t="str">
            <v>Caja Bancos</v>
          </cell>
          <cell r="AH28" t="str">
            <v>I. Activos de los segmentos</v>
          </cell>
        </row>
        <row r="29">
          <cell r="D29" t="str">
            <v>1001213201</v>
          </cell>
          <cell r="E29" t="str">
            <v>1001213201</v>
          </cell>
          <cell r="F29" t="str">
            <v>Banco Bice - Ingreso Efectivo-Euros</v>
          </cell>
          <cell r="G29" t="str">
            <v>1001213201  Banco Bice - Ingreso Efectivo-Euros</v>
          </cell>
          <cell r="H29" t="str">
            <v>Balance</v>
          </cell>
          <cell r="I29" t="str">
            <v>I. Activos</v>
          </cell>
          <cell r="J29" t="str">
            <v>1. Activos corrientes</v>
          </cell>
          <cell r="K29" t="str">
            <v>1. Efectivo y Equivalentes al Efectivo</v>
          </cell>
          <cell r="L29" t="str">
            <v>A. corrtes. distintos de A. para su disposición clasif. para venta o distrib. a propiet.</v>
          </cell>
          <cell r="U29" t="str">
            <v>1. Efectivo y Equivalentes al Efectivo</v>
          </cell>
          <cell r="AG29" t="str">
            <v>Caja Bancos</v>
          </cell>
          <cell r="AH29" t="str">
            <v>I. Activos de los segmentos</v>
          </cell>
        </row>
        <row r="30">
          <cell r="D30" t="str">
            <v>1001100000</v>
          </cell>
          <cell r="E30" t="str">
            <v>1001100000</v>
          </cell>
          <cell r="F30" t="str">
            <v>Banco De Chile - Saldo Bancario</v>
          </cell>
          <cell r="G30" t="str">
            <v>1001100000  Banco De Chile - Saldo Bancario</v>
          </cell>
          <cell r="H30" t="str">
            <v>Balance</v>
          </cell>
          <cell r="I30" t="str">
            <v>I. Activos</v>
          </cell>
          <cell r="J30" t="str">
            <v>1. Activos corrientes</v>
          </cell>
          <cell r="K30" t="str">
            <v>1. Efectivo y Equivalentes al Efectivo</v>
          </cell>
          <cell r="L30" t="str">
            <v>A. corrtes. distintos de A. para su disposición clasif. para venta o distrib. a propiet.</v>
          </cell>
          <cell r="U30" t="str">
            <v>1. Efectivo y Equivalentes al Efectivo</v>
          </cell>
          <cell r="AG30" t="str">
            <v>Caja Bancos</v>
          </cell>
          <cell r="AH30" t="str">
            <v>I. Activos de los segmentos</v>
          </cell>
        </row>
        <row r="31">
          <cell r="D31" t="str">
            <v>1001100001</v>
          </cell>
          <cell r="E31" t="str">
            <v>1001100001</v>
          </cell>
          <cell r="F31" t="str">
            <v>Banco De Chile - Ingreso Efectivo</v>
          </cell>
          <cell r="G31" t="str">
            <v>1001100001  Banco De Chile - Ingreso Efectivo</v>
          </cell>
          <cell r="H31" t="str">
            <v>Balance</v>
          </cell>
          <cell r="I31" t="str">
            <v>I. Activos</v>
          </cell>
          <cell r="J31" t="str">
            <v>1. Activos corrientes</v>
          </cell>
          <cell r="K31" t="str">
            <v>1. Efectivo y Equivalentes al Efectivo</v>
          </cell>
          <cell r="L31" t="str">
            <v>A. corrtes. distintos de A. para su disposición clasif. para venta o distrib. a propiet.</v>
          </cell>
          <cell r="U31" t="str">
            <v>1. Efectivo y Equivalentes al Efectivo</v>
          </cell>
          <cell r="AG31" t="str">
            <v>Caja Bancos</v>
          </cell>
          <cell r="AH31" t="str">
            <v>I. Activos de los segmentos</v>
          </cell>
        </row>
        <row r="32">
          <cell r="D32" t="str">
            <v>1001100002</v>
          </cell>
          <cell r="E32" t="str">
            <v>1001100002</v>
          </cell>
          <cell r="F32" t="str">
            <v>Banco De Chile - Ingreso C/Documento</v>
          </cell>
          <cell r="G32" t="str">
            <v>1001100002  Banco De Chile - Ingreso C/Documento</v>
          </cell>
          <cell r="H32" t="str">
            <v>Balance</v>
          </cell>
          <cell r="I32" t="str">
            <v>I. Activos</v>
          </cell>
          <cell r="J32" t="str">
            <v>1. Activos corrientes</v>
          </cell>
          <cell r="K32" t="str">
            <v>1. Efectivo y Equivalentes al Efectivo</v>
          </cell>
          <cell r="L32" t="str">
            <v>A. corrtes. distintos de A. para su disposición clasif. para venta o distrib. a propiet.</v>
          </cell>
          <cell r="U32" t="str">
            <v>1. Efectivo y Equivalentes al Efectivo</v>
          </cell>
          <cell r="AG32" t="str">
            <v>Caja Bancos</v>
          </cell>
          <cell r="AH32" t="str">
            <v>I. Activos de los segmentos</v>
          </cell>
        </row>
        <row r="33">
          <cell r="D33" t="str">
            <v>1001100003</v>
          </cell>
          <cell r="E33" t="str">
            <v>1001100003</v>
          </cell>
          <cell r="F33" t="str">
            <v>Banco De Chile - Recaudación</v>
          </cell>
          <cell r="G33" t="str">
            <v>1001100003  Banco De Chile - Recaudación</v>
          </cell>
          <cell r="H33" t="str">
            <v>Balance</v>
          </cell>
          <cell r="I33" t="str">
            <v>I. Activos</v>
          </cell>
          <cell r="J33" t="str">
            <v>1. Activos corrientes</v>
          </cell>
          <cell r="K33" t="str">
            <v>1. Efectivo y Equivalentes al Efectivo</v>
          </cell>
          <cell r="L33" t="str">
            <v>A. corrtes. distintos de A. para su disposición clasif. para venta o distrib. a propiet.</v>
          </cell>
          <cell r="U33" t="str">
            <v>1. Efectivo y Equivalentes al Efectivo</v>
          </cell>
          <cell r="AG33" t="str">
            <v>Caja Bancos</v>
          </cell>
          <cell r="AH33" t="str">
            <v>I. Activos de los segmentos</v>
          </cell>
        </row>
        <row r="34">
          <cell r="D34" t="str">
            <v>1001100004</v>
          </cell>
          <cell r="E34" t="str">
            <v>1001100004</v>
          </cell>
          <cell r="F34" t="str">
            <v>Banco De Chile - Recaudación Tarjeta</v>
          </cell>
          <cell r="G34" t="str">
            <v>1001100004  Banco De Chile - Recaudación Tarjeta</v>
          </cell>
          <cell r="H34" t="str">
            <v>Balance</v>
          </cell>
          <cell r="I34" t="str">
            <v>I. Activos</v>
          </cell>
          <cell r="J34" t="str">
            <v>1. Activos corrientes</v>
          </cell>
          <cell r="K34" t="str">
            <v>1. Efectivo y Equivalentes al Efectivo</v>
          </cell>
          <cell r="L34" t="str">
            <v>A. corrtes. distintos de A. para su disposición clasif. para venta o distrib. a propiet.</v>
          </cell>
          <cell r="U34" t="str">
            <v>1. Efectivo y Equivalentes al Efectivo</v>
          </cell>
          <cell r="AG34" t="str">
            <v>Caja Bancos</v>
          </cell>
          <cell r="AH34" t="str">
            <v>I. Activos de los segmentos</v>
          </cell>
        </row>
        <row r="35">
          <cell r="D35" t="str">
            <v>1001100005</v>
          </cell>
          <cell r="E35" t="str">
            <v>1001100005</v>
          </cell>
          <cell r="F35" t="str">
            <v>Banco De Chile - Transferencia De Fondo</v>
          </cell>
          <cell r="G35" t="str">
            <v>1001100005  Banco De Chile - Transferencia De Fondo</v>
          </cell>
          <cell r="H35" t="str">
            <v>Balance</v>
          </cell>
          <cell r="I35" t="str">
            <v>I. Activos</v>
          </cell>
          <cell r="J35" t="str">
            <v>1. Activos corrientes</v>
          </cell>
          <cell r="K35" t="str">
            <v>1. Efectivo y Equivalentes al Efectivo</v>
          </cell>
          <cell r="L35" t="str">
            <v>A. corrtes. distintos de A. para su disposición clasif. para venta o distrib. a propiet.</v>
          </cell>
          <cell r="U35" t="str">
            <v>1. Efectivo y Equivalentes al Efectivo</v>
          </cell>
          <cell r="AG35" t="str">
            <v>Caja Bancos</v>
          </cell>
          <cell r="AH35" t="str">
            <v>I. Activos de los segmentos</v>
          </cell>
        </row>
        <row r="36">
          <cell r="D36" t="str">
            <v>1001100006</v>
          </cell>
          <cell r="E36" t="str">
            <v>1001100006</v>
          </cell>
          <cell r="F36" t="str">
            <v>Banco De Chile - Comision Y Gastos Banc</v>
          </cell>
          <cell r="G36" t="str">
            <v>1001100006  Banco De Chile - Comision Y Gastos Banc</v>
          </cell>
          <cell r="H36" t="str">
            <v>Balance</v>
          </cell>
          <cell r="I36" t="str">
            <v>I. Activos</v>
          </cell>
          <cell r="J36" t="str">
            <v>1. Activos corrientes</v>
          </cell>
          <cell r="K36" t="str">
            <v>1. Efectivo y Equivalentes al Efectivo</v>
          </cell>
          <cell r="L36" t="str">
            <v>A. corrtes. distintos de A. para su disposición clasif. para venta o distrib. a propiet.</v>
          </cell>
          <cell r="U36" t="str">
            <v>1. Efectivo y Equivalentes al Efectivo</v>
          </cell>
          <cell r="AG36" t="str">
            <v>Caja Bancos</v>
          </cell>
          <cell r="AH36" t="str">
            <v>I. Activos de los segmentos</v>
          </cell>
        </row>
        <row r="37">
          <cell r="D37" t="str">
            <v>1001100007</v>
          </cell>
          <cell r="E37" t="str">
            <v>1001100007</v>
          </cell>
          <cell r="F37" t="str">
            <v>Banco De Chile - Pago Por Transferencia</v>
          </cell>
          <cell r="G37" t="str">
            <v>1001100007  Banco De Chile - Pago Por Transferencia</v>
          </cell>
          <cell r="H37" t="str">
            <v>Balance</v>
          </cell>
          <cell r="I37" t="str">
            <v>I. Activos</v>
          </cell>
          <cell r="J37" t="str">
            <v>1. Activos corrientes</v>
          </cell>
          <cell r="K37" t="str">
            <v>1. Efectivo y Equivalentes al Efectivo</v>
          </cell>
          <cell r="L37" t="str">
            <v>A. corrtes. distintos de A. para su disposición clasif. para venta o distrib. a propiet.</v>
          </cell>
          <cell r="U37" t="str">
            <v>1. Efectivo y Equivalentes al Efectivo</v>
          </cell>
          <cell r="AG37" t="str">
            <v>Caja Bancos</v>
          </cell>
          <cell r="AH37" t="str">
            <v>I. Activos de los segmentos</v>
          </cell>
        </row>
        <row r="38">
          <cell r="D38" t="str">
            <v>1001100008</v>
          </cell>
          <cell r="E38" t="str">
            <v>1001100008</v>
          </cell>
          <cell r="F38" t="str">
            <v>Banco De Chile - Pago Con Cheque</v>
          </cell>
          <cell r="G38" t="str">
            <v>1001100008  Banco De Chile - Pago Con Cheque</v>
          </cell>
          <cell r="H38" t="str">
            <v>Balance</v>
          </cell>
          <cell r="I38" t="str">
            <v>I. Activos</v>
          </cell>
          <cell r="J38" t="str">
            <v>1. Activos corrientes</v>
          </cell>
          <cell r="K38" t="str">
            <v>1. Efectivo y Equivalentes al Efectivo</v>
          </cell>
          <cell r="L38" t="str">
            <v>A. corrtes. distintos de A. para su disposición clasif. para venta o distrib. a propiet.</v>
          </cell>
          <cell r="U38" t="str">
            <v>1. Efectivo y Equivalentes al Efectivo</v>
          </cell>
          <cell r="AG38" t="str">
            <v>Caja Bancos</v>
          </cell>
          <cell r="AH38" t="str">
            <v>I. Activos de los segmentos</v>
          </cell>
        </row>
        <row r="39">
          <cell r="D39" t="str">
            <v>1001100009</v>
          </cell>
          <cell r="E39" t="str">
            <v>1001100009</v>
          </cell>
          <cell r="F39" t="str">
            <v>Banco De Chile - Pendientes De Identificación</v>
          </cell>
          <cell r="G39" t="str">
            <v>1001100009  Banco De Chile - Pendientes De Identificación</v>
          </cell>
          <cell r="H39" t="str">
            <v>Balance</v>
          </cell>
          <cell r="I39" t="str">
            <v>I. Activos</v>
          </cell>
          <cell r="J39" t="str">
            <v>1. Activos corrientes</v>
          </cell>
          <cell r="K39" t="str">
            <v>1. Efectivo y Equivalentes al Efectivo</v>
          </cell>
          <cell r="L39" t="str">
            <v>A. corrtes. distintos de A. para su disposición clasif. para venta o distrib. a propiet.</v>
          </cell>
          <cell r="U39" t="str">
            <v>1. Efectivo y Equivalentes al Efectivo</v>
          </cell>
          <cell r="AG39" t="str">
            <v>Caja Bancos</v>
          </cell>
          <cell r="AH39" t="str">
            <v>I. Activos de los segmentos</v>
          </cell>
        </row>
        <row r="40">
          <cell r="D40" t="str">
            <v>1001100100</v>
          </cell>
          <cell r="E40" t="str">
            <v>1001100100</v>
          </cell>
          <cell r="F40" t="str">
            <v>Banco De Chile - Saldo Bancario</v>
          </cell>
          <cell r="G40" t="str">
            <v>1001100100  Banco De Chile - Saldo Bancario</v>
          </cell>
          <cell r="H40" t="str">
            <v>Balance</v>
          </cell>
          <cell r="I40" t="str">
            <v>I. Activos</v>
          </cell>
          <cell r="J40" t="str">
            <v>1. Activos corrientes</v>
          </cell>
          <cell r="K40" t="str">
            <v>1. Efectivo y Equivalentes al Efectivo</v>
          </cell>
          <cell r="L40" t="str">
            <v>A. corrtes. distintos de A. para su disposición clasif. para venta o distrib. a propiet.</v>
          </cell>
          <cell r="U40" t="str">
            <v>1. Efectivo y Equivalentes al Efectivo</v>
          </cell>
          <cell r="AG40" t="str">
            <v>Caja Bancos</v>
          </cell>
          <cell r="AH40" t="str">
            <v>I. Activos de los segmentos</v>
          </cell>
        </row>
        <row r="41">
          <cell r="D41" t="str">
            <v>1001100101</v>
          </cell>
          <cell r="E41" t="str">
            <v>1001100101</v>
          </cell>
          <cell r="F41" t="str">
            <v>Banco De Chile - Ingreso Efectivo</v>
          </cell>
          <cell r="G41" t="str">
            <v>1001100101  Banco De Chile - Ingreso Efectivo</v>
          </cell>
          <cell r="H41" t="str">
            <v>Balance</v>
          </cell>
          <cell r="I41" t="str">
            <v>I. Activos</v>
          </cell>
          <cell r="J41" t="str">
            <v>1. Activos corrientes</v>
          </cell>
          <cell r="K41" t="str">
            <v>1. Efectivo y Equivalentes al Efectivo</v>
          </cell>
          <cell r="L41" t="str">
            <v>A. corrtes. distintos de A. para su disposición clasif. para venta o distrib. a propiet.</v>
          </cell>
          <cell r="U41" t="str">
            <v>1. Efectivo y Equivalentes al Efectivo</v>
          </cell>
          <cell r="AG41" t="str">
            <v>Caja Bancos</v>
          </cell>
          <cell r="AH41" t="str">
            <v>I. Activos de los segmentos</v>
          </cell>
        </row>
        <row r="42">
          <cell r="D42" t="str">
            <v>1001100102</v>
          </cell>
          <cell r="E42" t="str">
            <v>1001100102</v>
          </cell>
          <cell r="F42" t="str">
            <v>Banco De Chile - Ingreso C/Documento</v>
          </cell>
          <cell r="G42" t="str">
            <v>1001100102  Banco De Chile - Ingreso C/Documento</v>
          </cell>
          <cell r="H42" t="str">
            <v>Balance</v>
          </cell>
          <cell r="I42" t="str">
            <v>I. Activos</v>
          </cell>
          <cell r="J42" t="str">
            <v>1. Activos corrientes</v>
          </cell>
          <cell r="K42" t="str">
            <v>1. Efectivo y Equivalentes al Efectivo</v>
          </cell>
          <cell r="L42" t="str">
            <v>A. corrtes. distintos de A. para su disposición clasif. para venta o distrib. a propiet.</v>
          </cell>
          <cell r="U42" t="str">
            <v>1. Efectivo y Equivalentes al Efectivo</v>
          </cell>
          <cell r="AG42" t="str">
            <v>Caja Bancos</v>
          </cell>
          <cell r="AH42" t="str">
            <v>I. Activos de los segmentos</v>
          </cell>
        </row>
        <row r="43">
          <cell r="D43" t="str">
            <v>1001100103</v>
          </cell>
          <cell r="E43" t="str">
            <v>1001100103</v>
          </cell>
          <cell r="F43" t="str">
            <v>Banco De Chile - Recaudación</v>
          </cell>
          <cell r="G43" t="str">
            <v>1001100103  Banco De Chile - Recaudación</v>
          </cell>
          <cell r="H43" t="str">
            <v>Balance</v>
          </cell>
          <cell r="I43" t="str">
            <v>I. Activos</v>
          </cell>
          <cell r="J43" t="str">
            <v>1. Activos corrientes</v>
          </cell>
          <cell r="K43" t="str">
            <v>1. Efectivo y Equivalentes al Efectivo</v>
          </cell>
          <cell r="L43" t="str">
            <v>A. corrtes. distintos de A. para su disposición clasif. para venta o distrib. a propiet.</v>
          </cell>
          <cell r="U43" t="str">
            <v>1. Efectivo y Equivalentes al Efectivo</v>
          </cell>
          <cell r="AG43" t="str">
            <v>Caja Bancos</v>
          </cell>
          <cell r="AH43" t="str">
            <v>I. Activos de los segmentos</v>
          </cell>
        </row>
        <row r="44">
          <cell r="D44" t="str">
            <v>1001100105</v>
          </cell>
          <cell r="E44" t="str">
            <v>1001100105</v>
          </cell>
          <cell r="F44" t="str">
            <v>Banco De Chile - Transferencia De Fondos</v>
          </cell>
          <cell r="G44" t="str">
            <v>1001100105  Banco De Chile - Transferencia De Fondos</v>
          </cell>
          <cell r="H44" t="str">
            <v>Balance</v>
          </cell>
          <cell r="I44" t="str">
            <v>I. Activos</v>
          </cell>
          <cell r="J44" t="str">
            <v>1. Activos corrientes</v>
          </cell>
          <cell r="K44" t="str">
            <v>1. Efectivo y Equivalentes al Efectivo</v>
          </cell>
          <cell r="L44" t="str">
            <v>A. corrtes. distintos de A. para su disposición clasif. para venta o distrib. a propiet.</v>
          </cell>
          <cell r="U44" t="str">
            <v>1. Efectivo y Equivalentes al Efectivo</v>
          </cell>
          <cell r="AG44" t="str">
            <v>Caja Bancos</v>
          </cell>
          <cell r="AH44" t="str">
            <v>I. Activos de los segmentos</v>
          </cell>
        </row>
        <row r="45">
          <cell r="D45" t="str">
            <v>1001100106</v>
          </cell>
          <cell r="E45" t="str">
            <v>1001100106</v>
          </cell>
          <cell r="F45" t="str">
            <v>Banco De Chile - Comision Y Gastos Bancarios</v>
          </cell>
          <cell r="G45" t="str">
            <v>1001100106  Banco De Chile - Comision Y Gastos Bancarios</v>
          </cell>
          <cell r="H45" t="str">
            <v>Balance</v>
          </cell>
          <cell r="I45" t="str">
            <v>I. Activos</v>
          </cell>
          <cell r="J45" t="str">
            <v>1. Activos corrientes</v>
          </cell>
          <cell r="K45" t="str">
            <v>1. Efectivo y Equivalentes al Efectivo</v>
          </cell>
          <cell r="L45" t="str">
            <v>A. corrtes. distintos de A. para su disposición clasif. para venta o distrib. a propiet.</v>
          </cell>
          <cell r="U45" t="str">
            <v>1. Efectivo y Equivalentes al Efectivo</v>
          </cell>
          <cell r="AG45" t="str">
            <v>Caja Bancos</v>
          </cell>
          <cell r="AH45" t="str">
            <v>I. Activos de los segmentos</v>
          </cell>
        </row>
        <row r="46">
          <cell r="D46" t="str">
            <v>1001100108</v>
          </cell>
          <cell r="E46" t="str">
            <v>1001100108</v>
          </cell>
          <cell r="F46" t="str">
            <v>Banco De Chile - Pago Con Cheque</v>
          </cell>
          <cell r="G46" t="str">
            <v>1001100108  Banco De Chile - Pago Con Cheque</v>
          </cell>
          <cell r="H46" t="str">
            <v>Balance</v>
          </cell>
          <cell r="I46" t="str">
            <v>I. Activos</v>
          </cell>
          <cell r="J46" t="str">
            <v>1. Activos corrientes</v>
          </cell>
          <cell r="K46" t="str">
            <v>1. Efectivo y Equivalentes al Efectivo</v>
          </cell>
          <cell r="L46" t="str">
            <v>A. corrtes. distintos de A. para su disposición clasif. para venta o distrib. a propiet.</v>
          </cell>
          <cell r="U46" t="str">
            <v>1. Efectivo y Equivalentes al Efectivo</v>
          </cell>
          <cell r="AG46" t="str">
            <v>Caja Bancos</v>
          </cell>
          <cell r="AH46" t="str">
            <v>I. Activos de los segmentos</v>
          </cell>
        </row>
        <row r="47">
          <cell r="D47" t="str">
            <v>1001100200</v>
          </cell>
          <cell r="E47" t="str">
            <v>1001100200</v>
          </cell>
          <cell r="F47" t="str">
            <v>Banco De Chile - Saldo Bancario</v>
          </cell>
          <cell r="G47" t="str">
            <v>1001100200  Banco De Chile - Saldo Bancario</v>
          </cell>
          <cell r="H47" t="str">
            <v>Balance</v>
          </cell>
          <cell r="I47" t="str">
            <v>I. Activos</v>
          </cell>
          <cell r="J47" t="str">
            <v>1. Activos corrientes</v>
          </cell>
          <cell r="K47" t="str">
            <v>1. Efectivo y Equivalentes al Efectivo</v>
          </cell>
          <cell r="L47" t="str">
            <v>A. corrtes. distintos de A. para su disposición clasif. para venta o distrib. a propiet.</v>
          </cell>
          <cell r="U47" t="str">
            <v>1. Efectivo y Equivalentes al Efectivo</v>
          </cell>
          <cell r="AG47" t="str">
            <v>Caja Bancos</v>
          </cell>
          <cell r="AH47" t="str">
            <v>I. Activos de los segmentos</v>
          </cell>
        </row>
        <row r="48">
          <cell r="D48" t="str">
            <v>1001100201</v>
          </cell>
          <cell r="E48" t="str">
            <v>1001100201</v>
          </cell>
          <cell r="F48" t="str">
            <v>Banco De Chile - Ingreso Efectivo</v>
          </cell>
          <cell r="G48" t="str">
            <v>1001100201  Banco De Chile - Ingreso Efectivo</v>
          </cell>
          <cell r="H48" t="str">
            <v>Balance</v>
          </cell>
          <cell r="I48" t="str">
            <v>I. Activos</v>
          </cell>
          <cell r="J48" t="str">
            <v>1. Activos corrientes</v>
          </cell>
          <cell r="K48" t="str">
            <v>1. Efectivo y Equivalentes al Efectivo</v>
          </cell>
          <cell r="L48" t="str">
            <v>A. corrtes. distintos de A. para su disposición clasif. para venta o distrib. a propiet.</v>
          </cell>
          <cell r="U48" t="str">
            <v>1. Efectivo y Equivalentes al Efectivo</v>
          </cell>
          <cell r="AG48" t="str">
            <v>Caja Bancos</v>
          </cell>
          <cell r="AH48" t="str">
            <v>I. Activos de los segmentos</v>
          </cell>
        </row>
        <row r="49">
          <cell r="D49" t="str">
            <v>1001100202</v>
          </cell>
          <cell r="E49" t="str">
            <v>1001100202</v>
          </cell>
          <cell r="F49" t="str">
            <v>Banco De Chile - Ingreso C/Documento</v>
          </cell>
          <cell r="G49" t="str">
            <v>1001100202  Banco De Chile - Ingreso C/Documento</v>
          </cell>
          <cell r="H49" t="str">
            <v>Balance</v>
          </cell>
          <cell r="I49" t="str">
            <v>I. Activos</v>
          </cell>
          <cell r="J49" t="str">
            <v>1. Activos corrientes</v>
          </cell>
          <cell r="K49" t="str">
            <v>1. Efectivo y Equivalentes al Efectivo</v>
          </cell>
          <cell r="L49" t="str">
            <v>A. corrtes. distintos de A. para su disposición clasif. para venta o distrib. a propiet.</v>
          </cell>
          <cell r="U49" t="str">
            <v>1. Efectivo y Equivalentes al Efectivo</v>
          </cell>
          <cell r="AG49" t="str">
            <v>Caja Bancos</v>
          </cell>
          <cell r="AH49" t="str">
            <v>I. Activos de los segmentos</v>
          </cell>
        </row>
        <row r="50">
          <cell r="D50" t="str">
            <v>1001100205</v>
          </cell>
          <cell r="E50" t="str">
            <v>1001100205</v>
          </cell>
          <cell r="F50" t="str">
            <v>Banco De Chile - Transferencia De Fondos</v>
          </cell>
          <cell r="G50" t="str">
            <v>1001100205  Banco De Chile - Transferencia De Fondos</v>
          </cell>
          <cell r="H50" t="str">
            <v>Balance</v>
          </cell>
          <cell r="I50" t="str">
            <v>I. Activos</v>
          </cell>
          <cell r="J50" t="str">
            <v>1. Activos corrientes</v>
          </cell>
          <cell r="K50" t="str">
            <v>1. Efectivo y Equivalentes al Efectivo</v>
          </cell>
          <cell r="L50" t="str">
            <v>A. corrtes. distintos de A. para su disposición clasif. para venta o distrib. a propiet.</v>
          </cell>
          <cell r="U50" t="str">
            <v>1. Efectivo y Equivalentes al Efectivo</v>
          </cell>
          <cell r="AG50" t="str">
            <v>Caja Bancos</v>
          </cell>
          <cell r="AH50" t="str">
            <v>I. Activos de los segmentos</v>
          </cell>
        </row>
        <row r="51">
          <cell r="D51" t="str">
            <v>1001100207</v>
          </cell>
          <cell r="E51" t="str">
            <v>1001100207</v>
          </cell>
          <cell r="F51" t="str">
            <v>Banco De Chile - Pago Por Transferencia</v>
          </cell>
          <cell r="G51" t="str">
            <v>1001100207  Banco De Chile - Pago Por Transferencia</v>
          </cell>
          <cell r="H51" t="str">
            <v>Balance</v>
          </cell>
          <cell r="I51" t="str">
            <v>I. Activos</v>
          </cell>
          <cell r="J51" t="str">
            <v>1. Activos corrientes</v>
          </cell>
          <cell r="K51" t="str">
            <v>1. Efectivo y Equivalentes al Efectivo</v>
          </cell>
          <cell r="L51" t="str">
            <v>A. corrtes. distintos de A. para su disposición clasif. para venta o distrib. a propiet.</v>
          </cell>
          <cell r="U51" t="str">
            <v>1. Efectivo y Equivalentes al Efectivo</v>
          </cell>
          <cell r="AG51" t="str">
            <v>Caja Bancos</v>
          </cell>
          <cell r="AH51" t="str">
            <v>I. Activos de los segmentos</v>
          </cell>
        </row>
        <row r="52">
          <cell r="D52" t="str">
            <v>1001100500</v>
          </cell>
          <cell r="E52" t="str">
            <v>1001100500</v>
          </cell>
          <cell r="F52" t="str">
            <v>Banco De Chile - Saldo Bancario</v>
          </cell>
          <cell r="G52" t="str">
            <v>1001100500  Banco De Chile - Saldo Bancario</v>
          </cell>
          <cell r="H52" t="str">
            <v>Balance</v>
          </cell>
          <cell r="I52" t="str">
            <v>I. Activos</v>
          </cell>
          <cell r="J52" t="str">
            <v>1. Activos corrientes</v>
          </cell>
          <cell r="K52" t="str">
            <v>1. Efectivo y Equivalentes al Efectivo</v>
          </cell>
          <cell r="L52" t="str">
            <v>A. corrtes. distintos de A. para su disposición clasif. para venta o distrib. a propiet.</v>
          </cell>
          <cell r="U52" t="str">
            <v>1. Efectivo y Equivalentes al Efectivo</v>
          </cell>
          <cell r="AG52" t="str">
            <v>Caja Bancos</v>
          </cell>
          <cell r="AH52" t="str">
            <v>I. Activos de los segmentos</v>
          </cell>
        </row>
        <row r="53">
          <cell r="D53" t="str">
            <v>1001100800</v>
          </cell>
          <cell r="E53" t="str">
            <v>1001100800</v>
          </cell>
          <cell r="F53" t="str">
            <v>Banco De Chile - Saldo Bancario</v>
          </cell>
          <cell r="G53" t="str">
            <v>1001100800  Banco De Chile - Saldo Bancario</v>
          </cell>
          <cell r="H53" t="str">
            <v>Balance</v>
          </cell>
          <cell r="I53" t="str">
            <v>I. Activos</v>
          </cell>
          <cell r="J53" t="str">
            <v>1. Activos corrientes</v>
          </cell>
          <cell r="K53" t="str">
            <v>1. Efectivo y Equivalentes al Efectivo</v>
          </cell>
          <cell r="L53" t="str">
            <v>A. corrtes. distintos de A. para su disposición clasif. para venta o distrib. a propiet.</v>
          </cell>
          <cell r="U53" t="str">
            <v>1. Efectivo y Equivalentes al Efectivo</v>
          </cell>
          <cell r="AG53" t="str">
            <v>Caja Bancos</v>
          </cell>
          <cell r="AH53" t="str">
            <v>I. Activos de los segmentos</v>
          </cell>
        </row>
        <row r="54">
          <cell r="D54" t="str">
            <v>1001100805</v>
          </cell>
          <cell r="E54" t="str">
            <v>1001100805</v>
          </cell>
          <cell r="F54" t="str">
            <v>Banco De Chile - Transferencia de Fondos</v>
          </cell>
          <cell r="G54" t="str">
            <v>1001100805  Banco De Chile - Transferencia de Fondos</v>
          </cell>
          <cell r="H54" t="str">
            <v>Balance</v>
          </cell>
          <cell r="I54" t="str">
            <v>I. Activos</v>
          </cell>
          <cell r="J54" t="str">
            <v>1. Activos corrientes</v>
          </cell>
          <cell r="K54" t="str">
            <v>1. Efectivo y Equivalentes al Efectivo</v>
          </cell>
          <cell r="L54" t="str">
            <v>A. corrtes. distintos de A. para su disposición clasif. para venta o distrib. a propiet.</v>
          </cell>
          <cell r="U54" t="str">
            <v>1. Efectivo y Equivalentes al Efectivo</v>
          </cell>
          <cell r="AG54" t="str">
            <v>Caja Bancos</v>
          </cell>
          <cell r="AH54" t="str">
            <v>I. Activos de los segmentos</v>
          </cell>
        </row>
        <row r="55">
          <cell r="D55" t="str">
            <v>1001100900</v>
          </cell>
          <cell r="E55" t="str">
            <v>1001100900</v>
          </cell>
          <cell r="F55" t="str">
            <v>Banco Internacional - Saldo bancario</v>
          </cell>
          <cell r="G55" t="str">
            <v>1001100900  Banco Internacional - Saldo bancario</v>
          </cell>
          <cell r="H55" t="str">
            <v>Balance</v>
          </cell>
          <cell r="I55" t="str">
            <v>I. Activos</v>
          </cell>
          <cell r="J55" t="str">
            <v>1. Activos corrientes</v>
          </cell>
          <cell r="K55" t="str">
            <v>1. Efectivo y Equivalentes al Efectivo</v>
          </cell>
          <cell r="L55" t="str">
            <v>A. corrtes. distintos de A. para su disposición clasif. para venta o distrib. a propiet.</v>
          </cell>
          <cell r="U55" t="str">
            <v>1. Efectivo y Equivalentes al Efectivo</v>
          </cell>
          <cell r="AG55" t="str">
            <v>Caja Bancos</v>
          </cell>
          <cell r="AH55" t="str">
            <v>I. Activos de los segmentos</v>
          </cell>
        </row>
        <row r="56">
          <cell r="D56" t="str">
            <v>1001100906</v>
          </cell>
          <cell r="E56" t="str">
            <v>1001100906</v>
          </cell>
          <cell r="F56" t="str">
            <v>Banco Internacional - Comisión y gastos</v>
          </cell>
          <cell r="G56" t="str">
            <v>1001100906  Banco Internacional - Comisión y gastos</v>
          </cell>
          <cell r="H56" t="str">
            <v>Balance</v>
          </cell>
          <cell r="I56" t="str">
            <v>I. Activos</v>
          </cell>
          <cell r="J56" t="str">
            <v>1. Activos corrientes</v>
          </cell>
          <cell r="K56" t="str">
            <v>1. Efectivo y Equivalentes al Efectivo</v>
          </cell>
          <cell r="L56" t="str">
            <v>A. corrtes. distintos de A. para su disposición clasif. para venta o distrib. a propiet.</v>
          </cell>
          <cell r="U56" t="str">
            <v>1. Efectivo y Equivalentes al Efectivo</v>
          </cell>
          <cell r="AG56" t="str">
            <v>Caja Bancos</v>
          </cell>
          <cell r="AH56" t="str">
            <v>I. Activos de los segmentos</v>
          </cell>
        </row>
        <row r="57">
          <cell r="D57" t="str">
            <v>1001102100</v>
          </cell>
          <cell r="E57" t="str">
            <v>1001102100</v>
          </cell>
          <cell r="F57" t="str">
            <v>Bci - Saldo Bancario</v>
          </cell>
          <cell r="G57" t="str">
            <v>1001102100  Bci - Saldo Bancario</v>
          </cell>
          <cell r="H57" t="str">
            <v>Balance</v>
          </cell>
          <cell r="I57" t="str">
            <v>I. Activos</v>
          </cell>
          <cell r="J57" t="str">
            <v>1. Activos corrientes</v>
          </cell>
          <cell r="K57" t="str">
            <v>1. Efectivo y Equivalentes al Efectivo</v>
          </cell>
          <cell r="L57" t="str">
            <v>A. corrtes. distintos de A. para su disposición clasif. para venta o distrib. a propiet.</v>
          </cell>
          <cell r="U57" t="str">
            <v>1. Efectivo y Equivalentes al Efectivo</v>
          </cell>
          <cell r="AG57" t="str">
            <v>Caja Bancos</v>
          </cell>
          <cell r="AH57" t="str">
            <v>I. Activos de los segmentos</v>
          </cell>
        </row>
        <row r="58">
          <cell r="D58" t="str">
            <v>1001102101</v>
          </cell>
          <cell r="E58" t="str">
            <v>1001102101</v>
          </cell>
          <cell r="F58" t="str">
            <v>Bci - - Ingreso Efectivo</v>
          </cell>
          <cell r="G58" t="str">
            <v>1001102101  Bci - - Ingreso Efectivo</v>
          </cell>
          <cell r="H58" t="str">
            <v>Balance</v>
          </cell>
          <cell r="I58" t="str">
            <v>I. Activos</v>
          </cell>
          <cell r="J58" t="str">
            <v>1. Activos corrientes</v>
          </cell>
          <cell r="K58" t="str">
            <v>1. Efectivo y Equivalentes al Efectivo</v>
          </cell>
          <cell r="L58" t="str">
            <v>A. corrtes. distintos de A. para su disposición clasif. para venta o distrib. a propiet.</v>
          </cell>
          <cell r="U58" t="str">
            <v>1. Efectivo y Equivalentes al Efectivo</v>
          </cell>
          <cell r="AG58" t="str">
            <v>Caja Bancos</v>
          </cell>
          <cell r="AH58" t="str">
            <v>I. Activos de los segmentos</v>
          </cell>
        </row>
        <row r="59">
          <cell r="D59" t="str">
            <v>1001102102</v>
          </cell>
          <cell r="E59" t="str">
            <v>1001102102</v>
          </cell>
          <cell r="F59" t="str">
            <v>Bci - - Ingreso C/Documento</v>
          </cell>
          <cell r="G59" t="str">
            <v>1001102102  Bci - - Ingreso C/Documento</v>
          </cell>
          <cell r="H59" t="str">
            <v>Balance</v>
          </cell>
          <cell r="I59" t="str">
            <v>I. Activos</v>
          </cell>
          <cell r="J59" t="str">
            <v>1. Activos corrientes</v>
          </cell>
          <cell r="K59" t="str">
            <v>1. Efectivo y Equivalentes al Efectivo</v>
          </cell>
          <cell r="L59" t="str">
            <v>A. corrtes. distintos de A. para su disposición clasif. para venta o distrib. a propiet.</v>
          </cell>
          <cell r="U59" t="str">
            <v>1. Efectivo y Equivalentes al Efectivo</v>
          </cell>
          <cell r="AG59" t="str">
            <v>Caja Bancos</v>
          </cell>
          <cell r="AH59" t="str">
            <v>I. Activos de los segmentos</v>
          </cell>
        </row>
        <row r="60">
          <cell r="D60" t="str">
            <v>1001102105</v>
          </cell>
          <cell r="E60" t="str">
            <v>1001102105</v>
          </cell>
          <cell r="F60" t="str">
            <v>Bci - - Transferencia De Fondos</v>
          </cell>
          <cell r="G60" t="str">
            <v>1001102105  Bci - - Transferencia De Fondos</v>
          </cell>
          <cell r="H60" t="str">
            <v>Balance</v>
          </cell>
          <cell r="I60" t="str">
            <v>I. Activos</v>
          </cell>
          <cell r="J60" t="str">
            <v>1. Activos corrientes</v>
          </cell>
          <cell r="K60" t="str">
            <v>1. Efectivo y Equivalentes al Efectivo</v>
          </cell>
          <cell r="L60" t="str">
            <v>A. corrtes. distintos de A. para su disposición clasif. para venta o distrib. a propiet.</v>
          </cell>
          <cell r="U60" t="str">
            <v>1. Efectivo y Equivalentes al Efectivo</v>
          </cell>
          <cell r="AG60" t="str">
            <v>Caja Bancos</v>
          </cell>
          <cell r="AH60" t="str">
            <v>I. Activos de los segmentos</v>
          </cell>
        </row>
        <row r="61">
          <cell r="D61" t="str">
            <v>1001102106</v>
          </cell>
          <cell r="E61" t="str">
            <v>1001102106</v>
          </cell>
          <cell r="F61" t="str">
            <v>Bci - - Comision Y Gastos Bancarios</v>
          </cell>
          <cell r="G61" t="str">
            <v>1001102106  Bci - - Comision Y Gastos Bancarios</v>
          </cell>
          <cell r="H61" t="str">
            <v>Balance</v>
          </cell>
          <cell r="I61" t="str">
            <v>I. Activos</v>
          </cell>
          <cell r="J61" t="str">
            <v>1. Activos corrientes</v>
          </cell>
          <cell r="K61" t="str">
            <v>1. Efectivo y Equivalentes al Efectivo</v>
          </cell>
          <cell r="L61" t="str">
            <v>A. corrtes. distintos de A. para su disposición clasif. para venta o distrib. a propiet.</v>
          </cell>
          <cell r="U61" t="str">
            <v>1. Efectivo y Equivalentes al Efectivo</v>
          </cell>
          <cell r="AG61" t="str">
            <v>Caja Bancos</v>
          </cell>
          <cell r="AH61" t="str">
            <v>I. Activos de los segmentos</v>
          </cell>
        </row>
        <row r="62">
          <cell r="D62" t="str">
            <v>1001102108</v>
          </cell>
          <cell r="E62" t="str">
            <v>1001102108</v>
          </cell>
          <cell r="F62" t="str">
            <v>Bci -- Pago Con Cheque</v>
          </cell>
          <cell r="G62" t="str">
            <v>1001102108  Bci -- Pago Con Cheque</v>
          </cell>
          <cell r="H62" t="str">
            <v>Balance</v>
          </cell>
          <cell r="I62" t="str">
            <v>I. Activos</v>
          </cell>
          <cell r="J62" t="str">
            <v>1. Activos corrientes</v>
          </cell>
          <cell r="K62" t="str">
            <v>1. Efectivo y Equivalentes al Efectivo</v>
          </cell>
          <cell r="L62" t="str">
            <v>A. corrtes. distintos de A. para su disposición clasif. para venta o distrib. a propiet.</v>
          </cell>
          <cell r="U62" t="str">
            <v>1. Efectivo y Equivalentes al Efectivo</v>
          </cell>
          <cell r="AG62" t="str">
            <v>Caja Bancos</v>
          </cell>
          <cell r="AH62" t="str">
            <v>I. Activos de los segmentos</v>
          </cell>
        </row>
        <row r="63">
          <cell r="D63" t="str">
            <v>1001102200</v>
          </cell>
          <cell r="E63" t="str">
            <v>1001102200</v>
          </cell>
          <cell r="F63" t="str">
            <v>Bci - Saldo Bancario</v>
          </cell>
          <cell r="G63" t="str">
            <v>1001102200  Bci - Saldo Bancario</v>
          </cell>
          <cell r="H63" t="str">
            <v>Balance</v>
          </cell>
          <cell r="I63" t="str">
            <v>I. Activos</v>
          </cell>
          <cell r="J63" t="str">
            <v>1. Activos corrientes</v>
          </cell>
          <cell r="K63" t="str">
            <v>1. Efectivo y Equivalentes al Efectivo</v>
          </cell>
          <cell r="L63" t="str">
            <v>A. corrtes. distintos de A. para su disposición clasif. para venta o distrib. a propiet.</v>
          </cell>
          <cell r="U63" t="str">
            <v>1. Efectivo y Equivalentes al Efectivo</v>
          </cell>
          <cell r="AG63" t="str">
            <v>Caja Bancos</v>
          </cell>
          <cell r="AH63" t="str">
            <v>I. Activos de los segmentos</v>
          </cell>
        </row>
        <row r="64">
          <cell r="D64" t="str">
            <v>1001102202</v>
          </cell>
          <cell r="E64" t="str">
            <v>1001102202</v>
          </cell>
          <cell r="F64" t="str">
            <v>Bci - - Ingreso C/Documento</v>
          </cell>
          <cell r="G64" t="str">
            <v>1001102202  Bci - - Ingreso C/Documento</v>
          </cell>
          <cell r="H64" t="str">
            <v>Balance</v>
          </cell>
          <cell r="I64" t="str">
            <v>I. Activos</v>
          </cell>
          <cell r="J64" t="str">
            <v>1. Activos corrientes</v>
          </cell>
          <cell r="K64" t="str">
            <v>1. Efectivo y Equivalentes al Efectivo</v>
          </cell>
          <cell r="L64" t="str">
            <v>A. corrtes. distintos de A. para su disposición clasif. para venta o distrib. a propiet.</v>
          </cell>
          <cell r="U64" t="str">
            <v>1. Efectivo y Equivalentes al Efectivo</v>
          </cell>
          <cell r="AG64" t="str">
            <v>Caja Bancos</v>
          </cell>
          <cell r="AH64" t="str">
            <v>I. Activos de los segmentos</v>
          </cell>
        </row>
        <row r="65">
          <cell r="D65" t="str">
            <v>1001102206</v>
          </cell>
          <cell r="E65" t="str">
            <v>1001102206</v>
          </cell>
          <cell r="F65" t="str">
            <v>Bci - - Comision Y Gastos Bancarios</v>
          </cell>
          <cell r="G65" t="str">
            <v>1001102206  Bci - - Comision Y Gastos Bancarios</v>
          </cell>
          <cell r="H65" t="str">
            <v>Balance</v>
          </cell>
          <cell r="I65" t="str">
            <v>I. Activos</v>
          </cell>
          <cell r="J65" t="str">
            <v>1. Activos corrientes</v>
          </cell>
          <cell r="K65" t="str">
            <v>1. Efectivo y Equivalentes al Efectivo</v>
          </cell>
          <cell r="L65" t="str">
            <v>A. corrtes. distintos de A. para su disposición clasif. para venta o distrib. a propiet.</v>
          </cell>
          <cell r="U65" t="str">
            <v>1. Efectivo y Equivalentes al Efectivo</v>
          </cell>
          <cell r="AG65" t="str">
            <v>Caja Bancos</v>
          </cell>
          <cell r="AH65" t="str">
            <v>I. Activos de los segmentos</v>
          </cell>
        </row>
        <row r="66">
          <cell r="D66" t="str">
            <v>1001104100</v>
          </cell>
          <cell r="E66" t="str">
            <v>1001104100</v>
          </cell>
          <cell r="F66" t="str">
            <v>Bice - Saldo Bancario</v>
          </cell>
          <cell r="G66" t="str">
            <v>1001104100  Bice - Saldo Bancario</v>
          </cell>
          <cell r="H66" t="str">
            <v>Balance</v>
          </cell>
          <cell r="I66" t="str">
            <v>I. Activos</v>
          </cell>
          <cell r="J66" t="str">
            <v>1. Activos corrientes</v>
          </cell>
          <cell r="K66" t="str">
            <v>1. Efectivo y Equivalentes al Efectivo</v>
          </cell>
          <cell r="L66" t="str">
            <v>A. corrtes. distintos de A. para su disposición clasif. para venta o distrib. a propiet.</v>
          </cell>
          <cell r="U66" t="str">
            <v>1. Efectivo y Equivalentes al Efectivo</v>
          </cell>
          <cell r="AG66" t="str">
            <v>Caja Bancos</v>
          </cell>
          <cell r="AH66" t="str">
            <v>I. Activos de los segmentos</v>
          </cell>
        </row>
        <row r="67">
          <cell r="D67" t="str">
            <v>1001104105</v>
          </cell>
          <cell r="E67" t="str">
            <v>1001104105</v>
          </cell>
          <cell r="F67" t="str">
            <v>Bice - Transferencia De Fondos</v>
          </cell>
          <cell r="G67" t="str">
            <v>1001104105  Bice - Transferencia De Fondos</v>
          </cell>
          <cell r="H67" t="str">
            <v>Balance</v>
          </cell>
          <cell r="I67" t="str">
            <v>I. Activos</v>
          </cell>
          <cell r="J67" t="str">
            <v>1. Activos corrientes</v>
          </cell>
          <cell r="K67" t="str">
            <v>1. Efectivo y Equivalentes al Efectivo</v>
          </cell>
          <cell r="L67" t="str">
            <v>A. corrtes. distintos de A. para su disposición clasif. para venta o distrib. a propiet.</v>
          </cell>
          <cell r="U67" t="str">
            <v>1. Efectivo y Equivalentes al Efectivo</v>
          </cell>
          <cell r="AG67" t="str">
            <v>Caja Bancos</v>
          </cell>
          <cell r="AH67" t="str">
            <v>I. Activos de los segmentos</v>
          </cell>
        </row>
        <row r="68">
          <cell r="D68" t="str">
            <v>1001104106</v>
          </cell>
          <cell r="E68" t="str">
            <v>1001104106</v>
          </cell>
          <cell r="F68" t="str">
            <v>Bice - Comisiçon y gastos bancarios</v>
          </cell>
          <cell r="G68" t="str">
            <v>1001104106  Bice - Comisiçon y gastos bancarios</v>
          </cell>
          <cell r="H68" t="str">
            <v>Balance</v>
          </cell>
          <cell r="I68" t="str">
            <v>I. Activos</v>
          </cell>
          <cell r="J68" t="str">
            <v>1. Activos corrientes</v>
          </cell>
          <cell r="K68" t="str">
            <v>1. Efectivo y Equivalentes al Efectivo</v>
          </cell>
          <cell r="L68" t="str">
            <v>A. corrtes. distintos de A. para su disposición clasif. para venta o distrib. a propiet.</v>
          </cell>
          <cell r="U68" t="str">
            <v>1. Efectivo y Equivalentes al Efectivo</v>
          </cell>
          <cell r="AG68" t="str">
            <v>Caja Bancos</v>
          </cell>
          <cell r="AH68" t="str">
            <v>I. Activos de los segmentos</v>
          </cell>
        </row>
        <row r="69">
          <cell r="D69" t="str">
            <v>1001104108</v>
          </cell>
          <cell r="E69" t="str">
            <v>1001104108</v>
          </cell>
          <cell r="F69" t="str">
            <v>Bice - Pago Con Cheque</v>
          </cell>
          <cell r="G69" t="str">
            <v>1001104108  Bice - Pago Con Cheque</v>
          </cell>
          <cell r="H69" t="str">
            <v>Balance</v>
          </cell>
          <cell r="I69" t="str">
            <v>I. Activos</v>
          </cell>
          <cell r="J69" t="str">
            <v>1. Activos corrientes</v>
          </cell>
          <cell r="K69" t="str">
            <v>1. Efectivo y Equivalentes al Efectivo</v>
          </cell>
          <cell r="L69" t="str">
            <v>A. corrtes. distintos de A. para su disposición clasif. para venta o distrib. a propiet.</v>
          </cell>
          <cell r="U69" t="str">
            <v>1. Efectivo y Equivalentes al Efectivo</v>
          </cell>
          <cell r="AG69" t="str">
            <v>Caja Bancos</v>
          </cell>
          <cell r="AH69" t="str">
            <v>I. Activos de los segmentos</v>
          </cell>
        </row>
        <row r="70">
          <cell r="D70" t="str">
            <v>1001105100</v>
          </cell>
          <cell r="E70" t="str">
            <v>1001105100</v>
          </cell>
          <cell r="F70" t="str">
            <v>Bice - Saldo Bancario</v>
          </cell>
          <cell r="G70" t="str">
            <v>1001105100  Bice - Saldo Bancario</v>
          </cell>
          <cell r="H70" t="str">
            <v>Balance</v>
          </cell>
          <cell r="I70" t="str">
            <v>I. Activos</v>
          </cell>
          <cell r="J70" t="str">
            <v>1. Activos corrientes</v>
          </cell>
          <cell r="K70" t="str">
            <v>1. Efectivo y Equivalentes al Efectivo</v>
          </cell>
          <cell r="L70" t="str">
            <v>A. corrtes. distintos de A. para su disposición clasif. para venta o distrib. a propiet.</v>
          </cell>
          <cell r="U70" t="str">
            <v>1. Efectivo y Equivalentes al Efectivo</v>
          </cell>
          <cell r="AG70" t="str">
            <v>Caja Bancos</v>
          </cell>
          <cell r="AH70" t="str">
            <v>I. Activos de los segmentos</v>
          </cell>
        </row>
        <row r="71">
          <cell r="D71" t="str">
            <v>1001105105</v>
          </cell>
          <cell r="E71" t="str">
            <v>1001105105</v>
          </cell>
          <cell r="F71" t="str">
            <v>Bice - Transferencia De Fondos</v>
          </cell>
          <cell r="G71" t="str">
            <v>1001105105  Bice - Transferencia De Fondos</v>
          </cell>
          <cell r="H71" t="str">
            <v>Balance</v>
          </cell>
          <cell r="I71" t="str">
            <v>I. Activos</v>
          </cell>
          <cell r="J71" t="str">
            <v>1. Activos corrientes</v>
          </cell>
          <cell r="K71" t="str">
            <v>1. Efectivo y Equivalentes al Efectivo</v>
          </cell>
          <cell r="L71" t="str">
            <v>A. corrtes. distintos de A. para su disposición clasif. para venta o distrib. a propiet.</v>
          </cell>
          <cell r="U71" t="str">
            <v>1. Efectivo y Equivalentes al Efectivo</v>
          </cell>
          <cell r="AG71" t="str">
            <v>Caja Bancos</v>
          </cell>
          <cell r="AH71" t="str">
            <v>I. Activos de los segmentos</v>
          </cell>
        </row>
        <row r="72">
          <cell r="D72" t="str">
            <v>1001106100</v>
          </cell>
          <cell r="E72" t="str">
            <v>1001106100</v>
          </cell>
          <cell r="F72" t="str">
            <v>Banco De Santiago - Saldo Bancario</v>
          </cell>
          <cell r="G72" t="str">
            <v>1001106100  Banco De Santiago - Saldo Bancario</v>
          </cell>
          <cell r="H72" t="str">
            <v>Balance</v>
          </cell>
          <cell r="I72" t="str">
            <v>I. Activos</v>
          </cell>
          <cell r="J72" t="str">
            <v>1. Activos corrientes</v>
          </cell>
          <cell r="K72" t="str">
            <v>1. Efectivo y Equivalentes al Efectivo</v>
          </cell>
          <cell r="L72" t="str">
            <v>A. corrtes. distintos de A. para su disposición clasif. para venta o distrib. a propiet.</v>
          </cell>
          <cell r="U72" t="str">
            <v>1. Efectivo y Equivalentes al Efectivo</v>
          </cell>
          <cell r="AG72" t="str">
            <v>Caja Bancos</v>
          </cell>
          <cell r="AH72" t="str">
            <v>I. Activos de los segmentos</v>
          </cell>
        </row>
        <row r="73">
          <cell r="D73" t="str">
            <v>1001106102</v>
          </cell>
          <cell r="E73" t="str">
            <v>1001106102</v>
          </cell>
          <cell r="F73" t="str">
            <v>Banco De Santiago - Ingreso C/Documento</v>
          </cell>
          <cell r="G73" t="str">
            <v>1001106102  Banco De Santiago - Ingreso C/Documento</v>
          </cell>
          <cell r="H73" t="str">
            <v>Balance</v>
          </cell>
          <cell r="I73" t="str">
            <v>I. Activos</v>
          </cell>
          <cell r="J73" t="str">
            <v>1. Activos corrientes</v>
          </cell>
          <cell r="K73" t="str">
            <v>1. Efectivo y Equivalentes al Efectivo</v>
          </cell>
          <cell r="L73" t="str">
            <v>A. corrtes. distintos de A. para su disposición clasif. para venta o distrib. a propiet.</v>
          </cell>
          <cell r="U73" t="str">
            <v>1. Efectivo y Equivalentes al Efectivo</v>
          </cell>
          <cell r="AG73" t="str">
            <v>Caja Bancos</v>
          </cell>
          <cell r="AH73" t="str">
            <v>I. Activos de los segmentos</v>
          </cell>
        </row>
        <row r="74">
          <cell r="D74" t="str">
            <v>1001106105</v>
          </cell>
          <cell r="E74" t="str">
            <v>1001106105</v>
          </cell>
          <cell r="F74" t="str">
            <v>Banco De Santiago - Transferencia De Fondos</v>
          </cell>
          <cell r="G74" t="str">
            <v>1001106105  Banco De Santiago - Transferencia De Fondos</v>
          </cell>
          <cell r="H74" t="str">
            <v>Balance</v>
          </cell>
          <cell r="I74" t="str">
            <v>I. Activos</v>
          </cell>
          <cell r="J74" t="str">
            <v>1. Activos corrientes</v>
          </cell>
          <cell r="K74" t="str">
            <v>1. Efectivo y Equivalentes al Efectivo</v>
          </cell>
          <cell r="L74" t="str">
            <v>A. corrtes. distintos de A. para su disposición clasif. para venta o distrib. a propiet.</v>
          </cell>
          <cell r="U74" t="str">
            <v>1. Efectivo y Equivalentes al Efectivo</v>
          </cell>
          <cell r="AG74" t="str">
            <v>Caja Bancos</v>
          </cell>
          <cell r="AH74" t="str">
            <v>I. Activos de los segmentos</v>
          </cell>
        </row>
        <row r="75">
          <cell r="D75" t="str">
            <v>1001106106</v>
          </cell>
          <cell r="E75" t="str">
            <v>1001106106</v>
          </cell>
          <cell r="F75" t="str">
            <v>Banco De Santiago - Comision Y Gastos B</v>
          </cell>
          <cell r="G75" t="str">
            <v>1001106106  Banco De Santiago - Comision Y Gastos B</v>
          </cell>
          <cell r="H75" t="str">
            <v>Balance</v>
          </cell>
          <cell r="I75" t="str">
            <v>I. Activos</v>
          </cell>
          <cell r="J75" t="str">
            <v>1. Activos corrientes</v>
          </cell>
          <cell r="K75" t="str">
            <v>1. Efectivo y Equivalentes al Efectivo</v>
          </cell>
          <cell r="L75" t="str">
            <v>A. corrtes. distintos de A. para su disposición clasif. para venta o distrib. a propiet.</v>
          </cell>
          <cell r="U75" t="str">
            <v>1. Efectivo y Equivalentes al Efectivo</v>
          </cell>
          <cell r="AG75" t="str">
            <v>Caja Bancos</v>
          </cell>
          <cell r="AH75" t="str">
            <v>I. Activos de los segmentos</v>
          </cell>
        </row>
        <row r="76">
          <cell r="D76" t="str">
            <v>1001106108</v>
          </cell>
          <cell r="E76" t="str">
            <v>1001106108</v>
          </cell>
          <cell r="F76" t="str">
            <v>Banco De Santiago - Pago Con Cheque</v>
          </cell>
          <cell r="G76" t="str">
            <v>1001106108  Banco De Santiago - Pago Con Cheque</v>
          </cell>
          <cell r="H76" t="str">
            <v>Balance</v>
          </cell>
          <cell r="I76" t="str">
            <v>I. Activos</v>
          </cell>
          <cell r="J76" t="str">
            <v>1. Activos corrientes</v>
          </cell>
          <cell r="K76" t="str">
            <v>1. Efectivo y Equivalentes al Efectivo</v>
          </cell>
          <cell r="L76" t="str">
            <v>A. corrtes. distintos de A. para su disposición clasif. para venta o distrib. a propiet.</v>
          </cell>
          <cell r="U76" t="str">
            <v>1. Efectivo y Equivalentes al Efectivo</v>
          </cell>
          <cell r="AG76" t="str">
            <v>Caja Bancos</v>
          </cell>
          <cell r="AH76" t="str">
            <v>I. Activos de los segmentos</v>
          </cell>
        </row>
        <row r="77">
          <cell r="D77" t="str">
            <v>1001106200</v>
          </cell>
          <cell r="E77" t="str">
            <v>1001106200</v>
          </cell>
          <cell r="F77" t="str">
            <v>Banco De Santiago - Saldo Bancario</v>
          </cell>
          <cell r="G77" t="str">
            <v>1001106200  Banco De Santiago - Saldo Bancario</v>
          </cell>
          <cell r="H77" t="str">
            <v>Balance</v>
          </cell>
          <cell r="I77" t="str">
            <v>I. Activos</v>
          </cell>
          <cell r="J77" t="str">
            <v>1. Activos corrientes</v>
          </cell>
          <cell r="K77" t="str">
            <v>1. Efectivo y Equivalentes al Efectivo</v>
          </cell>
          <cell r="L77" t="str">
            <v>A. corrtes. distintos de A. para su disposición clasif. para venta o distrib. a propiet.</v>
          </cell>
          <cell r="U77" t="str">
            <v>1. Efectivo y Equivalentes al Efectivo</v>
          </cell>
          <cell r="AG77" t="str">
            <v>Caja Bancos</v>
          </cell>
          <cell r="AH77" t="str">
            <v>I. Activos de los segmentos</v>
          </cell>
        </row>
        <row r="78">
          <cell r="D78" t="str">
            <v>1001106206</v>
          </cell>
          <cell r="E78" t="str">
            <v>1001106206</v>
          </cell>
          <cell r="F78" t="str">
            <v>Banco De Santiago - Comision Y Gastos Bancarios</v>
          </cell>
          <cell r="G78" t="str">
            <v>1001106206  Banco De Santiago - Comision Y Gastos Bancarios</v>
          </cell>
          <cell r="H78" t="str">
            <v>Balance</v>
          </cell>
          <cell r="I78" t="str">
            <v>I. Activos</v>
          </cell>
          <cell r="J78" t="str">
            <v>1. Activos corrientes</v>
          </cell>
          <cell r="K78" t="str">
            <v>1. Efectivo y Equivalentes al Efectivo</v>
          </cell>
          <cell r="L78" t="str">
            <v>A. corrtes. distintos de A. para su disposición clasif. para venta o distrib. a propiet.</v>
          </cell>
          <cell r="U78" t="str">
            <v>1. Efectivo y Equivalentes al Efectivo</v>
          </cell>
          <cell r="AG78" t="str">
            <v>Caja Bancos</v>
          </cell>
          <cell r="AH78" t="str">
            <v>I. Activos de los segmentos</v>
          </cell>
        </row>
        <row r="79">
          <cell r="D79" t="str">
            <v>1001107100</v>
          </cell>
          <cell r="E79" t="str">
            <v>1001107100</v>
          </cell>
          <cell r="F79" t="str">
            <v>Banco Santander Iv Etapa-Saldo Bancario</v>
          </cell>
          <cell r="G79" t="str">
            <v>1001107100  Banco Santander Iv Etapa-Saldo Bancario</v>
          </cell>
          <cell r="H79" t="str">
            <v>Balance</v>
          </cell>
          <cell r="I79" t="str">
            <v>I. Activos</v>
          </cell>
          <cell r="J79" t="str">
            <v>1. Activos corrientes</v>
          </cell>
          <cell r="K79" t="str">
            <v>1. Efectivo y Equivalentes al Efectivo</v>
          </cell>
          <cell r="L79" t="str">
            <v>A. corrtes. distintos de A. para su disposición clasif. para venta o distrib. a propiet.</v>
          </cell>
          <cell r="U79" t="str">
            <v>1. Efectivo y Equivalentes al Efectivo</v>
          </cell>
          <cell r="AG79" t="str">
            <v>Caja Bancos</v>
          </cell>
          <cell r="AH79" t="str">
            <v>I. Activos de los segmentos</v>
          </cell>
        </row>
        <row r="80">
          <cell r="D80" t="str">
            <v>1001107106</v>
          </cell>
          <cell r="E80" t="str">
            <v>1001107106</v>
          </cell>
          <cell r="F80" t="str">
            <v>Banco Santander Iv Etapa-Comis.Y Gtos,Bancarios</v>
          </cell>
          <cell r="G80" t="str">
            <v>1001107106  Banco Santander Iv Etapa-Comis.Y Gtos,Bancarios</v>
          </cell>
          <cell r="H80" t="str">
            <v>Balance</v>
          </cell>
          <cell r="I80" t="str">
            <v>I. Activos</v>
          </cell>
          <cell r="J80" t="str">
            <v>1. Activos corrientes</v>
          </cell>
          <cell r="K80" t="str">
            <v>1. Efectivo y Equivalentes al Efectivo</v>
          </cell>
          <cell r="L80" t="str">
            <v>A. corrtes. distintos de A. para su disposición clasif. para venta o distrib. a propiet.</v>
          </cell>
          <cell r="U80" t="str">
            <v>1. Efectivo y Equivalentes al Efectivo</v>
          </cell>
          <cell r="AG80" t="str">
            <v>Caja Bancos</v>
          </cell>
          <cell r="AH80" t="str">
            <v>I. Activos de los segmentos</v>
          </cell>
        </row>
        <row r="81">
          <cell r="D81" t="str">
            <v>1001109100</v>
          </cell>
          <cell r="E81" t="str">
            <v>1001109100</v>
          </cell>
          <cell r="F81" t="str">
            <v>Banco Estado-Saldo Bancario</v>
          </cell>
          <cell r="G81" t="str">
            <v>1001109100  Banco Estado-Saldo Bancario</v>
          </cell>
          <cell r="H81" t="str">
            <v>Balance</v>
          </cell>
          <cell r="I81" t="str">
            <v>I. Activos</v>
          </cell>
          <cell r="J81" t="str">
            <v>1. Activos corrientes</v>
          </cell>
          <cell r="K81" t="str">
            <v>1. Efectivo y Equivalentes al Efectivo</v>
          </cell>
          <cell r="L81" t="str">
            <v>A. corrtes. distintos de A. para su disposición clasif. para venta o distrib. a propiet.</v>
          </cell>
          <cell r="U81" t="str">
            <v>1. Efectivo y Equivalentes al Efectivo</v>
          </cell>
          <cell r="AG81" t="str">
            <v>Caja Bancos</v>
          </cell>
          <cell r="AH81" t="str">
            <v>I. Activos de los segmentos</v>
          </cell>
        </row>
        <row r="82">
          <cell r="D82" t="str">
            <v>1001109105</v>
          </cell>
          <cell r="E82" t="str">
            <v>1001109105</v>
          </cell>
          <cell r="F82" t="str">
            <v>Banco Estado - Transferencia de Fondos</v>
          </cell>
          <cell r="G82" t="str">
            <v>1001109105  Banco Estado - Transferencia de Fondos</v>
          </cell>
          <cell r="H82" t="str">
            <v>Balance</v>
          </cell>
          <cell r="I82" t="str">
            <v>I. Activos</v>
          </cell>
          <cell r="J82" t="str">
            <v>1. Activos corrientes</v>
          </cell>
          <cell r="K82" t="str">
            <v>1. Efectivo y Equivalentes al Efectivo</v>
          </cell>
          <cell r="L82" t="str">
            <v>A. corrtes. distintos de A. para su disposición clasif. para venta o distrib. a propiet.</v>
          </cell>
          <cell r="U82" t="str">
            <v>1. Efectivo y Equivalentes al Efectivo</v>
          </cell>
          <cell r="AG82" t="str">
            <v>Caja Bancos</v>
          </cell>
          <cell r="AH82" t="str">
            <v>I. Activos de los segmentos</v>
          </cell>
        </row>
        <row r="83">
          <cell r="D83" t="str">
            <v>1001109106</v>
          </cell>
          <cell r="E83" t="str">
            <v>1001109106</v>
          </cell>
          <cell r="F83" t="str">
            <v>Banco Estado - Comision Y Gastos Bancarios</v>
          </cell>
          <cell r="G83" t="str">
            <v>1001109106  Banco Estado - Comision Y Gastos Bancarios</v>
          </cell>
          <cell r="H83" t="str">
            <v>Balance</v>
          </cell>
          <cell r="I83" t="str">
            <v>I. Activos</v>
          </cell>
          <cell r="J83" t="str">
            <v>1. Activos corrientes</v>
          </cell>
          <cell r="K83" t="str">
            <v>1. Efectivo y Equivalentes al Efectivo</v>
          </cell>
          <cell r="L83" t="str">
            <v>A. corrtes. distintos de A. para su disposición clasif. para venta o distrib. a propiet.</v>
          </cell>
          <cell r="U83" t="str">
            <v>1. Efectivo y Equivalentes al Efectivo</v>
          </cell>
          <cell r="AG83" t="str">
            <v>Caja Bancos</v>
          </cell>
          <cell r="AH83" t="str">
            <v>I. Activos de los segmentos</v>
          </cell>
        </row>
        <row r="84">
          <cell r="D84" t="str">
            <v>1001109108</v>
          </cell>
          <cell r="E84" t="str">
            <v>1001109108</v>
          </cell>
          <cell r="F84" t="str">
            <v>Banco Estado - Pago Con Cheque</v>
          </cell>
          <cell r="G84" t="str">
            <v>1001109108  Banco Estado - Pago Con Cheque</v>
          </cell>
          <cell r="H84" t="str">
            <v>Balance</v>
          </cell>
          <cell r="I84" t="str">
            <v>I. Activos</v>
          </cell>
          <cell r="J84" t="str">
            <v>1. Activos corrientes</v>
          </cell>
          <cell r="K84" t="str">
            <v>1. Efectivo y Equivalentes al Efectivo</v>
          </cell>
          <cell r="L84" t="str">
            <v>A. corrtes. distintos de A. para su disposición clasif. para venta o distrib. a propiet.</v>
          </cell>
          <cell r="U84" t="str">
            <v>1. Efectivo y Equivalentes al Efectivo</v>
          </cell>
          <cell r="AG84" t="str">
            <v>Caja Bancos</v>
          </cell>
          <cell r="AH84" t="str">
            <v>I. Activos de los segmentos</v>
          </cell>
        </row>
        <row r="85">
          <cell r="D85" t="str">
            <v>1001200000</v>
          </cell>
          <cell r="E85" t="str">
            <v>1001200000</v>
          </cell>
          <cell r="F85" t="str">
            <v>Banco De Chile - Saldo Bancario</v>
          </cell>
          <cell r="G85" t="str">
            <v>1001200000  Banco De Chile - Saldo Bancario</v>
          </cell>
          <cell r="H85" t="str">
            <v>Balance</v>
          </cell>
          <cell r="I85" t="str">
            <v>I. Activos</v>
          </cell>
          <cell r="J85" t="str">
            <v>1. Activos corrientes</v>
          </cell>
          <cell r="K85" t="str">
            <v>1. Efectivo y Equivalentes al Efectivo</v>
          </cell>
          <cell r="L85" t="str">
            <v>A. corrtes. distintos de A. para su disposición clasif. para venta o distrib. a propiet.</v>
          </cell>
          <cell r="U85" t="str">
            <v>1. Efectivo y Equivalentes al Efectivo</v>
          </cell>
          <cell r="AG85" t="str">
            <v>Caja Bancos</v>
          </cell>
          <cell r="AH85" t="str">
            <v>I. Activos de los segmentos</v>
          </cell>
        </row>
        <row r="86">
          <cell r="D86" t="str">
            <v>1001200001</v>
          </cell>
          <cell r="E86" t="str">
            <v>1001200001</v>
          </cell>
          <cell r="F86" t="str">
            <v>Banco De Chile - Ingreso Efectivo</v>
          </cell>
          <cell r="G86" t="str">
            <v>1001200001  Banco De Chile - Ingreso Efectivo</v>
          </cell>
          <cell r="H86" t="str">
            <v>Balance</v>
          </cell>
          <cell r="I86" t="str">
            <v>I. Activos</v>
          </cell>
          <cell r="J86" t="str">
            <v>1. Activos corrientes</v>
          </cell>
          <cell r="K86" t="str">
            <v>1. Efectivo y Equivalentes al Efectivo</v>
          </cell>
          <cell r="L86" t="str">
            <v>A. corrtes. distintos de A. para su disposición clasif. para venta o distrib. a propiet.</v>
          </cell>
          <cell r="U86" t="str">
            <v>1. Efectivo y Equivalentes al Efectivo</v>
          </cell>
          <cell r="AG86" t="str">
            <v>Caja Bancos</v>
          </cell>
          <cell r="AH86" t="str">
            <v>I. Activos de los segmentos</v>
          </cell>
        </row>
        <row r="87">
          <cell r="D87" t="str">
            <v>1001200002</v>
          </cell>
          <cell r="E87" t="str">
            <v>1001200002</v>
          </cell>
          <cell r="F87" t="str">
            <v>Banco De Chile - Ingreso C/Documento</v>
          </cell>
          <cell r="G87" t="str">
            <v>1001200002  Banco De Chile - Ingreso C/Documento</v>
          </cell>
          <cell r="H87" t="str">
            <v>Balance</v>
          </cell>
          <cell r="I87" t="str">
            <v>I. Activos</v>
          </cell>
          <cell r="J87" t="str">
            <v>1. Activos corrientes</v>
          </cell>
          <cell r="K87" t="str">
            <v>1. Efectivo y Equivalentes al Efectivo</v>
          </cell>
          <cell r="L87" t="str">
            <v>A. corrtes. distintos de A. para su disposición clasif. para venta o distrib. a propiet.</v>
          </cell>
          <cell r="U87" t="str">
            <v>1. Efectivo y Equivalentes al Efectivo</v>
          </cell>
          <cell r="AG87" t="str">
            <v>Caja Bancos</v>
          </cell>
          <cell r="AH87" t="str">
            <v>I. Activos de los segmentos</v>
          </cell>
        </row>
        <row r="88">
          <cell r="D88" t="str">
            <v>1001200005</v>
          </cell>
          <cell r="E88" t="str">
            <v>1001200005</v>
          </cell>
          <cell r="F88" t="str">
            <v>Banco De Chile - Transferencia De Fondos</v>
          </cell>
          <cell r="G88" t="str">
            <v>1001200005  Banco De Chile - Transferencia De Fondos</v>
          </cell>
          <cell r="H88" t="str">
            <v>Balance</v>
          </cell>
          <cell r="I88" t="str">
            <v>I. Activos</v>
          </cell>
          <cell r="J88" t="str">
            <v>1. Activos corrientes</v>
          </cell>
          <cell r="K88" t="str">
            <v>1. Efectivo y Equivalentes al Efectivo</v>
          </cell>
          <cell r="L88" t="str">
            <v>A. corrtes. distintos de A. para su disposición clasif. para venta o distrib. a propiet.</v>
          </cell>
          <cell r="U88" t="str">
            <v>1. Efectivo y Equivalentes al Efectivo</v>
          </cell>
          <cell r="AG88" t="str">
            <v>Caja Bancos</v>
          </cell>
          <cell r="AH88" t="str">
            <v>I. Activos de los segmentos</v>
          </cell>
        </row>
        <row r="89">
          <cell r="D89" t="str">
            <v>1001200006</v>
          </cell>
          <cell r="E89" t="str">
            <v>1001200006</v>
          </cell>
          <cell r="F89" t="str">
            <v>Banco De Chile - Comision Y Gastos Bancarios</v>
          </cell>
          <cell r="G89" t="str">
            <v>1001200006  Banco De Chile - Comision Y Gastos Bancarios</v>
          </cell>
          <cell r="H89" t="str">
            <v>Balance</v>
          </cell>
          <cell r="I89" t="str">
            <v>I. Activos</v>
          </cell>
          <cell r="J89" t="str">
            <v>1. Activos corrientes</v>
          </cell>
          <cell r="K89" t="str">
            <v>1. Efectivo y Equivalentes al Efectivo</v>
          </cell>
          <cell r="L89" t="str">
            <v>A. corrtes. distintos de A. para su disposición clasif. para venta o distrib. a propiet.</v>
          </cell>
          <cell r="U89" t="str">
            <v>1. Efectivo y Equivalentes al Efectivo</v>
          </cell>
          <cell r="AG89" t="str">
            <v>Caja Bancos</v>
          </cell>
          <cell r="AH89" t="str">
            <v>I. Activos de los segmentos</v>
          </cell>
        </row>
        <row r="90">
          <cell r="D90" t="str">
            <v>1001200008</v>
          </cell>
          <cell r="E90" t="str">
            <v>1001200008</v>
          </cell>
          <cell r="F90" t="str">
            <v>Banco De Chile - Pago Con Cheque</v>
          </cell>
          <cell r="G90" t="str">
            <v>1001200008  Banco De Chile - Pago Con Cheque</v>
          </cell>
          <cell r="H90" t="str">
            <v>Balance</v>
          </cell>
          <cell r="I90" t="str">
            <v>I. Activos</v>
          </cell>
          <cell r="J90" t="str">
            <v>1. Activos corrientes</v>
          </cell>
          <cell r="K90" t="str">
            <v>1. Efectivo y Equivalentes al Efectivo</v>
          </cell>
          <cell r="L90" t="str">
            <v>A. corrtes. distintos de A. para su disposición clasif. para venta o distrib. a propiet.</v>
          </cell>
          <cell r="U90" t="str">
            <v>1. Efectivo y Equivalentes al Efectivo</v>
          </cell>
          <cell r="AG90" t="str">
            <v>Caja Bancos</v>
          </cell>
          <cell r="AH90" t="str">
            <v>I. Activos de los segmentos</v>
          </cell>
        </row>
        <row r="91">
          <cell r="D91" t="str">
            <v>1001200100</v>
          </cell>
          <cell r="E91" t="str">
            <v>1001200100</v>
          </cell>
          <cell r="F91" t="str">
            <v>Banco De Chile - Saldo Bancario</v>
          </cell>
          <cell r="G91" t="str">
            <v>1001200100  Banco De Chile - Saldo Bancario</v>
          </cell>
          <cell r="H91" t="str">
            <v>Balance</v>
          </cell>
          <cell r="I91" t="str">
            <v>I. Activos</v>
          </cell>
          <cell r="J91" t="str">
            <v>1. Activos corrientes</v>
          </cell>
          <cell r="K91" t="str">
            <v>1. Efectivo y Equivalentes al Efectivo</v>
          </cell>
          <cell r="L91" t="str">
            <v>A. corrtes. distintos de A. para su disposición clasif. para venta o distrib. a propiet.</v>
          </cell>
          <cell r="U91" t="str">
            <v>1. Efectivo y Equivalentes al Efectivo</v>
          </cell>
          <cell r="AG91" t="str">
            <v>Caja Bancos</v>
          </cell>
          <cell r="AH91" t="str">
            <v>I. Activos de los segmentos</v>
          </cell>
        </row>
        <row r="92">
          <cell r="D92" t="str">
            <v>1001200105</v>
          </cell>
          <cell r="E92" t="str">
            <v>1001200105</v>
          </cell>
          <cell r="F92" t="str">
            <v>Banco De Chile - Transferencia De Fondos</v>
          </cell>
          <cell r="G92" t="str">
            <v>1001200105  Banco De Chile - Transferencia De Fondos</v>
          </cell>
          <cell r="H92" t="str">
            <v>Balance</v>
          </cell>
          <cell r="I92" t="str">
            <v>I. Activos</v>
          </cell>
          <cell r="J92" t="str">
            <v>1. Activos corrientes</v>
          </cell>
          <cell r="K92" t="str">
            <v>1. Efectivo y Equivalentes al Efectivo</v>
          </cell>
          <cell r="L92" t="str">
            <v>A. corrtes. distintos de A. para su disposición clasif. para venta o distrib. a propiet.</v>
          </cell>
          <cell r="U92" t="str">
            <v>1. Efectivo y Equivalentes al Efectivo</v>
          </cell>
          <cell r="AG92" t="str">
            <v>Caja Bancos</v>
          </cell>
          <cell r="AH92" t="str">
            <v>I. Activos de los segmentos</v>
          </cell>
        </row>
        <row r="93">
          <cell r="D93" t="str">
            <v>1001212100</v>
          </cell>
          <cell r="E93" t="str">
            <v>1001212100</v>
          </cell>
          <cell r="F93" t="str">
            <v>Banco De Tokio - Saldo Bancario</v>
          </cell>
          <cell r="G93" t="str">
            <v>1001212100  Banco De Tokio - Saldo Bancario</v>
          </cell>
          <cell r="H93" t="str">
            <v>Balance</v>
          </cell>
          <cell r="I93" t="str">
            <v>I. Activos</v>
          </cell>
          <cell r="J93" t="str">
            <v>1. Activos corrientes</v>
          </cell>
          <cell r="K93" t="str">
            <v>1. Efectivo y Equivalentes al Efectivo</v>
          </cell>
          <cell r="L93" t="str">
            <v>A. corrtes. distintos de A. para su disposición clasif. para venta o distrib. a propiet.</v>
          </cell>
          <cell r="U93" t="str">
            <v>1. Efectivo y Equivalentes al Efectivo</v>
          </cell>
          <cell r="AG93" t="str">
            <v>Caja Bancos</v>
          </cell>
          <cell r="AH93" t="str">
            <v>I. Activos de los segmentos</v>
          </cell>
        </row>
        <row r="94">
          <cell r="D94" t="str">
            <v>1001213100</v>
          </cell>
          <cell r="E94" t="str">
            <v>1001213100</v>
          </cell>
          <cell r="F94" t="str">
            <v>Banco Bice-Saldo Bancario</v>
          </cell>
          <cell r="G94" t="str">
            <v>1001213100  Banco Bice-Saldo Bancario</v>
          </cell>
          <cell r="H94" t="str">
            <v>Balance</v>
          </cell>
          <cell r="I94" t="str">
            <v>I. Activos</v>
          </cell>
          <cell r="J94" t="str">
            <v>1. Activos corrientes</v>
          </cell>
          <cell r="K94" t="str">
            <v>1. Efectivo y Equivalentes al Efectivo</v>
          </cell>
          <cell r="L94" t="str">
            <v>A. corrtes. distintos de A. para su disposición clasif. para venta o distrib. a propiet.</v>
          </cell>
          <cell r="U94" t="str">
            <v>1. Efectivo y Equivalentes al Efectivo</v>
          </cell>
          <cell r="AG94" t="str">
            <v>Caja Bancos</v>
          </cell>
          <cell r="AH94" t="str">
            <v>I. Activos de los segmentos</v>
          </cell>
        </row>
        <row r="95">
          <cell r="D95" t="str">
            <v>1001213105</v>
          </cell>
          <cell r="E95" t="str">
            <v>1001213105</v>
          </cell>
          <cell r="F95" t="str">
            <v>Banco Bice - Transferencia De Fondos</v>
          </cell>
          <cell r="G95" t="str">
            <v>1001213105  Banco Bice - Transferencia De Fondos</v>
          </cell>
          <cell r="H95" t="str">
            <v>Balance</v>
          </cell>
          <cell r="I95" t="str">
            <v>I. Activos</v>
          </cell>
          <cell r="J95" t="str">
            <v>1. Activos corrientes</v>
          </cell>
          <cell r="K95" t="str">
            <v>1. Efectivo y Equivalentes al Efectivo</v>
          </cell>
          <cell r="L95" t="str">
            <v>A. corrtes. distintos de A. para su disposición clasif. para venta o distrib. a propiet.</v>
          </cell>
          <cell r="U95" t="str">
            <v>1. Efectivo y Equivalentes al Efectivo</v>
          </cell>
          <cell r="AG95" t="str">
            <v>Caja Bancos</v>
          </cell>
          <cell r="AH95" t="str">
            <v>I. Activos de los segmentos</v>
          </cell>
        </row>
        <row r="96">
          <cell r="D96" t="str">
            <v>1001213200</v>
          </cell>
          <cell r="E96" t="str">
            <v>1001213200</v>
          </cell>
          <cell r="F96" t="str">
            <v>Banco Bice-Saldo Bancario-Euros</v>
          </cell>
          <cell r="G96" t="str">
            <v>1001213200  Banco Bice-Saldo Bancario-Euros</v>
          </cell>
          <cell r="H96" t="str">
            <v>Balance</v>
          </cell>
          <cell r="I96" t="str">
            <v>I. Activos</v>
          </cell>
          <cell r="J96" t="str">
            <v>1. Activos corrientes</v>
          </cell>
          <cell r="K96" t="str">
            <v>1. Efectivo y Equivalentes al Efectivo</v>
          </cell>
          <cell r="L96" t="str">
            <v>A. corrtes. distintos de A. para su disposición clasif. para venta o distrib. a propiet.</v>
          </cell>
          <cell r="U96" t="str">
            <v>1. Efectivo y Equivalentes al Efectivo</v>
          </cell>
          <cell r="AG96" t="str">
            <v>Caja Bancos</v>
          </cell>
          <cell r="AH96" t="str">
            <v>I. Activos de los segmentos</v>
          </cell>
        </row>
        <row r="97">
          <cell r="D97" t="str">
            <v>1001200900</v>
          </cell>
          <cell r="E97" t="str">
            <v>1001200900</v>
          </cell>
          <cell r="F97" t="str">
            <v>Banco Internacional - Saldo bancario</v>
          </cell>
          <cell r="G97" t="str">
            <v>1001200900  Banco Internacional - Saldo bancario</v>
          </cell>
          <cell r="H97" t="str">
            <v>Balance</v>
          </cell>
          <cell r="I97" t="str">
            <v>I. Activos</v>
          </cell>
          <cell r="J97" t="str">
            <v>1. Activos corrientes</v>
          </cell>
          <cell r="K97" t="str">
            <v>1. Efectivo y Equivalentes al Efectivo</v>
          </cell>
          <cell r="L97" t="str">
            <v>A. corrtes. distintos de A. para su disposición clasif. para venta o distrib. a propiet.</v>
          </cell>
          <cell r="U97" t="str">
            <v>1. Efectivo y Equivalentes al Efectivo</v>
          </cell>
          <cell r="AG97" t="str">
            <v>Caja Bancos</v>
          </cell>
          <cell r="AH97" t="str">
            <v>I. Activos de los segmentos</v>
          </cell>
        </row>
        <row r="98">
          <cell r="D98" t="str">
            <v>1001200905</v>
          </cell>
          <cell r="E98" t="str">
            <v>1001200905</v>
          </cell>
          <cell r="F98" t="str">
            <v>Banco Internacional - Transferencias de Fondos</v>
          </cell>
          <cell r="G98" t="str">
            <v>1001200905  Banco Internacional - Transferencias de Fondos</v>
          </cell>
          <cell r="H98" t="str">
            <v>Balance</v>
          </cell>
          <cell r="I98" t="str">
            <v>I. Activos</v>
          </cell>
          <cell r="J98" t="str">
            <v>1. Activos corrientes</v>
          </cell>
          <cell r="K98" t="str">
            <v>1. Efectivo y Equivalentes al Efectivo</v>
          </cell>
          <cell r="L98" t="str">
            <v>A. corrtes. distintos de A. para su disposición clasif. para venta o distrib. a propiet.</v>
          </cell>
          <cell r="U98" t="str">
            <v>1. Efectivo y Equivalentes al Efectivo</v>
          </cell>
          <cell r="AG98" t="str">
            <v>Caja Bancos</v>
          </cell>
          <cell r="AH98" t="str">
            <v>I. Activos de los segmentos</v>
          </cell>
        </row>
        <row r="99">
          <cell r="D99" t="str">
            <v>1001300000</v>
          </cell>
          <cell r="E99" t="str">
            <v>1001300000</v>
          </cell>
          <cell r="F99" t="str">
            <v>Tesoreria</v>
          </cell>
          <cell r="G99" t="str">
            <v>1001300000  Tesoreria</v>
          </cell>
          <cell r="H99" t="str">
            <v>Balance</v>
          </cell>
          <cell r="I99" t="str">
            <v>I. Activos</v>
          </cell>
          <cell r="J99" t="str">
            <v>1. Activos corrientes</v>
          </cell>
          <cell r="K99" t="str">
            <v>1. Efectivo y Equivalentes al Efectivo</v>
          </cell>
          <cell r="L99" t="str">
            <v>A. corrtes. distintos de A. para su disposición clasif. para venta o distrib. a propiet.</v>
          </cell>
          <cell r="U99" t="str">
            <v>1. Efectivo y Equivalentes al Efectivo</v>
          </cell>
          <cell r="AG99" t="str">
            <v>Caja Bancos</v>
          </cell>
          <cell r="AH99" t="str">
            <v>I. Activos de los segmentos</v>
          </cell>
        </row>
        <row r="100">
          <cell r="D100" t="str">
            <v>1001300002</v>
          </cell>
          <cell r="E100" t="str">
            <v>1001300002</v>
          </cell>
          <cell r="F100" t="str">
            <v>Fondos Por Rendir</v>
          </cell>
          <cell r="G100" t="str">
            <v>1001300002  Fondos Por Rendir</v>
          </cell>
          <cell r="H100" t="str">
            <v>Balance</v>
          </cell>
          <cell r="I100" t="str">
            <v>I. Activos</v>
          </cell>
          <cell r="J100" t="str">
            <v>1. Activos corrientes</v>
          </cell>
          <cell r="K100" t="str">
            <v>1. Efectivo y Equivalentes al Efectivo</v>
          </cell>
          <cell r="L100" t="str">
            <v>A. corrtes. distintos de A. para su disposición clasif. para venta o distrib. a propiet.</v>
          </cell>
          <cell r="U100" t="str">
            <v>1. Efectivo y Equivalentes al Efectivo</v>
          </cell>
          <cell r="AG100" t="str">
            <v>Caja Bancos</v>
          </cell>
          <cell r="AH100" t="str">
            <v>I. Activos de los segmentos</v>
          </cell>
        </row>
        <row r="101">
          <cell r="D101" t="str">
            <v>1001300004</v>
          </cell>
          <cell r="E101" t="str">
            <v>1001300004</v>
          </cell>
          <cell r="F101" t="str">
            <v>Fondo Fijo</v>
          </cell>
          <cell r="G101" t="str">
            <v>1001300004  Fondo Fijo</v>
          </cell>
          <cell r="H101" t="str">
            <v>Balance</v>
          </cell>
          <cell r="I101" t="str">
            <v>I. Activos</v>
          </cell>
          <cell r="J101" t="str">
            <v>1. Activos corrientes</v>
          </cell>
          <cell r="K101" t="str">
            <v>1. Efectivo y Equivalentes al Efectivo</v>
          </cell>
          <cell r="L101" t="str">
            <v>A. corrtes. distintos de A. para su disposición clasif. para venta o distrib. a propiet.</v>
          </cell>
          <cell r="U101" t="str">
            <v>1. Efectivo y Equivalentes al Efectivo</v>
          </cell>
          <cell r="AG101" t="str">
            <v>Caja Bancos</v>
          </cell>
          <cell r="AH101" t="str">
            <v>I. Activos de los segmentos</v>
          </cell>
        </row>
        <row r="102">
          <cell r="D102" t="str">
            <v>1001300011</v>
          </cell>
          <cell r="E102" t="str">
            <v>1001300011</v>
          </cell>
          <cell r="F102" t="str">
            <v>Zunilga Yagi-Infraestructura</v>
          </cell>
          <cell r="G102" t="str">
            <v>1001300011  Zunilga Yagi-Infraestructura</v>
          </cell>
          <cell r="H102" t="str">
            <v>Balance</v>
          </cell>
          <cell r="I102" t="str">
            <v>I. Activos</v>
          </cell>
          <cell r="J102" t="str">
            <v>1. Activos corrientes</v>
          </cell>
          <cell r="K102" t="str">
            <v>1. Efectivo y Equivalentes al Efectivo</v>
          </cell>
          <cell r="L102" t="str">
            <v>A. corrtes. distintos de A. para su disposición clasif. para venta o distrib. a propiet.</v>
          </cell>
          <cell r="U102" t="str">
            <v>1. Efectivo y Equivalentes al Efectivo</v>
          </cell>
          <cell r="AG102" t="str">
            <v>Caja Bancos</v>
          </cell>
          <cell r="AH102" t="str">
            <v>I. Activos de los segmentos</v>
          </cell>
        </row>
        <row r="103">
          <cell r="D103" t="str">
            <v>1001300026</v>
          </cell>
          <cell r="E103" t="str">
            <v>1001300026</v>
          </cell>
          <cell r="F103" t="str">
            <v>F.Fijo G.Infraestructura</v>
          </cell>
          <cell r="G103" t="str">
            <v>1001300026  F.Fijo G.Infraestructura</v>
          </cell>
          <cell r="H103" t="str">
            <v>Balance</v>
          </cell>
          <cell r="I103" t="str">
            <v>I. Activos</v>
          </cell>
          <cell r="J103" t="str">
            <v>1. Activos corrientes</v>
          </cell>
          <cell r="K103" t="str">
            <v>1. Efectivo y Equivalentes al Efectivo</v>
          </cell>
          <cell r="L103" t="str">
            <v>A. corrtes. distintos de A. para su disposición clasif. para venta o distrib. a propiet.</v>
          </cell>
          <cell r="U103" t="str">
            <v>1. Efectivo y Equivalentes al Efectivo</v>
          </cell>
          <cell r="AG103" t="str">
            <v>Caja Bancos</v>
          </cell>
          <cell r="AH103" t="str">
            <v>I. Activos de los segmentos</v>
          </cell>
        </row>
        <row r="104">
          <cell r="D104" t="str">
            <v>1001300028</v>
          </cell>
          <cell r="E104" t="str">
            <v>1001300028</v>
          </cell>
          <cell r="F104" t="str">
            <v>F.Fijo G.Transporte Pasajeros</v>
          </cell>
          <cell r="G104" t="str">
            <v>1001300028  F.Fijo G.Transporte Pasajeros</v>
          </cell>
          <cell r="H104" t="str">
            <v>Balance</v>
          </cell>
          <cell r="I104" t="str">
            <v>I. Activos</v>
          </cell>
          <cell r="J104" t="str">
            <v>1. Activos corrientes</v>
          </cell>
          <cell r="K104" t="str">
            <v>1. Efectivo y Equivalentes al Efectivo</v>
          </cell>
          <cell r="L104" t="str">
            <v>A. corrtes. distintos de A. para su disposición clasif. para venta o distrib. a propiet.</v>
          </cell>
          <cell r="U104" t="str">
            <v>1. Efectivo y Equivalentes al Efectivo</v>
          </cell>
          <cell r="AG104" t="str">
            <v>Caja Bancos</v>
          </cell>
          <cell r="AH104" t="str">
            <v>I. Activos de los segmentos</v>
          </cell>
        </row>
        <row r="105">
          <cell r="D105" t="str">
            <v>1001300029</v>
          </cell>
          <cell r="E105" t="str">
            <v>1001300029</v>
          </cell>
          <cell r="F105" t="str">
            <v>F.Fijo G. Biotren</v>
          </cell>
          <cell r="G105" t="str">
            <v>1001300029  F.Fijo G. Biotren</v>
          </cell>
          <cell r="H105" t="str">
            <v>Balance</v>
          </cell>
          <cell r="I105" t="str">
            <v>I. Activos</v>
          </cell>
          <cell r="J105" t="str">
            <v>1. Activos corrientes</v>
          </cell>
          <cell r="K105" t="str">
            <v>1. Efectivo y Equivalentes al Efectivo</v>
          </cell>
          <cell r="L105" t="str">
            <v>A. corrtes. distintos de A. para su disposición clasif. para venta o distrib. a propiet.</v>
          </cell>
          <cell r="U105" t="str">
            <v>1. Efectivo y Equivalentes al Efectivo</v>
          </cell>
          <cell r="AG105" t="str">
            <v>Caja Bancos</v>
          </cell>
          <cell r="AH105" t="str">
            <v>I. Activos de los segmentos</v>
          </cell>
        </row>
        <row r="106">
          <cell r="D106" t="str">
            <v>1001300031</v>
          </cell>
          <cell r="E106" t="str">
            <v>1001300031</v>
          </cell>
          <cell r="F106" t="str">
            <v>F.Fijo G.Planificacion Y Negocios</v>
          </cell>
          <cell r="G106" t="str">
            <v>1001300031  F.Fijo G.Planificacion Y Negocios</v>
          </cell>
          <cell r="H106" t="str">
            <v>Balance</v>
          </cell>
          <cell r="I106" t="str">
            <v>I. Activos</v>
          </cell>
          <cell r="J106" t="str">
            <v>1. Activos corrientes</v>
          </cell>
          <cell r="K106" t="str">
            <v>1. Efectivo y Equivalentes al Efectivo</v>
          </cell>
          <cell r="L106" t="str">
            <v>A. corrtes. distintos de A. para su disposición clasif. para venta o distrib. a propiet.</v>
          </cell>
          <cell r="U106" t="str">
            <v>1. Efectivo y Equivalentes al Efectivo</v>
          </cell>
          <cell r="AG106" t="str">
            <v>Caja Bancos</v>
          </cell>
          <cell r="AH106" t="str">
            <v>I. Activos de los segmentos</v>
          </cell>
        </row>
        <row r="107">
          <cell r="D107" t="str">
            <v>1001300032</v>
          </cell>
          <cell r="E107" t="str">
            <v>1001300032</v>
          </cell>
          <cell r="F107" t="str">
            <v>F.Fijo G.Trafico</v>
          </cell>
          <cell r="G107" t="str">
            <v>1001300032  F.Fijo G.Trafico</v>
          </cell>
          <cell r="H107" t="str">
            <v>Balance</v>
          </cell>
          <cell r="I107" t="str">
            <v>I. Activos</v>
          </cell>
          <cell r="J107" t="str">
            <v>1. Activos corrientes</v>
          </cell>
          <cell r="K107" t="str">
            <v>1. Efectivo y Equivalentes al Efectivo</v>
          </cell>
          <cell r="L107" t="str">
            <v>A. corrtes. distintos de A. para su disposición clasif. para venta o distrib. a propiet.</v>
          </cell>
          <cell r="U107" t="str">
            <v>1. Efectivo y Equivalentes al Efectivo</v>
          </cell>
          <cell r="AG107" t="str">
            <v>Caja Bancos</v>
          </cell>
          <cell r="AH107" t="str">
            <v>I. Activos de los segmentos</v>
          </cell>
        </row>
        <row r="108">
          <cell r="D108" t="str">
            <v>1001300033</v>
          </cell>
          <cell r="E108" t="str">
            <v>1001300033</v>
          </cell>
          <cell r="F108" t="str">
            <v>F.Fijo G.Normalizacion Y Control</v>
          </cell>
          <cell r="G108" t="str">
            <v>1001300033  F.Fijo G.Normalizacion Y Control</v>
          </cell>
          <cell r="H108" t="str">
            <v>Balance</v>
          </cell>
          <cell r="I108" t="str">
            <v>I. Activos</v>
          </cell>
          <cell r="J108" t="str">
            <v>1. Activos corrientes</v>
          </cell>
          <cell r="K108" t="str">
            <v>1. Efectivo y Equivalentes al Efectivo</v>
          </cell>
          <cell r="L108" t="str">
            <v>A. corrtes. distintos de A. para su disposición clasif. para venta o distrib. a propiet.</v>
          </cell>
          <cell r="U108" t="str">
            <v>1. Efectivo y Equivalentes al Efectivo</v>
          </cell>
          <cell r="AG108" t="str">
            <v>Caja Bancos</v>
          </cell>
          <cell r="AH108" t="str">
            <v>I. Activos de los segmentos</v>
          </cell>
        </row>
        <row r="109">
          <cell r="D109" t="str">
            <v>1001300036</v>
          </cell>
          <cell r="E109" t="str">
            <v>1001300036</v>
          </cell>
          <cell r="F109" t="str">
            <v>F.Fijo Contraloria Interna</v>
          </cell>
          <cell r="G109" t="str">
            <v>1001300036  F.Fijo Contraloria Interna</v>
          </cell>
          <cell r="H109" t="str">
            <v>Balance</v>
          </cell>
          <cell r="I109" t="str">
            <v>I. Activos</v>
          </cell>
          <cell r="J109" t="str">
            <v>1. Activos corrientes</v>
          </cell>
          <cell r="K109" t="str">
            <v>1. Efectivo y Equivalentes al Efectivo</v>
          </cell>
          <cell r="L109" t="str">
            <v>A. corrtes. distintos de A. para su disposición clasif. para venta o distrib. a propiet.</v>
          </cell>
          <cell r="U109" t="str">
            <v>1. Efectivo y Equivalentes al Efectivo</v>
          </cell>
          <cell r="AG109" t="str">
            <v>Caja Bancos</v>
          </cell>
          <cell r="AH109" t="str">
            <v>I. Activos de los segmentos</v>
          </cell>
        </row>
        <row r="110">
          <cell r="D110" t="str">
            <v>1001300037</v>
          </cell>
          <cell r="E110" t="str">
            <v>1001300037</v>
          </cell>
          <cell r="F110" t="str">
            <v>F.Fijo G.Comercial</v>
          </cell>
          <cell r="G110" t="str">
            <v>1001300037  F.Fijo G.Comercial</v>
          </cell>
          <cell r="H110" t="str">
            <v>Balance</v>
          </cell>
          <cell r="I110" t="str">
            <v>I. Activos</v>
          </cell>
          <cell r="J110" t="str">
            <v>1. Activos corrientes</v>
          </cell>
          <cell r="K110" t="str">
            <v>1. Efectivo y Equivalentes al Efectivo</v>
          </cell>
          <cell r="L110" t="str">
            <v>A. corrtes. distintos de A. para su disposición clasif. para venta o distrib. a propiet.</v>
          </cell>
          <cell r="U110" t="str">
            <v>1. Efectivo y Equivalentes al Efectivo</v>
          </cell>
          <cell r="AG110" t="str">
            <v>Caja Bancos</v>
          </cell>
          <cell r="AH110" t="str">
            <v>I. Activos de los segmentos</v>
          </cell>
        </row>
        <row r="111">
          <cell r="D111" t="str">
            <v>1001300039</v>
          </cell>
          <cell r="E111" t="str">
            <v>1001300039</v>
          </cell>
          <cell r="F111" t="str">
            <v>Gastos de Representación Corporativo</v>
          </cell>
          <cell r="G111" t="str">
            <v>1001300039  Gastos de Representación Corporativo</v>
          </cell>
          <cell r="H111" t="str">
            <v>Balance</v>
          </cell>
          <cell r="I111" t="str">
            <v>I. Activos</v>
          </cell>
          <cell r="J111" t="str">
            <v>1. Activos corrientes</v>
          </cell>
          <cell r="K111" t="str">
            <v>1. Efectivo y Equivalentes al Efectivo</v>
          </cell>
          <cell r="L111" t="str">
            <v>A. corrtes. distintos de A. para su disposición clasif. para venta o distrib. a propiet.</v>
          </cell>
          <cell r="U111" t="str">
            <v>1. Efectivo y Equivalentes al Efectivo</v>
          </cell>
          <cell r="AG111" t="str">
            <v>Caja Bancos</v>
          </cell>
          <cell r="AH111" t="str">
            <v>I. Activos de los segmentos</v>
          </cell>
        </row>
        <row r="112">
          <cell r="D112" t="str">
            <v>1001300040</v>
          </cell>
          <cell r="E112" t="str">
            <v>1001300040</v>
          </cell>
          <cell r="F112" t="str">
            <v>Rol Privado</v>
          </cell>
          <cell r="G112" t="str">
            <v>1001300040  Rol Privado</v>
          </cell>
          <cell r="H112" t="str">
            <v>Balance</v>
          </cell>
          <cell r="I112" t="str">
            <v>I. Activos</v>
          </cell>
          <cell r="J112" t="str">
            <v>1. Activos corrientes</v>
          </cell>
          <cell r="K112" t="str">
            <v>1. Efectivo y Equivalentes al Efectivo</v>
          </cell>
          <cell r="L112" t="str">
            <v>A. corrtes. distintos de A. para su disposición clasif. para venta o distrib. a propiet.</v>
          </cell>
          <cell r="U112" t="str">
            <v>1. Efectivo y Equivalentes al Efectivo</v>
          </cell>
          <cell r="AG112" t="str">
            <v>Caja Bancos</v>
          </cell>
          <cell r="AH112" t="str">
            <v>I. Activos de los segmentos</v>
          </cell>
        </row>
        <row r="113">
          <cell r="D113" t="str">
            <v>1001300042</v>
          </cell>
          <cell r="E113" t="str">
            <v>1001300042</v>
          </cell>
          <cell r="F113" t="str">
            <v>F.Fijo Gcia Finanzas Y Control De Gestion</v>
          </cell>
          <cell r="G113" t="str">
            <v>1001300042  F.Fijo Gcia Finanzas Y Control De Gestion</v>
          </cell>
          <cell r="H113" t="str">
            <v>Balance</v>
          </cell>
          <cell r="I113" t="str">
            <v>I. Activos</v>
          </cell>
          <cell r="J113" t="str">
            <v>1. Activos corrientes</v>
          </cell>
          <cell r="K113" t="str">
            <v>1. Efectivo y Equivalentes al Efectivo</v>
          </cell>
          <cell r="L113" t="str">
            <v>A. corrtes. distintos de A. para su disposición clasif. para venta o distrib. a propiet.</v>
          </cell>
          <cell r="U113" t="str">
            <v>1. Efectivo y Equivalentes al Efectivo</v>
          </cell>
          <cell r="AG113" t="str">
            <v>Caja Bancos</v>
          </cell>
          <cell r="AH113" t="str">
            <v>I. Activos de los segmentos</v>
          </cell>
        </row>
        <row r="114">
          <cell r="D114" t="str">
            <v>1001300044</v>
          </cell>
          <cell r="E114" t="str">
            <v>1001300044</v>
          </cell>
          <cell r="F114" t="str">
            <v>F.Fijo Fiscalia</v>
          </cell>
          <cell r="G114" t="str">
            <v>1001300044  F.Fijo Fiscalia</v>
          </cell>
          <cell r="H114" t="str">
            <v>Balance</v>
          </cell>
          <cell r="I114" t="str">
            <v>I. Activos</v>
          </cell>
          <cell r="J114" t="str">
            <v>1. Activos corrientes</v>
          </cell>
          <cell r="K114" t="str">
            <v>1. Efectivo y Equivalentes al Efectivo</v>
          </cell>
          <cell r="L114" t="str">
            <v>A. corrtes. distintos de A. para su disposición clasif. para venta o distrib. a propiet.</v>
          </cell>
          <cell r="U114" t="str">
            <v>1. Efectivo y Equivalentes al Efectivo</v>
          </cell>
          <cell r="AG114" t="str">
            <v>Caja Bancos</v>
          </cell>
          <cell r="AH114" t="str">
            <v>I. Activos de los segmentos</v>
          </cell>
        </row>
        <row r="115">
          <cell r="D115" t="str">
            <v>1001300045</v>
          </cell>
          <cell r="E115" t="str">
            <v>1001300045</v>
          </cell>
          <cell r="F115" t="str">
            <v>Gastos De Representacion Gg Y Directorio</v>
          </cell>
          <cell r="G115" t="str">
            <v>1001300045  Gastos De Representacion Gg Y Directorio</v>
          </cell>
          <cell r="H115" t="str">
            <v>Balance</v>
          </cell>
          <cell r="I115" t="str">
            <v>I. Activos</v>
          </cell>
          <cell r="J115" t="str">
            <v>1. Activos corrientes</v>
          </cell>
          <cell r="K115" t="str">
            <v>1. Efectivo y Equivalentes al Efectivo</v>
          </cell>
          <cell r="L115" t="str">
            <v>A. corrtes. distintos de A. para su disposición clasif. para venta o distrib. a propiet.</v>
          </cell>
          <cell r="U115" t="str">
            <v>1. Efectivo y Equivalentes al Efectivo</v>
          </cell>
          <cell r="AG115" t="str">
            <v>Caja Bancos</v>
          </cell>
          <cell r="AH115" t="str">
            <v>I. Activos de los segmentos</v>
          </cell>
        </row>
        <row r="116">
          <cell r="D116" t="str">
            <v>1001300050</v>
          </cell>
          <cell r="E116" t="str">
            <v>1001300050</v>
          </cell>
          <cell r="F116" t="str">
            <v>Recaudación De Estaciones</v>
          </cell>
          <cell r="G116" t="str">
            <v>1001300050  Recaudación De Estaciones</v>
          </cell>
          <cell r="H116" t="str">
            <v>Balance</v>
          </cell>
          <cell r="I116" t="str">
            <v>I. Activos</v>
          </cell>
          <cell r="J116" t="str">
            <v>1. Activos corrientes</v>
          </cell>
          <cell r="K116" t="str">
            <v>1. Efectivo y Equivalentes al Efectivo</v>
          </cell>
          <cell r="L116" t="str">
            <v>A. corrtes. distintos de A. para su disposición clasif. para venta o distrib. a propiet.</v>
          </cell>
          <cell r="U116" t="str">
            <v>1. Efectivo y Equivalentes al Efectivo</v>
          </cell>
          <cell r="AG116" t="str">
            <v>Caja Bancos</v>
          </cell>
          <cell r="AH116" t="str">
            <v>I. Activos de los segmentos</v>
          </cell>
        </row>
        <row r="117">
          <cell r="D117" t="str">
            <v>1001300051</v>
          </cell>
          <cell r="E117" t="str">
            <v>1001300051</v>
          </cell>
          <cell r="F117" t="str">
            <v>Depositos Por Asignar</v>
          </cell>
          <cell r="G117" t="str">
            <v>1001300051  Depositos Por Asignar</v>
          </cell>
          <cell r="H117" t="str">
            <v>Balance</v>
          </cell>
          <cell r="I117" t="str">
            <v>I. Activos</v>
          </cell>
          <cell r="J117" t="str">
            <v>1. Activos corrientes</v>
          </cell>
          <cell r="K117" t="str">
            <v>1. Efectivo y Equivalentes al Efectivo</v>
          </cell>
          <cell r="L117" t="str">
            <v>A. corrtes. distintos de A. para su disposición clasif. para venta o distrib. a propiet.</v>
          </cell>
          <cell r="U117" t="str">
            <v>1. Efectivo y Equivalentes al Efectivo</v>
          </cell>
          <cell r="AG117" t="str">
            <v>Depósitos en tránsito</v>
          </cell>
          <cell r="AH117" t="str">
            <v>I. Activos de los segmentos</v>
          </cell>
        </row>
        <row r="118">
          <cell r="D118" t="str">
            <v>1001300052</v>
          </cell>
          <cell r="E118" t="str">
            <v>1001300052</v>
          </cell>
          <cell r="F118" t="str">
            <v>Cargos Por Asignar</v>
          </cell>
          <cell r="G118" t="str">
            <v>1001300052  Cargos Por Asignar</v>
          </cell>
          <cell r="H118" t="str">
            <v>Balance</v>
          </cell>
          <cell r="I118" t="str">
            <v>I. Activos</v>
          </cell>
          <cell r="J118" t="str">
            <v>1. Activos corrientes</v>
          </cell>
          <cell r="K118" t="str">
            <v>1. Efectivo y Equivalentes al Efectivo</v>
          </cell>
          <cell r="L118" t="str">
            <v>A. corrtes. distintos de A. para su disposición clasif. para venta o distrib. a propiet.</v>
          </cell>
          <cell r="U118" t="str">
            <v>1. Efectivo y Equivalentes al Efectivo</v>
          </cell>
          <cell r="AG118" t="str">
            <v>Depósitos en tránsito</v>
          </cell>
          <cell r="AH118" t="str">
            <v>I. Activos de los segmentos</v>
          </cell>
        </row>
        <row r="119">
          <cell r="D119" t="str">
            <v>1002100020</v>
          </cell>
          <cell r="E119" t="str">
            <v>1002100020</v>
          </cell>
          <cell r="F119" t="str">
            <v>Depósitos A Plazo Menores A 90 Días</v>
          </cell>
          <cell r="G119" t="str">
            <v>1002100020  Depósitos A Plazo Menores A 90 Días</v>
          </cell>
          <cell r="H119" t="str">
            <v>Balance</v>
          </cell>
          <cell r="I119" t="str">
            <v>I. Activos</v>
          </cell>
          <cell r="J119" t="str">
            <v>1. Activos corrientes</v>
          </cell>
          <cell r="K119" t="str">
            <v>1. Efectivo y Equivalentes al Efectivo</v>
          </cell>
          <cell r="L119" t="str">
            <v>A. corrtes. distintos de A. para su disposición clasif. para venta o distrib. a propiet.</v>
          </cell>
          <cell r="U119" t="str">
            <v>1. Efectivo y Equivalentes al Efectivo</v>
          </cell>
          <cell r="AG119" t="str">
            <v>Depósitos a plazo</v>
          </cell>
          <cell r="AH119" t="str">
            <v>I. Activos de los segmentos</v>
          </cell>
        </row>
        <row r="120">
          <cell r="D120" t="str">
            <v>1003100010</v>
          </cell>
          <cell r="E120" t="str">
            <v>1003100010</v>
          </cell>
          <cell r="F120" t="str">
            <v>Cuotas De Fondos Mutuos</v>
          </cell>
          <cell r="G120" t="str">
            <v>1003100010  Cuotas De Fondos Mutuos</v>
          </cell>
          <cell r="H120" t="str">
            <v>Balance</v>
          </cell>
          <cell r="I120" t="str">
            <v>I. Activos</v>
          </cell>
          <cell r="J120" t="str">
            <v>1. Activos corrientes</v>
          </cell>
          <cell r="K120" t="str">
            <v>1. Efectivo y Equivalentes al Efectivo</v>
          </cell>
          <cell r="L120" t="str">
            <v>A. corrtes. distintos de A. para su disposición clasif. para venta o distrib. a propiet.</v>
          </cell>
          <cell r="U120" t="str">
            <v>1. Efectivo y Equivalentes al Efectivo</v>
          </cell>
          <cell r="AG120" t="str">
            <v>Cuotas de fondos mutuos</v>
          </cell>
          <cell r="AH120" t="str">
            <v>I. Activos de los segmentos</v>
          </cell>
        </row>
        <row r="121">
          <cell r="D121">
            <v>0</v>
          </cell>
          <cell r="G121" t="str">
            <v/>
          </cell>
          <cell r="H121" t="str">
            <v>Balance</v>
          </cell>
          <cell r="I121" t="str">
            <v>I. Activos</v>
          </cell>
          <cell r="J121" t="str">
            <v>1. Activos corrientes</v>
          </cell>
          <cell r="K121" t="str">
            <v>1. Efectivo y Equivalentes al Efectivo</v>
          </cell>
          <cell r="L121" t="str">
            <v>A. corrtes. distintos de A. para su disposición clasif. para venta o distrib. a propiet.</v>
          </cell>
          <cell r="U121" t="str">
            <v>1. Efectivo y Equivalentes al Efectivo</v>
          </cell>
          <cell r="AG121" t="str">
            <v>Caja Bancos</v>
          </cell>
          <cell r="AH121" t="str">
            <v>I. Activos de los segmentos</v>
          </cell>
        </row>
        <row r="122">
          <cell r="D122">
            <v>0</v>
          </cell>
          <cell r="F122" t="str">
            <v>Efectivo Y Equivalentes Al Efectivo</v>
          </cell>
          <cell r="G122" t="str">
            <v/>
          </cell>
          <cell r="H122" t="str">
            <v/>
          </cell>
          <cell r="AH122" t="str">
            <v/>
          </cell>
        </row>
        <row r="123">
          <cell r="D123">
            <v>0</v>
          </cell>
          <cell r="G123" t="str">
            <v/>
          </cell>
          <cell r="H123" t="str">
            <v/>
          </cell>
          <cell r="AH123" t="str">
            <v/>
          </cell>
        </row>
        <row r="124">
          <cell r="D124" t="str">
            <v>1011100010</v>
          </cell>
          <cell r="E124" t="str">
            <v>1011100010</v>
          </cell>
          <cell r="F124" t="str">
            <v>Prbc Con Compromiso De Retroventa</v>
          </cell>
          <cell r="G124" t="str">
            <v>1011100010  Prbc Con Compromiso De Retroventa</v>
          </cell>
          <cell r="H124" t="str">
            <v>Balance</v>
          </cell>
          <cell r="I124" t="str">
            <v>I. Activos</v>
          </cell>
          <cell r="J124" t="str">
            <v>1. Activos corrientes</v>
          </cell>
          <cell r="K124" t="str">
            <v>2. Otros Activos Financieros, corrientes</v>
          </cell>
          <cell r="L124" t="str">
            <v>A. corrtes. distintos de A. para su disposición clasif. para venta o distrib. a propiet.</v>
          </cell>
          <cell r="U124" t="str">
            <v>2. Otros Activos Financieros, corrientes</v>
          </cell>
          <cell r="AH124" t="str">
            <v>I. Activos de los segmentos</v>
          </cell>
        </row>
        <row r="125">
          <cell r="D125" t="str">
            <v>1011100011</v>
          </cell>
          <cell r="E125" t="str">
            <v>1011100011</v>
          </cell>
          <cell r="F125" t="str">
            <v>Prbc Con Compromiso De Retrocompra</v>
          </cell>
          <cell r="G125" t="str">
            <v>1011100011  Prbc Con Compromiso De Retrocompra</v>
          </cell>
          <cell r="H125" t="str">
            <v>Balance</v>
          </cell>
          <cell r="I125" t="str">
            <v>I. Activos</v>
          </cell>
          <cell r="J125" t="str">
            <v>1. Activos corrientes</v>
          </cell>
          <cell r="K125" t="str">
            <v>2. Otros Activos Financieros, corrientes</v>
          </cell>
          <cell r="L125" t="str">
            <v>A. corrtes. distintos de A. para su disposición clasif. para venta o distrib. a propiet.</v>
          </cell>
          <cell r="U125" t="str">
            <v>2. Otros Activos Financieros, corrientes</v>
          </cell>
          <cell r="AH125" t="str">
            <v>I. Activos de los segmentos</v>
          </cell>
        </row>
        <row r="126">
          <cell r="D126" t="str">
            <v>1011100014</v>
          </cell>
          <cell r="E126" t="str">
            <v>1011100014</v>
          </cell>
          <cell r="F126" t="str">
            <v>Contratos Forward</v>
          </cell>
          <cell r="G126" t="str">
            <v>1011100014  Contratos Forward</v>
          </cell>
          <cell r="H126" t="str">
            <v>Balance</v>
          </cell>
          <cell r="I126" t="str">
            <v>I. Activos</v>
          </cell>
          <cell r="J126" t="str">
            <v>1. Activos corrientes</v>
          </cell>
          <cell r="K126" t="str">
            <v>2. Otros Activos Financieros, corrientes</v>
          </cell>
          <cell r="L126" t="str">
            <v>A. corrtes. distintos de A. para su disposición clasif. para venta o distrib. a propiet.</v>
          </cell>
          <cell r="U126" t="str">
            <v>2. Otros Activos Financieros, corrientes</v>
          </cell>
          <cell r="AH126" t="str">
            <v>I. Activos de los segmentos</v>
          </cell>
        </row>
        <row r="127">
          <cell r="D127">
            <v>0</v>
          </cell>
          <cell r="G127" t="str">
            <v/>
          </cell>
          <cell r="H127" t="str">
            <v>Balance</v>
          </cell>
          <cell r="I127" t="str">
            <v>I. Activos</v>
          </cell>
          <cell r="J127" t="str">
            <v>1. Activos corrientes</v>
          </cell>
          <cell r="K127" t="str">
            <v>2. Otros Activos Financieros, corrientes</v>
          </cell>
          <cell r="L127" t="str">
            <v>A. corrtes. distintos de A. para su disposición clasif. para venta o distrib. a propiet.</v>
          </cell>
          <cell r="U127" t="str">
            <v>2. Otros Activos Financieros, corrientes</v>
          </cell>
          <cell r="AH127" t="str">
            <v>I. Activos de los segmentos</v>
          </cell>
        </row>
        <row r="128">
          <cell r="D128">
            <v>0</v>
          </cell>
          <cell r="G128" t="str">
            <v/>
          </cell>
          <cell r="H128" t="str">
            <v>Balance</v>
          </cell>
          <cell r="I128" t="str">
            <v>I. Activos</v>
          </cell>
          <cell r="J128" t="str">
            <v>1. Activos corrientes</v>
          </cell>
          <cell r="K128" t="str">
            <v>2. Otros Activos Financieros, corrientes</v>
          </cell>
          <cell r="L128" t="str">
            <v>A. corrtes. distintos de A. para su disposición clasif. para venta o distrib. a propiet.</v>
          </cell>
          <cell r="U128" t="str">
            <v>2. Otros Activos Financieros, corrientes</v>
          </cell>
          <cell r="AH128" t="str">
            <v>I. Activos de los segmentos</v>
          </cell>
        </row>
        <row r="129">
          <cell r="D129">
            <v>0</v>
          </cell>
          <cell r="F129" t="str">
            <v>Otros Activos Financieros Corrientes</v>
          </cell>
          <cell r="G129" t="str">
            <v/>
          </cell>
          <cell r="H129" t="str">
            <v/>
          </cell>
          <cell r="AH129" t="str">
            <v/>
          </cell>
        </row>
        <row r="130">
          <cell r="D130">
            <v>0</v>
          </cell>
          <cell r="G130" t="str">
            <v/>
          </cell>
          <cell r="H130" t="str">
            <v/>
          </cell>
          <cell r="AH130" t="str">
            <v/>
          </cell>
        </row>
        <row r="131">
          <cell r="D131" t="str">
            <v>1009100010</v>
          </cell>
          <cell r="E131" t="str">
            <v>1009100010</v>
          </cell>
          <cell r="F131" t="str">
            <v>Primas De Seguros</v>
          </cell>
          <cell r="G131" t="str">
            <v>1009100010  Primas De Seguros</v>
          </cell>
          <cell r="H131" t="str">
            <v>Balance</v>
          </cell>
          <cell r="I131" t="str">
            <v>I. Activos</v>
          </cell>
          <cell r="J131" t="str">
            <v>1. Activos corrientes</v>
          </cell>
          <cell r="K131" t="str">
            <v>3. Otros Activos No Financieros, corrientes</v>
          </cell>
          <cell r="L131" t="str">
            <v>A. corrtes. distintos de A. para su disposición clasif. para venta o distrib. a propiet.</v>
          </cell>
          <cell r="U131" t="str">
            <v>3. Otros Activos No Financieros, corrientes</v>
          </cell>
          <cell r="AH131" t="str">
            <v>I. Activos de los segmentos</v>
          </cell>
        </row>
        <row r="132">
          <cell r="D132" t="str">
            <v>1009100030</v>
          </cell>
          <cell r="E132" t="str">
            <v>1009100030</v>
          </cell>
          <cell r="F132" t="str">
            <v>E.Electrica Chilquinta</v>
          </cell>
          <cell r="G132" t="str">
            <v>1009100030  E.Electrica Chilquinta</v>
          </cell>
          <cell r="H132" t="str">
            <v>Balance</v>
          </cell>
          <cell r="I132" t="str">
            <v>I. Activos</v>
          </cell>
          <cell r="J132" t="str">
            <v>1. Activos corrientes</v>
          </cell>
          <cell r="K132" t="str">
            <v>3. Otros Activos No Financieros, corrientes</v>
          </cell>
          <cell r="L132" t="str">
            <v>A. corrtes. distintos de A. para su disposición clasif. para venta o distrib. a propiet.</v>
          </cell>
          <cell r="U132" t="str">
            <v>3. Otros Activos No Financieros, corrientes</v>
          </cell>
          <cell r="AH132" t="str">
            <v>I. Activos de los segmentos</v>
          </cell>
        </row>
        <row r="133">
          <cell r="D133">
            <v>0</v>
          </cell>
          <cell r="G133" t="str">
            <v/>
          </cell>
          <cell r="H133" t="str">
            <v>Balance</v>
          </cell>
          <cell r="I133" t="str">
            <v>I. Activos</v>
          </cell>
          <cell r="J133" t="str">
            <v>1. Activos corrientes</v>
          </cell>
          <cell r="K133" t="str">
            <v>3. Otros Activos No Financieros, corrientes</v>
          </cell>
          <cell r="L133" t="str">
            <v>A. corrtes. distintos de A. para su disposición clasif. para venta o distrib. a propiet.</v>
          </cell>
          <cell r="U133" t="str">
            <v>3. Otros Activos No Financieros, corrientes</v>
          </cell>
          <cell r="AH133" t="str">
            <v>I. Activos de los segmentos</v>
          </cell>
        </row>
        <row r="134">
          <cell r="D134">
            <v>0</v>
          </cell>
          <cell r="G134" t="str">
            <v/>
          </cell>
          <cell r="H134" t="str">
            <v>Balance</v>
          </cell>
          <cell r="I134" t="str">
            <v>I. Activos</v>
          </cell>
          <cell r="J134" t="str">
            <v>1. Activos corrientes</v>
          </cell>
          <cell r="K134" t="str">
            <v>3. Otros Activos No Financieros, corrientes</v>
          </cell>
          <cell r="L134" t="str">
            <v>A. corrtes. distintos de A. para su disposición clasif. para venta o distrib. a propiet.</v>
          </cell>
          <cell r="U134" t="str">
            <v>3. Otros Activos No Financieros, corrientes</v>
          </cell>
          <cell r="AH134" t="str">
            <v>I. Activos de los segmentos</v>
          </cell>
        </row>
        <row r="135">
          <cell r="D135">
            <v>0</v>
          </cell>
          <cell r="F135" t="str">
            <v>Otros Activos No Financieros, Corrientes</v>
          </cell>
          <cell r="G135" t="str">
            <v/>
          </cell>
          <cell r="H135" t="str">
            <v/>
          </cell>
          <cell r="AH135" t="str">
            <v/>
          </cell>
        </row>
        <row r="136">
          <cell r="D136">
            <v>0</v>
          </cell>
          <cell r="G136" t="str">
            <v/>
          </cell>
          <cell r="H136" t="str">
            <v/>
          </cell>
          <cell r="AH136" t="str">
            <v/>
          </cell>
        </row>
        <row r="137">
          <cell r="D137" t="str">
            <v>1004100010</v>
          </cell>
          <cell r="E137" t="str">
            <v>1004100010</v>
          </cell>
          <cell r="F137" t="str">
            <v>Facturas A Clientes Por Pasajes</v>
          </cell>
          <cell r="G137" t="str">
            <v>1004100010  Facturas A Clientes Por Pasajes</v>
          </cell>
          <cell r="H137" t="str">
            <v>Balance</v>
          </cell>
          <cell r="I137" t="str">
            <v>I. Activos</v>
          </cell>
          <cell r="J137" t="str">
            <v>1. Activos corrientes</v>
          </cell>
          <cell r="K137" t="str">
            <v>4. Deudores Comerciales y otras cuentas por cobrar, corrientes</v>
          </cell>
          <cell r="L137" t="str">
            <v>A. corrtes. distintos de A. para su disposición clasif. para venta o distrib. a propiet.</v>
          </cell>
          <cell r="U137" t="str">
            <v>4. Deudores Comerciales y otras cuentas por cobrar, corrientes</v>
          </cell>
          <cell r="AG137" t="str">
            <v>Deudores por ventas</v>
          </cell>
          <cell r="AH137" t="str">
            <v>I. Activos de los segmentos</v>
          </cell>
        </row>
        <row r="138">
          <cell r="D138" t="str">
            <v>1004100020</v>
          </cell>
          <cell r="E138" t="str">
            <v>1004100020</v>
          </cell>
          <cell r="F138" t="str">
            <v>Facturas A Clientes Infraest.Explotación</v>
          </cell>
          <cell r="G138" t="str">
            <v>1004100020  Facturas A Clientes Infraest.Explotación</v>
          </cell>
          <cell r="H138" t="str">
            <v>Balance</v>
          </cell>
          <cell r="I138" t="str">
            <v>I. Activos</v>
          </cell>
          <cell r="J138" t="str">
            <v>1. Activos corrientes</v>
          </cell>
          <cell r="K138" t="str">
            <v>4. Deudores Comerciales y otras cuentas por cobrar, corrientes</v>
          </cell>
          <cell r="L138" t="str">
            <v>A. corrtes. distintos de A. para su disposición clasif. para venta o distrib. a propiet.</v>
          </cell>
          <cell r="U138" t="str">
            <v>4. Deudores Comerciales y otras cuentas por cobrar, corrientes</v>
          </cell>
          <cell r="AG138" t="str">
            <v>Deudores por ventas</v>
          </cell>
          <cell r="AH138" t="str">
            <v>I. Activos de los segmentos</v>
          </cell>
        </row>
        <row r="139">
          <cell r="D139" t="str">
            <v>1004100030</v>
          </cell>
          <cell r="E139" t="str">
            <v>1004100030</v>
          </cell>
          <cell r="F139" t="str">
            <v>Facturas A Clientes Infraest.Operadores</v>
          </cell>
          <cell r="G139" t="str">
            <v>1004100030  Facturas A Clientes Infraest.Operadores</v>
          </cell>
          <cell r="H139" t="str">
            <v>Balance</v>
          </cell>
          <cell r="I139" t="str">
            <v>I. Activos</v>
          </cell>
          <cell r="J139" t="str">
            <v>1. Activos corrientes</v>
          </cell>
          <cell r="K139" t="str">
            <v>4. Deudores Comerciales y otras cuentas por cobrar, corrientes</v>
          </cell>
          <cell r="L139" t="str">
            <v>A. corrtes. distintos de A. para su disposición clasif. para venta o distrib. a propiet.</v>
          </cell>
          <cell r="U139" t="str">
            <v>4. Deudores Comerciales y otras cuentas por cobrar, corrientes</v>
          </cell>
          <cell r="AG139" t="str">
            <v>Deudores por ventas</v>
          </cell>
          <cell r="AH139" t="str">
            <v>I. Activos de los segmentos</v>
          </cell>
        </row>
        <row r="140">
          <cell r="D140" t="str">
            <v>1004100040</v>
          </cell>
          <cell r="E140" t="str">
            <v>1004100040</v>
          </cell>
          <cell r="F140" t="str">
            <v>Facturas A Clientes Corporativas</v>
          </cell>
          <cell r="G140" t="str">
            <v>1004100040  Facturas A Clientes Corporativas</v>
          </cell>
          <cell r="H140" t="str">
            <v>Balance</v>
          </cell>
          <cell r="I140" t="str">
            <v>I. Activos</v>
          </cell>
          <cell r="J140" t="str">
            <v>1. Activos corrientes</v>
          </cell>
          <cell r="K140" t="str">
            <v>4. Deudores Comerciales y otras cuentas por cobrar, corrientes</v>
          </cell>
          <cell r="L140" t="str">
            <v>A. corrtes. distintos de A. para su disposición clasif. para venta o distrib. a propiet.</v>
          </cell>
          <cell r="U140" t="str">
            <v>4. Deudores Comerciales y otras cuentas por cobrar, corrientes</v>
          </cell>
          <cell r="AG140" t="str">
            <v>Deudores por ventas</v>
          </cell>
          <cell r="AH140" t="str">
            <v>I. Activos de los segmentos</v>
          </cell>
        </row>
        <row r="141">
          <cell r="D141" t="str">
            <v>1004100050</v>
          </cell>
          <cell r="E141" t="str">
            <v>1004100050</v>
          </cell>
          <cell r="F141" t="str">
            <v>Facturas A Clientes Merval</v>
          </cell>
          <cell r="G141" t="str">
            <v>1004100050  Facturas A Clientes Merval</v>
          </cell>
          <cell r="H141" t="str">
            <v>Balance</v>
          </cell>
          <cell r="I141" t="str">
            <v>I. Activos</v>
          </cell>
          <cell r="J141" t="str">
            <v>1. Activos corrientes</v>
          </cell>
          <cell r="K141" t="str">
            <v>4. Deudores Comerciales y otras cuentas por cobrar, corrientes</v>
          </cell>
          <cell r="L141" t="str">
            <v>A. corrtes. distintos de A. para su disposición clasif. para venta o distrib. a propiet.</v>
          </cell>
          <cell r="U141" t="str">
            <v>4. Deudores Comerciales y otras cuentas por cobrar, corrientes</v>
          </cell>
          <cell r="AG141" t="str">
            <v>Deudores por ventas</v>
          </cell>
          <cell r="AH141" t="str">
            <v>I. Activos de los segmentos</v>
          </cell>
        </row>
        <row r="142">
          <cell r="D142" t="str">
            <v>1004100060</v>
          </cell>
          <cell r="E142" t="str">
            <v>1004100060</v>
          </cell>
          <cell r="F142" t="str">
            <v>Facturas Por Arriendos</v>
          </cell>
          <cell r="G142" t="str">
            <v>1004100060  Facturas Por Arriendos</v>
          </cell>
          <cell r="H142" t="str">
            <v>Balance</v>
          </cell>
          <cell r="I142" t="str">
            <v>I. Activos</v>
          </cell>
          <cell r="J142" t="str">
            <v>1. Activos corrientes</v>
          </cell>
          <cell r="K142" t="str">
            <v>4. Deudores Comerciales y otras cuentas por cobrar, corrientes</v>
          </cell>
          <cell r="L142" t="str">
            <v>A. corrtes. distintos de A. para su disposición clasif. para venta o distrib. a propiet.</v>
          </cell>
          <cell r="U142" t="str">
            <v>4. Deudores Comerciales y otras cuentas por cobrar, corrientes</v>
          </cell>
          <cell r="AG142" t="str">
            <v>Documentos por cobrar</v>
          </cell>
          <cell r="AH142" t="str">
            <v>I. Activos de los segmentos</v>
          </cell>
        </row>
        <row r="143">
          <cell r="D143" t="str">
            <v>1004300010</v>
          </cell>
          <cell r="E143" t="str">
            <v>1004300010</v>
          </cell>
          <cell r="F143" t="str">
            <v>Ctas.Ctes.Ordenes Ministeriales</v>
          </cell>
          <cell r="G143" t="str">
            <v>1004300010  Ctas.Ctes.Ordenes Ministeriales</v>
          </cell>
          <cell r="H143" t="str">
            <v>Balance</v>
          </cell>
          <cell r="I143" t="str">
            <v>I. Activos</v>
          </cell>
          <cell r="J143" t="str">
            <v>1. Activos corrientes</v>
          </cell>
          <cell r="K143" t="str">
            <v>4. Deudores Comerciales y otras cuentas por cobrar, corrientes</v>
          </cell>
          <cell r="L143" t="str">
            <v>A. corrtes. distintos de A. para su disposición clasif. para venta o distrib. a propiet.</v>
          </cell>
          <cell r="U143" t="str">
            <v>4. Deudores Comerciales y otras cuentas por cobrar, corrientes</v>
          </cell>
          <cell r="AG143" t="str">
            <v>Deudores varios</v>
          </cell>
          <cell r="AH143" t="str">
            <v>I. Activos de los segmentos</v>
          </cell>
        </row>
        <row r="144">
          <cell r="D144" t="str">
            <v>1004300020</v>
          </cell>
          <cell r="E144" t="str">
            <v>1004300020</v>
          </cell>
          <cell r="F144" t="str">
            <v>Ctas.Ctes.Agencias De Viajes</v>
          </cell>
          <cell r="G144" t="str">
            <v>1004300020  Ctas.Ctes.Agencias De Viajes</v>
          </cell>
          <cell r="H144" t="str">
            <v>Balance</v>
          </cell>
          <cell r="I144" t="str">
            <v>I. Activos</v>
          </cell>
          <cell r="J144" t="str">
            <v>1. Activos corrientes</v>
          </cell>
          <cell r="K144" t="str">
            <v>4. Deudores Comerciales y otras cuentas por cobrar, corrientes</v>
          </cell>
          <cell r="L144" t="str">
            <v>A. corrtes. distintos de A. para su disposición clasif. para venta o distrib. a propiet.</v>
          </cell>
          <cell r="U144" t="str">
            <v>4. Deudores Comerciales y otras cuentas por cobrar, corrientes</v>
          </cell>
          <cell r="AG144" t="str">
            <v>Deudores varios</v>
          </cell>
          <cell r="AH144" t="str">
            <v>I. Activos de los segmentos</v>
          </cell>
        </row>
        <row r="145">
          <cell r="D145" t="str">
            <v>1004300030</v>
          </cell>
          <cell r="E145" t="str">
            <v>1004300030</v>
          </cell>
          <cell r="F145" t="str">
            <v>Ctas.Ctes.Canjes Publicitarios</v>
          </cell>
          <cell r="G145" t="str">
            <v>1004300030  Ctas.Ctes.Canjes Publicitarios</v>
          </cell>
          <cell r="H145" t="str">
            <v>Balance</v>
          </cell>
          <cell r="I145" t="str">
            <v>I. Activos</v>
          </cell>
          <cell r="J145" t="str">
            <v>1. Activos corrientes</v>
          </cell>
          <cell r="K145" t="str">
            <v>4. Deudores Comerciales y otras cuentas por cobrar, corrientes</v>
          </cell>
          <cell r="L145" t="str">
            <v>A. corrtes. distintos de A. para su disposición clasif. para venta o distrib. a propiet.</v>
          </cell>
          <cell r="U145" t="str">
            <v>4. Deudores Comerciales y otras cuentas por cobrar, corrientes</v>
          </cell>
          <cell r="AG145" t="str">
            <v>Deudores varios</v>
          </cell>
          <cell r="AH145" t="str">
            <v>I. Activos de los segmentos</v>
          </cell>
        </row>
        <row r="146">
          <cell r="D146" t="str">
            <v>1004300050</v>
          </cell>
          <cell r="E146" t="str">
            <v>1004300050</v>
          </cell>
          <cell r="F146" t="str">
            <v>Depositos X Asignar Invia</v>
          </cell>
          <cell r="G146" t="str">
            <v>1004300050  Depositos X Asignar Invia</v>
          </cell>
          <cell r="H146" t="str">
            <v>Balance</v>
          </cell>
          <cell r="I146" t="str">
            <v>I. Activos</v>
          </cell>
          <cell r="J146" t="str">
            <v>1. Activos corrientes</v>
          </cell>
          <cell r="K146" t="str">
            <v>4. Deudores Comerciales y otras cuentas por cobrar, corrientes</v>
          </cell>
          <cell r="L146" t="str">
            <v>A. corrtes. distintos de A. para su disposición clasif. para venta o distrib. a propiet.</v>
          </cell>
          <cell r="U146" t="str">
            <v>4. Deudores Comerciales y otras cuentas por cobrar, corrientes</v>
          </cell>
          <cell r="AG146" t="str">
            <v>Deudores varios</v>
          </cell>
          <cell r="AH146" t="str">
            <v>I. Activos de los segmentos</v>
          </cell>
        </row>
        <row r="147">
          <cell r="D147" t="str">
            <v>1005100020</v>
          </cell>
          <cell r="E147" t="str">
            <v>1005100020</v>
          </cell>
          <cell r="F147" t="str">
            <v>Cheques Protestados</v>
          </cell>
          <cell r="G147" t="str">
            <v>1005100020  Cheques Protestados</v>
          </cell>
          <cell r="H147" t="str">
            <v>Balance</v>
          </cell>
          <cell r="I147" t="str">
            <v>I. Activos</v>
          </cell>
          <cell r="J147" t="str">
            <v>1. Activos corrientes</v>
          </cell>
          <cell r="K147" t="str">
            <v>4. Deudores Comerciales y otras cuentas por cobrar, corrientes</v>
          </cell>
          <cell r="L147" t="str">
            <v>A. corrtes. distintos de A. para su disposición clasif. para venta o distrib. a propiet.</v>
          </cell>
          <cell r="U147" t="str">
            <v>4. Deudores Comerciales y otras cuentas por cobrar, corrientes</v>
          </cell>
          <cell r="AG147" t="str">
            <v>Documentos por cobrar</v>
          </cell>
          <cell r="AH147" t="str">
            <v>I. Activos de los segmentos</v>
          </cell>
        </row>
        <row r="148">
          <cell r="D148" t="str">
            <v>1005100030</v>
          </cell>
          <cell r="E148" t="str">
            <v>1005100030</v>
          </cell>
          <cell r="F148" t="str">
            <v>Cheques A Fecha</v>
          </cell>
          <cell r="G148" t="str">
            <v>1005100030  Cheques A Fecha</v>
          </cell>
          <cell r="H148" t="str">
            <v>Balance</v>
          </cell>
          <cell r="I148" t="str">
            <v>I. Activos</v>
          </cell>
          <cell r="J148" t="str">
            <v>1. Activos corrientes</v>
          </cell>
          <cell r="K148" t="str">
            <v>4. Deudores Comerciales y otras cuentas por cobrar, corrientes</v>
          </cell>
          <cell r="L148" t="str">
            <v>A. corrtes. distintos de A. para su disposición clasif. para venta o distrib. a propiet.</v>
          </cell>
          <cell r="U148" t="str">
            <v>4. Deudores Comerciales y otras cuentas por cobrar, corrientes</v>
          </cell>
          <cell r="AG148" t="str">
            <v>Documentos por cobrar</v>
          </cell>
          <cell r="AH148" t="str">
            <v>I. Activos de los segmentos</v>
          </cell>
        </row>
        <row r="149">
          <cell r="D149" t="str">
            <v>1006100010</v>
          </cell>
          <cell r="E149" t="str">
            <v>1006100010</v>
          </cell>
          <cell r="F149" t="str">
            <v>Cta.Cte.Varios Deudores</v>
          </cell>
          <cell r="G149" t="str">
            <v>1006100010  Cta.Cte.Varios Deudores</v>
          </cell>
          <cell r="H149" t="str">
            <v>Balance</v>
          </cell>
          <cell r="I149" t="str">
            <v>I. Activos</v>
          </cell>
          <cell r="J149" t="str">
            <v>1. Activos corrientes</v>
          </cell>
          <cell r="K149" t="str">
            <v>4. Deudores Comerciales y otras cuentas por cobrar, corrientes</v>
          </cell>
          <cell r="L149" t="str">
            <v>A. corrtes. distintos de A. para su disposición clasif. para venta o distrib. a propiet.</v>
          </cell>
          <cell r="U149" t="str">
            <v>4. Deudores Comerciales y otras cuentas por cobrar, corrientes</v>
          </cell>
          <cell r="AG149" t="str">
            <v>Deudores varios</v>
          </cell>
          <cell r="AH149" t="str">
            <v>I. Activos de los segmentos</v>
          </cell>
        </row>
        <row r="150">
          <cell r="D150" t="str">
            <v>1006100020</v>
          </cell>
          <cell r="E150" t="str">
            <v>1006100020</v>
          </cell>
          <cell r="F150" t="str">
            <v>Cta.Cte.Trabajadores</v>
          </cell>
          <cell r="G150" t="str">
            <v>1006100020  Cta.Cte.Trabajadores</v>
          </cell>
          <cell r="H150" t="str">
            <v>Balance</v>
          </cell>
          <cell r="I150" t="str">
            <v>I. Activos</v>
          </cell>
          <cell r="J150" t="str">
            <v>1. Activos corrientes</v>
          </cell>
          <cell r="K150" t="str">
            <v>4. Deudores Comerciales y otras cuentas por cobrar, corrientes</v>
          </cell>
          <cell r="L150" t="str">
            <v>A. corrtes. distintos de A. para su disposición clasif. para venta o distrib. a propiet.</v>
          </cell>
          <cell r="U150" t="str">
            <v>4. Deudores Comerciales y otras cuentas por cobrar, corrientes</v>
          </cell>
          <cell r="AG150" t="str">
            <v>Deudores varios</v>
          </cell>
          <cell r="AH150" t="str">
            <v>I. Activos de los segmentos</v>
          </cell>
        </row>
        <row r="151">
          <cell r="D151" t="str">
            <v>1006100030</v>
          </cell>
          <cell r="E151" t="str">
            <v>1006100030</v>
          </cell>
          <cell r="F151" t="str">
            <v>Sumarios Pendientes</v>
          </cell>
          <cell r="G151" t="str">
            <v>1006100030  Sumarios Pendientes</v>
          </cell>
          <cell r="H151" t="str">
            <v>Balance</v>
          </cell>
          <cell r="I151" t="str">
            <v>I. Activos</v>
          </cell>
          <cell r="J151" t="str">
            <v>1. Activos corrientes</v>
          </cell>
          <cell r="K151" t="str">
            <v>4. Deudores Comerciales y otras cuentas por cobrar, corrientes</v>
          </cell>
          <cell r="L151" t="str">
            <v>A. corrtes. distintos de A. para su disposición clasif. para venta o distrib. a propiet.</v>
          </cell>
          <cell r="U151" t="str">
            <v>4. Deudores Comerciales y otras cuentas por cobrar, corrientes</v>
          </cell>
          <cell r="AG151" t="str">
            <v>Deudores varios</v>
          </cell>
          <cell r="AH151" t="str">
            <v>I. Activos de los segmentos</v>
          </cell>
        </row>
        <row r="152">
          <cell r="D152" t="str">
            <v>1006100040</v>
          </cell>
          <cell r="E152" t="str">
            <v>1006100040</v>
          </cell>
          <cell r="F152" t="str">
            <v>Boletas Bancarias Por Garantías A Terceros</v>
          </cell>
          <cell r="G152" t="str">
            <v>1006100040  Boletas Bancarias Por Garantías A Terceros</v>
          </cell>
          <cell r="H152" t="str">
            <v>Balance</v>
          </cell>
          <cell r="I152" t="str">
            <v>I. Activos</v>
          </cell>
          <cell r="J152" t="str">
            <v>1. Activos corrientes</v>
          </cell>
          <cell r="K152" t="str">
            <v>4. Deudores Comerciales y otras cuentas por cobrar, corrientes</v>
          </cell>
          <cell r="L152" t="str">
            <v>A. corrtes. distintos de A. para su disposición clasif. para venta o distrib. a propiet.</v>
          </cell>
          <cell r="U152" t="str">
            <v>4. Deudores Comerciales y otras cuentas por cobrar, corrientes</v>
          </cell>
          <cell r="AG152" t="str">
            <v>Deudores varios</v>
          </cell>
          <cell r="AH152" t="str">
            <v>I. Activos de los segmentos</v>
          </cell>
        </row>
        <row r="153">
          <cell r="D153" t="str">
            <v>1006100050</v>
          </cell>
          <cell r="E153" t="str">
            <v>1006100050</v>
          </cell>
          <cell r="F153" t="str">
            <v>Subsidios De Cesantía Por Cobrar</v>
          </cell>
          <cell r="G153" t="str">
            <v>1006100050  Subsidios De Cesantía Por Cobrar</v>
          </cell>
          <cell r="H153" t="str">
            <v>Balance</v>
          </cell>
          <cell r="I153" t="str">
            <v>I. Activos</v>
          </cell>
          <cell r="J153" t="str">
            <v>1. Activos corrientes</v>
          </cell>
          <cell r="K153" t="str">
            <v>4. Deudores Comerciales y otras cuentas por cobrar, corrientes</v>
          </cell>
          <cell r="L153" t="str">
            <v>A. corrtes. distintos de A. para su disposición clasif. para venta o distrib. a propiet.</v>
          </cell>
          <cell r="U153" t="str">
            <v>4. Deudores Comerciales y otras cuentas por cobrar, corrientes</v>
          </cell>
          <cell r="AG153" t="str">
            <v>Deudores varios</v>
          </cell>
          <cell r="AH153" t="str">
            <v>I. Activos de los segmentos</v>
          </cell>
        </row>
        <row r="154">
          <cell r="D154" t="str">
            <v>1006100060</v>
          </cell>
          <cell r="E154" t="str">
            <v>1006100060</v>
          </cell>
          <cell r="F154" t="str">
            <v>Cajas De  Compensación-Asig.Familiar</v>
          </cell>
          <cell r="G154" t="str">
            <v>1006100060  Cajas De  Compensación-Asig.Familiar</v>
          </cell>
          <cell r="H154" t="str">
            <v>Balance</v>
          </cell>
          <cell r="I154" t="str">
            <v>I. Activos</v>
          </cell>
          <cell r="J154" t="str">
            <v>1. Activos corrientes</v>
          </cell>
          <cell r="K154" t="str">
            <v>4. Deudores Comerciales y otras cuentas por cobrar, corrientes</v>
          </cell>
          <cell r="L154" t="str">
            <v>A. corrtes. distintos de A. para su disposición clasif. para venta o distrib. a propiet.</v>
          </cell>
          <cell r="U154" t="str">
            <v>4. Deudores Comerciales y otras cuentas por cobrar, corrientes</v>
          </cell>
          <cell r="AG154" t="str">
            <v>Deudores varios</v>
          </cell>
          <cell r="AH154" t="str">
            <v>I. Activos de los segmentos</v>
          </cell>
        </row>
        <row r="155">
          <cell r="D155" t="str">
            <v>1006100061</v>
          </cell>
          <cell r="E155" t="str">
            <v>1006100061</v>
          </cell>
          <cell r="F155" t="str">
            <v>Asignacion Familiar Ley 19.170</v>
          </cell>
          <cell r="G155" t="str">
            <v>1006100061  Asignacion Familiar Ley 19.170</v>
          </cell>
          <cell r="H155" t="str">
            <v>Balance</v>
          </cell>
          <cell r="I155" t="str">
            <v>I. Activos</v>
          </cell>
          <cell r="J155" t="str">
            <v>1. Activos corrientes</v>
          </cell>
          <cell r="K155" t="str">
            <v>4. Deudores Comerciales y otras cuentas por cobrar, corrientes</v>
          </cell>
          <cell r="L155" t="str">
            <v>A. corrtes. distintos de A. para su disposición clasif. para venta o distrib. a propiet.</v>
          </cell>
          <cell r="U155" t="str">
            <v>4. Deudores Comerciales y otras cuentas por cobrar, corrientes</v>
          </cell>
          <cell r="AG155" t="str">
            <v>Deudores varios</v>
          </cell>
          <cell r="AH155" t="str">
            <v>I. Activos de los segmentos</v>
          </cell>
        </row>
        <row r="156">
          <cell r="D156" t="str">
            <v>1006100070</v>
          </cell>
          <cell r="E156" t="str">
            <v>1006100070</v>
          </cell>
          <cell r="F156" t="str">
            <v>Subsidios Por Cobrar A Isapres(Sil)</v>
          </cell>
          <cell r="G156" t="str">
            <v>1006100070  Subsidios Por Cobrar A Isapres(Sil)</v>
          </cell>
          <cell r="H156" t="str">
            <v>Balance</v>
          </cell>
          <cell r="I156" t="str">
            <v>I. Activos</v>
          </cell>
          <cell r="J156" t="str">
            <v>1. Activos corrientes</v>
          </cell>
          <cell r="K156" t="str">
            <v>4. Deudores Comerciales y otras cuentas por cobrar, corrientes</v>
          </cell>
          <cell r="L156" t="str">
            <v>A. corrtes. distintos de A. para su disposición clasif. para venta o distrib. a propiet.</v>
          </cell>
          <cell r="U156" t="str">
            <v>4. Deudores Comerciales y otras cuentas por cobrar, corrientes</v>
          </cell>
          <cell r="AG156" t="str">
            <v>Deudores varios</v>
          </cell>
          <cell r="AH156" t="str">
            <v>I. Activos de los segmentos</v>
          </cell>
        </row>
        <row r="157">
          <cell r="D157" t="str">
            <v>1006100080</v>
          </cell>
          <cell r="E157" t="str">
            <v>1006100080</v>
          </cell>
          <cell r="F157" t="str">
            <v>Reparo De Remesas Y Faltantes Doctos.De Caja</v>
          </cell>
          <cell r="G157" t="str">
            <v>1006100080  Reparo De Remesas Y Faltantes Doctos.De Caja</v>
          </cell>
          <cell r="H157" t="str">
            <v>Balance</v>
          </cell>
          <cell r="I157" t="str">
            <v>I. Activos</v>
          </cell>
          <cell r="J157" t="str">
            <v>1. Activos corrientes</v>
          </cell>
          <cell r="K157" t="str">
            <v>4. Deudores Comerciales y otras cuentas por cobrar, corrientes</v>
          </cell>
          <cell r="L157" t="str">
            <v>A. corrtes. distintos de A. para su disposición clasif. para venta o distrib. a propiet.</v>
          </cell>
          <cell r="U157" t="str">
            <v>4. Deudores Comerciales y otras cuentas por cobrar, corrientes</v>
          </cell>
          <cell r="AG157" t="str">
            <v>Deudores varios</v>
          </cell>
          <cell r="AH157" t="str">
            <v>I. Activos de los segmentos</v>
          </cell>
        </row>
        <row r="158">
          <cell r="D158" t="str">
            <v>1006100090</v>
          </cell>
          <cell r="E158" t="str">
            <v>1006100090</v>
          </cell>
          <cell r="F158" t="str">
            <v>Depositos Por Asignar</v>
          </cell>
          <cell r="G158" t="str">
            <v>1006100090  Depositos Por Asignar</v>
          </cell>
          <cell r="H158" t="str">
            <v>Balance</v>
          </cell>
          <cell r="I158" t="str">
            <v>I. Activos</v>
          </cell>
          <cell r="J158" t="str">
            <v>1. Activos corrientes</v>
          </cell>
          <cell r="K158" t="str">
            <v>4. Deudores Comerciales y otras cuentas por cobrar, corrientes</v>
          </cell>
          <cell r="L158" t="str">
            <v>A. corrtes. distintos de A. para su disposición clasif. para venta o distrib. a propiet.</v>
          </cell>
          <cell r="U158" t="str">
            <v>4. Deudores Comerciales y otras cuentas por cobrar, corrientes</v>
          </cell>
          <cell r="AG158" t="str">
            <v>Deudores varios</v>
          </cell>
          <cell r="AH158" t="str">
            <v>I. Activos de los segmentos</v>
          </cell>
        </row>
        <row r="159">
          <cell r="D159" t="str">
            <v>1006100100</v>
          </cell>
          <cell r="E159" t="str">
            <v>1006100100</v>
          </cell>
          <cell r="F159" t="str">
            <v>Fondos Por Cobrar Empresa Portuaria Arica</v>
          </cell>
          <cell r="G159" t="str">
            <v>1006100100  Fondos Por Cobrar Empresa Portuaria Arica</v>
          </cell>
          <cell r="H159" t="str">
            <v>Balance</v>
          </cell>
          <cell r="I159" t="str">
            <v>I. Activos</v>
          </cell>
          <cell r="J159" t="str">
            <v>1. Activos corrientes</v>
          </cell>
          <cell r="K159" t="str">
            <v>4. Deudores Comerciales y otras cuentas por cobrar, corrientes</v>
          </cell>
          <cell r="L159" t="str">
            <v>A. corrtes. distintos de A. para su disposición clasif. para venta o distrib. a propiet.</v>
          </cell>
          <cell r="U159" t="str">
            <v>4. Deudores Comerciales y otras cuentas por cobrar, corrientes</v>
          </cell>
          <cell r="AG159" t="str">
            <v>Deudores varios</v>
          </cell>
          <cell r="AH159" t="str">
            <v>I. Activos de los segmentos</v>
          </cell>
        </row>
        <row r="160">
          <cell r="D160" t="str">
            <v>1006100101</v>
          </cell>
          <cell r="E160" t="str">
            <v>1006100101</v>
          </cell>
          <cell r="F160" t="str">
            <v>Anticipo A Proveedores</v>
          </cell>
          <cell r="G160" t="str">
            <v>1006100101  Anticipo A Proveedores</v>
          </cell>
          <cell r="H160" t="str">
            <v>Balance</v>
          </cell>
          <cell r="I160" t="str">
            <v>I. Activos</v>
          </cell>
          <cell r="J160" t="str">
            <v>1. Activos corrientes</v>
          </cell>
          <cell r="K160" t="str">
            <v>4. Deudores Comerciales y otras cuentas por cobrar, corrientes</v>
          </cell>
          <cell r="L160" t="str">
            <v>A. corrtes. distintos de A. para su disposición clasif. para venta o distrib. a propiet.</v>
          </cell>
          <cell r="U160" t="str">
            <v>4. Deudores Comerciales y otras cuentas por cobrar, corrientes</v>
          </cell>
          <cell r="AG160" t="str">
            <v>Deudores varios</v>
          </cell>
          <cell r="AH160" t="str">
            <v>I. Activos de los segmentos</v>
          </cell>
        </row>
        <row r="161">
          <cell r="D161" t="str">
            <v>1006100120</v>
          </cell>
          <cell r="E161" t="str">
            <v>1006100120</v>
          </cell>
          <cell r="F161" t="str">
            <v>Cta.Cte. Mercantil Intereses</v>
          </cell>
          <cell r="G161" t="str">
            <v>1006100120  Cta.Cte. Mercantil Intereses</v>
          </cell>
          <cell r="H161" t="str">
            <v>Balance</v>
          </cell>
          <cell r="I161" t="str">
            <v>I. Activos</v>
          </cell>
          <cell r="J161" t="str">
            <v>1. Activos corrientes</v>
          </cell>
          <cell r="K161" t="str">
            <v>4. Deudores Comerciales y otras cuentas por cobrar, corrientes</v>
          </cell>
          <cell r="L161" t="str">
            <v>A. corrtes. distintos de A. para su disposición clasif. para venta o distrib. a propiet.</v>
          </cell>
          <cell r="U161" t="str">
            <v>4. Deudores Comerciales y otras cuentas por cobrar, corrientes</v>
          </cell>
          <cell r="AG161" t="str">
            <v>Deudores varios</v>
          </cell>
          <cell r="AH161" t="str">
            <v>I. Activos de los segmentos</v>
          </cell>
        </row>
        <row r="162">
          <cell r="D162" t="str">
            <v>1011100050</v>
          </cell>
          <cell r="E162" t="str">
            <v>1011100050</v>
          </cell>
          <cell r="F162" t="str">
            <v>Dif.Moneda Deudores C.Plazo</v>
          </cell>
          <cell r="G162" t="str">
            <v>1011100050  Dif.Moneda Deudores C.Plazo</v>
          </cell>
          <cell r="H162" t="str">
            <v>Balance</v>
          </cell>
          <cell r="I162" t="str">
            <v>I. Activos</v>
          </cell>
          <cell r="J162" t="str">
            <v>1. Activos corrientes</v>
          </cell>
          <cell r="K162" t="str">
            <v>4. Deudores Comerciales y otras cuentas por cobrar, corrientes</v>
          </cell>
          <cell r="L162" t="str">
            <v>A. corrtes. distintos de A. para su disposición clasif. para venta o distrib. a propiet.</v>
          </cell>
          <cell r="U162" t="str">
            <v>4. Deudores Comerciales y otras cuentas por cobrar, corrientes</v>
          </cell>
          <cell r="AG162" t="str">
            <v>Deudores varios</v>
          </cell>
          <cell r="AH162" t="str">
            <v>I. Activos de los segmentos</v>
          </cell>
        </row>
        <row r="163">
          <cell r="D163" t="str">
            <v>2009100040</v>
          </cell>
          <cell r="E163" t="str">
            <v>2009100040</v>
          </cell>
          <cell r="F163" t="str">
            <v>Estimación Deudas Incobrables De Corto Plazo</v>
          </cell>
          <cell r="G163" t="str">
            <v>2009100040  Estimación Deudas Incobrables De Corto Plazo</v>
          </cell>
          <cell r="H163" t="str">
            <v>Balance</v>
          </cell>
          <cell r="I163" t="str">
            <v>I. Activos</v>
          </cell>
          <cell r="J163" t="str">
            <v>1. Activos corrientes</v>
          </cell>
          <cell r="K163" t="str">
            <v>4. Deudores Comerciales y otras cuentas por cobrar, corrientes</v>
          </cell>
          <cell r="L163" t="str">
            <v>A. corrtes. distintos de A. para su disposición clasif. para venta o distrib. a propiet.</v>
          </cell>
          <cell r="U163" t="str">
            <v>4. Deudores Comerciales y otras cuentas por cobrar, corrientes</v>
          </cell>
          <cell r="AG163" t="str">
            <v>Provision deudores incobrables</v>
          </cell>
          <cell r="AH163" t="str">
            <v>I. Activos de los segmentos</v>
          </cell>
        </row>
        <row r="164">
          <cell r="D164" t="str">
            <v>2009100050</v>
          </cell>
          <cell r="E164" t="str">
            <v>2009100050</v>
          </cell>
          <cell r="F164" t="str">
            <v>Est. Deudas Incob.Deudores Varios C.Plazo</v>
          </cell>
          <cell r="G164" t="str">
            <v>2009100050  Est. Deudas Incob.Deudores Varios C.Plazo</v>
          </cell>
          <cell r="H164" t="str">
            <v>Balance</v>
          </cell>
          <cell r="I164" t="str">
            <v>I. Activos</v>
          </cell>
          <cell r="J164" t="str">
            <v>1. Activos corrientes</v>
          </cell>
          <cell r="K164" t="str">
            <v>4. Deudores Comerciales y otras cuentas por cobrar, corrientes</v>
          </cell>
          <cell r="L164" t="str">
            <v>A. corrtes. distintos de A. para su disposición clasif. para venta o distrib. a propiet.</v>
          </cell>
          <cell r="U164" t="str">
            <v>4. Deudores Comerciales y otras cuentas por cobrar, corrientes</v>
          </cell>
          <cell r="AG164" t="str">
            <v>Provision deudores incobrables</v>
          </cell>
          <cell r="AH164" t="str">
            <v>I. Activos de los segmentos</v>
          </cell>
        </row>
        <row r="165">
          <cell r="D165" t="str">
            <v>2026100100</v>
          </cell>
          <cell r="E165" t="str">
            <v>2026100100</v>
          </cell>
          <cell r="F165" t="str">
            <v>Provisiones Doctos X Cobrar C/P</v>
          </cell>
          <cell r="G165" t="str">
            <v>2026100100  Provisiones Doctos X Cobrar C/P</v>
          </cell>
          <cell r="H165" t="str">
            <v>Balance</v>
          </cell>
          <cell r="I165" t="str">
            <v>I. Activos</v>
          </cell>
          <cell r="J165" t="str">
            <v>1. Activos corrientes</v>
          </cell>
          <cell r="K165" t="str">
            <v>4. Deudores Comerciales y otras cuentas por cobrar, corrientes</v>
          </cell>
          <cell r="L165" t="str">
            <v>A. corrtes. distintos de A. para su disposición clasif. para venta o distrib. a propiet.</v>
          </cell>
          <cell r="U165" t="str">
            <v>4. Deudores Comerciales y otras cuentas por cobrar, corrientes</v>
          </cell>
          <cell r="AG165" t="str">
            <v>Provision deudores incobrables</v>
          </cell>
          <cell r="AH165" t="str">
            <v>I. Activos de los segmentos</v>
          </cell>
        </row>
        <row r="166">
          <cell r="D166" t="str">
            <v>1007100030</v>
          </cell>
          <cell r="E166" t="str">
            <v>1007100030</v>
          </cell>
          <cell r="F166" t="str">
            <v>Isapre Ferrosalud S.A De Corto Plazo</v>
          </cell>
          <cell r="G166" t="str">
            <v>1007100030  Isapre Ferrosalud S.A De Corto Plazo</v>
          </cell>
          <cell r="H166" t="str">
            <v>Balance</v>
          </cell>
          <cell r="I166" t="str">
            <v>I. Activos</v>
          </cell>
          <cell r="J166" t="str">
            <v>1. Activos corrientes</v>
          </cell>
          <cell r="K166" t="str">
            <v>4. Deudores Comerciales y otras cuentas por cobrar, corrientes</v>
          </cell>
          <cell r="L166" t="str">
            <v>A. corrtes. distintos de A. para su disposición clasif. para venta o distrib. a propiet.</v>
          </cell>
          <cell r="U166" t="str">
            <v>4. Deudores Comerciales y otras cuentas por cobrar, corrientes</v>
          </cell>
          <cell r="AG166" t="str">
            <v>Deudores varios</v>
          </cell>
          <cell r="AH166" t="str">
            <v>I. Activos de los segmentos</v>
          </cell>
        </row>
        <row r="167">
          <cell r="D167" t="str">
            <v>1008100010</v>
          </cell>
          <cell r="E167" t="str">
            <v>1008100010</v>
          </cell>
          <cell r="F167" t="str">
            <v>Iva Crédito Fiscal</v>
          </cell>
          <cell r="G167" t="str">
            <v>1008100010  Iva Crédito Fiscal</v>
          </cell>
          <cell r="H167" t="str">
            <v>Balance</v>
          </cell>
          <cell r="I167" t="str">
            <v>I. Activos</v>
          </cell>
          <cell r="J167" t="str">
            <v>1. Activos corrientes</v>
          </cell>
          <cell r="K167" t="str">
            <v>4. Deudores Comerciales y otras cuentas por cobrar, corrientes</v>
          </cell>
          <cell r="L167" t="str">
            <v>A. corrtes. distintos de A. para su disposición clasif. para venta o distrib. a propiet.</v>
          </cell>
          <cell r="U167" t="str">
            <v>4. Deudores Comerciales y otras cuentas por cobrar, corrientes</v>
          </cell>
          <cell r="AH167" t="str">
            <v>I. Activos de los segmentos</v>
          </cell>
        </row>
        <row r="168">
          <cell r="D168" t="str">
            <v>1008100030</v>
          </cell>
          <cell r="E168" t="str">
            <v>1008100030</v>
          </cell>
          <cell r="F168" t="str">
            <v>Iva Crédito Proporcional</v>
          </cell>
          <cell r="G168" t="str">
            <v>1008100030  Iva Crédito Proporcional</v>
          </cell>
          <cell r="H168" t="str">
            <v>Balance</v>
          </cell>
          <cell r="I168" t="str">
            <v>I. Activos</v>
          </cell>
          <cell r="J168" t="str">
            <v>1. Activos corrientes</v>
          </cell>
          <cell r="K168" t="str">
            <v>4. Deudores Comerciales y otras cuentas por cobrar, corrientes</v>
          </cell>
          <cell r="L168" t="str">
            <v>A. corrtes. distintos de A. para su disposición clasif. para venta o distrib. a propiet.</v>
          </cell>
          <cell r="U168" t="str">
            <v>4. Deudores Comerciales y otras cuentas por cobrar, corrientes</v>
          </cell>
          <cell r="AH168" t="str">
            <v>I. Activos de los segmentos</v>
          </cell>
        </row>
        <row r="169">
          <cell r="D169" t="str">
            <v>1008200020</v>
          </cell>
          <cell r="E169" t="str">
            <v>1008200020</v>
          </cell>
          <cell r="F169" t="str">
            <v>Remanente Crédito Por Recuperar</v>
          </cell>
          <cell r="G169" t="str">
            <v>1008200020  Remanente Crédito Por Recuperar</v>
          </cell>
          <cell r="H169" t="str">
            <v>Balance</v>
          </cell>
          <cell r="I169" t="str">
            <v>I. Activos</v>
          </cell>
          <cell r="J169" t="str">
            <v>1. Activos corrientes</v>
          </cell>
          <cell r="K169" t="str">
            <v>4. Deudores Comerciales y otras cuentas por cobrar, corrientes</v>
          </cell>
          <cell r="L169" t="str">
            <v>A. corrtes. distintos de A. para su disposición clasif. para venta o distrib. a propiet.</v>
          </cell>
          <cell r="U169" t="str">
            <v>4. Deudores Comerciales y otras cuentas por cobrar, corrientes</v>
          </cell>
          <cell r="AH169" t="str">
            <v>I. Activos de los segmentos</v>
          </cell>
        </row>
        <row r="170">
          <cell r="D170" t="str">
            <v>1009100040</v>
          </cell>
          <cell r="E170" t="str">
            <v>1009100040</v>
          </cell>
          <cell r="F170" t="str">
            <v>Gastos Anticipado</v>
          </cell>
          <cell r="G170" t="str">
            <v>1009100040  Gastos Anticipado</v>
          </cell>
          <cell r="H170" t="str">
            <v>Balance</v>
          </cell>
          <cell r="I170" t="str">
            <v>I. Activos</v>
          </cell>
          <cell r="J170" t="str">
            <v>1. Activos corrientes</v>
          </cell>
          <cell r="K170" t="str">
            <v>4. Deudores Comerciales y otras cuentas por cobrar, corrientes</v>
          </cell>
          <cell r="L170" t="str">
            <v>A. corrtes. distintos de A. para su disposición clasif. para venta o distrib. a propiet.</v>
          </cell>
          <cell r="U170" t="str">
            <v>4. Deudores Comerciales y otras cuentas por cobrar, corrientes</v>
          </cell>
          <cell r="AH170" t="str">
            <v>I. Activos de los segmentos</v>
          </cell>
        </row>
        <row r="171">
          <cell r="D171" t="str">
            <v>1008100050</v>
          </cell>
          <cell r="E171" t="str">
            <v>1008100050</v>
          </cell>
          <cell r="F171" t="str">
            <v>Retención de imptos. efectuados por la Tesorería Gral. de la Rep.</v>
          </cell>
          <cell r="G171" t="str">
            <v>1008100050  Retención de imptos. efectuados por la Tesorería Gral. de la Rep.</v>
          </cell>
          <cell r="H171" t="str">
            <v>Balance</v>
          </cell>
          <cell r="I171" t="str">
            <v>I. Activos</v>
          </cell>
          <cell r="J171" t="str">
            <v>1. Activos corrientes</v>
          </cell>
          <cell r="K171" t="str">
            <v>4. Deudores Comerciales y otras cuentas por cobrar, corrientes</v>
          </cell>
          <cell r="L171" t="str">
            <v>A. corrtes. distintos de A. para su disposición clasif. para venta o distrib. a propiet.</v>
          </cell>
          <cell r="U171" t="str">
            <v>4. Deudores Comerciales y otras cuentas por cobrar, corrientes</v>
          </cell>
          <cell r="AH171" t="str">
            <v>I. Activos de los segmentos</v>
          </cell>
        </row>
        <row r="172">
          <cell r="D172">
            <v>0</v>
          </cell>
          <cell r="G172" t="str">
            <v/>
          </cell>
          <cell r="H172" t="str">
            <v>Balance</v>
          </cell>
          <cell r="I172" t="str">
            <v>I. Activos</v>
          </cell>
          <cell r="J172" t="str">
            <v>1. Activos corrientes</v>
          </cell>
          <cell r="K172" t="str">
            <v>4. Deudores Comerciales y otras cuentas por cobrar, corrientes</v>
          </cell>
          <cell r="L172" t="str">
            <v>A. corrtes. distintos de A. para su disposición clasif. para venta o distrib. a propiet.</v>
          </cell>
          <cell r="U172" t="str">
            <v>4. Deudores Comerciales y otras cuentas por cobrar, corrientes</v>
          </cell>
          <cell r="AH172" t="str">
            <v>I. Activos de los segmentos</v>
          </cell>
        </row>
        <row r="173">
          <cell r="D173">
            <v>0</v>
          </cell>
          <cell r="G173" t="str">
            <v/>
          </cell>
          <cell r="H173" t="str">
            <v>Balance</v>
          </cell>
          <cell r="I173" t="str">
            <v>I. Activos</v>
          </cell>
          <cell r="J173" t="str">
            <v>1. Activos corrientes</v>
          </cell>
          <cell r="K173" t="str">
            <v>4. Deudores Comerciales y otras cuentas por cobrar, corrientes</v>
          </cell>
          <cell r="L173" t="str">
            <v>A. corrtes. distintos de A. para su disposición clasif. para venta o distrib. a propiet.</v>
          </cell>
          <cell r="U173" t="str">
            <v>4. Deudores Comerciales y otras cuentas por cobrar, corrientes</v>
          </cell>
          <cell r="AH173" t="str">
            <v>I. Activos de los segmentos</v>
          </cell>
        </row>
        <row r="174">
          <cell r="D174">
            <v>0</v>
          </cell>
          <cell r="G174" t="str">
            <v/>
          </cell>
          <cell r="H174" t="str">
            <v>Balance</v>
          </cell>
          <cell r="I174" t="str">
            <v>I. Activos</v>
          </cell>
          <cell r="J174" t="str">
            <v>1. Activos corrientes</v>
          </cell>
          <cell r="K174" t="str">
            <v>4. Deudores Comerciales y otras cuentas por cobrar, corrientes</v>
          </cell>
          <cell r="L174" t="str">
            <v>A. corrtes. distintos de A. para su disposición clasif. para venta o distrib. a propiet.</v>
          </cell>
          <cell r="U174" t="str">
            <v>4. Deudores Comerciales y otras cuentas por cobrar, corrientes</v>
          </cell>
          <cell r="AH174" t="str">
            <v>I. Activos de los segmentos</v>
          </cell>
        </row>
        <row r="175">
          <cell r="D175">
            <v>0</v>
          </cell>
          <cell r="F175" t="str">
            <v>Deudores Comerciales Y Otras Cuentas Por Cobrar Corrientes</v>
          </cell>
          <cell r="G175" t="str">
            <v/>
          </cell>
          <cell r="H175" t="str">
            <v/>
          </cell>
          <cell r="AG175" t="str">
            <v/>
          </cell>
          <cell r="AH175" t="str">
            <v/>
          </cell>
        </row>
        <row r="176">
          <cell r="D176">
            <v>0</v>
          </cell>
          <cell r="G176" t="str">
            <v/>
          </cell>
          <cell r="H176" t="str">
            <v/>
          </cell>
          <cell r="AG176" t="str">
            <v/>
          </cell>
          <cell r="AH176" t="str">
            <v/>
          </cell>
        </row>
        <row r="177">
          <cell r="D177" t="str">
            <v>1007100151</v>
          </cell>
          <cell r="E177" t="str">
            <v>1007100151</v>
          </cell>
          <cell r="F177" t="str">
            <v>Cta. Cte. Mercantil INVIA</v>
          </cell>
          <cell r="G177" t="str">
            <v>1007100151  Cta. Cte. Mercantil INVIA</v>
          </cell>
          <cell r="H177" t="str">
            <v>Balance</v>
          </cell>
          <cell r="I177" t="str">
            <v>I. Activos</v>
          </cell>
          <cell r="J177" t="str">
            <v>1. Activos corrientes</v>
          </cell>
          <cell r="K177" t="str">
            <v>5. Cuentas por Cobrar a Entidades Relacionadas, corrientes</v>
          </cell>
          <cell r="L177" t="str">
            <v>A. corrtes. distintos de A. para su disposición clasif. para venta o distrib. a propiet.</v>
          </cell>
          <cell r="U177" t="str">
            <v>5. Cuentas por Cobrar a Entidades Relacionadas, corrientes</v>
          </cell>
          <cell r="AH177" t="str">
            <v>I. Activos de los segmentos</v>
          </cell>
        </row>
        <row r="178">
          <cell r="D178" t="str">
            <v>1007100152</v>
          </cell>
          <cell r="E178" t="str">
            <v>1007100152</v>
          </cell>
          <cell r="F178" t="str">
            <v>Cta. Cte. Mercantil Intereses INVIA</v>
          </cell>
          <cell r="G178" t="str">
            <v>1007100152  Cta. Cte. Mercantil Intereses INVIA</v>
          </cell>
          <cell r="H178" t="str">
            <v>Balance</v>
          </cell>
          <cell r="I178" t="str">
            <v>I. Activos</v>
          </cell>
          <cell r="J178" t="str">
            <v>1. Activos corrientes</v>
          </cell>
          <cell r="K178" t="str">
            <v>5. Cuentas por Cobrar a Entidades Relacionadas, corrientes</v>
          </cell>
          <cell r="L178" t="str">
            <v>A. corrtes. distintos de A. para su disposición clasif. para venta o distrib. a propiet.</v>
          </cell>
          <cell r="U178" t="str">
            <v>5. Cuentas por Cobrar a Entidades Relacionadas, corrientes</v>
          </cell>
          <cell r="AH178" t="str">
            <v>I. Activos de los segmentos</v>
          </cell>
        </row>
        <row r="179">
          <cell r="D179" t="str">
            <v>1007100153</v>
          </cell>
          <cell r="E179" t="str">
            <v>1007100153</v>
          </cell>
          <cell r="F179" t="str">
            <v>Cta. Cte. Mercantil EFE (invia)</v>
          </cell>
          <cell r="G179" t="str">
            <v>1007100153  Cta. Cte. Mercantil EFE (invia)</v>
          </cell>
          <cell r="H179" t="str">
            <v>Balance</v>
          </cell>
          <cell r="I179" t="str">
            <v>I. Activos</v>
          </cell>
          <cell r="J179" t="str">
            <v>1. Activos corrientes</v>
          </cell>
          <cell r="K179" t="str">
            <v>5. Cuentas por Cobrar a Entidades Relacionadas, corrientes</v>
          </cell>
          <cell r="L179" t="str">
            <v>A. corrtes. distintos de A. para su disposición clasif. para venta o distrib. a propiet.</v>
          </cell>
          <cell r="U179" t="str">
            <v>5. Cuentas por Cobrar a Entidades Relacionadas, corrientes</v>
          </cell>
          <cell r="AH179" t="str">
            <v>I. Activos de los segmentos</v>
          </cell>
        </row>
        <row r="180">
          <cell r="D180" t="str">
            <v>1007100154</v>
          </cell>
          <cell r="E180" t="str">
            <v>1007100154</v>
          </cell>
          <cell r="F180" t="str">
            <v>Cta. Cte. Mercantil Intereses EFE (invia)</v>
          </cell>
          <cell r="G180" t="str">
            <v>1007100154  Cta. Cte. Mercantil Intereses EFE (invia)</v>
          </cell>
          <cell r="H180" t="str">
            <v>Balance</v>
          </cell>
          <cell r="I180" t="str">
            <v>I. Activos</v>
          </cell>
          <cell r="J180" t="str">
            <v>1. Activos corrientes</v>
          </cell>
          <cell r="K180" t="str">
            <v>5. Cuentas por Cobrar a Entidades Relacionadas, corrientes</v>
          </cell>
          <cell r="L180" t="str">
            <v>A. corrtes. distintos de A. para su disposición clasif. para venta o distrib. a propiet.</v>
          </cell>
          <cell r="U180" t="str">
            <v>5. Cuentas por Cobrar a Entidades Relacionadas, corrientes</v>
          </cell>
          <cell r="AH180" t="str">
            <v>I. Activos de los segmentos</v>
          </cell>
        </row>
        <row r="181">
          <cell r="D181" t="str">
            <v>1007100161</v>
          </cell>
          <cell r="E181" t="str">
            <v>1007100161</v>
          </cell>
          <cell r="F181" t="str">
            <v>Cta. Cte. Mercantil MERVAL</v>
          </cell>
          <cell r="G181" t="str">
            <v>1007100161  Cta. Cte. Mercantil MERVAL</v>
          </cell>
          <cell r="H181" t="str">
            <v>Balance</v>
          </cell>
          <cell r="I181" t="str">
            <v>I. Activos</v>
          </cell>
          <cell r="J181" t="str">
            <v>1. Activos corrientes</v>
          </cell>
          <cell r="K181" t="str">
            <v>5. Cuentas por Cobrar a Entidades Relacionadas, corrientes</v>
          </cell>
          <cell r="L181" t="str">
            <v>A. corrtes. distintos de A. para su disposición clasif. para venta o distrib. a propiet.</v>
          </cell>
          <cell r="U181" t="str">
            <v>5. Cuentas por Cobrar a Entidades Relacionadas, corrientes</v>
          </cell>
          <cell r="AH181" t="str">
            <v>I. Activos de los segmentos</v>
          </cell>
        </row>
        <row r="182">
          <cell r="D182" t="str">
            <v>1007100162</v>
          </cell>
          <cell r="E182" t="str">
            <v>1007100162</v>
          </cell>
          <cell r="F182" t="str">
            <v>Cta. Cte. Mercantil Intereses MERVAL</v>
          </cell>
          <cell r="G182" t="str">
            <v>1007100162  Cta. Cte. Mercantil Intereses MERVAL</v>
          </cell>
          <cell r="H182" t="str">
            <v>Balance</v>
          </cell>
          <cell r="I182" t="str">
            <v>I. Activos</v>
          </cell>
          <cell r="J182" t="str">
            <v>1. Activos corrientes</v>
          </cell>
          <cell r="K182" t="str">
            <v>5. Cuentas por Cobrar a Entidades Relacionadas, corrientes</v>
          </cell>
          <cell r="L182" t="str">
            <v>A. corrtes. distintos de A. para su disposición clasif. para venta o distrib. a propiet.</v>
          </cell>
          <cell r="U182" t="str">
            <v>5. Cuentas por Cobrar a Entidades Relacionadas, corrientes</v>
          </cell>
          <cell r="AH182" t="str">
            <v>I. Activos de los segmentos</v>
          </cell>
        </row>
        <row r="183">
          <cell r="D183" t="str">
            <v>1007100163</v>
          </cell>
          <cell r="E183" t="str">
            <v>1007100163</v>
          </cell>
          <cell r="F183" t="str">
            <v>Cta. Cte. Mercantil EFE (merval)</v>
          </cell>
          <cell r="G183" t="str">
            <v>1007100163  Cta. Cte. Mercantil EFE (merval)</v>
          </cell>
          <cell r="H183" t="str">
            <v>Balance</v>
          </cell>
          <cell r="I183" t="str">
            <v>I. Activos</v>
          </cell>
          <cell r="J183" t="str">
            <v>1. Activos corrientes</v>
          </cell>
          <cell r="K183" t="str">
            <v>5. Cuentas por Cobrar a Entidades Relacionadas, corrientes</v>
          </cell>
          <cell r="L183" t="str">
            <v>A. corrtes. distintos de A. para su disposición clasif. para venta o distrib. a propiet.</v>
          </cell>
          <cell r="U183" t="str">
            <v>5. Cuentas por Cobrar a Entidades Relacionadas, corrientes</v>
          </cell>
          <cell r="AH183" t="str">
            <v>I. Activos de los segmentos</v>
          </cell>
        </row>
        <row r="184">
          <cell r="D184" t="str">
            <v>1007100164</v>
          </cell>
          <cell r="E184" t="str">
            <v>1007100164</v>
          </cell>
          <cell r="F184" t="str">
            <v>Cta. Cte. Mercantil Intereses EFE (merval)</v>
          </cell>
          <cell r="G184" t="str">
            <v>1007100164  Cta. Cte. Mercantil Intereses EFE (merval)</v>
          </cell>
          <cell r="H184" t="str">
            <v>Balance</v>
          </cell>
          <cell r="I184" t="str">
            <v>I. Activos</v>
          </cell>
          <cell r="J184" t="str">
            <v>1. Activos corrientes</v>
          </cell>
          <cell r="K184" t="str">
            <v>5. Cuentas por Cobrar a Entidades Relacionadas, corrientes</v>
          </cell>
          <cell r="L184" t="str">
            <v>A. corrtes. distintos de A. para su disposición clasif. para venta o distrib. a propiet.</v>
          </cell>
          <cell r="U184" t="str">
            <v>5. Cuentas por Cobrar a Entidades Relacionadas, corrientes</v>
          </cell>
          <cell r="AH184" t="str">
            <v>I. Activos de los segmentos</v>
          </cell>
        </row>
        <row r="185">
          <cell r="D185" t="str">
            <v>1007100171</v>
          </cell>
          <cell r="E185" t="str">
            <v>1007100171</v>
          </cell>
          <cell r="F185" t="str">
            <v>Cta. Cte. Mercantil FESUB</v>
          </cell>
          <cell r="G185" t="str">
            <v>1007100171  Cta. Cte. Mercantil FESUB</v>
          </cell>
          <cell r="H185" t="str">
            <v>Balance</v>
          </cell>
          <cell r="I185" t="str">
            <v>I. Activos</v>
          </cell>
          <cell r="J185" t="str">
            <v>1. Activos corrientes</v>
          </cell>
          <cell r="K185" t="str">
            <v>5. Cuentas por Cobrar a Entidades Relacionadas, corrientes</v>
          </cell>
          <cell r="L185" t="str">
            <v>A. corrtes. distintos de A. para su disposición clasif. para venta o distrib. a propiet.</v>
          </cell>
          <cell r="U185" t="str">
            <v>5. Cuentas por Cobrar a Entidades Relacionadas, corrientes</v>
          </cell>
          <cell r="AH185" t="str">
            <v>I. Activos de los segmentos</v>
          </cell>
        </row>
        <row r="186">
          <cell r="D186" t="str">
            <v>1007100172</v>
          </cell>
          <cell r="E186" t="str">
            <v>1007100172</v>
          </cell>
          <cell r="F186" t="str">
            <v>Cta. Cte. Mercantil Intereses FESUB</v>
          </cell>
          <cell r="G186" t="str">
            <v>1007100172  Cta. Cte. Mercantil Intereses FESUB</v>
          </cell>
          <cell r="H186" t="str">
            <v>Balance</v>
          </cell>
          <cell r="I186" t="str">
            <v>I. Activos</v>
          </cell>
          <cell r="J186" t="str">
            <v>1. Activos corrientes</v>
          </cell>
          <cell r="K186" t="str">
            <v>5. Cuentas por Cobrar a Entidades Relacionadas, corrientes</v>
          </cell>
          <cell r="L186" t="str">
            <v>A. corrtes. distintos de A. para su disposición clasif. para venta o distrib. a propiet.</v>
          </cell>
          <cell r="U186" t="str">
            <v>5. Cuentas por Cobrar a Entidades Relacionadas, corrientes</v>
          </cell>
          <cell r="AH186" t="str">
            <v>I. Activos de los segmentos</v>
          </cell>
        </row>
        <row r="187">
          <cell r="D187" t="str">
            <v>1007100173</v>
          </cell>
          <cell r="E187" t="str">
            <v>1007100173</v>
          </cell>
          <cell r="F187" t="str">
            <v>Cta. Cte. Mercantil EFE (fesub)</v>
          </cell>
          <cell r="G187" t="str">
            <v>1007100173  Cta. Cte. Mercantil EFE (fesub)</v>
          </cell>
          <cell r="H187" t="str">
            <v>Balance</v>
          </cell>
          <cell r="I187" t="str">
            <v>I. Activos</v>
          </cell>
          <cell r="J187" t="str">
            <v>1. Activos corrientes</v>
          </cell>
          <cell r="K187" t="str">
            <v>5. Cuentas por Cobrar a Entidades Relacionadas, corrientes</v>
          </cell>
          <cell r="L187" t="str">
            <v>A. corrtes. distintos de A. para su disposición clasif. para venta o distrib. a propiet.</v>
          </cell>
          <cell r="U187" t="str">
            <v>5. Cuentas por Cobrar a Entidades Relacionadas, corrientes</v>
          </cell>
          <cell r="AH187" t="str">
            <v>I. Activos de los segmentos</v>
          </cell>
        </row>
        <row r="188">
          <cell r="D188" t="str">
            <v>1007100174</v>
          </cell>
          <cell r="E188" t="str">
            <v>1007100174</v>
          </cell>
          <cell r="F188" t="str">
            <v>Cta. Cte. Mercantil Intereses EFE (fesub)</v>
          </cell>
          <cell r="G188" t="str">
            <v>1007100174  Cta. Cte. Mercantil Intereses EFE (fesub)</v>
          </cell>
          <cell r="H188" t="str">
            <v>Balance</v>
          </cell>
          <cell r="I188" t="str">
            <v>I. Activos</v>
          </cell>
          <cell r="J188" t="str">
            <v>1. Activos corrientes</v>
          </cell>
          <cell r="K188" t="str">
            <v>5. Cuentas por Cobrar a Entidades Relacionadas, corrientes</v>
          </cell>
          <cell r="L188" t="str">
            <v>A. corrtes. distintos de A. para su disposición clasif. para venta o distrib. a propiet.</v>
          </cell>
          <cell r="U188" t="str">
            <v>5. Cuentas por Cobrar a Entidades Relacionadas, corrientes</v>
          </cell>
          <cell r="AH188" t="str">
            <v>I. Activos de los segmentos</v>
          </cell>
        </row>
        <row r="189">
          <cell r="D189" t="str">
            <v>1007100181</v>
          </cell>
          <cell r="E189" t="str">
            <v>1007100181</v>
          </cell>
          <cell r="F189" t="str">
            <v>Cta. Cte. Mercantil TERRA</v>
          </cell>
          <cell r="G189" t="str">
            <v>1007100181  Cta. Cte. Mercantil TERRA</v>
          </cell>
          <cell r="H189" t="str">
            <v>Balance</v>
          </cell>
          <cell r="I189" t="str">
            <v>I. Activos</v>
          </cell>
          <cell r="J189" t="str">
            <v>1. Activos corrientes</v>
          </cell>
          <cell r="K189" t="str">
            <v>5. Cuentas por Cobrar a Entidades Relacionadas, corrientes</v>
          </cell>
          <cell r="L189" t="str">
            <v>A. corrtes. distintos de A. para su disposición clasif. para venta o distrib. a propiet.</v>
          </cell>
          <cell r="U189" t="str">
            <v>5. Cuentas por Cobrar a Entidades Relacionadas, corrientes</v>
          </cell>
          <cell r="AH189" t="str">
            <v>I. Activos de los segmentos</v>
          </cell>
        </row>
        <row r="190">
          <cell r="D190" t="str">
            <v>1007100182</v>
          </cell>
          <cell r="E190" t="str">
            <v>1007100182</v>
          </cell>
          <cell r="F190" t="str">
            <v>Cta. Cte. Mercantil Intereses TERRA</v>
          </cell>
          <cell r="G190" t="str">
            <v>1007100182  Cta. Cte. Mercantil Intereses TERRA</v>
          </cell>
          <cell r="H190" t="str">
            <v>Balance</v>
          </cell>
          <cell r="I190" t="str">
            <v>I. Activos</v>
          </cell>
          <cell r="J190" t="str">
            <v>1. Activos corrientes</v>
          </cell>
          <cell r="K190" t="str">
            <v>5. Cuentas por Cobrar a Entidades Relacionadas, corrientes</v>
          </cell>
          <cell r="L190" t="str">
            <v>A. corrtes. distintos de A. para su disposición clasif. para venta o distrib. a propiet.</v>
          </cell>
          <cell r="U190" t="str">
            <v>5. Cuentas por Cobrar a Entidades Relacionadas, corrientes</v>
          </cell>
          <cell r="AH190" t="str">
            <v>I. Activos de los segmentos</v>
          </cell>
        </row>
        <row r="191">
          <cell r="D191" t="str">
            <v>1007100183</v>
          </cell>
          <cell r="E191" t="str">
            <v>1007100183</v>
          </cell>
          <cell r="F191" t="str">
            <v>Cta. Cte. Mercantil EFE (terra)</v>
          </cell>
          <cell r="G191" t="str">
            <v>1007100183  Cta. Cte. Mercantil EFE (terra)</v>
          </cell>
          <cell r="H191" t="str">
            <v>Balance</v>
          </cell>
          <cell r="I191" t="str">
            <v>I. Activos</v>
          </cell>
          <cell r="J191" t="str">
            <v>1. Activos corrientes</v>
          </cell>
          <cell r="K191" t="str">
            <v>5. Cuentas por Cobrar a Entidades Relacionadas, corrientes</v>
          </cell>
          <cell r="L191" t="str">
            <v>A. corrtes. distintos de A. para su disposición clasif. para venta o distrib. a propiet.</v>
          </cell>
          <cell r="U191" t="str">
            <v>5. Cuentas por Cobrar a Entidades Relacionadas, corrientes</v>
          </cell>
          <cell r="AH191" t="str">
            <v>I. Activos de los segmentos</v>
          </cell>
        </row>
        <row r="192">
          <cell r="D192" t="str">
            <v>1007100184</v>
          </cell>
          <cell r="E192" t="str">
            <v>1007100184</v>
          </cell>
          <cell r="F192" t="str">
            <v>Cta. Cte. Mercantil Intereses EFE (terra)</v>
          </cell>
          <cell r="G192" t="str">
            <v>1007100184  Cta. Cte. Mercantil Intereses EFE (terra)</v>
          </cell>
          <cell r="H192" t="str">
            <v>Balance</v>
          </cell>
          <cell r="I192" t="str">
            <v>I. Activos</v>
          </cell>
          <cell r="J192" t="str">
            <v>1. Activos corrientes</v>
          </cell>
          <cell r="K192" t="str">
            <v>5. Cuentas por Cobrar a Entidades Relacionadas, corrientes</v>
          </cell>
          <cell r="L192" t="str">
            <v>A. corrtes. distintos de A. para su disposición clasif. para venta o distrib. a propiet.</v>
          </cell>
          <cell r="U192" t="str">
            <v>5. Cuentas por Cobrar a Entidades Relacionadas, corrientes</v>
          </cell>
          <cell r="AH192" t="str">
            <v>I. Activos de los segmentos</v>
          </cell>
        </row>
        <row r="193">
          <cell r="D193" t="str">
            <v>1007100191</v>
          </cell>
          <cell r="E193" t="str">
            <v>1007100191</v>
          </cell>
          <cell r="F193" t="str">
            <v>Cta. Cte. Mercantil TMSA</v>
          </cell>
          <cell r="G193" t="str">
            <v>1007100191  Cta. Cte. Mercantil TMSA</v>
          </cell>
          <cell r="H193" t="str">
            <v>Balance</v>
          </cell>
          <cell r="I193" t="str">
            <v>I. Activos</v>
          </cell>
          <cell r="J193" t="str">
            <v>1. Activos corrientes</v>
          </cell>
          <cell r="K193" t="str">
            <v>5. Cuentas por Cobrar a Entidades Relacionadas, corrientes</v>
          </cell>
          <cell r="L193" t="str">
            <v>A. corrtes. distintos de A. para su disposición clasif. para venta o distrib. a propiet.</v>
          </cell>
          <cell r="U193" t="str">
            <v>5. Cuentas por Cobrar a Entidades Relacionadas, corrientes</v>
          </cell>
          <cell r="AH193" t="str">
            <v>I. Activos de los segmentos</v>
          </cell>
        </row>
        <row r="194">
          <cell r="D194" t="str">
            <v>1007100192</v>
          </cell>
          <cell r="E194" t="str">
            <v>1007100192</v>
          </cell>
          <cell r="F194" t="str">
            <v>Cta. Cte. Mercantil Intereses TMSA</v>
          </cell>
          <cell r="G194" t="str">
            <v>1007100192  Cta. Cte. Mercantil Intereses TMSA</v>
          </cell>
          <cell r="H194" t="str">
            <v>Balance</v>
          </cell>
          <cell r="I194" t="str">
            <v>I. Activos</v>
          </cell>
          <cell r="J194" t="str">
            <v>1. Activos corrientes</v>
          </cell>
          <cell r="K194" t="str">
            <v>5. Cuentas por Cobrar a Entidades Relacionadas, corrientes</v>
          </cell>
          <cell r="L194" t="str">
            <v>A. corrtes. distintos de A. para su disposición clasif. para venta o distrib. a propiet.</v>
          </cell>
          <cell r="U194" t="str">
            <v>5. Cuentas por Cobrar a Entidades Relacionadas, corrientes</v>
          </cell>
          <cell r="AH194" t="str">
            <v>I. Activos de los segmentos</v>
          </cell>
        </row>
        <row r="195">
          <cell r="D195" t="str">
            <v>1007100193</v>
          </cell>
          <cell r="E195" t="str">
            <v>1007100193</v>
          </cell>
          <cell r="F195" t="str">
            <v>Cta. Cte. Mercantil EFE (tmsa)</v>
          </cell>
          <cell r="G195" t="str">
            <v>1007100193  Cta. Cte. Mercantil EFE (tmsa)</v>
          </cell>
          <cell r="H195" t="str">
            <v>Balance</v>
          </cell>
          <cell r="I195" t="str">
            <v>I. Activos</v>
          </cell>
          <cell r="J195" t="str">
            <v>1. Activos corrientes</v>
          </cell>
          <cell r="K195" t="str">
            <v>5. Cuentas por Cobrar a Entidades Relacionadas, corrientes</v>
          </cell>
          <cell r="L195" t="str">
            <v>A. corrtes. distintos de A. para su disposición clasif. para venta o distrib. a propiet.</v>
          </cell>
          <cell r="U195" t="str">
            <v>5. Cuentas por Cobrar a Entidades Relacionadas, corrientes</v>
          </cell>
          <cell r="AH195" t="str">
            <v>I. Activos de los segmentos</v>
          </cell>
        </row>
        <row r="196">
          <cell r="D196" t="str">
            <v>1007100194</v>
          </cell>
          <cell r="E196" t="str">
            <v>1007100194</v>
          </cell>
          <cell r="F196" t="str">
            <v>Cta. Cte. Mercantil Intereses EFE (tmsa)</v>
          </cell>
          <cell r="G196" t="str">
            <v>1007100194  Cta. Cte. Mercantil Intereses EFE (tmsa)</v>
          </cell>
          <cell r="H196" t="str">
            <v>Balance</v>
          </cell>
          <cell r="I196" t="str">
            <v>I. Activos</v>
          </cell>
          <cell r="J196" t="str">
            <v>1. Activos corrientes</v>
          </cell>
          <cell r="K196" t="str">
            <v>5. Cuentas por Cobrar a Entidades Relacionadas, corrientes</v>
          </cell>
          <cell r="L196" t="str">
            <v>A. corrtes. distintos de A. para su disposición clasif. para venta o distrib. a propiet.</v>
          </cell>
          <cell r="U196" t="str">
            <v>5. Cuentas por Cobrar a Entidades Relacionadas, corrientes</v>
          </cell>
          <cell r="AH196" t="str">
            <v>I. Activos de los segmentos</v>
          </cell>
        </row>
        <row r="197">
          <cell r="D197" t="str">
            <v>1007100010</v>
          </cell>
          <cell r="E197" t="str">
            <v>1007100010</v>
          </cell>
          <cell r="F197" t="str">
            <v>Cuenta por cobrar INVIA CORTO PLAZO</v>
          </cell>
          <cell r="G197" t="str">
            <v>1007100010  Cuenta por cobrar INVIA CORTO PLAZO</v>
          </cell>
          <cell r="H197" t="str">
            <v>Balance</v>
          </cell>
          <cell r="I197" t="str">
            <v>I. Activos</v>
          </cell>
          <cell r="J197" t="str">
            <v>1. Activos corrientes</v>
          </cell>
          <cell r="K197" t="str">
            <v>5. Cuentas por Cobrar a Entidades Relacionadas, corrientes</v>
          </cell>
          <cell r="L197" t="str">
            <v>A. corrtes. distintos de A. para su disposición clasif. para venta o distrib. a propiet.</v>
          </cell>
          <cell r="U197" t="str">
            <v>5. Cuentas por Cobrar a Entidades Relacionadas, corrientes</v>
          </cell>
          <cell r="AH197" t="str">
            <v>I. Activos de los segmentos</v>
          </cell>
        </row>
        <row r="198">
          <cell r="D198" t="str">
            <v>1007100015</v>
          </cell>
          <cell r="E198" t="str">
            <v>1007100015</v>
          </cell>
          <cell r="F198" t="str">
            <v>Cuenta Por Cobrar Efe Corto Plazo</v>
          </cell>
          <cell r="G198" t="str">
            <v>1007100015  Cuenta Por Cobrar Efe Corto Plazo</v>
          </cell>
          <cell r="H198" t="str">
            <v>Balance</v>
          </cell>
          <cell r="I198" t="str">
            <v>I. Activos</v>
          </cell>
          <cell r="J198" t="str">
            <v>1. Activos corrientes</v>
          </cell>
          <cell r="K198" t="str">
            <v>5. Cuentas por Cobrar a Entidades Relacionadas, corrientes</v>
          </cell>
          <cell r="L198" t="str">
            <v>A. corrtes. distintos de A. para su disposición clasif. para venta o distrib. a propiet.</v>
          </cell>
          <cell r="U198" t="str">
            <v>5. Cuentas por Cobrar a Entidades Relacionadas, corrientes</v>
          </cell>
          <cell r="AH198" t="str">
            <v>I. Activos de los segmentos</v>
          </cell>
        </row>
        <row r="199">
          <cell r="D199" t="str">
            <v>1007100020</v>
          </cell>
          <cell r="E199" t="str">
            <v>1007100020</v>
          </cell>
          <cell r="F199" t="str">
            <v>Metro Regional Valparaíso S.A De Corto Plazo</v>
          </cell>
          <cell r="G199" t="str">
            <v>1007100020  Metro Regional Valparaíso S.A De Corto Plazo</v>
          </cell>
          <cell r="H199" t="str">
            <v>Balance</v>
          </cell>
          <cell r="I199" t="str">
            <v>I. Activos</v>
          </cell>
          <cell r="J199" t="str">
            <v>1. Activos corrientes</v>
          </cell>
          <cell r="K199" t="str">
            <v>5. Cuentas por Cobrar a Entidades Relacionadas, corrientes</v>
          </cell>
          <cell r="L199" t="str">
            <v>A. corrtes. distintos de A. para su disposición clasif. para venta o distrib. a propiet.</v>
          </cell>
          <cell r="U199" t="str">
            <v>5. Cuentas por Cobrar a Entidades Relacionadas, corrientes</v>
          </cell>
          <cell r="AH199" t="str">
            <v>I. Activos de los segmentos</v>
          </cell>
        </row>
        <row r="200">
          <cell r="D200" t="str">
            <v>1007100040</v>
          </cell>
          <cell r="E200" t="str">
            <v>1007100040</v>
          </cell>
          <cell r="F200" t="str">
            <v>Ferrocarriles Suburbanos S.A De Corto Plazo</v>
          </cell>
          <cell r="G200" t="str">
            <v>1007100040  Ferrocarriles Suburbanos S.A De Corto Plazo</v>
          </cell>
          <cell r="H200" t="str">
            <v>Balance</v>
          </cell>
          <cell r="I200" t="str">
            <v>I. Activos</v>
          </cell>
          <cell r="J200" t="str">
            <v>1. Activos corrientes</v>
          </cell>
          <cell r="K200" t="str">
            <v>5. Cuentas por Cobrar a Entidades Relacionadas, corrientes</v>
          </cell>
          <cell r="L200" t="str">
            <v>A. corrtes. distintos de A. para su disposición clasif. para venta o distrib. a propiet.</v>
          </cell>
          <cell r="U200" t="str">
            <v>5. Cuentas por Cobrar a Entidades Relacionadas, corrientes</v>
          </cell>
          <cell r="AH200" t="str">
            <v>I. Activos de los segmentos</v>
          </cell>
        </row>
        <row r="201">
          <cell r="D201" t="str">
            <v>1007100050</v>
          </cell>
          <cell r="E201" t="str">
            <v>1007100050</v>
          </cell>
          <cell r="F201" t="str">
            <v>Ferrocarriles Del Sur S.A De Corto Plazo</v>
          </cell>
          <cell r="G201" t="str">
            <v>1007100050  Ferrocarriles Del Sur S.A De Corto Plazo</v>
          </cell>
          <cell r="H201" t="str">
            <v>Balance</v>
          </cell>
          <cell r="I201" t="str">
            <v>I. Activos</v>
          </cell>
          <cell r="J201" t="str">
            <v>1. Activos corrientes</v>
          </cell>
          <cell r="K201" t="str">
            <v>5. Cuentas por Cobrar a Entidades Relacionadas, corrientes</v>
          </cell>
          <cell r="L201" t="str">
            <v>A. corrtes. distintos de A. para su disposición clasif. para venta o distrib. a propiet.</v>
          </cell>
          <cell r="U201" t="str">
            <v>5. Cuentas por Cobrar a Entidades Relacionadas, corrientes</v>
          </cell>
          <cell r="AH201" t="str">
            <v>I. Activos de los segmentos</v>
          </cell>
        </row>
        <row r="202">
          <cell r="D202" t="str">
            <v>1007100060</v>
          </cell>
          <cell r="E202" t="str">
            <v>1007100060</v>
          </cell>
          <cell r="F202" t="str">
            <v>Ferrocarriles De Pasajeros S.A De Corto Plazo</v>
          </cell>
          <cell r="G202" t="str">
            <v>1007100060  Ferrocarriles De Pasajeros S.A De Corto Plazo</v>
          </cell>
          <cell r="H202" t="str">
            <v>Balance</v>
          </cell>
          <cell r="I202" t="str">
            <v>I. Activos</v>
          </cell>
          <cell r="J202" t="str">
            <v>1. Activos corrientes</v>
          </cell>
          <cell r="K202" t="str">
            <v>5. Cuentas por Cobrar a Entidades Relacionadas, corrientes</v>
          </cell>
          <cell r="L202" t="str">
            <v>A. corrtes. distintos de A. para su disposición clasif. para venta o distrib. a propiet.</v>
          </cell>
          <cell r="U202" t="str">
            <v>5. Cuentas por Cobrar a Entidades Relacionadas, corrientes</v>
          </cell>
          <cell r="AH202" t="str">
            <v>I. Activos de los segmentos</v>
          </cell>
        </row>
        <row r="203">
          <cell r="D203" t="str">
            <v>1007100061</v>
          </cell>
          <cell r="E203" t="str">
            <v>1007100061</v>
          </cell>
          <cell r="F203" t="str">
            <v>Ferrocarriles del Estado de Corto Plazo</v>
          </cell>
          <cell r="G203" t="str">
            <v>1007100061  Ferrocarriles del Estado de Corto Plazo</v>
          </cell>
          <cell r="H203" t="str">
            <v>Balance</v>
          </cell>
          <cell r="I203" t="str">
            <v>I. Activos</v>
          </cell>
          <cell r="J203" t="str">
            <v>1. Activos corrientes</v>
          </cell>
          <cell r="K203" t="str">
            <v>5. Cuentas por Cobrar a Entidades Relacionadas, corrientes</v>
          </cell>
          <cell r="L203" t="str">
            <v>A. corrtes. distintos de A. para su disposición clasif. para venta o distrib. a propiet.</v>
          </cell>
          <cell r="U203" t="str">
            <v>5. Cuentas por Cobrar a Entidades Relacionadas, corrientes</v>
          </cell>
          <cell r="AH203" t="str">
            <v>I. Activos de los segmentos</v>
          </cell>
        </row>
        <row r="204">
          <cell r="D204" t="str">
            <v>1007100070</v>
          </cell>
          <cell r="E204" t="str">
            <v>1007100070</v>
          </cell>
          <cell r="F204" t="str">
            <v>Ferrocarril De Arica A La Paz S.A De Corto Plazo</v>
          </cell>
          <cell r="G204" t="str">
            <v>1007100070  Ferrocarril De Arica A La Paz S.A De Corto Plazo</v>
          </cell>
          <cell r="H204" t="str">
            <v>Balance</v>
          </cell>
          <cell r="I204" t="str">
            <v>I. Activos</v>
          </cell>
          <cell r="J204" t="str">
            <v>1. Activos corrientes</v>
          </cell>
          <cell r="K204" t="str">
            <v>5. Cuentas por Cobrar a Entidades Relacionadas, corrientes</v>
          </cell>
          <cell r="L204" t="str">
            <v>A. corrtes. distintos de A. para su disposición clasif. para venta o distrib. a propiet.</v>
          </cell>
          <cell r="U204" t="str">
            <v>5. Cuentas por Cobrar a Entidades Relacionadas, corrientes</v>
          </cell>
          <cell r="AH204" t="str">
            <v>I. Activos de los segmentos</v>
          </cell>
        </row>
        <row r="205">
          <cell r="D205" t="str">
            <v>1007100080</v>
          </cell>
          <cell r="E205" t="str">
            <v>1007100080</v>
          </cell>
          <cell r="F205" t="str">
            <v>Infraestructura Y Tráfico Ferroviario S.A De Cp</v>
          </cell>
          <cell r="G205" t="str">
            <v>1007100080  Infraestructura Y Tráfico Ferroviario S.A De Cp</v>
          </cell>
          <cell r="H205" t="str">
            <v>Balance</v>
          </cell>
          <cell r="I205" t="str">
            <v>I. Activos</v>
          </cell>
          <cell r="J205" t="str">
            <v>1. Activos corrientes</v>
          </cell>
          <cell r="K205" t="str">
            <v>5. Cuentas por Cobrar a Entidades Relacionadas, corrientes</v>
          </cell>
          <cell r="L205" t="str">
            <v>A. corrtes. distintos de A. para su disposición clasif. para venta o distrib. a propiet.</v>
          </cell>
          <cell r="U205" t="str">
            <v>5. Cuentas por Cobrar a Entidades Relacionadas, corrientes</v>
          </cell>
          <cell r="AH205" t="str">
            <v>I. Activos de los segmentos</v>
          </cell>
        </row>
        <row r="206">
          <cell r="D206" t="str">
            <v>1007200030</v>
          </cell>
          <cell r="E206" t="str">
            <v>1007200030</v>
          </cell>
          <cell r="F206" t="str">
            <v>Inmobiliaria San Bernardo S.A. Corto Plazo</v>
          </cell>
          <cell r="G206" t="str">
            <v>1007200030  Inmobiliaria San Bernardo S.A. Corto Plazo</v>
          </cell>
          <cell r="H206" t="str">
            <v>Balance</v>
          </cell>
          <cell r="I206" t="str">
            <v>I. Activos</v>
          </cell>
          <cell r="J206" t="str">
            <v>1. Activos corrientes</v>
          </cell>
          <cell r="K206" t="str">
            <v>5. Cuentas por Cobrar a Entidades Relacionadas, corrientes</v>
          </cell>
          <cell r="L206" t="str">
            <v>A. corrtes. distintos de A. para su disposición clasif. para venta o distrib. a propiet.</v>
          </cell>
          <cell r="U206" t="str">
            <v>5. Cuentas por Cobrar a Entidades Relacionadas, corrientes</v>
          </cell>
          <cell r="AH206" t="str">
            <v>I. Activos de los segmentos</v>
          </cell>
        </row>
        <row r="207">
          <cell r="D207">
            <v>0</v>
          </cell>
          <cell r="G207" t="str">
            <v/>
          </cell>
          <cell r="H207" t="str">
            <v>Balance</v>
          </cell>
          <cell r="I207" t="str">
            <v>I. Activos</v>
          </cell>
          <cell r="J207" t="str">
            <v>1. Activos corrientes</v>
          </cell>
          <cell r="K207" t="str">
            <v>5. Cuentas por Cobrar a Entidades Relacionadas, corrientes</v>
          </cell>
          <cell r="L207" t="str">
            <v>A. corrtes. distintos de A. para su disposición clasif. para venta o distrib. a propiet.</v>
          </cell>
          <cell r="U207" t="str">
            <v>5. Cuentas por Cobrar a Entidades Relacionadas, corrientes</v>
          </cell>
          <cell r="AH207" t="str">
            <v>I. Activos de los segmentos</v>
          </cell>
        </row>
        <row r="208">
          <cell r="D208">
            <v>0</v>
          </cell>
          <cell r="F208" t="str">
            <v>Ctas. Por Cobrar A Entidades Relacionadas, Corrientes</v>
          </cell>
          <cell r="G208" t="str">
            <v/>
          </cell>
          <cell r="H208" t="str">
            <v/>
          </cell>
          <cell r="AH208" t="str">
            <v/>
          </cell>
        </row>
        <row r="209">
          <cell r="D209">
            <v>0</v>
          </cell>
          <cell r="F209" t="str">
            <v/>
          </cell>
          <cell r="G209" t="str">
            <v/>
          </cell>
          <cell r="H209" t="str">
            <v/>
          </cell>
          <cell r="AH209" t="str">
            <v/>
          </cell>
        </row>
        <row r="210">
          <cell r="D210" t="str">
            <v>Existencias C/Plazo (Neto)</v>
          </cell>
          <cell r="E210" t="str">
            <v>Existencias C/Plazo (Neto)</v>
          </cell>
          <cell r="F210" t="str">
            <v>Existencias C/Plazo (Neto)</v>
          </cell>
          <cell r="G210" t="str">
            <v>Existencias C/Plazo (Neto)  Existencias C/Plazo (Neto)</v>
          </cell>
          <cell r="H210" t="str">
            <v>Balance</v>
          </cell>
          <cell r="I210" t="str">
            <v>I. Activos</v>
          </cell>
          <cell r="J210" t="str">
            <v>1. Activos corrientes</v>
          </cell>
          <cell r="K210" t="str">
            <v>6. Inventarios</v>
          </cell>
          <cell r="U210" t="str">
            <v>6. Inventarios</v>
          </cell>
          <cell r="AH210" t="str">
            <v>I. Activos de los segmentos</v>
          </cell>
        </row>
        <row r="211">
          <cell r="D211">
            <v>0</v>
          </cell>
          <cell r="F211" t="str">
            <v>Inventarios</v>
          </cell>
          <cell r="G211" t="str">
            <v/>
          </cell>
          <cell r="H211" t="str">
            <v/>
          </cell>
          <cell r="AH211" t="str">
            <v/>
          </cell>
        </row>
        <row r="212">
          <cell r="D212">
            <v>0</v>
          </cell>
          <cell r="F212" t="str">
            <v/>
          </cell>
          <cell r="G212" t="str">
            <v/>
          </cell>
          <cell r="H212" t="str">
            <v/>
          </cell>
          <cell r="I212" t="str">
            <v>I. Activos</v>
          </cell>
          <cell r="J212" t="str">
            <v>1. Activos corrientes</v>
          </cell>
          <cell r="K212" t="str">
            <v>7. Activos biológicos, corrientes</v>
          </cell>
          <cell r="U212" t="str">
            <v>7. Activos biológicos, corrientes</v>
          </cell>
          <cell r="AH212" t="str">
            <v>I. Activos de los segmentos</v>
          </cell>
        </row>
        <row r="213">
          <cell r="D213">
            <v>0</v>
          </cell>
          <cell r="F213" t="str">
            <v>Activos Biológicos Corrientes</v>
          </cell>
          <cell r="G213" t="str">
            <v/>
          </cell>
          <cell r="H213" t="str">
            <v/>
          </cell>
          <cell r="AH213" t="str">
            <v/>
          </cell>
        </row>
        <row r="214">
          <cell r="D214">
            <v>0</v>
          </cell>
          <cell r="F214" t="str">
            <v/>
          </cell>
          <cell r="G214" t="str">
            <v/>
          </cell>
          <cell r="H214" t="str">
            <v/>
          </cell>
          <cell r="AH214" t="str">
            <v/>
          </cell>
        </row>
        <row r="215">
          <cell r="D215" t="str">
            <v>1008200010</v>
          </cell>
          <cell r="E215" t="str">
            <v>1008200010</v>
          </cell>
          <cell r="F215" t="str">
            <v>Crédito Por Gastos De Capacitación</v>
          </cell>
          <cell r="G215" t="str">
            <v>1008200010  Crédito Por Gastos De Capacitación</v>
          </cell>
          <cell r="H215" t="str">
            <v>Balance</v>
          </cell>
          <cell r="I215" t="str">
            <v>I. Activos</v>
          </cell>
          <cell r="J215" t="str">
            <v>1. Activos corrientes</v>
          </cell>
          <cell r="K215" t="str">
            <v>8. Activos por Impuestos, corrientes</v>
          </cell>
          <cell r="L215" t="str">
            <v>A. corrtes. distintos de A. para su disposición clasif. para venta o distrib. a propiet.</v>
          </cell>
          <cell r="U215" t="str">
            <v>8. Activos por Impuestos, corrientes</v>
          </cell>
          <cell r="AH215" t="str">
            <v>I. Activos de los segmentos</v>
          </cell>
        </row>
        <row r="216">
          <cell r="D216" t="str">
            <v>1008200030</v>
          </cell>
          <cell r="E216" t="str">
            <v>1008200030</v>
          </cell>
          <cell r="F216" t="str">
            <v>Impuestos Por Recuperar Fisco P.P:M.</v>
          </cell>
          <cell r="G216" t="str">
            <v>1008200030  Impuestos Por Recuperar Fisco P.P:M.</v>
          </cell>
          <cell r="H216" t="str">
            <v>Balance</v>
          </cell>
          <cell r="I216" t="str">
            <v>I. Activos</v>
          </cell>
          <cell r="J216" t="str">
            <v>1. Activos corrientes</v>
          </cell>
          <cell r="K216" t="str">
            <v>8. Activos por Impuestos, corrientes</v>
          </cell>
          <cell r="L216" t="str">
            <v>A. corrtes. distintos de A. para su disposición clasif. para venta o distrib. a propiet.</v>
          </cell>
          <cell r="U216" t="str">
            <v>8. Activos por Impuestos, corrientes</v>
          </cell>
          <cell r="AH216" t="str">
            <v>I. Activos de los segmentos</v>
          </cell>
        </row>
        <row r="217">
          <cell r="D217">
            <v>0</v>
          </cell>
          <cell r="G217" t="str">
            <v/>
          </cell>
          <cell r="H217" t="str">
            <v>Balance</v>
          </cell>
          <cell r="I217" t="str">
            <v>I. Activos</v>
          </cell>
          <cell r="J217" t="str">
            <v>1. Activos corrientes</v>
          </cell>
          <cell r="K217" t="str">
            <v>8. Activos por Impuestos, corrientes</v>
          </cell>
          <cell r="L217" t="str">
            <v>A. corrtes. distintos de A. para su disposición clasif. para venta o distrib. a propiet.</v>
          </cell>
          <cell r="U217" t="str">
            <v>8. Activos por Impuestos, corrientes</v>
          </cell>
          <cell r="AH217" t="str">
            <v>I. Activos de los segmentos</v>
          </cell>
        </row>
        <row r="218">
          <cell r="D218">
            <v>0</v>
          </cell>
          <cell r="G218" t="str">
            <v/>
          </cell>
          <cell r="H218" t="str">
            <v>Balance</v>
          </cell>
          <cell r="I218" t="str">
            <v>I. Activos</v>
          </cell>
          <cell r="J218" t="str">
            <v>1. Activos corrientes</v>
          </cell>
          <cell r="K218" t="str">
            <v>8. Activos por Impuestos, corrientes</v>
          </cell>
          <cell r="L218" t="str">
            <v>A. corrtes. distintos de A. para su disposición clasif. para venta o distrib. a propiet.</v>
          </cell>
          <cell r="U218" t="str">
            <v>8. Activos por Impuestos, corrientes</v>
          </cell>
          <cell r="AH218" t="str">
            <v>I. Activos de los segmentos</v>
          </cell>
        </row>
        <row r="219">
          <cell r="D219">
            <v>0</v>
          </cell>
          <cell r="G219" t="str">
            <v/>
          </cell>
          <cell r="H219" t="str">
            <v>Balance</v>
          </cell>
          <cell r="I219" t="str">
            <v>I. Activos</v>
          </cell>
          <cell r="J219" t="str">
            <v>1. Activos corrientes</v>
          </cell>
          <cell r="K219" t="str">
            <v>8. Activos por Impuestos, corrientes</v>
          </cell>
          <cell r="L219" t="str">
            <v>Act. corrtes. distintos de Act. para su disposición clasif. para venta o distrib. a propiet.</v>
          </cell>
          <cell r="U219" t="str">
            <v>8. Activos por Impuestos, corrientes</v>
          </cell>
          <cell r="AH219" t="str">
            <v>I. Activos de los segmentos</v>
          </cell>
        </row>
        <row r="220">
          <cell r="D220">
            <v>0</v>
          </cell>
          <cell r="F220" t="str">
            <v>Activos Por Impuestos Corrientes</v>
          </cell>
          <cell r="G220" t="str">
            <v/>
          </cell>
          <cell r="H220" t="str">
            <v/>
          </cell>
          <cell r="AH220" t="str">
            <v/>
          </cell>
        </row>
        <row r="221">
          <cell r="D221">
            <v>0</v>
          </cell>
          <cell r="F221" t="str">
            <v/>
          </cell>
          <cell r="G221" t="str">
            <v/>
          </cell>
          <cell r="H221" t="str">
            <v/>
          </cell>
          <cell r="AH221" t="str">
            <v/>
          </cell>
        </row>
        <row r="222">
          <cell r="D222">
            <v>0</v>
          </cell>
          <cell r="F222" t="str">
            <v>Total De Activos Corrientes Distintos De Los Activos O Grupos De Activos Para Su Disposición Clasificados Como Mantenidos Para La Venta O Como Mantenidos Para Distribuir A Los Propietarios</v>
          </cell>
          <cell r="G222" t="str">
            <v/>
          </cell>
          <cell r="H222" t="str">
            <v/>
          </cell>
          <cell r="AH222" t="str">
            <v/>
          </cell>
        </row>
        <row r="223">
          <cell r="D223">
            <v>0</v>
          </cell>
          <cell r="F223" t="str">
            <v/>
          </cell>
          <cell r="G223" t="str">
            <v/>
          </cell>
          <cell r="H223" t="str">
            <v/>
          </cell>
          <cell r="AH223" t="str">
            <v/>
          </cell>
        </row>
        <row r="224">
          <cell r="D224">
            <v>0</v>
          </cell>
          <cell r="F224" t="str">
            <v/>
          </cell>
          <cell r="G224" t="str">
            <v/>
          </cell>
          <cell r="H224" t="str">
            <v/>
          </cell>
          <cell r="AH224" t="str">
            <v/>
          </cell>
        </row>
        <row r="225">
          <cell r="D225">
            <v>0</v>
          </cell>
          <cell r="F225" t="str">
            <v/>
          </cell>
          <cell r="G225" t="str">
            <v/>
          </cell>
          <cell r="H225" t="str">
            <v/>
          </cell>
          <cell r="I225" t="str">
            <v>I. Activos</v>
          </cell>
          <cell r="J225" t="str">
            <v>1. Activos corrientes</v>
          </cell>
          <cell r="K225" t="str">
            <v xml:space="preserve">9. Activos, no corrientes o Grupos de Activos para su Disposición Clasificados como Mantenidos para la Venta </v>
          </cell>
          <cell r="L225" t="str">
            <v>Activos No Corrientes o Grupos de Activos para su Disposición Clasificados como Mantenidos para la Venta o como Mantenidos para Distribuir a los Propietarios</v>
          </cell>
          <cell r="U225" t="str">
            <v xml:space="preserve">9. Activos, no corrientes o Grupos de Activos para su Disposición Clasificados como Mantenidos para la Venta </v>
          </cell>
          <cell r="AH225" t="str">
            <v>I. Activos de los segmentos</v>
          </cell>
        </row>
        <row r="226">
          <cell r="D226">
            <v>0</v>
          </cell>
          <cell r="F226" t="str">
            <v xml:space="preserve">Activos No Corrientes O Grupos De Activos Para Su Disposición Clasificados Como Mantenidos Para La Venta </v>
          </cell>
          <cell r="G226" t="str">
            <v/>
          </cell>
          <cell r="H226" t="str">
            <v/>
          </cell>
          <cell r="AH226" t="str">
            <v/>
          </cell>
        </row>
        <row r="227">
          <cell r="D227">
            <v>0</v>
          </cell>
          <cell r="F227" t="str">
            <v/>
          </cell>
          <cell r="G227" t="str">
            <v/>
          </cell>
          <cell r="H227" t="str">
            <v/>
          </cell>
          <cell r="AH227" t="str">
            <v/>
          </cell>
        </row>
        <row r="228">
          <cell r="D228">
            <v>0</v>
          </cell>
          <cell r="F228" t="str">
            <v/>
          </cell>
          <cell r="G228" t="str">
            <v/>
          </cell>
          <cell r="H228" t="str">
            <v/>
          </cell>
          <cell r="I228" t="str">
            <v>I. Activos</v>
          </cell>
          <cell r="J228" t="str">
            <v>1. Activos corrientes</v>
          </cell>
          <cell r="K228" t="str">
            <v>10. Activos, no corrientes o Grupos de Activos para su Disposición Clasificados como Mantenidos para Distribuir a los Propietarios</v>
          </cell>
          <cell r="L228" t="str">
            <v>Activos No Corrientes o Grupos de Activos para su Disposición Clasificados como Mantenidos para la Venta o como Mantenidos para Distribuir a los Propietarios</v>
          </cell>
          <cell r="U228" t="str">
            <v>10. Activos, no corrientes o Grupos de Activos para su Disposición Clasificados como Mantenidos para Distribuir a los Propietarios</v>
          </cell>
          <cell r="AH228" t="str">
            <v>I. Activos de los segmentos</v>
          </cell>
        </row>
        <row r="229">
          <cell r="D229">
            <v>0</v>
          </cell>
          <cell r="F229" t="str">
            <v>Activos No Corrientes O Grupos De Activos Para Su Disposición Clasificados Como Mantenidos Para Distribuir A Los Propietarios</v>
          </cell>
          <cell r="G229" t="str">
            <v/>
          </cell>
          <cell r="H229" t="str">
            <v/>
          </cell>
          <cell r="AH229" t="str">
            <v/>
          </cell>
        </row>
        <row r="230">
          <cell r="D230">
            <v>0</v>
          </cell>
          <cell r="F230" t="str">
            <v/>
          </cell>
          <cell r="G230" t="str">
            <v/>
          </cell>
          <cell r="H230" t="str">
            <v/>
          </cell>
          <cell r="AH230" t="str">
            <v/>
          </cell>
        </row>
        <row r="231">
          <cell r="D231">
            <v>0</v>
          </cell>
          <cell r="F231" t="str">
            <v/>
          </cell>
          <cell r="G231" t="str">
            <v/>
          </cell>
          <cell r="H231" t="str">
            <v/>
          </cell>
          <cell r="L231" t="str">
            <v>Activos No Corrientes o Grupos de Activos para su Disposición Clasificados como Mantenidos para la Venta o como Mantenidos para Distribuir a los Propietarios</v>
          </cell>
          <cell r="AH231" t="str">
            <v/>
          </cell>
        </row>
        <row r="232">
          <cell r="D232">
            <v>0</v>
          </cell>
          <cell r="F232" t="str">
            <v>Activos No Corrientes O Grupos De Activos Para Su Disposición Clasificados Como Mantenidos Para La Venta O Como Mantenidos Para Distribuir A Los Propietarios</v>
          </cell>
          <cell r="G232" t="str">
            <v/>
          </cell>
          <cell r="H232" t="str">
            <v/>
          </cell>
          <cell r="AH232" t="str">
            <v/>
          </cell>
        </row>
        <row r="233">
          <cell r="D233">
            <v>0</v>
          </cell>
          <cell r="F233" t="str">
            <v/>
          </cell>
          <cell r="G233" t="str">
            <v/>
          </cell>
          <cell r="H233" t="str">
            <v/>
          </cell>
          <cell r="AH233" t="str">
            <v/>
          </cell>
        </row>
        <row r="234">
          <cell r="D234">
            <v>0</v>
          </cell>
          <cell r="F234" t="str">
            <v>Activos Corrientes Totales</v>
          </cell>
          <cell r="G234" t="str">
            <v/>
          </cell>
          <cell r="H234" t="str">
            <v/>
          </cell>
          <cell r="AH234" t="str">
            <v/>
          </cell>
        </row>
        <row r="235">
          <cell r="D235">
            <v>0</v>
          </cell>
          <cell r="G235" t="str">
            <v/>
          </cell>
          <cell r="H235" t="str">
            <v/>
          </cell>
          <cell r="AH235" t="str">
            <v/>
          </cell>
        </row>
        <row r="236">
          <cell r="D236">
            <v>0</v>
          </cell>
          <cell r="G236" t="str">
            <v/>
          </cell>
          <cell r="H236" t="str">
            <v/>
          </cell>
          <cell r="AH236" t="str">
            <v/>
          </cell>
        </row>
        <row r="237">
          <cell r="D237">
            <v>0</v>
          </cell>
          <cell r="F237" t="str">
            <v>Activos No Corrientes</v>
          </cell>
          <cell r="G237" t="str">
            <v/>
          </cell>
          <cell r="H237" t="str">
            <v/>
          </cell>
          <cell r="AH237" t="str">
            <v/>
          </cell>
        </row>
        <row r="238">
          <cell r="D238">
            <v>0</v>
          </cell>
          <cell r="G238" t="str">
            <v/>
          </cell>
          <cell r="H238" t="str">
            <v/>
          </cell>
          <cell r="AH238" t="str">
            <v/>
          </cell>
        </row>
        <row r="239">
          <cell r="D239">
            <v>0</v>
          </cell>
          <cell r="G239" t="str">
            <v/>
          </cell>
          <cell r="H239" t="str">
            <v/>
          </cell>
          <cell r="I239" t="str">
            <v>I. Activos</v>
          </cell>
          <cell r="J239" t="str">
            <v>2. Activos no corrientes</v>
          </cell>
          <cell r="K239" t="str">
            <v>1. Otros Activos Financieros, no corrientes</v>
          </cell>
          <cell r="U239" t="str">
            <v>1. Otros Activos Financieros, no corrientes</v>
          </cell>
          <cell r="AH239" t="str">
            <v>I. Activos de los segmentos</v>
          </cell>
        </row>
        <row r="240">
          <cell r="D240">
            <v>0</v>
          </cell>
          <cell r="F240" t="str">
            <v>Otros Activos Financieros No Corrientes</v>
          </cell>
          <cell r="G240" t="str">
            <v/>
          </cell>
          <cell r="H240" t="str">
            <v/>
          </cell>
          <cell r="AH240" t="str">
            <v/>
          </cell>
        </row>
        <row r="241">
          <cell r="D241">
            <v>0</v>
          </cell>
          <cell r="G241" t="str">
            <v/>
          </cell>
          <cell r="H241" t="str">
            <v/>
          </cell>
          <cell r="AH241" t="str">
            <v/>
          </cell>
        </row>
        <row r="242">
          <cell r="D242">
            <v>0</v>
          </cell>
          <cell r="G242" t="str">
            <v/>
          </cell>
          <cell r="H242" t="str">
            <v/>
          </cell>
          <cell r="AH242" t="str">
            <v/>
          </cell>
        </row>
        <row r="243">
          <cell r="D243" t="str">
            <v>1039300140</v>
          </cell>
          <cell r="E243" t="str">
            <v>1039300140</v>
          </cell>
          <cell r="F243" t="str">
            <v>Dif.Moneda Deudor L.Plazo</v>
          </cell>
          <cell r="G243" t="str">
            <v>1039300140  Dif.Moneda Deudor L.Plazo</v>
          </cell>
          <cell r="H243" t="str">
            <v>Balance</v>
          </cell>
          <cell r="I243" t="str">
            <v>I. Activos</v>
          </cell>
          <cell r="J243" t="str">
            <v>2. Activos no corrientes</v>
          </cell>
          <cell r="K243" t="str">
            <v>2. Otros Activos No Financieros, no corrientes</v>
          </cell>
          <cell r="U243" t="str">
            <v>2. Otros Activos No Financieros, no corrientes</v>
          </cell>
          <cell r="AH243" t="str">
            <v>I. Activos de los segmentos</v>
          </cell>
        </row>
        <row r="244">
          <cell r="D244" t="str">
            <v>1039200200</v>
          </cell>
          <cell r="E244" t="str">
            <v>1039200200</v>
          </cell>
          <cell r="F244" t="str">
            <v>Remanente Crédito Por Recuperar L.P.</v>
          </cell>
          <cell r="G244" t="str">
            <v>1039200200  Remanente Crédito Por Recuperar L.P.</v>
          </cell>
          <cell r="H244" t="str">
            <v>Balance</v>
          </cell>
          <cell r="I244" t="str">
            <v>I. Activos</v>
          </cell>
          <cell r="J244" t="str">
            <v>2. Activos no corrientes</v>
          </cell>
          <cell r="K244" t="str">
            <v>2. Otros Activos No Financieros, no corrientes</v>
          </cell>
          <cell r="U244" t="str">
            <v>2. Otros Activos No Financieros, no corrientes</v>
          </cell>
          <cell r="AH244" t="str">
            <v>I. Activos de los segmentos</v>
          </cell>
        </row>
        <row r="245">
          <cell r="D245">
            <v>0</v>
          </cell>
          <cell r="G245" t="str">
            <v/>
          </cell>
          <cell r="H245" t="str">
            <v>Balance</v>
          </cell>
          <cell r="I245" t="str">
            <v>I. Activos</v>
          </cell>
          <cell r="J245" t="str">
            <v>2. Activos no corrientes</v>
          </cell>
          <cell r="K245" t="str">
            <v>2. Otros Activos No Financieros, no corrientes</v>
          </cell>
          <cell r="U245" t="str">
            <v>2. Otros Activos No Financieros, no corrientes</v>
          </cell>
          <cell r="AH245" t="str">
            <v>I. Activos de los segmentos</v>
          </cell>
        </row>
        <row r="246">
          <cell r="D246">
            <v>0</v>
          </cell>
          <cell r="G246" t="str">
            <v/>
          </cell>
          <cell r="H246" t="str">
            <v>Balance</v>
          </cell>
          <cell r="I246" t="str">
            <v>I. Activos</v>
          </cell>
          <cell r="J246" t="str">
            <v>2. Activos no corrientes</v>
          </cell>
          <cell r="K246" t="str">
            <v>2. Otros Activos No Financieros, no corrientes</v>
          </cell>
          <cell r="U246" t="str">
            <v>2. Otros Activos No Financieros, no corrientes</v>
          </cell>
          <cell r="AH246" t="str">
            <v>I. Activos de los segmentos</v>
          </cell>
        </row>
        <row r="247">
          <cell r="D247">
            <v>0</v>
          </cell>
          <cell r="F247" t="str">
            <v>Otros Activos No Financieros No Corrientes</v>
          </cell>
          <cell r="G247" t="str">
            <v/>
          </cell>
          <cell r="H247" t="str">
            <v/>
          </cell>
          <cell r="AH247" t="str">
            <v/>
          </cell>
        </row>
        <row r="248">
          <cell r="D248">
            <v>0</v>
          </cell>
          <cell r="G248" t="str">
            <v/>
          </cell>
          <cell r="H248" t="str">
            <v/>
          </cell>
          <cell r="AH248" t="str">
            <v/>
          </cell>
        </row>
        <row r="249">
          <cell r="D249" t="str">
            <v>1035100020</v>
          </cell>
          <cell r="E249" t="str">
            <v>1035100020</v>
          </cell>
          <cell r="F249" t="str">
            <v>Cobranza Arriendos Largo Plazo</v>
          </cell>
          <cell r="G249" t="str">
            <v>1035100020  Cobranza Arriendos Largo Plazo</v>
          </cell>
          <cell r="H249" t="str">
            <v>Balance</v>
          </cell>
          <cell r="I249" t="str">
            <v>I. Activos</v>
          </cell>
          <cell r="J249" t="str">
            <v>2. Activos no corrientes</v>
          </cell>
          <cell r="K249" t="str">
            <v>3. Derechos por Cobrar, no corrientes</v>
          </cell>
          <cell r="U249" t="str">
            <v>3. Derechos por Cobrar, no corrientes</v>
          </cell>
          <cell r="AH249" t="str">
            <v>I. Activos de los segmentos</v>
          </cell>
        </row>
        <row r="250">
          <cell r="D250" t="str">
            <v>1035100030</v>
          </cell>
          <cell r="E250" t="str">
            <v>1035100030</v>
          </cell>
          <cell r="F250" t="str">
            <v>Deudores Cobranza Judicial Largo Plazo</v>
          </cell>
          <cell r="G250" t="str">
            <v>1035100030  Deudores Cobranza Judicial Largo Plazo</v>
          </cell>
          <cell r="H250" t="str">
            <v>Balance</v>
          </cell>
          <cell r="I250" t="str">
            <v>I. Activos</v>
          </cell>
          <cell r="J250" t="str">
            <v>2. Activos no corrientes</v>
          </cell>
          <cell r="K250" t="str">
            <v>3. Derechos por Cobrar, no corrientes</v>
          </cell>
          <cell r="U250" t="str">
            <v>3. Derechos por Cobrar, no corrientes</v>
          </cell>
          <cell r="AH250" t="str">
            <v>I. Activos de los segmentos</v>
          </cell>
        </row>
        <row r="251">
          <cell r="D251" t="str">
            <v>1035100040</v>
          </cell>
          <cell r="E251" t="str">
            <v>1035100040</v>
          </cell>
          <cell r="F251" t="str">
            <v>Otros Deudores A Largo Plazo</v>
          </cell>
          <cell r="G251" t="str">
            <v>1035100040  Otros Deudores A Largo Plazo</v>
          </cell>
          <cell r="H251" t="str">
            <v>Balance</v>
          </cell>
          <cell r="I251" t="str">
            <v>I. Activos</v>
          </cell>
          <cell r="J251" t="str">
            <v>2. Activos no corrientes</v>
          </cell>
          <cell r="K251" t="str">
            <v>3. Derechos por Cobrar, no corrientes</v>
          </cell>
          <cell r="U251" t="str">
            <v>3. Derechos por Cobrar, no corrientes</v>
          </cell>
          <cell r="AH251" t="str">
            <v>I. Activos de los segmentos</v>
          </cell>
        </row>
        <row r="252">
          <cell r="D252" t="str">
            <v>1035100050</v>
          </cell>
          <cell r="E252" t="str">
            <v>1035100050</v>
          </cell>
          <cell r="F252" t="str">
            <v>Ctas.Por Cobrar Fisco-Proy.Biovias</v>
          </cell>
          <cell r="G252" t="str">
            <v>1035100050  Ctas.Por Cobrar Fisco-Proy.Biovias</v>
          </cell>
          <cell r="H252" t="str">
            <v>Balance</v>
          </cell>
          <cell r="I252" t="str">
            <v>I. Activos</v>
          </cell>
          <cell r="J252" t="str">
            <v>2. Activos no corrientes</v>
          </cell>
          <cell r="K252" t="str">
            <v>3. Derechos por Cobrar, no corrientes</v>
          </cell>
          <cell r="U252" t="str">
            <v>3. Derechos por Cobrar, no corrientes</v>
          </cell>
          <cell r="AH252" t="str">
            <v>I. Activos de los segmentos</v>
          </cell>
        </row>
        <row r="253">
          <cell r="D253" t="str">
            <v>2026100050</v>
          </cell>
          <cell r="E253" t="str">
            <v>2026100050</v>
          </cell>
          <cell r="F253" t="str">
            <v>Estimación Deudas Incobrables De Largo Plazo</v>
          </cell>
          <cell r="G253" t="str">
            <v>2026100050  Estimación Deudas Incobrables De Largo Plazo</v>
          </cell>
          <cell r="H253" t="str">
            <v>Balance</v>
          </cell>
          <cell r="I253" t="str">
            <v>I. Activos</v>
          </cell>
          <cell r="J253" t="str">
            <v>2. Activos no corrientes</v>
          </cell>
          <cell r="K253" t="str">
            <v>3. Derechos por Cobrar, no corrientes</v>
          </cell>
          <cell r="U253" t="str">
            <v>3. Derechos por Cobrar, no corrientes</v>
          </cell>
          <cell r="AH253" t="str">
            <v>I. Activos de los segmentos</v>
          </cell>
        </row>
        <row r="254">
          <cell r="D254" t="str">
            <v>2026100060</v>
          </cell>
          <cell r="E254" t="str">
            <v>2026100060</v>
          </cell>
          <cell r="F254" t="str">
            <v>Provisión por diferencias en desarme</v>
          </cell>
          <cell r="G254" t="str">
            <v>2026100060  Provisión por diferencias en desarme</v>
          </cell>
          <cell r="H254" t="str">
            <v>Balance</v>
          </cell>
          <cell r="I254" t="str">
            <v>I. Activos</v>
          </cell>
          <cell r="J254" t="str">
            <v>2. Activos no corrientes</v>
          </cell>
          <cell r="K254" t="str">
            <v>3. Derechos por Cobrar, no corrientes</v>
          </cell>
          <cell r="U254" t="str">
            <v>3. Derechos por Cobrar, no corrientes</v>
          </cell>
          <cell r="AH254" t="str">
            <v>I. Activos de los segmentos</v>
          </cell>
        </row>
        <row r="255">
          <cell r="D255">
            <v>0</v>
          </cell>
          <cell r="G255" t="str">
            <v/>
          </cell>
          <cell r="H255" t="str">
            <v>Balance</v>
          </cell>
          <cell r="I255" t="str">
            <v>I. Activos</v>
          </cell>
          <cell r="J255" t="str">
            <v>2. Activos no corrientes</v>
          </cell>
          <cell r="K255" t="str">
            <v>3. Derechos por Cobrar, no corrientes</v>
          </cell>
          <cell r="U255" t="str">
            <v>3. Derechos por Cobrar, no corrientes</v>
          </cell>
          <cell r="AH255" t="str">
            <v>I. Activos de los segmentos</v>
          </cell>
        </row>
        <row r="256">
          <cell r="D256">
            <v>0</v>
          </cell>
          <cell r="F256" t="str">
            <v>Derechos por Cobrar No Corrientes</v>
          </cell>
          <cell r="G256" t="str">
            <v/>
          </cell>
          <cell r="H256" t="str">
            <v/>
          </cell>
          <cell r="AH256" t="str">
            <v/>
          </cell>
        </row>
        <row r="257">
          <cell r="D257">
            <v>0</v>
          </cell>
          <cell r="G257" t="str">
            <v/>
          </cell>
          <cell r="H257" t="str">
            <v/>
          </cell>
          <cell r="AH257" t="str">
            <v/>
          </cell>
        </row>
        <row r="258">
          <cell r="D258" t="str">
            <v>1036100020</v>
          </cell>
          <cell r="E258" t="str">
            <v>1036100020</v>
          </cell>
          <cell r="F258" t="str">
            <v>Metro Regional Valparáiso S.A De Largo Plazo</v>
          </cell>
          <cell r="G258" t="str">
            <v>1036100020  Metro Regional Valparáiso S.A De Largo Plazo</v>
          </cell>
          <cell r="H258" t="str">
            <v>Balance</v>
          </cell>
          <cell r="I258" t="str">
            <v>I. Activos</v>
          </cell>
          <cell r="J258" t="str">
            <v>2. Activos no corrientes</v>
          </cell>
          <cell r="K258" t="str">
            <v>4. Cuentas por Cobrar a Entidades Relacionadas, no corrientes</v>
          </cell>
          <cell r="U258" t="str">
            <v>4. Cuentas por Cobrar a Entidades Relacionadas, no corrientes</v>
          </cell>
          <cell r="AH258" t="str">
            <v>I. Activos de los segmentos</v>
          </cell>
        </row>
        <row r="259">
          <cell r="D259" t="str">
            <v>1036100040</v>
          </cell>
          <cell r="E259" t="str">
            <v>1036100040</v>
          </cell>
          <cell r="F259" t="str">
            <v>Ferrocarriles Suburbanos S.A De Largo Plazo</v>
          </cell>
          <cell r="G259" t="str">
            <v>1036100040  Ferrocarriles Suburbanos S.A De Largo Plazo</v>
          </cell>
          <cell r="H259" t="str">
            <v>Balance</v>
          </cell>
          <cell r="I259" t="str">
            <v>I. Activos</v>
          </cell>
          <cell r="J259" t="str">
            <v>2. Activos no corrientes</v>
          </cell>
          <cell r="K259" t="str">
            <v>4. Cuentas por Cobrar a Entidades Relacionadas, no corrientes</v>
          </cell>
          <cell r="U259" t="str">
            <v>4. Cuentas por Cobrar a Entidades Relacionadas, no corrientes</v>
          </cell>
          <cell r="AH259" t="str">
            <v>I. Activos de los segmentos</v>
          </cell>
        </row>
        <row r="260">
          <cell r="D260" t="str">
            <v>1036100050</v>
          </cell>
          <cell r="E260" t="str">
            <v>1036100050</v>
          </cell>
          <cell r="F260" t="str">
            <v>Ferrocarriles Del Sur S.A De Largo Plazo</v>
          </cell>
          <cell r="G260" t="str">
            <v>1036100050  Ferrocarriles Del Sur S.A De Largo Plazo</v>
          </cell>
          <cell r="H260" t="str">
            <v>Balance</v>
          </cell>
          <cell r="I260" t="str">
            <v>I. Activos</v>
          </cell>
          <cell r="J260" t="str">
            <v>2. Activos no corrientes</v>
          </cell>
          <cell r="K260" t="str">
            <v>4. Cuentas por Cobrar a Entidades Relacionadas, no corrientes</v>
          </cell>
          <cell r="U260" t="str">
            <v>4. Cuentas por Cobrar a Entidades Relacionadas, no corrientes</v>
          </cell>
          <cell r="AH260" t="str">
            <v>I. Activos de los segmentos</v>
          </cell>
        </row>
        <row r="261">
          <cell r="D261" t="str">
            <v>1036100060</v>
          </cell>
          <cell r="E261" t="str">
            <v>1036100060</v>
          </cell>
          <cell r="F261" t="str">
            <v>Ferrocarriles De Pasajeros S.A De Largo</v>
          </cell>
          <cell r="G261" t="str">
            <v>1036100060  Ferrocarriles De Pasajeros S.A De Largo</v>
          </cell>
          <cell r="H261" t="str">
            <v>Balance</v>
          </cell>
          <cell r="I261" t="str">
            <v>I. Activos</v>
          </cell>
          <cell r="J261" t="str">
            <v>2. Activos no corrientes</v>
          </cell>
          <cell r="K261" t="str">
            <v>4. Cuentas por Cobrar a Entidades Relacionadas, no corrientes</v>
          </cell>
          <cell r="U261" t="str">
            <v>4. Cuentas por Cobrar a Entidades Relacionadas, no corrientes</v>
          </cell>
          <cell r="AH261" t="str">
            <v>I. Activos de los segmentos</v>
          </cell>
        </row>
        <row r="262">
          <cell r="D262" t="str">
            <v>1036100070</v>
          </cell>
          <cell r="E262" t="str">
            <v>1036100070</v>
          </cell>
          <cell r="F262" t="str">
            <v>Ferrocarriles de Arica a La Paz S.A.</v>
          </cell>
          <cell r="G262" t="str">
            <v>1036100070  Ferrocarriles de Arica a La Paz S.A.</v>
          </cell>
          <cell r="H262" t="str">
            <v>Balance</v>
          </cell>
          <cell r="I262" t="str">
            <v>I. Activos</v>
          </cell>
          <cell r="J262" t="str">
            <v>2. Activos no corrientes</v>
          </cell>
          <cell r="K262" t="str">
            <v>4. Cuentas por Cobrar a Entidades Relacionadas, no corrientes</v>
          </cell>
          <cell r="U262" t="str">
            <v>4. Cuentas por Cobrar a Entidades Relacionadas, no corrientes</v>
          </cell>
          <cell r="AH262" t="str">
            <v>I. Activos de los segmentos</v>
          </cell>
        </row>
        <row r="263">
          <cell r="D263" t="str">
            <v>1036100080</v>
          </cell>
          <cell r="E263" t="str">
            <v>1036100080</v>
          </cell>
          <cell r="F263" t="str">
            <v>Infraestrctura y Tráfico Ferroviario S.A.</v>
          </cell>
          <cell r="G263" t="str">
            <v>1036100080  Infraestrctura y Tráfico Ferroviario S.A.</v>
          </cell>
          <cell r="H263" t="str">
            <v>Balance</v>
          </cell>
          <cell r="I263" t="str">
            <v>I. Activos</v>
          </cell>
          <cell r="J263" t="str">
            <v>2. Activos no corrientes</v>
          </cell>
          <cell r="K263" t="str">
            <v>4. Cuentas por Cobrar a Entidades Relacionadas, no corrientes</v>
          </cell>
          <cell r="U263" t="str">
            <v>4. Cuentas por Cobrar a Entidades Relacionadas, no corrientes</v>
          </cell>
          <cell r="AH263" t="str">
            <v>I. Activos de los segmentos</v>
          </cell>
        </row>
        <row r="264">
          <cell r="D264">
            <v>0</v>
          </cell>
          <cell r="F264" t="str">
            <v>Cuentas Por Cobrar A Entidades Relacionadas, No Corriente</v>
          </cell>
          <cell r="G264" t="str">
            <v/>
          </cell>
          <cell r="H264" t="str">
            <v/>
          </cell>
          <cell r="AH264" t="str">
            <v/>
          </cell>
        </row>
        <row r="265">
          <cell r="D265">
            <v>0</v>
          </cell>
          <cell r="G265" t="str">
            <v/>
          </cell>
          <cell r="H265" t="str">
            <v/>
          </cell>
          <cell r="AH265" t="str">
            <v/>
          </cell>
        </row>
        <row r="266">
          <cell r="D266" t="str">
            <v>1031100010</v>
          </cell>
          <cell r="E266" t="str">
            <v>1031100010</v>
          </cell>
          <cell r="F266" t="str">
            <v>Inversiones En Invia S.A</v>
          </cell>
          <cell r="G266" t="str">
            <v>1031100010  Inversiones En Invia S.A</v>
          </cell>
          <cell r="H266" t="str">
            <v>Balance</v>
          </cell>
          <cell r="I266" t="str">
            <v>I. Activos</v>
          </cell>
          <cell r="J266" t="str">
            <v>2. Activos no corrientes</v>
          </cell>
          <cell r="K266" t="str">
            <v>5. Inversiones contabilizadas utilizando el método de la participación</v>
          </cell>
          <cell r="U266" t="str">
            <v>5. Inversiones contabilizadas utilizando el método de la participación</v>
          </cell>
          <cell r="AH266" t="str">
            <v>II. Importe en asociadas y negocios conjuntos contab. bajo el método de participación</v>
          </cell>
        </row>
        <row r="267">
          <cell r="D267" t="str">
            <v>1031100020</v>
          </cell>
          <cell r="E267" t="str">
            <v>1031100020</v>
          </cell>
          <cell r="F267" t="str">
            <v>Inversiones En Merval S.A.</v>
          </cell>
          <cell r="G267" t="str">
            <v>1031100020  Inversiones En Merval S.A.</v>
          </cell>
          <cell r="H267" t="str">
            <v>Balance</v>
          </cell>
          <cell r="I267" t="str">
            <v>I. Activos</v>
          </cell>
          <cell r="J267" t="str">
            <v>2. Activos no corrientes</v>
          </cell>
          <cell r="K267" t="str">
            <v>5. Inversiones contabilizadas utilizando el método de la participación</v>
          </cell>
          <cell r="U267" t="str">
            <v>5. Inversiones contabilizadas utilizando el método de la participación</v>
          </cell>
          <cell r="AH267" t="str">
            <v>II. Importe en asociadas y negocios conjuntos contab. bajo el método de participación</v>
          </cell>
        </row>
        <row r="268">
          <cell r="D268" t="str">
            <v>1031100030</v>
          </cell>
          <cell r="E268" t="str">
            <v>1031100030</v>
          </cell>
          <cell r="F268" t="str">
            <v>Inversiones En Ferrosalud</v>
          </cell>
          <cell r="G268" t="str">
            <v>1031100030  Inversiones En Ferrosalud</v>
          </cell>
          <cell r="H268" t="str">
            <v>Balance</v>
          </cell>
          <cell r="I268" t="str">
            <v>I. Activos</v>
          </cell>
          <cell r="J268" t="str">
            <v>2. Activos no corrientes</v>
          </cell>
          <cell r="K268" t="str">
            <v>5. Inversiones contabilizadas utilizando el método de la participación</v>
          </cell>
          <cell r="U268" t="str">
            <v>5. Inversiones contabilizadas utilizando el método de la participación</v>
          </cell>
          <cell r="AH268" t="str">
            <v>II. Importe en asociadas y negocios conjuntos contab. bajo el método de participación</v>
          </cell>
        </row>
        <row r="269">
          <cell r="D269" t="str">
            <v>1031100040</v>
          </cell>
          <cell r="E269" t="str">
            <v>1031100040</v>
          </cell>
          <cell r="F269" t="str">
            <v>Inversiones En Ferrosur S.A.</v>
          </cell>
          <cell r="G269" t="str">
            <v>1031100040  Inversiones En Ferrosur S.A.</v>
          </cell>
          <cell r="H269" t="str">
            <v>Balance</v>
          </cell>
          <cell r="I269" t="str">
            <v>I. Activos</v>
          </cell>
          <cell r="J269" t="str">
            <v>2. Activos no corrientes</v>
          </cell>
          <cell r="K269" t="str">
            <v>5. Inversiones contabilizadas utilizando el método de la participación</v>
          </cell>
          <cell r="U269" t="str">
            <v>5. Inversiones contabilizadas utilizando el método de la participación</v>
          </cell>
          <cell r="AH269" t="str">
            <v>II. Importe en asociadas y negocios conjuntos contab. bajo el método de participación</v>
          </cell>
        </row>
        <row r="270">
          <cell r="D270" t="str">
            <v>1031100050</v>
          </cell>
          <cell r="E270" t="str">
            <v>1031100050</v>
          </cell>
          <cell r="F270" t="str">
            <v>Inversiones En Ferropas S.A.</v>
          </cell>
          <cell r="G270" t="str">
            <v>1031100050  Inversiones En Ferropas S.A.</v>
          </cell>
          <cell r="H270" t="str">
            <v>Balance</v>
          </cell>
          <cell r="I270" t="str">
            <v>I. Activos</v>
          </cell>
          <cell r="J270" t="str">
            <v>2. Activos no corrientes</v>
          </cell>
          <cell r="K270" t="str">
            <v>5. Inversiones contabilizadas utilizando el método de la participación</v>
          </cell>
          <cell r="U270" t="str">
            <v>5. Inversiones contabilizadas utilizando el método de la participación</v>
          </cell>
          <cell r="AH270" t="str">
            <v>II. Importe en asociadas y negocios conjuntos contab. bajo el método de participación</v>
          </cell>
        </row>
        <row r="271">
          <cell r="D271" t="str">
            <v>1031100060</v>
          </cell>
          <cell r="E271" t="str">
            <v>1031100060</v>
          </cell>
          <cell r="F271" t="str">
            <v>Inversiones En Fesub S.A.</v>
          </cell>
          <cell r="G271" t="str">
            <v>1031100060  Inversiones En Fesub S.A.</v>
          </cell>
          <cell r="H271" t="str">
            <v>Balance</v>
          </cell>
          <cell r="I271" t="str">
            <v>I. Activos</v>
          </cell>
          <cell r="J271" t="str">
            <v>2. Activos no corrientes</v>
          </cell>
          <cell r="K271" t="str">
            <v>5. Inversiones contabilizadas utilizando el método de la participación</v>
          </cell>
          <cell r="U271" t="str">
            <v>5. Inversiones contabilizadas utilizando el método de la participación</v>
          </cell>
          <cell r="AH271" t="str">
            <v>II. Importe en asociadas y negocios conjuntos contab. bajo el método de participación</v>
          </cell>
        </row>
        <row r="272">
          <cell r="D272" t="str">
            <v>1031100070</v>
          </cell>
          <cell r="E272" t="str">
            <v>1031100070</v>
          </cell>
          <cell r="F272" t="str">
            <v>Inversiones En FCALP.</v>
          </cell>
          <cell r="G272" t="str">
            <v>1031100070  Inversiones En FCALP.</v>
          </cell>
          <cell r="H272" t="str">
            <v>Balance</v>
          </cell>
          <cell r="I272" t="str">
            <v>I. Activos</v>
          </cell>
          <cell r="J272" t="str">
            <v>2. Activos no corrientes</v>
          </cell>
          <cell r="K272" t="str">
            <v>5. Inversiones contabilizadas utilizando el método de la participación</v>
          </cell>
          <cell r="U272" t="str">
            <v>5. Inversiones contabilizadas utilizando el método de la participación</v>
          </cell>
          <cell r="AH272" t="str">
            <v>II. Importe en asociadas y negocios conjuntos contab. bajo el método de participación</v>
          </cell>
        </row>
        <row r="273">
          <cell r="D273" t="str">
            <v>1031100080</v>
          </cell>
          <cell r="E273" t="str">
            <v>1031100080</v>
          </cell>
          <cell r="F273" t="str">
            <v>Inversiones En ITF</v>
          </cell>
          <cell r="G273" t="str">
            <v>1031100080  Inversiones En ITF</v>
          </cell>
          <cell r="H273" t="str">
            <v>Balance</v>
          </cell>
          <cell r="I273" t="str">
            <v>I. Activos</v>
          </cell>
          <cell r="J273" t="str">
            <v>2. Activos no corrientes</v>
          </cell>
          <cell r="K273" t="str">
            <v>5. Inversiones contabilizadas utilizando el método de la participación</v>
          </cell>
          <cell r="U273" t="str">
            <v>5. Inversiones contabilizadas utilizando el método de la participación</v>
          </cell>
          <cell r="AH273" t="str">
            <v>II. Importe en asociadas y negocios conjuntos contab. bajo el método de participación</v>
          </cell>
        </row>
        <row r="274">
          <cell r="D274" t="str">
            <v>1031200020</v>
          </cell>
          <cell r="E274" t="str">
            <v>1031200020</v>
          </cell>
          <cell r="F274" t="str">
            <v>Inversiones En Ipesa</v>
          </cell>
          <cell r="G274" t="str">
            <v>1031200020  Inversiones En Ipesa</v>
          </cell>
          <cell r="H274" t="str">
            <v>Balance</v>
          </cell>
          <cell r="I274" t="str">
            <v>I. Activos</v>
          </cell>
          <cell r="J274" t="str">
            <v>2. Activos no corrientes</v>
          </cell>
          <cell r="K274" t="str">
            <v>5. Inversiones contabilizadas utilizando el método de la participación</v>
          </cell>
          <cell r="U274" t="str">
            <v>5. Inversiones contabilizadas utilizando el método de la participación</v>
          </cell>
          <cell r="AH274" t="str">
            <v>II. Importe en asociadas y negocios conjuntos contab. bajo el método de participación</v>
          </cell>
        </row>
        <row r="275">
          <cell r="D275" t="str">
            <v>1031200030</v>
          </cell>
          <cell r="E275" t="str">
            <v>1031200030</v>
          </cell>
          <cell r="F275" t="str">
            <v>Inversiones En Disba S.A.</v>
          </cell>
          <cell r="G275" t="str">
            <v>1031200030  Inversiones En Disba S.A.</v>
          </cell>
          <cell r="H275" t="str">
            <v>Balance</v>
          </cell>
          <cell r="I275" t="str">
            <v>I. Activos</v>
          </cell>
          <cell r="J275" t="str">
            <v>2. Activos no corrientes</v>
          </cell>
          <cell r="K275" t="str">
            <v>5. Inversiones contabilizadas utilizando el método de la participación</v>
          </cell>
          <cell r="U275" t="str">
            <v>5. Inversiones contabilizadas utilizando el método de la participación</v>
          </cell>
          <cell r="AH275" t="str">
            <v>II. Importe en asociadas y negocios conjuntos contab. bajo el método de participación</v>
          </cell>
        </row>
        <row r="276">
          <cell r="D276" t="str">
            <v>1031200040</v>
          </cell>
          <cell r="E276" t="str">
            <v>1031200040</v>
          </cell>
          <cell r="F276" t="str">
            <v>Inversiones En Transub S.A.</v>
          </cell>
          <cell r="G276" t="str">
            <v>1031200040  Inversiones En Transub S.A.</v>
          </cell>
          <cell r="H276" t="str">
            <v>Balance</v>
          </cell>
          <cell r="I276" t="str">
            <v>I. Activos</v>
          </cell>
          <cell r="J276" t="str">
            <v>2. Activos no corrientes</v>
          </cell>
          <cell r="K276" t="str">
            <v>5. Inversiones contabilizadas utilizando el método de la participación</v>
          </cell>
          <cell r="U276" t="str">
            <v>5. Inversiones contabilizadas utilizando el método de la participación</v>
          </cell>
          <cell r="AH276" t="str">
            <v>II. Importe en asociadas y negocios conjuntos contab. bajo el método de participación</v>
          </cell>
        </row>
        <row r="277">
          <cell r="D277" t="str">
            <v>2029100030</v>
          </cell>
          <cell r="E277" t="str">
            <v>2029100030</v>
          </cell>
          <cell r="F277" t="str">
            <v>Aporte Futuras Capitalizaciones Merval S.A</v>
          </cell>
          <cell r="G277" t="str">
            <v>2029100030  Aporte Futuras Capitalizaciones Merval S.A</v>
          </cell>
          <cell r="H277" t="str">
            <v>Balance</v>
          </cell>
          <cell r="I277" t="str">
            <v>I. Activos</v>
          </cell>
          <cell r="J277" t="str">
            <v>2. Activos no corrientes</v>
          </cell>
          <cell r="K277" t="str">
            <v>5. Inversiones contabilizadas utilizando el método de la participación</v>
          </cell>
          <cell r="U277" t="str">
            <v>5. Inversiones contabilizadas utilizando el método de la participación</v>
          </cell>
          <cell r="AH277" t="str">
            <v>II. Importe en asociadas y negocios conjuntos contab. bajo el método de participación</v>
          </cell>
        </row>
        <row r="278">
          <cell r="D278" t="str">
            <v>1032100010</v>
          </cell>
          <cell r="E278" t="str">
            <v>1032100010</v>
          </cell>
          <cell r="F278" t="str">
            <v>Inversiones En Cooperativas Eléctricas</v>
          </cell>
          <cell r="G278" t="str">
            <v>1032100010  Inversiones En Cooperativas Eléctricas</v>
          </cell>
          <cell r="H278" t="str">
            <v>Balance</v>
          </cell>
          <cell r="I278" t="str">
            <v>I. Activos</v>
          </cell>
          <cell r="J278" t="str">
            <v>2. Activos no corrientes</v>
          </cell>
          <cell r="K278" t="str">
            <v>5. Inversiones contabilizadas utilizando el método de la participación</v>
          </cell>
          <cell r="U278" t="str">
            <v>5. Inversiones contabilizadas utilizando el método de la participación</v>
          </cell>
          <cell r="AH278" t="str">
            <v>II. Importe en asociadas y negocios conjuntos contab. bajo el método de participación</v>
          </cell>
        </row>
        <row r="279">
          <cell r="D279" t="str">
            <v>1000099999</v>
          </cell>
          <cell r="E279" t="str">
            <v>1000099999</v>
          </cell>
          <cell r="F279" t="str">
            <v>Inversión de INVIA en ??????</v>
          </cell>
          <cell r="G279" t="str">
            <v>1000099999  Inversión de INVIA en ??????</v>
          </cell>
          <cell r="H279" t="str">
            <v>Balance</v>
          </cell>
          <cell r="I279" t="str">
            <v>I. Activos</v>
          </cell>
          <cell r="J279" t="str">
            <v>2. Activos no corrientes</v>
          </cell>
          <cell r="K279" t="str">
            <v>5. Inversiones contabilizadas utilizando el método de la participación</v>
          </cell>
          <cell r="U279" t="str">
            <v>5. Inversiones contabilizadas utilizando el método de la participación</v>
          </cell>
          <cell r="AH279" t="str">
            <v>II. Importe en asociadas y negocios conjuntos contab. bajo el método de participación</v>
          </cell>
        </row>
        <row r="280">
          <cell r="D280" t="str">
            <v>1031100070</v>
          </cell>
          <cell r="E280" t="str">
            <v>1031100070</v>
          </cell>
          <cell r="F280" t="str">
            <v>Ferrocarril De Arica A La Paz S.A De Largo Plazo</v>
          </cell>
          <cell r="G280" t="str">
            <v>1031100070  Ferrocarril De Arica A La Paz S.A De Largo Plazo</v>
          </cell>
          <cell r="H280" t="str">
            <v>Balance</v>
          </cell>
          <cell r="I280" t="str">
            <v>I. Activos</v>
          </cell>
          <cell r="J280" t="str">
            <v>2. Activos no corrientes</v>
          </cell>
          <cell r="K280" t="str">
            <v>5. Inversiones contabilizadas utilizando el método de la participación</v>
          </cell>
          <cell r="U280" t="str">
            <v>5. Inversiones contabilizadas utilizando el método de la participación</v>
          </cell>
          <cell r="AH280" t="str">
            <v>II. Importe en asociadas y negocios conjuntos contab. bajo el método de participación</v>
          </cell>
        </row>
        <row r="281">
          <cell r="D281" t="str">
            <v>1031100080</v>
          </cell>
          <cell r="E281" t="str">
            <v>1031100080</v>
          </cell>
          <cell r="F281" t="str">
            <v>Infraestructura Y Tráfico Ferroviario S.A De Lp</v>
          </cell>
          <cell r="G281" t="str">
            <v>1031100080  Infraestructura Y Tráfico Ferroviario S.A De Lp</v>
          </cell>
          <cell r="H281" t="str">
            <v>Balance</v>
          </cell>
          <cell r="I281" t="str">
            <v>I. Activos</v>
          </cell>
          <cell r="J281" t="str">
            <v>2. Activos no corrientes</v>
          </cell>
          <cell r="K281" t="str">
            <v>5. Inversiones contabilizadas utilizando el método de la participación</v>
          </cell>
          <cell r="U281" t="str">
            <v>5. Inversiones contabilizadas utilizando el método de la participación</v>
          </cell>
          <cell r="AH281" t="str">
            <v>II. Importe en asociadas y negocios conjuntos contab. bajo el método de participación</v>
          </cell>
        </row>
        <row r="282">
          <cell r="D282">
            <v>0</v>
          </cell>
          <cell r="G282" t="str">
            <v/>
          </cell>
          <cell r="H282" t="str">
            <v>Balance</v>
          </cell>
          <cell r="I282" t="str">
            <v>I. Activos</v>
          </cell>
          <cell r="J282" t="str">
            <v>2. Activos no corrientes</v>
          </cell>
          <cell r="K282" t="str">
            <v>5. Inversiones contabilizadas utilizando el método de la participación</v>
          </cell>
          <cell r="U282" t="str">
            <v>5. Inversiones contabilizadas utilizando el método de la participación</v>
          </cell>
          <cell r="AH282" t="str">
            <v>II. Importe en asociadas y negocios conjuntos contab. bajo el método de participación</v>
          </cell>
        </row>
        <row r="283">
          <cell r="D283">
            <v>0</v>
          </cell>
          <cell r="F283" t="str">
            <v>Inversiones contabilizadas utilizando el método de la Participación</v>
          </cell>
          <cell r="G283" t="str">
            <v/>
          </cell>
          <cell r="H283" t="str">
            <v/>
          </cell>
        </row>
        <row r="284">
          <cell r="D284">
            <v>0</v>
          </cell>
          <cell r="G284" t="str">
            <v/>
          </cell>
          <cell r="H284" t="str">
            <v/>
          </cell>
        </row>
        <row r="285">
          <cell r="D285" t="str">
            <v>1038100020</v>
          </cell>
          <cell r="E285" t="str">
            <v>1038100020</v>
          </cell>
          <cell r="F285" t="str">
            <v>Marcas</v>
          </cell>
          <cell r="G285" t="str">
            <v>1038100020  Marcas</v>
          </cell>
          <cell r="H285" t="str">
            <v>Balance</v>
          </cell>
          <cell r="I285" t="str">
            <v>I. Activos</v>
          </cell>
          <cell r="J285" t="str">
            <v>2. Activos no corrientes</v>
          </cell>
          <cell r="K285" t="str">
            <v>6. Activos intangibles distintos de la plusvalía</v>
          </cell>
          <cell r="U285" t="str">
            <v>6. Activos intangibles distintos de la plusvalía</v>
          </cell>
          <cell r="AH285" t="str">
            <v>I. Activos de los segmentos</v>
          </cell>
        </row>
        <row r="286">
          <cell r="D286" t="str">
            <v>1038100030</v>
          </cell>
          <cell r="E286" t="str">
            <v>1038100030</v>
          </cell>
          <cell r="F286" t="str">
            <v>Licencias  Computacionales</v>
          </cell>
          <cell r="G286" t="str">
            <v>1038100030  Licencias  Computacionales</v>
          </cell>
          <cell r="H286" t="str">
            <v>Balance</v>
          </cell>
          <cell r="I286" t="str">
            <v>I. Activos</v>
          </cell>
          <cell r="J286" t="str">
            <v>2. Activos no corrientes</v>
          </cell>
          <cell r="K286" t="str">
            <v>6. Activos intangibles distintos de la plusvalía</v>
          </cell>
          <cell r="U286" t="str">
            <v>6. Activos intangibles distintos de la plusvalía</v>
          </cell>
          <cell r="AH286" t="str">
            <v>I. Activos de los segmentos</v>
          </cell>
        </row>
        <row r="287">
          <cell r="D287" t="str">
            <v>1038100040</v>
          </cell>
          <cell r="E287" t="str">
            <v>1038100040</v>
          </cell>
          <cell r="F287" t="str">
            <v>Estudios De Proyectos De Inversion</v>
          </cell>
          <cell r="G287" t="str">
            <v>1038100040  Estudios De Proyectos De Inversion</v>
          </cell>
          <cell r="H287" t="str">
            <v>Balance</v>
          </cell>
          <cell r="I287" t="str">
            <v>I. Activos</v>
          </cell>
          <cell r="J287" t="str">
            <v>2. Activos no corrientes</v>
          </cell>
          <cell r="K287" t="str">
            <v>6. Activos intangibles distintos de la plusvalía</v>
          </cell>
          <cell r="U287" t="str">
            <v>6. Activos intangibles distintos de la plusvalía</v>
          </cell>
          <cell r="AH287" t="str">
            <v>I. Activos de los segmentos</v>
          </cell>
        </row>
        <row r="288">
          <cell r="D288" t="str">
            <v>1038100050</v>
          </cell>
          <cell r="E288" t="str">
            <v>1038100050</v>
          </cell>
          <cell r="F288" t="str">
            <v>Plan De Seguridad Educacional</v>
          </cell>
          <cell r="G288" t="str">
            <v>1038100050  Plan De Seguridad Educacional</v>
          </cell>
          <cell r="H288" t="str">
            <v>Balance</v>
          </cell>
          <cell r="I288" t="str">
            <v>I. Activos</v>
          </cell>
          <cell r="J288" t="str">
            <v>2. Activos no corrientes</v>
          </cell>
          <cell r="K288" t="str">
            <v>6. Activos intangibles distintos de la plusvalía</v>
          </cell>
          <cell r="U288" t="str">
            <v>6. Activos intangibles distintos de la plusvalía</v>
          </cell>
          <cell r="AH288" t="str">
            <v>I. Activos de los segmentos</v>
          </cell>
        </row>
        <row r="289">
          <cell r="D289" t="str">
            <v>1038100080</v>
          </cell>
          <cell r="E289" t="str">
            <v>1038100080</v>
          </cell>
          <cell r="F289" t="str">
            <v>Cta Complementaria Intangibles</v>
          </cell>
          <cell r="G289" t="str">
            <v>1038100080  Cta Complementaria Intangibles</v>
          </cell>
          <cell r="H289" t="str">
            <v>Balance</v>
          </cell>
          <cell r="I289" t="str">
            <v>I. Activos</v>
          </cell>
          <cell r="J289" t="str">
            <v>2. Activos no corrientes</v>
          </cell>
          <cell r="K289" t="str">
            <v>6. Activos intangibles distintos de la plusvalía</v>
          </cell>
          <cell r="U289" t="str">
            <v>6. Activos intangibles distintos de la plusvalía</v>
          </cell>
          <cell r="AH289" t="str">
            <v>I. Activos de los segmentos</v>
          </cell>
        </row>
        <row r="290">
          <cell r="D290" t="str">
            <v>2027200000</v>
          </cell>
          <cell r="E290" t="str">
            <v>2027200000</v>
          </cell>
          <cell r="F290" t="str">
            <v>Amortizacion Acumulada Proyectos De Inversion</v>
          </cell>
          <cell r="G290" t="str">
            <v>2027200000  Amortizacion Acumulada Proyectos De Inversion</v>
          </cell>
          <cell r="H290" t="str">
            <v>Balance</v>
          </cell>
          <cell r="I290" t="str">
            <v>I. Activos</v>
          </cell>
          <cell r="J290" t="str">
            <v>2. Activos no corrientes</v>
          </cell>
          <cell r="K290" t="str">
            <v>6. Activos intangibles distintos de la plusvalía</v>
          </cell>
          <cell r="U290" t="str">
            <v>7.Amortización Act. Int. distintos de la plusvalía</v>
          </cell>
          <cell r="AH290" t="str">
            <v>I. Activos de los segmentos</v>
          </cell>
        </row>
        <row r="291">
          <cell r="D291" t="str">
            <v>2027200010</v>
          </cell>
          <cell r="E291" t="str">
            <v>2027200010</v>
          </cell>
          <cell r="F291" t="str">
            <v>Amort.Acumulada Proytos.Inversion  Lic.Comput.</v>
          </cell>
          <cell r="G291" t="str">
            <v>2027200010  Amort.Acumulada Proytos.Inversion  Lic.Comput.</v>
          </cell>
          <cell r="H291" t="str">
            <v>Balance</v>
          </cell>
          <cell r="I291" t="str">
            <v>I. Activos</v>
          </cell>
          <cell r="J291" t="str">
            <v>2. Activos no corrientes</v>
          </cell>
          <cell r="K291" t="str">
            <v>6. Activos intangibles distintos de la plusvalía</v>
          </cell>
          <cell r="U291" t="str">
            <v>7.Amortización Act. Int. distintos de la plusvalía</v>
          </cell>
          <cell r="AH291" t="str">
            <v>I. Activos de los segmentos</v>
          </cell>
        </row>
        <row r="292">
          <cell r="D292" t="str">
            <v>2027200020</v>
          </cell>
          <cell r="E292" t="str">
            <v>2027200020</v>
          </cell>
          <cell r="F292" t="str">
            <v>Amort.Acumulada Proytos.Inversion  Marcas Y Pat.</v>
          </cell>
          <cell r="G292" t="str">
            <v>2027200020  Amort.Acumulada Proytos.Inversion  Marcas Y Pat.</v>
          </cell>
          <cell r="H292" t="str">
            <v>Balance</v>
          </cell>
          <cell r="I292" t="str">
            <v>I. Activos</v>
          </cell>
          <cell r="J292" t="str">
            <v>2. Activos no corrientes</v>
          </cell>
          <cell r="K292" t="str">
            <v>6. Activos intangibles distintos de la plusvalía</v>
          </cell>
          <cell r="U292" t="str">
            <v>7.Amortización Act. Int. distintos de la plusvalía</v>
          </cell>
          <cell r="AH292" t="str">
            <v>I. Activos de los segmentos</v>
          </cell>
        </row>
        <row r="293">
          <cell r="D293">
            <v>0</v>
          </cell>
          <cell r="F293" t="str">
            <v>Activos Intangibles Distintos De La Plusvalía</v>
          </cell>
          <cell r="G293" t="str">
            <v/>
          </cell>
          <cell r="H293" t="str">
            <v/>
          </cell>
          <cell r="AH293" t="str">
            <v/>
          </cell>
        </row>
        <row r="294">
          <cell r="D294">
            <v>0</v>
          </cell>
          <cell r="G294" t="str">
            <v/>
          </cell>
          <cell r="H294" t="str">
            <v/>
          </cell>
          <cell r="AH294" t="str">
            <v/>
          </cell>
        </row>
        <row r="295">
          <cell r="D295">
            <v>0</v>
          </cell>
          <cell r="F295" t="str">
            <v/>
          </cell>
          <cell r="G295" t="str">
            <v/>
          </cell>
          <cell r="H295" t="str">
            <v/>
          </cell>
          <cell r="I295" t="str">
            <v>I. Activos</v>
          </cell>
          <cell r="J295" t="str">
            <v>2. Activos no corrientes</v>
          </cell>
          <cell r="K295" t="str">
            <v>7. Plusvalía</v>
          </cell>
          <cell r="U295" t="str">
            <v>8. Plusvalía</v>
          </cell>
          <cell r="AH295" t="str">
            <v>I. Activos de los segmentos</v>
          </cell>
        </row>
        <row r="296">
          <cell r="D296">
            <v>0</v>
          </cell>
          <cell r="F296" t="str">
            <v>Plusvalía</v>
          </cell>
          <cell r="G296" t="str">
            <v/>
          </cell>
          <cell r="H296" t="str">
            <v/>
          </cell>
          <cell r="AH296" t="str">
            <v/>
          </cell>
        </row>
        <row r="297">
          <cell r="D297">
            <v>0</v>
          </cell>
          <cell r="F297" t="str">
            <v/>
          </cell>
          <cell r="G297" t="str">
            <v/>
          </cell>
          <cell r="H297" t="str">
            <v/>
          </cell>
          <cell r="AH297" t="str">
            <v/>
          </cell>
        </row>
        <row r="298">
          <cell r="D298" t="str">
            <v>1021100010</v>
          </cell>
          <cell r="E298" t="str">
            <v>1021100010</v>
          </cell>
          <cell r="F298" t="str">
            <v>Terrenos</v>
          </cell>
          <cell r="G298" t="str">
            <v>1021100010  Terrenos</v>
          </cell>
          <cell r="H298" t="str">
            <v>Balance</v>
          </cell>
          <cell r="I298" t="str">
            <v>I. Activos</v>
          </cell>
          <cell r="J298" t="str">
            <v>2. Activos no corrientes</v>
          </cell>
          <cell r="K298" t="str">
            <v>8. Propiedades, Planta y Equipo</v>
          </cell>
          <cell r="U298" t="str">
            <v>9. Propiedades, Planta y Equipo</v>
          </cell>
          <cell r="AH298" t="str">
            <v>I. Activos de los segmentos</v>
          </cell>
        </row>
        <row r="299">
          <cell r="D299" t="str">
            <v>1021100020</v>
          </cell>
          <cell r="E299" t="str">
            <v>1021100020</v>
          </cell>
          <cell r="F299" t="str">
            <v>Cuenta copmplementaria de Terrenos</v>
          </cell>
          <cell r="G299" t="str">
            <v>1021100020  Cuenta copmplementaria de Terrenos</v>
          </cell>
          <cell r="H299" t="str">
            <v>Balance</v>
          </cell>
          <cell r="I299" t="str">
            <v>I. Activos</v>
          </cell>
          <cell r="J299" t="str">
            <v>2. Activos no corrientes</v>
          </cell>
          <cell r="K299" t="str">
            <v>8. Propiedades, Planta y Equipo</v>
          </cell>
          <cell r="U299" t="str">
            <v>9. Propiedades, Planta y Equipo</v>
          </cell>
          <cell r="AH299" t="str">
            <v>I. Activos de los segmentos</v>
          </cell>
        </row>
        <row r="300">
          <cell r="D300" t="str">
            <v>1022100010</v>
          </cell>
          <cell r="E300" t="str">
            <v>1022100010</v>
          </cell>
          <cell r="F300" t="str">
            <v>Edificios Y Construcciones</v>
          </cell>
          <cell r="G300" t="str">
            <v>1022100010  Edificios Y Construcciones</v>
          </cell>
          <cell r="H300" t="str">
            <v>Balance</v>
          </cell>
          <cell r="I300" t="str">
            <v>I. Activos</v>
          </cell>
          <cell r="J300" t="str">
            <v>2. Activos no corrientes</v>
          </cell>
          <cell r="K300" t="str">
            <v>8. Propiedades, Planta y Equipo</v>
          </cell>
          <cell r="U300" t="str">
            <v>9. Propiedades, Planta y Equipo</v>
          </cell>
          <cell r="AH300" t="str">
            <v>I. Activos de los segmentos</v>
          </cell>
        </row>
        <row r="301">
          <cell r="D301" t="str">
            <v>1022100020</v>
          </cell>
          <cell r="E301" t="str">
            <v>1022100020</v>
          </cell>
          <cell r="F301" t="str">
            <v>Infraestructura De La Vía</v>
          </cell>
          <cell r="G301" t="str">
            <v>1022100020  Infraestructura De La Vía</v>
          </cell>
          <cell r="H301" t="str">
            <v>Balance</v>
          </cell>
          <cell r="I301" t="str">
            <v>I. Activos</v>
          </cell>
          <cell r="J301" t="str">
            <v>2. Activos no corrientes</v>
          </cell>
          <cell r="K301" t="str">
            <v>8. Propiedades, Planta y Equipo</v>
          </cell>
          <cell r="U301" t="str">
            <v>9. Propiedades, Planta y Equipo</v>
          </cell>
          <cell r="AH301" t="str">
            <v>I. Activos de los segmentos</v>
          </cell>
        </row>
        <row r="302">
          <cell r="D302" t="str">
            <v>1022100030</v>
          </cell>
          <cell r="E302" t="str">
            <v>1022100030</v>
          </cell>
          <cell r="F302" t="str">
            <v>Superestructura De La Vía</v>
          </cell>
          <cell r="G302" t="str">
            <v>1022100030  Superestructura De La Vía</v>
          </cell>
          <cell r="H302" t="str">
            <v>Balance</v>
          </cell>
          <cell r="I302" t="str">
            <v>I. Activos</v>
          </cell>
          <cell r="J302" t="str">
            <v>2. Activos no corrientes</v>
          </cell>
          <cell r="K302" t="str">
            <v>8. Propiedades, Planta y Equipo</v>
          </cell>
          <cell r="U302" t="str">
            <v>9. Propiedades, Planta y Equipo</v>
          </cell>
          <cell r="AH302" t="str">
            <v>I. Activos de los segmentos</v>
          </cell>
        </row>
        <row r="303">
          <cell r="D303" t="str">
            <v>1022100031</v>
          </cell>
          <cell r="E303" t="str">
            <v>1022100031</v>
          </cell>
          <cell r="F303" t="str">
            <v>Superestructura De La Vía por componentes</v>
          </cell>
          <cell r="G303" t="str">
            <v>1022100031  Superestructura De La Vía por componentes</v>
          </cell>
          <cell r="H303" t="str">
            <v>Balance</v>
          </cell>
          <cell r="I303" t="str">
            <v>I. Activos</v>
          </cell>
          <cell r="J303" t="str">
            <v>2. Activos no corrientes</v>
          </cell>
          <cell r="K303" t="str">
            <v>8. Propiedades, Planta y Equipo</v>
          </cell>
          <cell r="U303" t="str">
            <v>9. Propiedades, Planta y Equipo</v>
          </cell>
          <cell r="AH303" t="str">
            <v>I. Activos de los segmentos</v>
          </cell>
        </row>
        <row r="304">
          <cell r="D304" t="str">
            <v>1022100040</v>
          </cell>
          <cell r="E304" t="str">
            <v>1022100040</v>
          </cell>
          <cell r="F304" t="str">
            <v>Líneas De Contacto</v>
          </cell>
          <cell r="G304" t="str">
            <v>1022100040  Líneas De Contacto</v>
          </cell>
          <cell r="H304" t="str">
            <v>Balance</v>
          </cell>
          <cell r="I304" t="str">
            <v>I. Activos</v>
          </cell>
          <cell r="J304" t="str">
            <v>2. Activos no corrientes</v>
          </cell>
          <cell r="K304" t="str">
            <v>8. Propiedades, Planta y Equipo</v>
          </cell>
          <cell r="U304" t="str">
            <v>9. Propiedades, Planta y Equipo</v>
          </cell>
          <cell r="AH304" t="str">
            <v>I. Activos de los segmentos</v>
          </cell>
        </row>
        <row r="305">
          <cell r="D305" t="str">
            <v>1022100050</v>
          </cell>
          <cell r="E305" t="str">
            <v>1022100050</v>
          </cell>
          <cell r="F305" t="str">
            <v>Subestaciones</v>
          </cell>
          <cell r="G305" t="str">
            <v>1022100050  Subestaciones</v>
          </cell>
          <cell r="H305" t="str">
            <v>Balance</v>
          </cell>
          <cell r="I305" t="str">
            <v>I. Activos</v>
          </cell>
          <cell r="J305" t="str">
            <v>2. Activos no corrientes</v>
          </cell>
          <cell r="K305" t="str">
            <v>8. Propiedades, Planta y Equipo</v>
          </cell>
          <cell r="U305" t="str">
            <v>9. Propiedades, Planta y Equipo</v>
          </cell>
          <cell r="AH305" t="str">
            <v>I. Activos de los segmentos</v>
          </cell>
        </row>
        <row r="306">
          <cell r="D306" t="str">
            <v>1022100060</v>
          </cell>
          <cell r="E306" t="str">
            <v>1022100060</v>
          </cell>
          <cell r="F306" t="str">
            <v>Señalizaciones</v>
          </cell>
          <cell r="G306" t="str">
            <v>1022100060  Señalizaciones</v>
          </cell>
          <cell r="H306" t="str">
            <v>Balance</v>
          </cell>
          <cell r="I306" t="str">
            <v>I. Activos</v>
          </cell>
          <cell r="J306" t="str">
            <v>2. Activos no corrientes</v>
          </cell>
          <cell r="K306" t="str">
            <v>8. Propiedades, Planta y Equipo</v>
          </cell>
          <cell r="U306" t="str">
            <v>9. Propiedades, Planta y Equipo</v>
          </cell>
          <cell r="AH306" t="str">
            <v>I. Activos de los segmentos</v>
          </cell>
        </row>
        <row r="307">
          <cell r="D307" t="str">
            <v>1022100070</v>
          </cell>
          <cell r="E307" t="str">
            <v>1022100070</v>
          </cell>
          <cell r="F307" t="str">
            <v>Comunicaciones</v>
          </cell>
          <cell r="G307" t="str">
            <v>1022100070  Comunicaciones</v>
          </cell>
          <cell r="H307" t="str">
            <v>Balance</v>
          </cell>
          <cell r="I307" t="str">
            <v>I. Activos</v>
          </cell>
          <cell r="J307" t="str">
            <v>2. Activos no corrientes</v>
          </cell>
          <cell r="K307" t="str">
            <v>8. Propiedades, Planta y Equipo</v>
          </cell>
          <cell r="U307" t="str">
            <v>9. Propiedades, Planta y Equipo</v>
          </cell>
          <cell r="AH307" t="str">
            <v>I. Activos de los segmentos</v>
          </cell>
        </row>
        <row r="308">
          <cell r="D308" t="str">
            <v>1023100010</v>
          </cell>
          <cell r="E308" t="str">
            <v>1023100010</v>
          </cell>
          <cell r="F308" t="str">
            <v>Equipo Tractor Y Rodante</v>
          </cell>
          <cell r="G308" t="str">
            <v>1023100010  Equipo Tractor Y Rodante</v>
          </cell>
          <cell r="H308" t="str">
            <v>Balance</v>
          </cell>
          <cell r="I308" t="str">
            <v>I. Activos</v>
          </cell>
          <cell r="J308" t="str">
            <v>2. Activos no corrientes</v>
          </cell>
          <cell r="K308" t="str">
            <v>8. Propiedades, Planta y Equipo</v>
          </cell>
          <cell r="U308" t="str">
            <v>9. Propiedades, Planta y Equipo</v>
          </cell>
          <cell r="AH308" t="str">
            <v>I. Activos de los segmentos</v>
          </cell>
        </row>
        <row r="309">
          <cell r="D309" t="str">
            <v>1023200010</v>
          </cell>
          <cell r="E309" t="str">
            <v>1023200010</v>
          </cell>
          <cell r="F309" t="str">
            <v>Maquinaria Y Herramientas</v>
          </cell>
          <cell r="G309" t="str">
            <v>1023200010  Maquinaria Y Herramientas</v>
          </cell>
          <cell r="H309" t="str">
            <v>Balance</v>
          </cell>
          <cell r="I309" t="str">
            <v>I. Activos</v>
          </cell>
          <cell r="J309" t="str">
            <v>2. Activos no corrientes</v>
          </cell>
          <cell r="K309" t="str">
            <v>8. Propiedades, Planta y Equipo</v>
          </cell>
          <cell r="U309" t="str">
            <v>9. Propiedades, Planta y Equipo</v>
          </cell>
          <cell r="AH309" t="str">
            <v>I. Activos de los segmentos</v>
          </cell>
        </row>
        <row r="310">
          <cell r="D310" t="str">
            <v>1023200020</v>
          </cell>
          <cell r="E310" t="str">
            <v>1023200020</v>
          </cell>
          <cell r="F310" t="str">
            <v>Cta. Complementaria Maquinarias Y Equip</v>
          </cell>
          <cell r="G310" t="str">
            <v>1023200020  Cta. Complementaria Maquinarias Y Equip</v>
          </cell>
          <cell r="H310" t="str">
            <v>Balance</v>
          </cell>
          <cell r="I310" t="str">
            <v>I. Activos</v>
          </cell>
          <cell r="J310" t="str">
            <v>2. Activos no corrientes</v>
          </cell>
          <cell r="K310" t="str">
            <v>8. Propiedades, Planta y Equipo</v>
          </cell>
          <cell r="U310" t="str">
            <v>9. Propiedades, Planta y Equipo</v>
          </cell>
          <cell r="AH310" t="str">
            <v>I. Activos de los segmentos</v>
          </cell>
        </row>
        <row r="311">
          <cell r="D311" t="str">
            <v>1024100010</v>
          </cell>
          <cell r="E311" t="str">
            <v>1024100010</v>
          </cell>
          <cell r="F311" t="str">
            <v>Muebles Y Enseres</v>
          </cell>
          <cell r="G311" t="str">
            <v>1024100010  Muebles Y Enseres</v>
          </cell>
          <cell r="H311" t="str">
            <v>Balance</v>
          </cell>
          <cell r="I311" t="str">
            <v>I. Activos</v>
          </cell>
          <cell r="J311" t="str">
            <v>2. Activos no corrientes</v>
          </cell>
          <cell r="K311" t="str">
            <v>8. Propiedades, Planta y Equipo</v>
          </cell>
          <cell r="U311" t="str">
            <v>9. Propiedades, Planta y Equipo</v>
          </cell>
          <cell r="AH311" t="str">
            <v>I. Activos de los segmentos</v>
          </cell>
        </row>
        <row r="312">
          <cell r="D312" t="str">
            <v>1024200010</v>
          </cell>
          <cell r="E312" t="str">
            <v>1024200010</v>
          </cell>
          <cell r="F312" t="str">
            <v>Materiales Nuevos</v>
          </cell>
          <cell r="G312" t="str">
            <v>1024200010  Materiales Nuevos</v>
          </cell>
          <cell r="H312" t="str">
            <v>Balance</v>
          </cell>
          <cell r="I312" t="str">
            <v>I. Activos</v>
          </cell>
          <cell r="J312" t="str">
            <v>2. Activos no corrientes</v>
          </cell>
          <cell r="K312" t="str">
            <v>8. Propiedades, Planta y Equipo</v>
          </cell>
          <cell r="U312" t="str">
            <v>9. Propiedades, Planta y Equipo</v>
          </cell>
          <cell r="AH312" t="str">
            <v>I. Activos de los segmentos</v>
          </cell>
        </row>
        <row r="313">
          <cell r="D313" t="str">
            <v>1024200020</v>
          </cell>
          <cell r="E313" t="str">
            <v>1024200020</v>
          </cell>
          <cell r="F313" t="str">
            <v>Materiales De Reempleo</v>
          </cell>
          <cell r="G313" t="str">
            <v>1024200020  Materiales De Reempleo</v>
          </cell>
          <cell r="H313" t="str">
            <v>Balance</v>
          </cell>
          <cell r="I313" t="str">
            <v>I. Activos</v>
          </cell>
          <cell r="J313" t="str">
            <v>2. Activos no corrientes</v>
          </cell>
          <cell r="K313" t="str">
            <v>8. Propiedades, Planta y Equipo</v>
          </cell>
          <cell r="U313" t="str">
            <v>9. Propiedades, Planta y Equipo</v>
          </cell>
          <cell r="AH313" t="str">
            <v>I. Activos de los segmentos</v>
          </cell>
        </row>
        <row r="314">
          <cell r="D314" t="str">
            <v>1024200030</v>
          </cell>
          <cell r="E314" t="str">
            <v>1024200030</v>
          </cell>
          <cell r="F314" t="str">
            <v>Cta. Complementaria Materiales 10242 Cm Existenci</v>
          </cell>
          <cell r="G314" t="str">
            <v>1024200030  Cta. Complementaria Materiales 10242 Cm Existenci</v>
          </cell>
          <cell r="H314" t="str">
            <v>Balance</v>
          </cell>
          <cell r="I314" t="str">
            <v>I. Activos</v>
          </cell>
          <cell r="J314" t="str">
            <v>2. Activos no corrientes</v>
          </cell>
          <cell r="K314" t="str">
            <v>8. Propiedades, Planta y Equipo</v>
          </cell>
          <cell r="U314" t="str">
            <v>9. Propiedades, Planta y Equipo</v>
          </cell>
          <cell r="AH314" t="str">
            <v>I. Activos de los segmentos</v>
          </cell>
        </row>
        <row r="315">
          <cell r="D315" t="str">
            <v>1024300010</v>
          </cell>
          <cell r="E315" t="str">
            <v>1024300010</v>
          </cell>
          <cell r="F315" t="str">
            <v>Inversión Y Proyectos En Terrenos</v>
          </cell>
          <cell r="G315" t="str">
            <v>1024300010  Inversión Y Proyectos En Terrenos</v>
          </cell>
          <cell r="H315" t="str">
            <v>Balance</v>
          </cell>
          <cell r="I315" t="str">
            <v>I. Activos</v>
          </cell>
          <cell r="J315" t="str">
            <v>2. Activos no corrientes</v>
          </cell>
          <cell r="K315" t="str">
            <v>8. Propiedades, Planta y Equipo</v>
          </cell>
          <cell r="U315" t="str">
            <v>9. Propiedades, Planta y Equipo</v>
          </cell>
          <cell r="AH315" t="str">
            <v>I. Activos de los segmentos</v>
          </cell>
        </row>
        <row r="316">
          <cell r="D316" t="str">
            <v>1024300020</v>
          </cell>
          <cell r="E316" t="str">
            <v>1024300020</v>
          </cell>
          <cell r="F316" t="str">
            <v>Inversión Y Proyectos En Edificios Y Construccion</v>
          </cell>
          <cell r="G316" t="str">
            <v>1024300020  Inversión Y Proyectos En Edificios Y Construccion</v>
          </cell>
          <cell r="H316" t="str">
            <v>Balance</v>
          </cell>
          <cell r="I316" t="str">
            <v>I. Activos</v>
          </cell>
          <cell r="J316" t="str">
            <v>2. Activos no corrientes</v>
          </cell>
          <cell r="K316" t="str">
            <v>8. Propiedades, Planta y Equipo</v>
          </cell>
          <cell r="U316" t="str">
            <v>9. Propiedades, Planta y Equipo</v>
          </cell>
          <cell r="AH316" t="str">
            <v>I. Activos de los segmentos</v>
          </cell>
        </row>
        <row r="317">
          <cell r="D317" t="str">
            <v>1024300030</v>
          </cell>
          <cell r="E317" t="str">
            <v>1024300030</v>
          </cell>
          <cell r="F317" t="str">
            <v>Inversión Y Proyectos En Infraestructuras Vías</v>
          </cell>
          <cell r="G317" t="str">
            <v>1024300030  Inversión Y Proyectos En Infraestructuras Vías</v>
          </cell>
          <cell r="H317" t="str">
            <v>Balance</v>
          </cell>
          <cell r="I317" t="str">
            <v>I. Activos</v>
          </cell>
          <cell r="J317" t="str">
            <v>2. Activos no corrientes</v>
          </cell>
          <cell r="K317" t="str">
            <v>8. Propiedades, Planta y Equipo</v>
          </cell>
          <cell r="U317" t="str">
            <v>9. Propiedades, Planta y Equipo</v>
          </cell>
          <cell r="AH317" t="str">
            <v>I. Activos de los segmentos</v>
          </cell>
        </row>
        <row r="318">
          <cell r="D318" t="str">
            <v>1024300040</v>
          </cell>
          <cell r="E318" t="str">
            <v>1024300040</v>
          </cell>
          <cell r="F318" t="str">
            <v>Inversión Y Proyectos En Superestructuras Vías</v>
          </cell>
          <cell r="G318" t="str">
            <v>1024300040  Inversión Y Proyectos En Superestructuras Vías</v>
          </cell>
          <cell r="H318" t="str">
            <v>Balance</v>
          </cell>
          <cell r="I318" t="str">
            <v>I. Activos</v>
          </cell>
          <cell r="J318" t="str">
            <v>2. Activos no corrientes</v>
          </cell>
          <cell r="K318" t="str">
            <v>8. Propiedades, Planta y Equipo</v>
          </cell>
          <cell r="U318" t="str">
            <v>9. Propiedades, Planta y Equipo</v>
          </cell>
          <cell r="AH318" t="str">
            <v>I. Activos de los segmentos</v>
          </cell>
        </row>
        <row r="319">
          <cell r="D319" t="str">
            <v>1024300050</v>
          </cell>
          <cell r="E319" t="str">
            <v>1024300050</v>
          </cell>
          <cell r="F319" t="str">
            <v>Inversión Y Proyectos En Líneas De Contacto</v>
          </cell>
          <cell r="G319" t="str">
            <v>1024300050  Inversión Y Proyectos En Líneas De Contacto</v>
          </cell>
          <cell r="H319" t="str">
            <v>Balance</v>
          </cell>
          <cell r="I319" t="str">
            <v>I. Activos</v>
          </cell>
          <cell r="J319" t="str">
            <v>2. Activos no corrientes</v>
          </cell>
          <cell r="K319" t="str">
            <v>8. Propiedades, Planta y Equipo</v>
          </cell>
          <cell r="U319" t="str">
            <v>9. Propiedades, Planta y Equipo</v>
          </cell>
          <cell r="AH319" t="str">
            <v>I. Activos de los segmentos</v>
          </cell>
        </row>
        <row r="320">
          <cell r="D320" t="str">
            <v>1024300060</v>
          </cell>
          <cell r="E320" t="str">
            <v>1024300060</v>
          </cell>
          <cell r="F320" t="str">
            <v>Inversión Y Proyectos En Subestaciones</v>
          </cell>
          <cell r="G320" t="str">
            <v>1024300060  Inversión Y Proyectos En Subestaciones</v>
          </cell>
          <cell r="H320" t="str">
            <v>Balance</v>
          </cell>
          <cell r="I320" t="str">
            <v>I. Activos</v>
          </cell>
          <cell r="J320" t="str">
            <v>2. Activos no corrientes</v>
          </cell>
          <cell r="K320" t="str">
            <v>8. Propiedades, Planta y Equipo</v>
          </cell>
          <cell r="U320" t="str">
            <v>9. Propiedades, Planta y Equipo</v>
          </cell>
          <cell r="AH320" t="str">
            <v>I. Activos de los segmentos</v>
          </cell>
        </row>
        <row r="321">
          <cell r="D321" t="str">
            <v>1024300070</v>
          </cell>
          <cell r="E321" t="str">
            <v>1024300070</v>
          </cell>
          <cell r="F321" t="str">
            <v>Inversión Y Proyectos En Señalizaciones</v>
          </cell>
          <cell r="G321" t="str">
            <v>1024300070  Inversión Y Proyectos En Señalizaciones</v>
          </cell>
          <cell r="H321" t="str">
            <v>Balance</v>
          </cell>
          <cell r="I321" t="str">
            <v>I. Activos</v>
          </cell>
          <cell r="J321" t="str">
            <v>2. Activos no corrientes</v>
          </cell>
          <cell r="K321" t="str">
            <v>8. Propiedades, Planta y Equipo</v>
          </cell>
          <cell r="U321" t="str">
            <v>9. Propiedades, Planta y Equipo</v>
          </cell>
          <cell r="AH321" t="str">
            <v>I. Activos de los segmentos</v>
          </cell>
        </row>
        <row r="322">
          <cell r="D322" t="str">
            <v>1024300080</v>
          </cell>
          <cell r="E322" t="str">
            <v>1024300080</v>
          </cell>
          <cell r="F322" t="str">
            <v>Inversión Y Proyectos En Comunicaciones</v>
          </cell>
          <cell r="G322" t="str">
            <v>1024300080  Inversión Y Proyectos En Comunicaciones</v>
          </cell>
          <cell r="H322" t="str">
            <v>Balance</v>
          </cell>
          <cell r="I322" t="str">
            <v>I. Activos</v>
          </cell>
          <cell r="J322" t="str">
            <v>2. Activos no corrientes</v>
          </cell>
          <cell r="K322" t="str">
            <v>8. Propiedades, Planta y Equipo</v>
          </cell>
          <cell r="U322" t="str">
            <v>9. Propiedades, Planta y Equipo</v>
          </cell>
          <cell r="AH322" t="str">
            <v>I. Activos de los segmentos</v>
          </cell>
        </row>
        <row r="323">
          <cell r="D323" t="str">
            <v>1024300090</v>
          </cell>
          <cell r="E323" t="str">
            <v>1024300090</v>
          </cell>
          <cell r="F323" t="str">
            <v>Inversión Y Proyectos En Equipo Tractor Y Rodante</v>
          </cell>
          <cell r="G323" t="str">
            <v>1024300090  Inversión Y Proyectos En Equipo Tractor Y Rodante</v>
          </cell>
          <cell r="H323" t="str">
            <v>Balance</v>
          </cell>
          <cell r="I323" t="str">
            <v>I. Activos</v>
          </cell>
          <cell r="J323" t="str">
            <v>2. Activos no corrientes</v>
          </cell>
          <cell r="K323" t="str">
            <v>8. Propiedades, Planta y Equipo</v>
          </cell>
          <cell r="U323" t="str">
            <v>9. Propiedades, Planta y Equipo</v>
          </cell>
          <cell r="AH323" t="str">
            <v>I. Activos de los segmentos</v>
          </cell>
        </row>
        <row r="324">
          <cell r="D324" t="str">
            <v>1024300100</v>
          </cell>
          <cell r="E324" t="str">
            <v>1024300100</v>
          </cell>
          <cell r="F324" t="str">
            <v>Inversión Y Proyectos En Maquinaria Y Herramienta</v>
          </cell>
          <cell r="G324" t="str">
            <v>1024300100  Inversión Y Proyectos En Maquinaria Y Herramienta</v>
          </cell>
          <cell r="H324" t="str">
            <v>Balance</v>
          </cell>
          <cell r="I324" t="str">
            <v>I. Activos</v>
          </cell>
          <cell r="J324" t="str">
            <v>2. Activos no corrientes</v>
          </cell>
          <cell r="K324" t="str">
            <v>8. Propiedades, Planta y Equipo</v>
          </cell>
          <cell r="U324" t="str">
            <v>9. Propiedades, Planta y Equipo</v>
          </cell>
          <cell r="AH324" t="str">
            <v>I. Activos de los segmentos</v>
          </cell>
        </row>
        <row r="325">
          <cell r="D325" t="str">
            <v>1024300105</v>
          </cell>
          <cell r="E325" t="str">
            <v>1024300105</v>
          </cell>
          <cell r="F325" t="str">
            <v>Inversion Y Proyectos En Muebles Y Enseres</v>
          </cell>
          <cell r="G325" t="str">
            <v>1024300105  Inversion Y Proyectos En Muebles Y Enseres</v>
          </cell>
          <cell r="H325" t="str">
            <v>Balance</v>
          </cell>
          <cell r="I325" t="str">
            <v>I. Activos</v>
          </cell>
          <cell r="J325" t="str">
            <v>2. Activos no corrientes</v>
          </cell>
          <cell r="K325" t="str">
            <v>8. Propiedades, Planta y Equipo</v>
          </cell>
          <cell r="U325" t="str">
            <v>9. Propiedades, Planta y Equipo</v>
          </cell>
          <cell r="AH325" t="str">
            <v>I. Activos de los segmentos</v>
          </cell>
        </row>
        <row r="326">
          <cell r="D326" t="str">
            <v>1024300106</v>
          </cell>
          <cell r="E326" t="str">
            <v>1024300106</v>
          </cell>
          <cell r="F326" t="str">
            <v>Inversion Y Proyectos En Estudios</v>
          </cell>
          <cell r="G326" t="str">
            <v>1024300106  Inversion Y Proyectos En Estudios</v>
          </cell>
          <cell r="H326" t="str">
            <v>Balance</v>
          </cell>
          <cell r="I326" t="str">
            <v>I. Activos</v>
          </cell>
          <cell r="J326" t="str">
            <v>2. Activos no corrientes</v>
          </cell>
          <cell r="K326" t="str">
            <v>8. Propiedades, Planta y Equipo</v>
          </cell>
          <cell r="U326" t="str">
            <v>9. Propiedades, Planta y Equipo</v>
          </cell>
          <cell r="AH326" t="str">
            <v>I. Activos de los segmentos</v>
          </cell>
        </row>
        <row r="327">
          <cell r="D327" t="str">
            <v>1024300107</v>
          </cell>
          <cell r="E327" t="str">
            <v>1024300107</v>
          </cell>
          <cell r="F327" t="str">
            <v>Inversion Y Proyectos Lic.Computacionales</v>
          </cell>
          <cell r="G327" t="str">
            <v>1024300107  Inversion Y Proyectos Lic.Computacionales</v>
          </cell>
          <cell r="H327" t="str">
            <v>Balance</v>
          </cell>
          <cell r="I327" t="str">
            <v>I. Activos</v>
          </cell>
          <cell r="J327" t="str">
            <v>2. Activos no corrientes</v>
          </cell>
          <cell r="K327" t="str">
            <v>8. Propiedades, Planta y Equipo</v>
          </cell>
          <cell r="U327" t="str">
            <v>9. Propiedades, Planta y Equipo</v>
          </cell>
          <cell r="AH327" t="str">
            <v>I. Activos de los segmentos</v>
          </cell>
        </row>
        <row r="328">
          <cell r="D328" t="str">
            <v>1024300108</v>
          </cell>
          <cell r="E328" t="str">
            <v>1024300108</v>
          </cell>
          <cell r="F328" t="str">
            <v>Cta. Complementaria Activos Menores</v>
          </cell>
          <cell r="G328" t="str">
            <v>1024300108  Cta. Complementaria Activos Menores</v>
          </cell>
          <cell r="H328" t="str">
            <v>Balance</v>
          </cell>
          <cell r="I328" t="str">
            <v>I. Activos</v>
          </cell>
          <cell r="J328" t="str">
            <v>2. Activos no corrientes</v>
          </cell>
          <cell r="K328" t="str">
            <v>8. Propiedades, Planta y Equipo</v>
          </cell>
          <cell r="U328" t="str">
            <v>9. Propiedades, Planta y Equipo</v>
          </cell>
          <cell r="AH328" t="str">
            <v>I. Activos de los segmentos</v>
          </cell>
        </row>
        <row r="329">
          <cell r="D329" t="str">
            <v>1024300110</v>
          </cell>
          <cell r="E329" t="str">
            <v>1024300110</v>
          </cell>
          <cell r="F329" t="str">
            <v>Mantención Superestructura Vía</v>
          </cell>
          <cell r="G329" t="str">
            <v>1024300110  Mantención Superestructura Vía</v>
          </cell>
          <cell r="H329" t="str">
            <v>Balance</v>
          </cell>
          <cell r="I329" t="str">
            <v>I. Activos</v>
          </cell>
          <cell r="J329" t="str">
            <v>2. Activos no corrientes</v>
          </cell>
          <cell r="K329" t="str">
            <v>8. Propiedades, Planta y Equipo</v>
          </cell>
          <cell r="U329" t="str">
            <v>9. Propiedades, Planta y Equipo</v>
          </cell>
          <cell r="AH329" t="str">
            <v>I. Activos de los segmentos</v>
          </cell>
        </row>
        <row r="330">
          <cell r="D330" t="str">
            <v>1024300122</v>
          </cell>
          <cell r="E330" t="str">
            <v>1024300122</v>
          </cell>
          <cell r="F330" t="str">
            <v>Inv.Iv Etapa Merval S.A</v>
          </cell>
          <cell r="G330" t="str">
            <v>1024300122  Inv.Iv Etapa Merval S.A</v>
          </cell>
          <cell r="H330" t="str">
            <v>Balance</v>
          </cell>
          <cell r="I330" t="str">
            <v>I. Activos</v>
          </cell>
          <cell r="J330" t="str">
            <v>2. Activos no corrientes</v>
          </cell>
          <cell r="K330" t="str">
            <v>8. Propiedades, Planta y Equipo</v>
          </cell>
          <cell r="U330" t="str">
            <v>9. Propiedades, Planta y Equipo</v>
          </cell>
          <cell r="AH330" t="str">
            <v>I. Activos de los segmentos</v>
          </cell>
        </row>
        <row r="331">
          <cell r="D331" t="str">
            <v>1024300125</v>
          </cell>
          <cell r="E331" t="str">
            <v>1024300125</v>
          </cell>
          <cell r="F331" t="str">
            <v>Cttos. Mano de obra Proyectos de Inversión</v>
          </cell>
          <cell r="G331" t="str">
            <v>1024300125  Cttos. Mano de obra Proyectos de Inversión</v>
          </cell>
          <cell r="H331" t="str">
            <v>Balance</v>
          </cell>
          <cell r="I331" t="str">
            <v>I. Activos</v>
          </cell>
          <cell r="J331" t="str">
            <v>2. Activos no corrientes</v>
          </cell>
          <cell r="K331" t="str">
            <v>8. Propiedades, Planta y Equipo</v>
          </cell>
          <cell r="U331" t="str">
            <v>9. Propiedades, Planta y Equipo</v>
          </cell>
          <cell r="AH331" t="str">
            <v>I. Activos de los segmentos</v>
          </cell>
        </row>
        <row r="332">
          <cell r="D332" t="str">
            <v>1024400000</v>
          </cell>
          <cell r="E332" t="str">
            <v>1024400000</v>
          </cell>
          <cell r="F332" t="str">
            <v>Cta Liquidadora Anual De Ordenes De Inverión</v>
          </cell>
          <cell r="G332" t="str">
            <v>1024400000  Cta Liquidadora Anual De Ordenes De Inverión</v>
          </cell>
          <cell r="H332" t="str">
            <v>Balance</v>
          </cell>
          <cell r="I332" t="str">
            <v>I. Activos</v>
          </cell>
          <cell r="J332" t="str">
            <v>2. Activos no corrientes</v>
          </cell>
          <cell r="K332" t="str">
            <v>8. Propiedades, Planta y Equipo</v>
          </cell>
          <cell r="U332" t="str">
            <v>9. Propiedades, Planta y Equipo</v>
          </cell>
          <cell r="AH332" t="str">
            <v>I. Activos de los segmentos</v>
          </cell>
        </row>
        <row r="333">
          <cell r="D333" t="str">
            <v>1024410000</v>
          </cell>
          <cell r="E333" t="str">
            <v>1024410000</v>
          </cell>
          <cell r="F333" t="str">
            <v>Cuenta Liquidadora De Ordenes De Inversión</v>
          </cell>
          <cell r="G333" t="str">
            <v>1024410000  Cuenta Liquidadora De Ordenes De Inversión</v>
          </cell>
          <cell r="H333" t="str">
            <v>Balance</v>
          </cell>
          <cell r="I333" t="str">
            <v>I. Activos</v>
          </cell>
          <cell r="J333" t="str">
            <v>2. Activos no corrientes</v>
          </cell>
          <cell r="K333" t="str">
            <v>8. Propiedades, Planta y Equipo</v>
          </cell>
          <cell r="U333" t="str">
            <v>9. Propiedades, Planta y Equipo</v>
          </cell>
          <cell r="AH333" t="str">
            <v>I. Activos de los segmentos</v>
          </cell>
        </row>
        <row r="334">
          <cell r="D334" t="str">
            <v>1024420000</v>
          </cell>
          <cell r="E334" t="str">
            <v>1024420000</v>
          </cell>
          <cell r="F334" t="str">
            <v>Ixc Inspección Técnica De Obras</v>
          </cell>
          <cell r="G334" t="str">
            <v>1024420000  Ixc Inspección Técnica De Obras</v>
          </cell>
          <cell r="H334" t="str">
            <v>Balance</v>
          </cell>
          <cell r="I334" t="str">
            <v>I. Activos</v>
          </cell>
          <cell r="J334" t="str">
            <v>2. Activos no corrientes</v>
          </cell>
          <cell r="K334" t="str">
            <v>8. Propiedades, Planta y Equipo</v>
          </cell>
          <cell r="U334" t="str">
            <v>9. Propiedades, Planta y Equipo</v>
          </cell>
          <cell r="AH334" t="str">
            <v>I. Activos de los segmentos</v>
          </cell>
        </row>
        <row r="335">
          <cell r="D335" t="str">
            <v>1024425000</v>
          </cell>
          <cell r="E335" t="str">
            <v>1024425000</v>
          </cell>
          <cell r="F335" t="str">
            <v>Ixc  Servicios De Terceros</v>
          </cell>
          <cell r="G335" t="str">
            <v>1024425000  Ixc  Servicios De Terceros</v>
          </cell>
          <cell r="H335" t="str">
            <v>Balance</v>
          </cell>
          <cell r="I335" t="str">
            <v>I. Activos</v>
          </cell>
          <cell r="J335" t="str">
            <v>2. Activos no corrientes</v>
          </cell>
          <cell r="K335" t="str">
            <v>8. Propiedades, Planta y Equipo</v>
          </cell>
          <cell r="U335" t="str">
            <v>9. Propiedades, Planta y Equipo</v>
          </cell>
          <cell r="AH335" t="str">
            <v>I. Activos de los segmentos</v>
          </cell>
        </row>
        <row r="336">
          <cell r="D336" t="str">
            <v>1024435000</v>
          </cell>
          <cell r="E336" t="str">
            <v>1024435000</v>
          </cell>
          <cell r="F336" t="str">
            <v>Ixc Mejoramiento Equipo Rodante</v>
          </cell>
          <cell r="G336" t="str">
            <v>1024435000  Ixc Mejoramiento Equipo Rodante</v>
          </cell>
          <cell r="H336" t="str">
            <v>Balance</v>
          </cell>
          <cell r="I336" t="str">
            <v>I. Activos</v>
          </cell>
          <cell r="J336" t="str">
            <v>2. Activos no corrientes</v>
          </cell>
          <cell r="K336" t="str">
            <v>8. Propiedades, Planta y Equipo</v>
          </cell>
          <cell r="U336" t="str">
            <v>9. Propiedades, Planta y Equipo</v>
          </cell>
          <cell r="AH336" t="str">
            <v>I. Activos de los segmentos</v>
          </cell>
        </row>
        <row r="337">
          <cell r="D337" t="str">
            <v>1024440000</v>
          </cell>
          <cell r="E337" t="str">
            <v>1024440000</v>
          </cell>
          <cell r="F337" t="str">
            <v>Ixc Equipos Computacionales</v>
          </cell>
          <cell r="G337" t="str">
            <v>1024440000  Ixc Equipos Computacionales</v>
          </cell>
          <cell r="H337" t="str">
            <v>Balance</v>
          </cell>
          <cell r="I337" t="str">
            <v>I. Activos</v>
          </cell>
          <cell r="J337" t="str">
            <v>2. Activos no corrientes</v>
          </cell>
          <cell r="K337" t="str">
            <v>8. Propiedades, Planta y Equipo</v>
          </cell>
          <cell r="U337" t="str">
            <v>9. Propiedades, Planta y Equipo</v>
          </cell>
          <cell r="AH337" t="str">
            <v>I. Activos de los segmentos</v>
          </cell>
        </row>
        <row r="338">
          <cell r="D338" t="str">
            <v>1024445000</v>
          </cell>
          <cell r="E338" t="str">
            <v>1024445000</v>
          </cell>
          <cell r="F338" t="str">
            <v>Ixc Sistemas Informáticos</v>
          </cell>
          <cell r="G338" t="str">
            <v>1024445000  Ixc Sistemas Informáticos</v>
          </cell>
          <cell r="H338" t="str">
            <v>Balance</v>
          </cell>
          <cell r="I338" t="str">
            <v>I. Activos</v>
          </cell>
          <cell r="J338" t="str">
            <v>2. Activos no corrientes</v>
          </cell>
          <cell r="K338" t="str">
            <v>8. Propiedades, Planta y Equipo</v>
          </cell>
          <cell r="U338" t="str">
            <v>9. Propiedades, Planta y Equipo</v>
          </cell>
          <cell r="AH338" t="str">
            <v>I. Activos de los segmentos</v>
          </cell>
        </row>
        <row r="339">
          <cell r="D339" t="str">
            <v>1024450000</v>
          </cell>
          <cell r="E339" t="str">
            <v>1024450000</v>
          </cell>
          <cell r="F339" t="str">
            <v>IXC Suministros materiales y Equipos</v>
          </cell>
          <cell r="G339" t="str">
            <v>1024450000  IXC Suministros materiales y Equipos</v>
          </cell>
          <cell r="H339" t="str">
            <v>Balance</v>
          </cell>
          <cell r="I339" t="str">
            <v>I. Activos</v>
          </cell>
          <cell r="J339" t="str">
            <v>2. Activos no corrientes</v>
          </cell>
          <cell r="K339" t="str">
            <v>8. Propiedades, Planta y Equipo</v>
          </cell>
          <cell r="U339" t="str">
            <v>9. Propiedades, Planta y Equipo</v>
          </cell>
          <cell r="AH339" t="str">
            <v>I. Activos de los segmentos</v>
          </cell>
        </row>
        <row r="340">
          <cell r="D340" t="str">
            <v>1024470000</v>
          </cell>
          <cell r="E340" t="str">
            <v>1024470000</v>
          </cell>
          <cell r="F340" t="str">
            <v>Ixc Intereses Y Reajustes</v>
          </cell>
          <cell r="G340" t="str">
            <v>1024470000  Ixc Intereses Y Reajustes</v>
          </cell>
          <cell r="H340" t="str">
            <v>Balance</v>
          </cell>
          <cell r="I340" t="str">
            <v>I. Activos</v>
          </cell>
          <cell r="J340" t="str">
            <v>2. Activos no corrientes</v>
          </cell>
          <cell r="K340" t="str">
            <v>8. Propiedades, Planta y Equipo</v>
          </cell>
          <cell r="U340" t="str">
            <v>9. Propiedades, Planta y Equipo</v>
          </cell>
          <cell r="AH340" t="str">
            <v>I. Activos de los segmentos</v>
          </cell>
        </row>
        <row r="341">
          <cell r="D341" t="str">
            <v>1024475000</v>
          </cell>
          <cell r="E341" t="str">
            <v>1024475000</v>
          </cell>
          <cell r="F341" t="str">
            <v>Ixc Impuestos No Recuperables</v>
          </cell>
          <cell r="G341" t="str">
            <v>1024475000  Ixc Impuestos No Recuperables</v>
          </cell>
          <cell r="H341" t="str">
            <v>Balance</v>
          </cell>
          <cell r="I341" t="str">
            <v>I. Activos</v>
          </cell>
          <cell r="J341" t="str">
            <v>2. Activos no corrientes</v>
          </cell>
          <cell r="K341" t="str">
            <v>8. Propiedades, Planta y Equipo</v>
          </cell>
          <cell r="U341" t="str">
            <v>9. Propiedades, Planta y Equipo</v>
          </cell>
          <cell r="AH341" t="str">
            <v>I. Activos de los segmentos</v>
          </cell>
        </row>
        <row r="342">
          <cell r="D342" t="str">
            <v>1024485000</v>
          </cell>
          <cell r="E342" t="str">
            <v>1024485000</v>
          </cell>
          <cell r="F342" t="str">
            <v>Ixc Equipamiento Oficinas</v>
          </cell>
          <cell r="G342" t="str">
            <v>1024485000  Ixc Equipamiento Oficinas</v>
          </cell>
          <cell r="H342" t="str">
            <v>Balance</v>
          </cell>
          <cell r="I342" t="str">
            <v>I. Activos</v>
          </cell>
          <cell r="J342" t="str">
            <v>2. Activos no corrientes</v>
          </cell>
          <cell r="K342" t="str">
            <v>8. Propiedades, Planta y Equipo</v>
          </cell>
          <cell r="U342" t="str">
            <v>9. Propiedades, Planta y Equipo</v>
          </cell>
          <cell r="AH342" t="str">
            <v>I. Activos de los segmentos</v>
          </cell>
        </row>
        <row r="343">
          <cell r="D343" t="str">
            <v>1024490030</v>
          </cell>
          <cell r="E343" t="str">
            <v>1024490030</v>
          </cell>
          <cell r="F343" t="str">
            <v>Cta. Complementaria Otros Activos Fijos</v>
          </cell>
          <cell r="G343" t="str">
            <v>1024490030  Cta. Complementaria Otros Activos Fijos</v>
          </cell>
          <cell r="H343" t="str">
            <v>Balance</v>
          </cell>
          <cell r="I343" t="str">
            <v>I. Activos</v>
          </cell>
          <cell r="J343" t="str">
            <v>2. Activos no corrientes</v>
          </cell>
          <cell r="K343" t="str">
            <v>8. Propiedades, Planta y Equipo</v>
          </cell>
          <cell r="U343" t="str">
            <v>9. Propiedades, Planta y Equipo</v>
          </cell>
          <cell r="AH343" t="str">
            <v>I. Activos de los segmentos</v>
          </cell>
        </row>
        <row r="344">
          <cell r="D344" t="str">
            <v>2026100070</v>
          </cell>
          <cell r="E344" t="str">
            <v>2026100070</v>
          </cell>
          <cell r="F344" t="str">
            <v>Provisión Por Material Obsoleto</v>
          </cell>
          <cell r="G344" t="str">
            <v>2026100070  Provisión Por Material Obsoleto</v>
          </cell>
          <cell r="H344" t="str">
            <v>Balance</v>
          </cell>
          <cell r="I344" t="str">
            <v>I. Activos</v>
          </cell>
          <cell r="J344" t="str">
            <v>2. Activos no corrientes</v>
          </cell>
          <cell r="K344" t="str">
            <v>8. Propiedades, Planta y Equipo</v>
          </cell>
          <cell r="U344" t="str">
            <v>9. Propiedades, Planta y Equipo</v>
          </cell>
          <cell r="AH344" t="str">
            <v>I. Activos de los segmentos</v>
          </cell>
        </row>
        <row r="345">
          <cell r="D345" t="str">
            <v>2026100080</v>
          </cell>
          <cell r="E345" t="str">
            <v>2026100080</v>
          </cell>
          <cell r="F345" t="str">
            <v>Provisión Material Nuevo Y Reempleo</v>
          </cell>
          <cell r="G345" t="str">
            <v>2026100080  Provisión Material Nuevo Y Reempleo</v>
          </cell>
          <cell r="H345" t="str">
            <v>Balance</v>
          </cell>
          <cell r="I345" t="str">
            <v>I. Activos</v>
          </cell>
          <cell r="J345" t="str">
            <v>2. Activos no corrientes</v>
          </cell>
          <cell r="K345" t="str">
            <v>8. Propiedades, Planta y Equipo</v>
          </cell>
          <cell r="U345" t="str">
            <v>9. Propiedades, Planta y Equipo</v>
          </cell>
          <cell r="AH345" t="str">
            <v>I. Activos de los segmentos</v>
          </cell>
        </row>
        <row r="346">
          <cell r="D346" t="str">
            <v>2026100093</v>
          </cell>
          <cell r="E346" t="str">
            <v>2026100093</v>
          </cell>
          <cell r="F346" t="str">
            <v>Provisión Menor Valor Equipo Rodante</v>
          </cell>
          <cell r="G346" t="str">
            <v>2026100093  Provisión Menor Valor Equipo Rodante</v>
          </cell>
          <cell r="H346" t="str">
            <v>Balance</v>
          </cell>
          <cell r="I346" t="str">
            <v>I. Activos</v>
          </cell>
          <cell r="J346" t="str">
            <v>2. Activos no corrientes</v>
          </cell>
          <cell r="K346" t="str">
            <v>8. Propiedades, Planta y Equipo</v>
          </cell>
          <cell r="U346" t="str">
            <v>9. Propiedades, Planta y Equipo</v>
          </cell>
          <cell r="AH346" t="str">
            <v>I. Activos de los segmentos</v>
          </cell>
        </row>
        <row r="347">
          <cell r="D347" t="str">
            <v>2026100095</v>
          </cell>
          <cell r="E347" t="str">
            <v>2026100095</v>
          </cell>
          <cell r="F347" t="str">
            <v>Provisión Baja Proyecto Sec - Cpif</v>
          </cell>
          <cell r="G347" t="str">
            <v>2026100095  Provisión Baja Proyecto Sec - Cpif</v>
          </cell>
          <cell r="H347" t="str">
            <v>Balance</v>
          </cell>
          <cell r="I347" t="str">
            <v>I. Activos</v>
          </cell>
          <cell r="J347" t="str">
            <v>2. Activos no corrientes</v>
          </cell>
          <cell r="K347" t="str">
            <v>8. Propiedades, Planta y Equipo</v>
          </cell>
          <cell r="U347" t="str">
            <v>9. Propiedades, Planta y Equipo</v>
          </cell>
          <cell r="AH347" t="str">
            <v>I. Activos de los segmentos</v>
          </cell>
        </row>
        <row r="348">
          <cell r="D348" t="str">
            <v>2027100010</v>
          </cell>
          <cell r="E348" t="str">
            <v>2027100010</v>
          </cell>
          <cell r="F348" t="str">
            <v>Depreciación Acumulada Edificio Y Construcciones</v>
          </cell>
          <cell r="G348" t="str">
            <v>2027100010  Depreciación Acumulada Edificio Y Construcciones</v>
          </cell>
          <cell r="H348" t="str">
            <v>Balance</v>
          </cell>
          <cell r="I348" t="str">
            <v>I. Activos</v>
          </cell>
          <cell r="J348" t="str">
            <v>2. Activos no corrientes</v>
          </cell>
          <cell r="K348" t="str">
            <v>8. Propiedades, Planta y Equipo</v>
          </cell>
          <cell r="U348" t="str">
            <v>10. Depreciación</v>
          </cell>
          <cell r="AH348" t="str">
            <v>I. Activos de los segmentos</v>
          </cell>
        </row>
        <row r="349">
          <cell r="D349" t="str">
            <v>2027100020</v>
          </cell>
          <cell r="E349" t="str">
            <v>2027100020</v>
          </cell>
          <cell r="F349" t="str">
            <v>Depreciación Acumulada Infraestructura De La Via</v>
          </cell>
          <cell r="G349" t="str">
            <v>2027100020  Depreciación Acumulada Infraestructura De La Via</v>
          </cell>
          <cell r="H349" t="str">
            <v>Balance</v>
          </cell>
          <cell r="I349" t="str">
            <v>I. Activos</v>
          </cell>
          <cell r="J349" t="str">
            <v>2. Activos no corrientes</v>
          </cell>
          <cell r="K349" t="str">
            <v>8. Propiedades, Planta y Equipo</v>
          </cell>
          <cell r="U349" t="str">
            <v>10. Depreciación</v>
          </cell>
          <cell r="AH349" t="str">
            <v>I. Activos de los segmentos</v>
          </cell>
        </row>
        <row r="350">
          <cell r="D350" t="str">
            <v>2027100030</v>
          </cell>
          <cell r="E350" t="str">
            <v>2027100030</v>
          </cell>
          <cell r="F350" t="str">
            <v>Depreciación Acumulada Superestructura De La Via</v>
          </cell>
          <cell r="G350" t="str">
            <v>2027100030  Depreciación Acumulada Superestructura De La Via</v>
          </cell>
          <cell r="H350" t="str">
            <v>Balance</v>
          </cell>
          <cell r="I350" t="str">
            <v>I. Activos</v>
          </cell>
          <cell r="J350" t="str">
            <v>2. Activos no corrientes</v>
          </cell>
          <cell r="K350" t="str">
            <v>8. Propiedades, Planta y Equipo</v>
          </cell>
          <cell r="U350" t="str">
            <v>10. Depreciación</v>
          </cell>
          <cell r="AH350" t="str">
            <v>I. Activos de los segmentos</v>
          </cell>
        </row>
        <row r="351">
          <cell r="D351" t="str">
            <v>2027100031</v>
          </cell>
          <cell r="E351" t="str">
            <v>2027100031</v>
          </cell>
          <cell r="F351" t="str">
            <v>Depreciación Acumulada Componentes De La Via</v>
          </cell>
          <cell r="G351" t="str">
            <v>2027100031  Depreciación Acumulada Componentes De La Via</v>
          </cell>
          <cell r="H351" t="str">
            <v>Balance</v>
          </cell>
          <cell r="I351" t="str">
            <v>I. Activos</v>
          </cell>
          <cell r="J351" t="str">
            <v>2. Activos no corrientes</v>
          </cell>
          <cell r="K351" t="str">
            <v>8. Propiedades, Planta y Equipo</v>
          </cell>
          <cell r="U351" t="str">
            <v>10. Depreciación</v>
          </cell>
          <cell r="AH351" t="str">
            <v>I. Activos de los segmentos</v>
          </cell>
        </row>
        <row r="352">
          <cell r="D352" t="str">
            <v>2027100040</v>
          </cell>
          <cell r="E352" t="str">
            <v>2027100040</v>
          </cell>
          <cell r="F352" t="str">
            <v>Depreciación Acumulada Líneas De Contacto</v>
          </cell>
          <cell r="G352" t="str">
            <v>2027100040  Depreciación Acumulada Líneas De Contacto</v>
          </cell>
          <cell r="H352" t="str">
            <v>Balance</v>
          </cell>
          <cell r="I352" t="str">
            <v>I. Activos</v>
          </cell>
          <cell r="J352" t="str">
            <v>2. Activos no corrientes</v>
          </cell>
          <cell r="K352" t="str">
            <v>8. Propiedades, Planta y Equipo</v>
          </cell>
          <cell r="U352" t="str">
            <v>10. Depreciación</v>
          </cell>
          <cell r="AH352" t="str">
            <v>I. Activos de los segmentos</v>
          </cell>
        </row>
        <row r="353">
          <cell r="D353" t="str">
            <v>2027100050</v>
          </cell>
          <cell r="E353" t="str">
            <v>2027100050</v>
          </cell>
          <cell r="F353" t="str">
            <v>Depreciación Acumulada Subestaciones</v>
          </cell>
          <cell r="G353" t="str">
            <v>2027100050  Depreciación Acumulada Subestaciones</v>
          </cell>
          <cell r="H353" t="str">
            <v>Balance</v>
          </cell>
          <cell r="I353" t="str">
            <v>I. Activos</v>
          </cell>
          <cell r="J353" t="str">
            <v>2. Activos no corrientes</v>
          </cell>
          <cell r="K353" t="str">
            <v>8. Propiedades, Planta y Equipo</v>
          </cell>
          <cell r="U353" t="str">
            <v>10. Depreciación</v>
          </cell>
          <cell r="AH353" t="str">
            <v>I. Activos de los segmentos</v>
          </cell>
        </row>
        <row r="354">
          <cell r="D354" t="str">
            <v>2027100060</v>
          </cell>
          <cell r="E354" t="str">
            <v>2027100060</v>
          </cell>
          <cell r="F354" t="str">
            <v>Depreciación Acumulada Señalizaciones</v>
          </cell>
          <cell r="G354" t="str">
            <v>2027100060  Depreciación Acumulada Señalizaciones</v>
          </cell>
          <cell r="H354" t="str">
            <v>Balance</v>
          </cell>
          <cell r="I354" t="str">
            <v>I. Activos</v>
          </cell>
          <cell r="J354" t="str">
            <v>2. Activos no corrientes</v>
          </cell>
          <cell r="K354" t="str">
            <v>8. Propiedades, Planta y Equipo</v>
          </cell>
          <cell r="U354" t="str">
            <v>10. Depreciación</v>
          </cell>
          <cell r="AH354" t="str">
            <v>I. Activos de los segmentos</v>
          </cell>
        </row>
        <row r="355">
          <cell r="D355" t="str">
            <v>2027100070</v>
          </cell>
          <cell r="E355" t="str">
            <v>2027100070</v>
          </cell>
          <cell r="F355" t="str">
            <v>Depreciación Acumulada Comunicaciones</v>
          </cell>
          <cell r="G355" t="str">
            <v>2027100070  Depreciación Acumulada Comunicaciones</v>
          </cell>
          <cell r="H355" t="str">
            <v>Balance</v>
          </cell>
          <cell r="I355" t="str">
            <v>I. Activos</v>
          </cell>
          <cell r="J355" t="str">
            <v>2. Activos no corrientes</v>
          </cell>
          <cell r="K355" t="str">
            <v>8. Propiedades, Planta y Equipo</v>
          </cell>
          <cell r="U355" t="str">
            <v>10. Depreciación</v>
          </cell>
          <cell r="AH355" t="str">
            <v>I. Activos de los segmentos</v>
          </cell>
        </row>
        <row r="356">
          <cell r="D356" t="str">
            <v>2027100080</v>
          </cell>
          <cell r="E356" t="str">
            <v>2027100080</v>
          </cell>
          <cell r="F356" t="str">
            <v>Depreciación Acumulada Equipo Tractor Y Rodante</v>
          </cell>
          <cell r="G356" t="str">
            <v>2027100080  Depreciación Acumulada Equipo Tractor Y Rodante</v>
          </cell>
          <cell r="H356" t="str">
            <v>Balance</v>
          </cell>
          <cell r="I356" t="str">
            <v>I. Activos</v>
          </cell>
          <cell r="J356" t="str">
            <v>2. Activos no corrientes</v>
          </cell>
          <cell r="K356" t="str">
            <v>8. Propiedades, Planta y Equipo</v>
          </cell>
          <cell r="U356" t="str">
            <v>10. Depreciación</v>
          </cell>
          <cell r="AH356" t="str">
            <v>I. Activos de los segmentos</v>
          </cell>
        </row>
        <row r="357">
          <cell r="D357" t="str">
            <v>2027100090</v>
          </cell>
          <cell r="E357" t="str">
            <v>2027100090</v>
          </cell>
          <cell r="F357" t="str">
            <v>Depreciación Acumulada Maquinaria Y Herramientas</v>
          </cell>
          <cell r="G357" t="str">
            <v>2027100090  Depreciación Acumulada Maquinaria Y Herramientas</v>
          </cell>
          <cell r="H357" t="str">
            <v>Balance</v>
          </cell>
          <cell r="I357" t="str">
            <v>I. Activos</v>
          </cell>
          <cell r="J357" t="str">
            <v>2. Activos no corrientes</v>
          </cell>
          <cell r="K357" t="str">
            <v>8. Propiedades, Planta y Equipo</v>
          </cell>
          <cell r="U357" t="str">
            <v>10. Depreciación</v>
          </cell>
          <cell r="AH357" t="str">
            <v>I. Activos de los segmentos</v>
          </cell>
        </row>
        <row r="358">
          <cell r="D358" t="str">
            <v>2027100100</v>
          </cell>
          <cell r="E358" t="str">
            <v>2027100100</v>
          </cell>
          <cell r="F358" t="str">
            <v>Depreciación Acumulada Muebles Y Enseres</v>
          </cell>
          <cell r="G358" t="str">
            <v>2027100100  Depreciación Acumulada Muebles Y Enseres</v>
          </cell>
          <cell r="H358" t="str">
            <v>Balance</v>
          </cell>
          <cell r="I358" t="str">
            <v>I. Activos</v>
          </cell>
          <cell r="J358" t="str">
            <v>2. Activos no corrientes</v>
          </cell>
          <cell r="K358" t="str">
            <v>8. Propiedades, Planta y Equipo</v>
          </cell>
          <cell r="U358" t="str">
            <v>10. Depreciación</v>
          </cell>
          <cell r="AH358" t="str">
            <v>I. Activos de los segmentos</v>
          </cell>
        </row>
        <row r="359">
          <cell r="D359" t="str">
            <v>2027100120</v>
          </cell>
          <cell r="E359" t="str">
            <v>2027100120</v>
          </cell>
          <cell r="F359" t="str">
            <v>Depreciación Acumulada Bs.Dest.Uso 3</v>
          </cell>
          <cell r="G359" t="str">
            <v>2027100120  Depreciación Acumulada Bs.Dest.Uso 3</v>
          </cell>
          <cell r="H359" t="str">
            <v>Balance</v>
          </cell>
          <cell r="I359" t="str">
            <v>I. Activos</v>
          </cell>
          <cell r="J359" t="str">
            <v>2. Activos no corrientes</v>
          </cell>
          <cell r="K359" t="str">
            <v>8. Propiedades, Planta y Equipo</v>
          </cell>
          <cell r="U359" t="str">
            <v>10. Depreciación</v>
          </cell>
          <cell r="AH359" t="str">
            <v>I. Activos de los segmentos</v>
          </cell>
        </row>
        <row r="360">
          <cell r="D360" t="str">
            <v>2027100130</v>
          </cell>
          <cell r="E360" t="str">
            <v>2027100130</v>
          </cell>
          <cell r="F360" t="str">
            <v>Depreciación Acumulada Bs.Dest.Uso 4</v>
          </cell>
          <cell r="G360" t="str">
            <v>2027100130  Depreciación Acumulada Bs.Dest.Uso 4</v>
          </cell>
          <cell r="H360" t="str">
            <v>Balance</v>
          </cell>
          <cell r="I360" t="str">
            <v>I. Activos</v>
          </cell>
          <cell r="J360" t="str">
            <v>2. Activos no corrientes</v>
          </cell>
          <cell r="K360" t="str">
            <v>8. Propiedades, Planta y Equipo</v>
          </cell>
          <cell r="U360" t="str">
            <v>10. Depreciación</v>
          </cell>
          <cell r="AH360" t="str">
            <v>I. Activos de los segmentos</v>
          </cell>
        </row>
        <row r="361">
          <cell r="D361" t="str">
            <v>2027100140</v>
          </cell>
          <cell r="E361" t="str">
            <v>2027100140</v>
          </cell>
          <cell r="F361" t="str">
            <v>Cta Complementaria Depreciación Acumulada A.Fijo</v>
          </cell>
          <cell r="G361" t="str">
            <v>2027100140  Cta Complementaria Depreciación Acumulada A.Fijo</v>
          </cell>
          <cell r="H361" t="str">
            <v>Balance</v>
          </cell>
          <cell r="I361" t="str">
            <v>I. Activos</v>
          </cell>
          <cell r="J361" t="str">
            <v>2. Activos no corrientes</v>
          </cell>
          <cell r="K361" t="str">
            <v>8. Propiedades, Planta y Equipo</v>
          </cell>
          <cell r="U361" t="str">
            <v>10. Depreciación</v>
          </cell>
          <cell r="AH361" t="str">
            <v>I. Activos de los segmentos</v>
          </cell>
        </row>
        <row r="362">
          <cell r="D362" t="str">
            <v>2027100200</v>
          </cell>
          <cell r="E362" t="str">
            <v>2027100200</v>
          </cell>
          <cell r="F362" t="str">
            <v>Dep. Acumulada Mayor Val. Retasación Tecnica</v>
          </cell>
          <cell r="G362" t="str">
            <v>2027100200  Dep. Acumulada Mayor Val. Retasación Tecnica</v>
          </cell>
          <cell r="H362" t="str">
            <v>Balance</v>
          </cell>
          <cell r="I362" t="str">
            <v>I. Activos</v>
          </cell>
          <cell r="J362" t="str">
            <v>2. Activos no corrientes</v>
          </cell>
          <cell r="K362" t="str">
            <v>8. Propiedades, Planta y Equipo</v>
          </cell>
          <cell r="U362" t="str">
            <v>10. Depreciación</v>
          </cell>
          <cell r="AH362" t="str">
            <v>I. Activos de los segmentos</v>
          </cell>
        </row>
        <row r="363">
          <cell r="D363" t="str">
            <v>1039100010</v>
          </cell>
          <cell r="E363" t="str">
            <v>1039100010</v>
          </cell>
          <cell r="F363" t="str">
            <v>Terrenos (Liq. Y Desarme)</v>
          </cell>
          <cell r="G363" t="str">
            <v>1039100010  Terrenos (Liq. Y Desarme)</v>
          </cell>
          <cell r="H363" t="str">
            <v>Balance</v>
          </cell>
          <cell r="I363" t="str">
            <v>I. Activos</v>
          </cell>
          <cell r="J363" t="str">
            <v>2. Activos no corrientes</v>
          </cell>
          <cell r="K363" t="str">
            <v>8. Propiedades, Planta y Equipo</v>
          </cell>
          <cell r="U363" t="str">
            <v>9. Propiedades, Planta y Equipo</v>
          </cell>
          <cell r="AH363" t="str">
            <v>I. Activos de los segmentos</v>
          </cell>
        </row>
        <row r="364">
          <cell r="D364" t="str">
            <v>1039100020</v>
          </cell>
          <cell r="E364" t="str">
            <v>1039100020</v>
          </cell>
          <cell r="F364" t="str">
            <v>Edificios Y Construcciones  (Liq. Y Desarme)</v>
          </cell>
          <cell r="G364" t="str">
            <v>1039100020  Edificios Y Construcciones  (Liq. Y Desarme)</v>
          </cell>
          <cell r="H364" t="str">
            <v>Balance</v>
          </cell>
          <cell r="I364" t="str">
            <v>I. Activos</v>
          </cell>
          <cell r="J364" t="str">
            <v>2. Activos no corrientes</v>
          </cell>
          <cell r="K364" t="str">
            <v>8. Propiedades, Planta y Equipo</v>
          </cell>
          <cell r="U364" t="str">
            <v>9. Propiedades, Planta y Equipo</v>
          </cell>
          <cell r="AH364" t="str">
            <v>I. Activos de los segmentos</v>
          </cell>
        </row>
        <row r="365">
          <cell r="D365" t="str">
            <v>1039100030</v>
          </cell>
          <cell r="E365" t="str">
            <v>1039100030</v>
          </cell>
          <cell r="F365" t="str">
            <v>Infraestructura De La Vía  (Liq. Y Desarme)</v>
          </cell>
          <cell r="G365" t="str">
            <v>1039100030  Infraestructura De La Vía  (Liq. Y Desarme)</v>
          </cell>
          <cell r="H365" t="str">
            <v>Balance</v>
          </cell>
          <cell r="I365" t="str">
            <v>I. Activos</v>
          </cell>
          <cell r="J365" t="str">
            <v>2. Activos no corrientes</v>
          </cell>
          <cell r="K365" t="str">
            <v>8. Propiedades, Planta y Equipo</v>
          </cell>
          <cell r="U365" t="str">
            <v>9. Propiedades, Planta y Equipo</v>
          </cell>
          <cell r="AH365" t="str">
            <v>I. Activos de los segmentos</v>
          </cell>
        </row>
        <row r="366">
          <cell r="D366" t="str">
            <v>1039100040</v>
          </cell>
          <cell r="E366" t="str">
            <v>1039100040</v>
          </cell>
          <cell r="F366" t="str">
            <v>Superestructura De La Vía  (Liq. Y Desarme)</v>
          </cell>
          <cell r="G366" t="str">
            <v>1039100040  Superestructura De La Vía  (Liq. Y Desarme)</v>
          </cell>
          <cell r="H366" t="str">
            <v>Balance</v>
          </cell>
          <cell r="I366" t="str">
            <v>I. Activos</v>
          </cell>
          <cell r="J366" t="str">
            <v>2. Activos no corrientes</v>
          </cell>
          <cell r="K366" t="str">
            <v>8. Propiedades, Planta y Equipo</v>
          </cell>
          <cell r="U366" t="str">
            <v>9. Propiedades, Planta y Equipo</v>
          </cell>
          <cell r="AH366" t="str">
            <v>I. Activos de los segmentos</v>
          </cell>
        </row>
        <row r="367">
          <cell r="D367" t="str">
            <v>1039100050</v>
          </cell>
          <cell r="E367" t="str">
            <v>1039100050</v>
          </cell>
          <cell r="F367" t="str">
            <v>Líneas De Contacto  (Liq. Y Desarme)</v>
          </cell>
          <cell r="G367" t="str">
            <v>1039100050  Líneas De Contacto  (Liq. Y Desarme)</v>
          </cell>
          <cell r="H367" t="str">
            <v>Balance</v>
          </cell>
          <cell r="I367" t="str">
            <v>I. Activos</v>
          </cell>
          <cell r="J367" t="str">
            <v>2. Activos no corrientes</v>
          </cell>
          <cell r="K367" t="str">
            <v>8. Propiedades, Planta y Equipo</v>
          </cell>
          <cell r="U367" t="str">
            <v>9. Propiedades, Planta y Equipo</v>
          </cell>
          <cell r="AH367" t="str">
            <v>I. Activos de los segmentos</v>
          </cell>
        </row>
        <row r="368">
          <cell r="D368" t="str">
            <v>1039100060</v>
          </cell>
          <cell r="E368" t="str">
            <v>1039100060</v>
          </cell>
          <cell r="F368" t="str">
            <v>Subestaciones  (Liq. Y Desarme)</v>
          </cell>
          <cell r="G368" t="str">
            <v>1039100060  Subestaciones  (Liq. Y Desarme)</v>
          </cell>
          <cell r="H368" t="str">
            <v>Balance</v>
          </cell>
          <cell r="I368" t="str">
            <v>I. Activos</v>
          </cell>
          <cell r="J368" t="str">
            <v>2. Activos no corrientes</v>
          </cell>
          <cell r="K368" t="str">
            <v>8. Propiedades, Planta y Equipo</v>
          </cell>
          <cell r="U368" t="str">
            <v>9. Propiedades, Planta y Equipo</v>
          </cell>
          <cell r="AH368" t="str">
            <v>I. Activos de los segmentos</v>
          </cell>
        </row>
        <row r="369">
          <cell r="D369" t="str">
            <v>1039100070</v>
          </cell>
          <cell r="E369" t="str">
            <v>1039100070</v>
          </cell>
          <cell r="F369" t="str">
            <v>Señalizaciones  (Liq. Y Desarme)</v>
          </cell>
          <cell r="G369" t="str">
            <v>1039100070  Señalizaciones  (Liq. Y Desarme)</v>
          </cell>
          <cell r="H369" t="str">
            <v>Balance</v>
          </cell>
          <cell r="I369" t="str">
            <v>I. Activos</v>
          </cell>
          <cell r="J369" t="str">
            <v>2. Activos no corrientes</v>
          </cell>
          <cell r="K369" t="str">
            <v>8. Propiedades, Planta y Equipo</v>
          </cell>
          <cell r="U369" t="str">
            <v>9. Propiedades, Planta y Equipo</v>
          </cell>
          <cell r="AH369" t="str">
            <v>I. Activos de los segmentos</v>
          </cell>
        </row>
        <row r="370">
          <cell r="D370" t="str">
            <v>1039100080</v>
          </cell>
          <cell r="E370" t="str">
            <v>1039100080</v>
          </cell>
          <cell r="F370" t="str">
            <v>Comunicaciones  (Liq. Y Desarme)</v>
          </cell>
          <cell r="G370" t="str">
            <v>1039100080  Comunicaciones  (Liq. Y Desarme)</v>
          </cell>
          <cell r="H370" t="str">
            <v>Balance</v>
          </cell>
          <cell r="I370" t="str">
            <v>I. Activos</v>
          </cell>
          <cell r="J370" t="str">
            <v>2. Activos no corrientes</v>
          </cell>
          <cell r="K370" t="str">
            <v>8. Propiedades, Planta y Equipo</v>
          </cell>
          <cell r="U370" t="str">
            <v>9. Propiedades, Planta y Equipo</v>
          </cell>
          <cell r="AH370" t="str">
            <v>I. Activos de los segmentos</v>
          </cell>
        </row>
        <row r="371">
          <cell r="D371" t="str">
            <v>1039100090</v>
          </cell>
          <cell r="E371" t="str">
            <v>1039100090</v>
          </cell>
          <cell r="F371" t="str">
            <v>Equipo Tractor Y Rodante  (Liq. Y Desarme)</v>
          </cell>
          <cell r="G371" t="str">
            <v>1039100090  Equipo Tractor Y Rodante  (Liq. Y Desarme)</v>
          </cell>
          <cell r="H371" t="str">
            <v>Balance</v>
          </cell>
          <cell r="I371" t="str">
            <v>I. Activos</v>
          </cell>
          <cell r="J371" t="str">
            <v>2. Activos no corrientes</v>
          </cell>
          <cell r="K371" t="str">
            <v>8. Propiedades, Planta y Equipo</v>
          </cell>
          <cell r="U371" t="str">
            <v>9. Propiedades, Planta y Equipo</v>
          </cell>
          <cell r="AH371" t="str">
            <v>I. Activos de los segmentos</v>
          </cell>
        </row>
        <row r="372">
          <cell r="D372" t="str">
            <v>1039100110</v>
          </cell>
          <cell r="E372" t="str">
            <v>1039100110</v>
          </cell>
          <cell r="F372" t="str">
            <v>Maquinaria Y Herramientas  (Liq. Y Desarme)</v>
          </cell>
          <cell r="G372" t="str">
            <v>1039100110  Maquinaria Y Herramientas  (Liq. Y Desarme)</v>
          </cell>
          <cell r="H372" t="str">
            <v>Balance</v>
          </cell>
          <cell r="I372" t="str">
            <v>I. Activos</v>
          </cell>
          <cell r="J372" t="str">
            <v>2. Activos no corrientes</v>
          </cell>
          <cell r="K372" t="str">
            <v>8. Propiedades, Planta y Equipo</v>
          </cell>
          <cell r="U372" t="str">
            <v>9. Propiedades, Planta y Equipo</v>
          </cell>
          <cell r="AH372" t="str">
            <v>I. Activos de los segmentos</v>
          </cell>
        </row>
        <row r="373">
          <cell r="D373" t="str">
            <v>1039100120</v>
          </cell>
          <cell r="E373" t="str">
            <v>1039100120</v>
          </cell>
          <cell r="F373" t="str">
            <v>Muebles Y Enseres  (Liq. Y Desarme)</v>
          </cell>
          <cell r="G373" t="str">
            <v>1039100120  Muebles Y Enseres  (Liq. Y Desarme)</v>
          </cell>
          <cell r="H373" t="str">
            <v>Balance</v>
          </cell>
          <cell r="I373" t="str">
            <v>I. Activos</v>
          </cell>
          <cell r="J373" t="str">
            <v>2. Activos no corrientes</v>
          </cell>
          <cell r="K373" t="str">
            <v>8. Propiedades, Planta y Equipo</v>
          </cell>
          <cell r="U373" t="str">
            <v>9. Propiedades, Planta y Equipo</v>
          </cell>
          <cell r="AH373" t="str">
            <v>I. Activos de los segmentos</v>
          </cell>
        </row>
        <row r="374">
          <cell r="D374" t="str">
            <v>1039100130</v>
          </cell>
          <cell r="E374" t="str">
            <v>1039100130</v>
          </cell>
          <cell r="F374" t="str">
            <v>Materiales Excluidos  (Liq. Y Desarme)</v>
          </cell>
          <cell r="G374" t="str">
            <v>1039100130  Materiales Excluidos  (Liq. Y Desarme)</v>
          </cell>
          <cell r="H374" t="str">
            <v>Balance</v>
          </cell>
          <cell r="I374" t="str">
            <v>I. Activos</v>
          </cell>
          <cell r="J374" t="str">
            <v>2. Activos no corrientes</v>
          </cell>
          <cell r="K374" t="str">
            <v>8. Propiedades, Planta y Equipo</v>
          </cell>
          <cell r="U374" t="str">
            <v>9. Propiedades, Planta y Equipo</v>
          </cell>
          <cell r="AH374" t="str">
            <v>I. Activos de los segmentos</v>
          </cell>
        </row>
        <row r="375">
          <cell r="D375" t="str">
            <v>1039100140</v>
          </cell>
          <cell r="E375" t="str">
            <v>1039100140</v>
          </cell>
          <cell r="F375" t="str">
            <v>Materiales Prescindibles  (Liq. Y Desarme)</v>
          </cell>
          <cell r="G375" t="str">
            <v>1039100140  Materiales Prescindibles  (Liq. Y Desarme)</v>
          </cell>
          <cell r="H375" t="str">
            <v>Balance</v>
          </cell>
          <cell r="I375" t="str">
            <v>I. Activos</v>
          </cell>
          <cell r="J375" t="str">
            <v>2. Activos no corrientes</v>
          </cell>
          <cell r="K375" t="str">
            <v>8. Propiedades, Planta y Equipo</v>
          </cell>
          <cell r="U375" t="str">
            <v>9. Propiedades, Planta y Equipo</v>
          </cell>
          <cell r="AH375" t="str">
            <v>I. Activos de los segmentos</v>
          </cell>
        </row>
        <row r="376">
          <cell r="D376" t="str">
            <v>1039100150</v>
          </cell>
          <cell r="E376" t="str">
            <v>1039100150</v>
          </cell>
          <cell r="F376" t="str">
            <v>Materiales Obsoletos  (Liq. Y Desarme)</v>
          </cell>
          <cell r="G376" t="str">
            <v>1039100150  Materiales Obsoletos  (Liq. Y Desarme)</v>
          </cell>
          <cell r="H376" t="str">
            <v>Balance</v>
          </cell>
          <cell r="I376" t="str">
            <v>I. Activos</v>
          </cell>
          <cell r="J376" t="str">
            <v>2. Activos no corrientes</v>
          </cell>
          <cell r="K376" t="str">
            <v>8. Propiedades, Planta y Equipo</v>
          </cell>
          <cell r="U376" t="str">
            <v>9. Propiedades, Planta y Equipo</v>
          </cell>
          <cell r="AH376" t="str">
            <v>I. Activos de los segmentos</v>
          </cell>
        </row>
        <row r="377">
          <cell r="D377" t="str">
            <v>1039200010</v>
          </cell>
          <cell r="E377" t="str">
            <v>1039200010</v>
          </cell>
          <cell r="F377" t="str">
            <v>Bienes Indefinidamente Fuera De La Operación</v>
          </cell>
          <cell r="G377" t="str">
            <v>1039200010  Bienes Indefinidamente Fuera De La Operación</v>
          </cell>
          <cell r="H377" t="str">
            <v>Balance</v>
          </cell>
          <cell r="I377" t="str">
            <v>I. Activos</v>
          </cell>
          <cell r="J377" t="str">
            <v>2. Activos no corrientes</v>
          </cell>
          <cell r="K377" t="str">
            <v>8. Propiedades, Planta y Equipo</v>
          </cell>
          <cell r="U377" t="str">
            <v>9. Propiedades, Planta y Equipo</v>
          </cell>
          <cell r="AH377" t="str">
            <v>I. Activos de los segmentos</v>
          </cell>
        </row>
        <row r="378">
          <cell r="D378" t="str">
            <v>1039200020</v>
          </cell>
          <cell r="E378" t="str">
            <v>1039200020</v>
          </cell>
          <cell r="F378" t="str">
            <v>Bienes Enajenables</v>
          </cell>
          <cell r="G378" t="str">
            <v>1039200020  Bienes Enajenables</v>
          </cell>
          <cell r="H378" t="str">
            <v>Balance</v>
          </cell>
          <cell r="I378" t="str">
            <v>I. Activos</v>
          </cell>
          <cell r="J378" t="str">
            <v>2. Activos no corrientes</v>
          </cell>
          <cell r="K378" t="str">
            <v>8. Propiedades, Planta y Equipo</v>
          </cell>
          <cell r="U378" t="str">
            <v>9. Propiedades, Planta y Equipo</v>
          </cell>
          <cell r="AH378" t="str">
            <v>I. Activos de los segmentos</v>
          </cell>
        </row>
        <row r="379">
          <cell r="D379" t="str">
            <v>1039200030</v>
          </cell>
          <cell r="E379" t="str">
            <v>1039200030</v>
          </cell>
          <cell r="F379" t="str">
            <v>Cta Complementaria Otros Activos</v>
          </cell>
          <cell r="G379" t="str">
            <v>1039200030  Cta Complementaria Otros Activos</v>
          </cell>
          <cell r="H379" t="str">
            <v>Balance</v>
          </cell>
          <cell r="I379" t="str">
            <v>I. Activos</v>
          </cell>
          <cell r="J379" t="str">
            <v>2. Activos no corrientes</v>
          </cell>
          <cell r="K379" t="str">
            <v>8. Propiedades, Planta y Equipo</v>
          </cell>
          <cell r="U379" t="str">
            <v>9. Propiedades, Planta y Equipo</v>
          </cell>
          <cell r="AH379" t="str">
            <v>I. Activos de los segmentos</v>
          </cell>
        </row>
        <row r="380">
          <cell r="D380" t="str">
            <v>1039300020</v>
          </cell>
          <cell r="E380" t="str">
            <v>1039300020</v>
          </cell>
          <cell r="F380" t="str">
            <v>Importaciones en tránsito</v>
          </cell>
          <cell r="G380" t="str">
            <v>1039300020  Importaciones en tránsito</v>
          </cell>
          <cell r="H380" t="str">
            <v>Balance</v>
          </cell>
          <cell r="I380" t="str">
            <v>I. Activos</v>
          </cell>
          <cell r="J380" t="str">
            <v>2. Activos no corrientes</v>
          </cell>
          <cell r="K380" t="str">
            <v>8. Propiedades, Planta y Equipo</v>
          </cell>
          <cell r="U380" t="str">
            <v>9. Propiedades, Planta y Equipo</v>
          </cell>
          <cell r="AH380" t="str">
            <v>I. Activos de los segmentos</v>
          </cell>
        </row>
        <row r="381">
          <cell r="D381" t="str">
            <v>1039300030</v>
          </cell>
          <cell r="E381" t="str">
            <v>1039300030</v>
          </cell>
          <cell r="F381" t="str">
            <v>Diferencias de Inverntario</v>
          </cell>
          <cell r="G381" t="str">
            <v>1039300030  Diferencias de Inverntario</v>
          </cell>
          <cell r="H381" t="str">
            <v>Balance</v>
          </cell>
          <cell r="I381" t="str">
            <v>I. Activos</v>
          </cell>
          <cell r="J381" t="str">
            <v>2. Activos no corrientes</v>
          </cell>
          <cell r="K381" t="str">
            <v>8. Propiedades, Planta y Equipo</v>
          </cell>
          <cell r="U381" t="str">
            <v>9. Propiedades, Planta y Equipo</v>
          </cell>
          <cell r="AH381" t="str">
            <v>I. Activos de los segmentos</v>
          </cell>
        </row>
        <row r="382">
          <cell r="D382" t="str">
            <v>1039300040</v>
          </cell>
          <cell r="E382" t="str">
            <v>1039300040</v>
          </cell>
          <cell r="F382" t="str">
            <v>Compras nacionales en tránsito</v>
          </cell>
          <cell r="G382" t="str">
            <v>1039300040  Compras nacionales en tránsito</v>
          </cell>
          <cell r="H382" t="str">
            <v>Balance</v>
          </cell>
          <cell r="I382" t="str">
            <v>I. Activos</v>
          </cell>
          <cell r="J382" t="str">
            <v>2. Activos no corrientes</v>
          </cell>
          <cell r="K382" t="str">
            <v>8. Propiedades, Planta y Equipo</v>
          </cell>
          <cell r="U382" t="str">
            <v>9. Propiedades, Planta y Equipo</v>
          </cell>
          <cell r="AH382" t="str">
            <v>I. Activos de los segmentos</v>
          </cell>
        </row>
        <row r="383">
          <cell r="D383" t="str">
            <v>1039300190</v>
          </cell>
          <cell r="E383" t="str">
            <v>1039300190</v>
          </cell>
          <cell r="F383" t="str">
            <v>Carta De Credito Importaciones</v>
          </cell>
          <cell r="G383" t="str">
            <v>1039300190  Carta De Credito Importaciones</v>
          </cell>
          <cell r="H383" t="str">
            <v>Balance</v>
          </cell>
          <cell r="I383" t="str">
            <v>I. Activos</v>
          </cell>
          <cell r="J383" t="str">
            <v>2. Activos no corrientes</v>
          </cell>
          <cell r="K383" t="str">
            <v>8. Propiedades, Planta y Equipo</v>
          </cell>
          <cell r="U383" t="str">
            <v>9. Propiedades, Planta y Equipo</v>
          </cell>
          <cell r="AH383" t="str">
            <v>I. Activos de los segmentos</v>
          </cell>
        </row>
        <row r="384">
          <cell r="D384" t="str">
            <v>2013100090</v>
          </cell>
          <cell r="E384" t="str">
            <v>2013100090</v>
          </cell>
          <cell r="F384" t="str">
            <v>Complemento Carta Crédito Importaciones</v>
          </cell>
          <cell r="G384" t="str">
            <v>2013100090  Complemento Carta Crédito Importaciones</v>
          </cell>
          <cell r="H384" t="str">
            <v>Balance</v>
          </cell>
          <cell r="I384" t="str">
            <v>I. Activos</v>
          </cell>
          <cell r="J384" t="str">
            <v>2. Activos no corrientes</v>
          </cell>
          <cell r="K384" t="str">
            <v>8. Propiedades, Planta y Equipo</v>
          </cell>
          <cell r="U384" t="str">
            <v>9. Propiedades, Planta y Equipo</v>
          </cell>
          <cell r="AH384" t="str">
            <v>I. Activos de los segmentos</v>
          </cell>
        </row>
        <row r="385">
          <cell r="D385" t="str">
            <v>2026100091</v>
          </cell>
          <cell r="E385" t="str">
            <v>2026100091</v>
          </cell>
          <cell r="F385" t="str">
            <v>Provisión Otros Activos</v>
          </cell>
          <cell r="G385" t="str">
            <v>2026100091  Provisión Otros Activos</v>
          </cell>
          <cell r="H385" t="str">
            <v>Balance</v>
          </cell>
          <cell r="I385" t="str">
            <v>I. Activos</v>
          </cell>
          <cell r="J385" t="str">
            <v>2. Activos no corrientes</v>
          </cell>
          <cell r="K385" t="str">
            <v>8. Propiedades, Planta y Equipo</v>
          </cell>
          <cell r="U385" t="str">
            <v>9. Propiedades, Planta y Equipo</v>
          </cell>
          <cell r="AH385" t="str">
            <v>I. Activos de los segmentos</v>
          </cell>
        </row>
        <row r="386">
          <cell r="D386" t="str">
            <v>2026100101</v>
          </cell>
          <cell r="E386" t="str">
            <v>2026100101</v>
          </cell>
          <cell r="F386" t="str">
            <v>Provisión  Por Diferencias En Desarmes De Vias</v>
          </cell>
          <cell r="G386" t="str">
            <v>2026100101  Provisión  Por Diferencias En Desarmes De Vias</v>
          </cell>
          <cell r="H386" t="str">
            <v>Balance</v>
          </cell>
          <cell r="I386" t="str">
            <v>I. Activos</v>
          </cell>
          <cell r="J386" t="str">
            <v>2. Activos no corrientes</v>
          </cell>
          <cell r="K386" t="str">
            <v>8. Propiedades, Planta y Equipo</v>
          </cell>
          <cell r="U386" t="str">
            <v>9. Propiedades, Planta y Equipo</v>
          </cell>
          <cell r="AH386" t="str">
            <v>I. Activos de los segmentos</v>
          </cell>
        </row>
        <row r="387">
          <cell r="D387" t="str">
            <v>2026100102</v>
          </cell>
          <cell r="E387" t="str">
            <v>2026100102</v>
          </cell>
          <cell r="F387" t="str">
            <v>Provisión Por Material Obsoleto</v>
          </cell>
          <cell r="G387" t="str">
            <v>2026100102  Provisión Por Material Obsoleto</v>
          </cell>
          <cell r="H387" t="str">
            <v>Balance</v>
          </cell>
          <cell r="I387" t="str">
            <v>I. Activos</v>
          </cell>
          <cell r="J387" t="str">
            <v>2. Activos no corrientes</v>
          </cell>
          <cell r="K387" t="str">
            <v>8. Propiedades, Planta y Equipo</v>
          </cell>
          <cell r="U387" t="str">
            <v>9. Propiedades, Planta y Equipo</v>
          </cell>
          <cell r="AH387" t="str">
            <v>I. Activos de los segmentos</v>
          </cell>
        </row>
        <row r="388">
          <cell r="D388" t="str">
            <v>2026100045</v>
          </cell>
          <cell r="E388" t="str">
            <v>2026100045</v>
          </cell>
          <cell r="F388" t="str">
            <v>Provisión Terremoto Lp (Gastos E Inversión)</v>
          </cell>
          <cell r="G388" t="str">
            <v>2026100045  Provisión Terremoto Lp (Gastos E Inversión)</v>
          </cell>
          <cell r="H388" t="str">
            <v>Balance</v>
          </cell>
          <cell r="I388" t="str">
            <v>I. Activos</v>
          </cell>
          <cell r="J388" t="str">
            <v>2. Activos no corrientes</v>
          </cell>
          <cell r="K388" t="str">
            <v>8. Propiedades, Planta y Equipo</v>
          </cell>
          <cell r="U388" t="str">
            <v>9. Propiedades, Planta y Equipo</v>
          </cell>
          <cell r="AH388" t="str">
            <v>I. Activos de los segmentos</v>
          </cell>
        </row>
        <row r="389">
          <cell r="D389">
            <v>0</v>
          </cell>
          <cell r="G389" t="str">
            <v/>
          </cell>
          <cell r="H389" t="str">
            <v>Balance</v>
          </cell>
          <cell r="I389" t="str">
            <v>I. Activos</v>
          </cell>
          <cell r="J389" t="str">
            <v>2. Activos no corrientes</v>
          </cell>
          <cell r="K389" t="str">
            <v>8. Propiedades, Planta y Equipo</v>
          </cell>
          <cell r="U389" t="str">
            <v>9. Propiedades, Planta y Equipo</v>
          </cell>
          <cell r="AH389" t="str">
            <v>I. Activos de los segmentos</v>
          </cell>
        </row>
        <row r="390">
          <cell r="D390">
            <v>0</v>
          </cell>
          <cell r="G390" t="str">
            <v/>
          </cell>
          <cell r="H390" t="str">
            <v>Balance</v>
          </cell>
          <cell r="I390" t="str">
            <v>I. Activos</v>
          </cell>
          <cell r="J390" t="str">
            <v>2. Activos no corrientes</v>
          </cell>
          <cell r="K390" t="str">
            <v>8. Propiedades, Planta y Equipo</v>
          </cell>
          <cell r="U390" t="str">
            <v>9. Propiedades, Planta y Equipo</v>
          </cell>
          <cell r="AH390" t="str">
            <v>I. Activos de los segmentos</v>
          </cell>
        </row>
        <row r="391">
          <cell r="D391">
            <v>0</v>
          </cell>
          <cell r="F391" t="str">
            <v>Propiedades, Planta Y Equipo</v>
          </cell>
          <cell r="G391" t="str">
            <v/>
          </cell>
          <cell r="H391" t="str">
            <v/>
          </cell>
          <cell r="AH391" t="str">
            <v/>
          </cell>
        </row>
        <row r="392">
          <cell r="D392">
            <v>0</v>
          </cell>
          <cell r="G392" t="str">
            <v/>
          </cell>
          <cell r="H392" t="str">
            <v/>
          </cell>
          <cell r="AH392" t="str">
            <v/>
          </cell>
        </row>
        <row r="393">
          <cell r="D393">
            <v>0</v>
          </cell>
          <cell r="G393" t="str">
            <v/>
          </cell>
          <cell r="H393" t="str">
            <v/>
          </cell>
          <cell r="I393" t="str">
            <v>I. Activos</v>
          </cell>
          <cell r="J393" t="str">
            <v>2. Activos no corrientes</v>
          </cell>
          <cell r="K393" t="str">
            <v>9. Activos biológicos, no corrientes</v>
          </cell>
          <cell r="U393" t="str">
            <v>11. Activos biológicos, no corrientes</v>
          </cell>
          <cell r="AH393" t="str">
            <v>I. Activos de los segmentos</v>
          </cell>
        </row>
        <row r="394">
          <cell r="D394">
            <v>0</v>
          </cell>
          <cell r="F394" t="str">
            <v>Activos Biológicos, No Corrientes</v>
          </cell>
          <cell r="G394" t="str">
            <v/>
          </cell>
          <cell r="H394" t="str">
            <v/>
          </cell>
          <cell r="AH394" t="str">
            <v/>
          </cell>
        </row>
        <row r="395">
          <cell r="D395">
            <v>0</v>
          </cell>
          <cell r="F395" t="str">
            <v/>
          </cell>
          <cell r="G395" t="str">
            <v/>
          </cell>
          <cell r="H395" t="str">
            <v/>
          </cell>
          <cell r="AH395" t="str">
            <v/>
          </cell>
        </row>
        <row r="396">
          <cell r="D396" t="str">
            <v>1039300149</v>
          </cell>
          <cell r="E396" t="str">
            <v>1039300149</v>
          </cell>
          <cell r="F396" t="str">
            <v>Reclasif. 'Dif.Moneda Deudor L.Plazo</v>
          </cell>
          <cell r="G396" t="str">
            <v>1039300149  Reclasif. 'Dif.Moneda Deudor L.Plazo</v>
          </cell>
          <cell r="H396" t="str">
            <v>Balance</v>
          </cell>
          <cell r="I396" t="str">
            <v>I. Activos</v>
          </cell>
          <cell r="J396" t="str">
            <v>2. Activos no corrientes</v>
          </cell>
          <cell r="K396" t="str">
            <v>10. Propiedad de inversión</v>
          </cell>
          <cell r="U396" t="str">
            <v>12. Propiedad de inversión</v>
          </cell>
          <cell r="AH396" t="str">
            <v>I. Activos de los segmentos</v>
          </cell>
        </row>
        <row r="397">
          <cell r="D397">
            <v>0</v>
          </cell>
          <cell r="F397" t="str">
            <v>Propiedad De Inversión</v>
          </cell>
          <cell r="G397" t="str">
            <v/>
          </cell>
          <cell r="H397" t="str">
            <v/>
          </cell>
          <cell r="AH397" t="str">
            <v/>
          </cell>
        </row>
        <row r="398">
          <cell r="D398">
            <v>0</v>
          </cell>
          <cell r="F398" t="str">
            <v/>
          </cell>
          <cell r="G398" t="str">
            <v/>
          </cell>
          <cell r="H398" t="str">
            <v/>
          </cell>
          <cell r="AH398" t="str">
            <v/>
          </cell>
        </row>
        <row r="399">
          <cell r="D399">
            <v>0</v>
          </cell>
          <cell r="F399" t="str">
            <v/>
          </cell>
          <cell r="G399" t="str">
            <v/>
          </cell>
          <cell r="H399" t="str">
            <v/>
          </cell>
          <cell r="I399" t="str">
            <v>I. Activos</v>
          </cell>
          <cell r="J399" t="str">
            <v>2. Activos no corrientes</v>
          </cell>
          <cell r="K399" t="str">
            <v>11. Activos por impuestos diferidos</v>
          </cell>
          <cell r="U399" t="str">
            <v>13. Activos por impuestos diferidos</v>
          </cell>
          <cell r="AH399" t="str">
            <v>I. Activos de los segmentos</v>
          </cell>
        </row>
        <row r="400">
          <cell r="D400">
            <v>0</v>
          </cell>
          <cell r="F400" t="str">
            <v>Activos Por Impuestos Diferidos</v>
          </cell>
          <cell r="G400" t="str">
            <v/>
          </cell>
          <cell r="H400" t="str">
            <v/>
          </cell>
          <cell r="AH400" t="str">
            <v/>
          </cell>
        </row>
        <row r="401">
          <cell r="D401">
            <v>0</v>
          </cell>
          <cell r="F401" t="str">
            <v/>
          </cell>
          <cell r="G401" t="str">
            <v/>
          </cell>
          <cell r="H401" t="str">
            <v/>
          </cell>
          <cell r="AH401" t="str">
            <v/>
          </cell>
        </row>
        <row r="402">
          <cell r="D402">
            <v>0</v>
          </cell>
          <cell r="F402" t="str">
            <v>Total De Activos No Corrientes</v>
          </cell>
          <cell r="G402" t="str">
            <v/>
          </cell>
          <cell r="H402" t="str">
            <v/>
          </cell>
          <cell r="AH402" t="str">
            <v/>
          </cell>
        </row>
        <row r="403">
          <cell r="D403">
            <v>0</v>
          </cell>
          <cell r="F403" t="str">
            <v/>
          </cell>
          <cell r="G403" t="str">
            <v/>
          </cell>
          <cell r="H403" t="str">
            <v/>
          </cell>
          <cell r="AH403" t="str">
            <v/>
          </cell>
        </row>
        <row r="404">
          <cell r="D404">
            <v>0</v>
          </cell>
          <cell r="F404" t="str">
            <v>Total De Activos</v>
          </cell>
          <cell r="G404" t="str">
            <v/>
          </cell>
          <cell r="H404" t="str">
            <v/>
          </cell>
          <cell r="I404" t="str">
            <v>I. Activos</v>
          </cell>
          <cell r="AH404" t="str">
            <v>I. Activos de los segmentos</v>
          </cell>
        </row>
        <row r="405">
          <cell r="D405">
            <v>0</v>
          </cell>
          <cell r="G405" t="str">
            <v/>
          </cell>
          <cell r="H405" t="str">
            <v/>
          </cell>
          <cell r="AH405" t="str">
            <v/>
          </cell>
        </row>
        <row r="406">
          <cell r="D406">
            <v>0</v>
          </cell>
          <cell r="G406" t="str">
            <v/>
          </cell>
          <cell r="H406" t="str">
            <v/>
          </cell>
          <cell r="AH406" t="str">
            <v/>
          </cell>
        </row>
        <row r="407">
          <cell r="D407">
            <v>0</v>
          </cell>
          <cell r="G407" t="str">
            <v/>
          </cell>
          <cell r="H407" t="str">
            <v/>
          </cell>
          <cell r="AH407" t="str">
            <v/>
          </cell>
        </row>
        <row r="408">
          <cell r="D408">
            <v>0</v>
          </cell>
          <cell r="F408" t="str">
            <v>Patrimonio Y Pasivos</v>
          </cell>
          <cell r="G408" t="str">
            <v/>
          </cell>
          <cell r="H408" t="str">
            <v/>
          </cell>
          <cell r="AH408" t="str">
            <v/>
          </cell>
        </row>
        <row r="409">
          <cell r="D409">
            <v>0</v>
          </cell>
          <cell r="F409" t="str">
            <v>Pasivos</v>
          </cell>
          <cell r="G409" t="str">
            <v/>
          </cell>
          <cell r="H409" t="str">
            <v/>
          </cell>
          <cell r="AH409" t="str">
            <v/>
          </cell>
        </row>
        <row r="410">
          <cell r="D410">
            <v>0</v>
          </cell>
          <cell r="F410" t="str">
            <v>Pasivos Corrientes</v>
          </cell>
          <cell r="G410" t="str">
            <v/>
          </cell>
          <cell r="H410" t="str">
            <v/>
          </cell>
          <cell r="AH410" t="str">
            <v/>
          </cell>
        </row>
        <row r="411">
          <cell r="D411">
            <v>0</v>
          </cell>
          <cell r="F411" t="str">
            <v>.</v>
          </cell>
          <cell r="G411" t="str">
            <v/>
          </cell>
          <cell r="H411" t="str">
            <v/>
          </cell>
          <cell r="AH411" t="str">
            <v/>
          </cell>
        </row>
        <row r="412">
          <cell r="D412" t="str">
            <v>1011100030</v>
          </cell>
          <cell r="E412" t="str">
            <v>1011100030</v>
          </cell>
          <cell r="F412" t="str">
            <v>Intereses Por Devengar Por Préstamo</v>
          </cell>
          <cell r="G412" t="str">
            <v>1011100030  Intereses Por Devengar Por Préstamo</v>
          </cell>
          <cell r="H412" t="str">
            <v>Balance</v>
          </cell>
          <cell r="I412" t="str">
            <v>II. Pasivos</v>
          </cell>
          <cell r="J412" t="str">
            <v>1. Pasivos corrientes</v>
          </cell>
          <cell r="K412" t="str">
            <v>1. Otros Pasivos Financieros, corrientes</v>
          </cell>
          <cell r="U412" t="str">
            <v>1. Otros Pasivos Financieros, corrientes</v>
          </cell>
          <cell r="AH412" t="str">
            <v>III. Pasivos de los segmentos</v>
          </cell>
        </row>
        <row r="413">
          <cell r="D413" t="str">
            <v>1011100031</v>
          </cell>
          <cell r="E413" t="str">
            <v>1011100031</v>
          </cell>
          <cell r="F413" t="str">
            <v>Int. Por Devengar Ptmo. Banc. Lp-Porcion Cp</v>
          </cell>
          <cell r="G413" t="str">
            <v>1011100031  Int. Por Devengar Ptmo. Banc. Lp-Porcion Cp</v>
          </cell>
          <cell r="H413" t="str">
            <v>Balance</v>
          </cell>
          <cell r="I413" t="str">
            <v>II. Pasivos</v>
          </cell>
          <cell r="J413" t="str">
            <v>1. Pasivos corrientes</v>
          </cell>
          <cell r="K413" t="str">
            <v>1. Otros Pasivos Financieros, corrientes</v>
          </cell>
          <cell r="U413" t="str">
            <v>1. Otros Pasivos Financieros, corrientes</v>
          </cell>
          <cell r="AH413" t="str">
            <v>III. Pasivos de los segmentos</v>
          </cell>
        </row>
        <row r="414">
          <cell r="D414" t="str">
            <v>2001100010</v>
          </cell>
          <cell r="E414" t="str">
            <v>2001100010</v>
          </cell>
          <cell r="F414" t="str">
            <v>Préstamos Bancarios de Corto Plazo</v>
          </cell>
          <cell r="G414" t="str">
            <v>2001100010  Préstamos Bancarios de Corto Plazo</v>
          </cell>
          <cell r="H414" t="str">
            <v>Balance</v>
          </cell>
          <cell r="I414" t="str">
            <v>II. Pasivos</v>
          </cell>
          <cell r="J414" t="str">
            <v>1. Pasivos corrientes</v>
          </cell>
          <cell r="K414" t="str">
            <v>1. Otros Pasivos Financieros, corrientes</v>
          </cell>
          <cell r="U414" t="str">
            <v>1. Otros Pasivos Financieros, corrientes</v>
          </cell>
          <cell r="AH414" t="str">
            <v>III. Pasivos de los segmentos</v>
          </cell>
        </row>
        <row r="415">
          <cell r="D415" t="str">
            <v>2002100010</v>
          </cell>
          <cell r="E415" t="str">
            <v>2002100010</v>
          </cell>
          <cell r="F415" t="str">
            <v>Préstamos Bancarios De Largo Plazo-Porción Cp</v>
          </cell>
          <cell r="G415" t="str">
            <v>2002100010  Préstamos Bancarios De Largo Plazo-Porción Cp</v>
          </cell>
          <cell r="H415" t="str">
            <v>Balance</v>
          </cell>
          <cell r="I415" t="str">
            <v>II. Pasivos</v>
          </cell>
          <cell r="J415" t="str">
            <v>1. Pasivos corrientes</v>
          </cell>
          <cell r="K415" t="str">
            <v>1. Otros Pasivos Financieros, corrientes</v>
          </cell>
          <cell r="U415" t="str">
            <v>1. Otros Pasivos Financieros, corrientes</v>
          </cell>
          <cell r="AH415" t="str">
            <v>III. Pasivos de los segmentos</v>
          </cell>
        </row>
        <row r="416">
          <cell r="D416" t="str">
            <v>2002100011</v>
          </cell>
          <cell r="E416" t="str">
            <v>2002100011</v>
          </cell>
          <cell r="F416" t="str">
            <v>Préstamos Bancarios Largo Plazo-Porción Cp (Uf)</v>
          </cell>
          <cell r="G416" t="str">
            <v>2002100011  Préstamos Bancarios Largo Plazo-Porción Cp (Uf)</v>
          </cell>
          <cell r="H416" t="str">
            <v>Balance</v>
          </cell>
          <cell r="I416" t="str">
            <v>II. Pasivos</v>
          </cell>
          <cell r="J416" t="str">
            <v>1. Pasivos corrientes</v>
          </cell>
          <cell r="K416" t="str">
            <v>1. Otros Pasivos Financieros, corrientes</v>
          </cell>
          <cell r="U416" t="str">
            <v>1. Otros Pasivos Financieros, corrientes</v>
          </cell>
          <cell r="AH416" t="str">
            <v>III. Pasivos de los segmentos</v>
          </cell>
        </row>
        <row r="417">
          <cell r="D417" t="str">
            <v>2002100020</v>
          </cell>
          <cell r="E417" t="str">
            <v>2002100020</v>
          </cell>
          <cell r="F417" t="str">
            <v>Int. X Pagar Ptmos Banc. L. Plazo-Porción Cp (Usd</v>
          </cell>
          <cell r="G417" t="str">
            <v>2002100020  Int. X Pagar Ptmos Banc. L. Plazo-Porción Cp (Usd</v>
          </cell>
          <cell r="H417" t="str">
            <v>Balance</v>
          </cell>
          <cell r="I417" t="str">
            <v>II. Pasivos</v>
          </cell>
          <cell r="J417" t="str">
            <v>1. Pasivos corrientes</v>
          </cell>
          <cell r="K417" t="str">
            <v>1. Otros Pasivos Financieros, corrientes</v>
          </cell>
          <cell r="U417" t="str">
            <v>1. Otros Pasivos Financieros, corrientes</v>
          </cell>
          <cell r="AH417" t="str">
            <v>III. Pasivos de los segmentos</v>
          </cell>
        </row>
        <row r="418">
          <cell r="D418" t="str">
            <v>2002100021</v>
          </cell>
          <cell r="E418" t="str">
            <v>2002100021</v>
          </cell>
          <cell r="F418" t="str">
            <v>Int. X Pagar Ptmos Banc. L. Plazo-Porción Cp (Uf)</v>
          </cell>
          <cell r="G418" t="str">
            <v>2002100021  Int. X Pagar Ptmos Banc. L. Plazo-Porción Cp (Uf)</v>
          </cell>
          <cell r="H418" t="str">
            <v>Balance</v>
          </cell>
          <cell r="I418" t="str">
            <v>II. Pasivos</v>
          </cell>
          <cell r="J418" t="str">
            <v>1. Pasivos corrientes</v>
          </cell>
          <cell r="K418" t="str">
            <v>1. Otros Pasivos Financieros, corrientes</v>
          </cell>
          <cell r="U418" t="str">
            <v>1. Otros Pasivos Financieros, corrientes</v>
          </cell>
          <cell r="AH418" t="str">
            <v>III. Pasivos de los segmentos</v>
          </cell>
        </row>
        <row r="419">
          <cell r="D419" t="str">
            <v>2004100030</v>
          </cell>
          <cell r="E419" t="str">
            <v>2004100030</v>
          </cell>
          <cell r="F419" t="str">
            <v>Obligaciones Por Préstamo Corto Plazo</v>
          </cell>
          <cell r="G419" t="str">
            <v>2004100030  Obligaciones Por Préstamo Corto Plazo</v>
          </cell>
          <cell r="H419" t="str">
            <v>Balance</v>
          </cell>
          <cell r="I419" t="str">
            <v>II. Pasivos</v>
          </cell>
          <cell r="J419" t="str">
            <v>1. Pasivos corrientes</v>
          </cell>
          <cell r="K419" t="str">
            <v>1. Otros Pasivos Financieros, corrientes</v>
          </cell>
          <cell r="U419" t="str">
            <v>1. Otros Pasivos Financieros, corrientes</v>
          </cell>
          <cell r="AH419" t="str">
            <v>III. Pasivos de los segmentos</v>
          </cell>
        </row>
        <row r="420">
          <cell r="D420" t="str">
            <v>1011100013</v>
          </cell>
          <cell r="E420" t="str">
            <v>1011100013</v>
          </cell>
          <cell r="F420" t="str">
            <v>Descuentos Sobre Bonos Corto Plazo</v>
          </cell>
          <cell r="G420" t="str">
            <v>1011100013  Descuentos Sobre Bonos Corto Plazo</v>
          </cell>
          <cell r="H420" t="str">
            <v>Balance</v>
          </cell>
          <cell r="I420" t="str">
            <v>II. Pasivos</v>
          </cell>
          <cell r="J420" t="str">
            <v>1. Pasivos corrientes</v>
          </cell>
          <cell r="K420" t="str">
            <v>1. Otros Pasivos Financieros, corrientes</v>
          </cell>
          <cell r="U420" t="str">
            <v>1. Otros Pasivos Financieros, corrientes</v>
          </cell>
          <cell r="AH420" t="str">
            <v>III. Pasivos de los segmentos</v>
          </cell>
        </row>
        <row r="421">
          <cell r="D421" t="str">
            <v>1011100020</v>
          </cell>
          <cell r="E421" t="str">
            <v>1011100020</v>
          </cell>
          <cell r="F421" t="str">
            <v>Intereses Por  Devengar De Bonos Corto Plazo</v>
          </cell>
          <cell r="G421" t="str">
            <v>1011100020  Intereses Por  Devengar De Bonos Corto Plazo</v>
          </cell>
          <cell r="H421" t="str">
            <v>Balance</v>
          </cell>
          <cell r="I421" t="str">
            <v>II. Pasivos</v>
          </cell>
          <cell r="J421" t="str">
            <v>1. Pasivos corrientes</v>
          </cell>
          <cell r="K421" t="str">
            <v>1. Otros Pasivos Financieros, corrientes</v>
          </cell>
          <cell r="U421" t="str">
            <v>1. Otros Pasivos Financieros, corrientes</v>
          </cell>
          <cell r="AH421" t="str">
            <v>III. Pasivos de los segmentos</v>
          </cell>
        </row>
        <row r="422">
          <cell r="D422" t="str">
            <v>2003100010</v>
          </cell>
          <cell r="E422" t="str">
            <v>2003100010</v>
          </cell>
          <cell r="F422" t="str">
            <v>Obligaciones Sobre Bonos De Corto Plazo</v>
          </cell>
          <cell r="G422" t="str">
            <v>2003100010  Obligaciones Sobre Bonos De Corto Plazo</v>
          </cell>
          <cell r="H422" t="str">
            <v>Balance</v>
          </cell>
          <cell r="I422" t="str">
            <v>II. Pasivos</v>
          </cell>
          <cell r="J422" t="str">
            <v>1. Pasivos corrientes</v>
          </cell>
          <cell r="K422" t="str">
            <v>1. Otros Pasivos Financieros, corrientes</v>
          </cell>
          <cell r="U422" t="str">
            <v>1. Otros Pasivos Financieros, corrientes</v>
          </cell>
          <cell r="AH422" t="str">
            <v>III. Pasivos de los segmentos</v>
          </cell>
        </row>
        <row r="423">
          <cell r="D423" t="str">
            <v>2003100020</v>
          </cell>
          <cell r="E423" t="str">
            <v>2003100020</v>
          </cell>
          <cell r="F423" t="str">
            <v>Intereses Devengados Sobre Bonos De Corto Plazo</v>
          </cell>
          <cell r="G423" t="str">
            <v>2003100020  Intereses Devengados Sobre Bonos De Corto Plazo</v>
          </cell>
          <cell r="H423" t="str">
            <v>Balance</v>
          </cell>
          <cell r="I423" t="str">
            <v>II. Pasivos</v>
          </cell>
          <cell r="J423" t="str">
            <v>1. Pasivos corrientes</v>
          </cell>
          <cell r="K423" t="str">
            <v>1. Otros Pasivos Financieros, corrientes</v>
          </cell>
          <cell r="U423" t="str">
            <v>1. Otros Pasivos Financieros, corrientes</v>
          </cell>
          <cell r="AH423" t="str">
            <v>III. Pasivos de los segmentos</v>
          </cell>
        </row>
        <row r="424">
          <cell r="D424" t="str">
            <v>2013100094</v>
          </cell>
          <cell r="E424" t="str">
            <v>2013100094</v>
          </cell>
          <cell r="F424" t="str">
            <v>Créditos Diferidos Sobre Bonos Cp</v>
          </cell>
          <cell r="G424" t="str">
            <v>2013100094  Créditos Diferidos Sobre Bonos Cp</v>
          </cell>
          <cell r="H424" t="str">
            <v>Balance</v>
          </cell>
          <cell r="I424" t="str">
            <v>II. Pasivos</v>
          </cell>
          <cell r="J424" t="str">
            <v>1. Pasivos corrientes</v>
          </cell>
          <cell r="K424" t="str">
            <v>1. Otros Pasivos Financieros, corrientes</v>
          </cell>
          <cell r="U424" t="str">
            <v>1. Otros Pasivos Financieros, corrientes</v>
          </cell>
          <cell r="AH424" t="str">
            <v>III. Pasivos de los segmentos</v>
          </cell>
        </row>
        <row r="425">
          <cell r="D425" t="str">
            <v>2013100092</v>
          </cell>
          <cell r="E425" t="str">
            <v>2013100092</v>
          </cell>
          <cell r="F425" t="str">
            <v>Cuenta transitoria diferida Forward</v>
          </cell>
          <cell r="G425" t="str">
            <v>2013100092  Cuenta transitoria diferida Forward</v>
          </cell>
          <cell r="H425" t="str">
            <v>Balance</v>
          </cell>
          <cell r="I425" t="str">
            <v>II. Pasivos</v>
          </cell>
          <cell r="J425" t="str">
            <v>1. Pasivos corrientes</v>
          </cell>
          <cell r="K425" t="str">
            <v>1. Otros Pasivos Financieros, corrientes</v>
          </cell>
          <cell r="U425" t="str">
            <v>1. Otros Pasivos Financieros, corrientes</v>
          </cell>
          <cell r="AH425" t="str">
            <v>III. Pasivos de los segmentos</v>
          </cell>
        </row>
        <row r="426">
          <cell r="D426" t="str">
            <v>2013100093</v>
          </cell>
          <cell r="E426" t="str">
            <v>2013100093</v>
          </cell>
          <cell r="F426" t="str">
            <v>Contratos Futuros</v>
          </cell>
          <cell r="G426" t="str">
            <v>2013100093  Contratos Futuros</v>
          </cell>
          <cell r="H426" t="str">
            <v>Balance</v>
          </cell>
          <cell r="I426" t="str">
            <v>II. Pasivos</v>
          </cell>
          <cell r="J426" t="str">
            <v>1. Pasivos corrientes</v>
          </cell>
          <cell r="K426" t="str">
            <v>1. Otros Pasivos Financieros, corrientes</v>
          </cell>
          <cell r="U426" t="str">
            <v>1. Otros Pasivos Financieros, corrientes</v>
          </cell>
          <cell r="AH426" t="str">
            <v>III. Pasivos de los segmentos</v>
          </cell>
        </row>
        <row r="427">
          <cell r="D427" t="str">
            <v>1011100016</v>
          </cell>
          <cell r="E427" t="str">
            <v>1011100016</v>
          </cell>
          <cell r="F427" t="str">
            <v>Gastos por Emisión en Colocación de Bonos C.P.</v>
          </cell>
          <cell r="G427" t="str">
            <v>1011100016  Gastos por Emisión en Colocación de Bonos C.P.</v>
          </cell>
          <cell r="H427" t="str">
            <v>Balance</v>
          </cell>
          <cell r="I427" t="str">
            <v>II. Pasivos</v>
          </cell>
          <cell r="J427" t="str">
            <v>1. Pasivos corrientes</v>
          </cell>
          <cell r="K427" t="str">
            <v>1. Otros Pasivos Financieros, corrientes</v>
          </cell>
          <cell r="U427" t="str">
            <v>1. Otros Pasivos Financieros, corrientes</v>
          </cell>
          <cell r="AH427" t="str">
            <v>III. Pasivos de los segmentos</v>
          </cell>
        </row>
        <row r="428">
          <cell r="D428">
            <v>0</v>
          </cell>
        </row>
        <row r="429">
          <cell r="D429">
            <v>0</v>
          </cell>
          <cell r="F429" t="str">
            <v>Otros Pasivos Financieros Corrientes</v>
          </cell>
          <cell r="G429" t="str">
            <v/>
          </cell>
          <cell r="H429" t="str">
            <v/>
          </cell>
          <cell r="AH429" t="str">
            <v/>
          </cell>
        </row>
        <row r="430">
          <cell r="D430">
            <v>0</v>
          </cell>
          <cell r="G430" t="str">
            <v/>
          </cell>
          <cell r="H430" t="str">
            <v/>
          </cell>
          <cell r="AH430" t="str">
            <v/>
          </cell>
        </row>
        <row r="431">
          <cell r="D431" t="str">
            <v>1011100040</v>
          </cell>
          <cell r="E431" t="str">
            <v>1011100040</v>
          </cell>
          <cell r="F431" t="str">
            <v>Intereses Diferidos Por Der. De Aduanas (Tgr) Cp</v>
          </cell>
          <cell r="G431" t="str">
            <v>1011100040  Intereses Diferidos Por Der. De Aduanas (Tgr) Cp</v>
          </cell>
          <cell r="H431" t="str">
            <v>Balance</v>
          </cell>
          <cell r="I431" t="str">
            <v>II. Pasivos</v>
          </cell>
          <cell r="J431" t="str">
            <v>1. Pasivos corrientes</v>
          </cell>
          <cell r="K431" t="str">
            <v>2. Cuentas comerciales y otras cuentas por pagar, corrientes</v>
          </cell>
          <cell r="U431" t="str">
            <v>2. Cuentas comerciales y otras cuentas por pagar, corrientes</v>
          </cell>
          <cell r="AG431" t="str">
            <v>Otras cuentas por pagar comerciales y otras cuentas</v>
          </cell>
          <cell r="AH431" t="str">
            <v>III. Pasivos de los segmentos</v>
          </cell>
        </row>
        <row r="432">
          <cell r="D432" t="str">
            <v>1011100090</v>
          </cell>
          <cell r="E432" t="str">
            <v>1011100090</v>
          </cell>
          <cell r="F432" t="str">
            <v>Ntereses Por Devengar Proyecto Inversiones Cp</v>
          </cell>
          <cell r="G432" t="str">
            <v>1011100090  Ntereses Por Devengar Proyecto Inversiones Cp</v>
          </cell>
          <cell r="H432" t="str">
            <v>Balance</v>
          </cell>
          <cell r="I432" t="str">
            <v>II. Pasivos</v>
          </cell>
          <cell r="J432" t="str">
            <v>1. Pasivos corrientes</v>
          </cell>
          <cell r="K432" t="str">
            <v>2. Cuentas comerciales y otras cuentas por pagar, corrientes</v>
          </cell>
          <cell r="U432" t="str">
            <v>2. Cuentas comerciales y otras cuentas por pagar, corrientes</v>
          </cell>
          <cell r="AG432" t="str">
            <v xml:space="preserve">Proveedores de Mantención Vias </v>
          </cell>
          <cell r="AH432" t="str">
            <v>III. Pasivos de los segmentos</v>
          </cell>
        </row>
        <row r="433">
          <cell r="D433" t="str">
            <v>2005100010</v>
          </cell>
          <cell r="E433" t="str">
            <v>2005100010</v>
          </cell>
          <cell r="F433" t="str">
            <v>Facturas Por Recibir</v>
          </cell>
          <cell r="G433" t="str">
            <v>2005100010  Facturas Por Recibir</v>
          </cell>
          <cell r="H433" t="str">
            <v>Balance</v>
          </cell>
          <cell r="I433" t="str">
            <v>II. Pasivos</v>
          </cell>
          <cell r="J433" t="str">
            <v>1. Pasivos corrientes</v>
          </cell>
          <cell r="K433" t="str">
            <v>2. Cuentas comerciales y otras cuentas por pagar, corrientes</v>
          </cell>
          <cell r="U433" t="str">
            <v>2. Cuentas comerciales y otras cuentas por pagar, corrientes</v>
          </cell>
          <cell r="AG433" t="str">
            <v>Deudas por compras o prestación de servicios</v>
          </cell>
          <cell r="AH433" t="str">
            <v>III. Pasivos de los segmentos</v>
          </cell>
        </row>
        <row r="434">
          <cell r="D434" t="str">
            <v>2005100011</v>
          </cell>
          <cell r="E434" t="str">
            <v>2005100011</v>
          </cell>
          <cell r="F434" t="str">
            <v>Facturas X Recibir</v>
          </cell>
          <cell r="G434" t="str">
            <v>2005100011  Facturas X Recibir</v>
          </cell>
          <cell r="H434" t="str">
            <v>Balance</v>
          </cell>
          <cell r="I434" t="str">
            <v>II. Pasivos</v>
          </cell>
          <cell r="J434" t="str">
            <v>1. Pasivos corrientes</v>
          </cell>
          <cell r="K434" t="str">
            <v>2. Cuentas comerciales y otras cuentas por pagar, corrientes</v>
          </cell>
          <cell r="U434" t="str">
            <v>2. Cuentas comerciales y otras cuentas por pagar, corrientes</v>
          </cell>
          <cell r="AG434" t="str">
            <v>Deudas por compras o prestación de servicios</v>
          </cell>
          <cell r="AH434" t="str">
            <v>III. Pasivos de los segmentos</v>
          </cell>
        </row>
        <row r="435">
          <cell r="D435" t="str">
            <v>2005100020</v>
          </cell>
          <cell r="E435" t="str">
            <v>2005100020</v>
          </cell>
          <cell r="F435" t="str">
            <v>Proveedores Por Pagar</v>
          </cell>
          <cell r="G435" t="str">
            <v>2005100020  Proveedores Por Pagar</v>
          </cell>
          <cell r="H435" t="str">
            <v>Balance</v>
          </cell>
          <cell r="I435" t="str">
            <v>II. Pasivos</v>
          </cell>
          <cell r="J435" t="str">
            <v>1. Pasivos corrientes</v>
          </cell>
          <cell r="K435" t="str">
            <v>2. Cuentas comerciales y otras cuentas por pagar, corrientes</v>
          </cell>
          <cell r="U435" t="str">
            <v>2. Cuentas comerciales y otras cuentas por pagar, corrientes</v>
          </cell>
          <cell r="AG435" t="str">
            <v>Deudas por compras o prestación de servicios</v>
          </cell>
          <cell r="AH435" t="str">
            <v>III. Pasivos de los segmentos</v>
          </cell>
        </row>
        <row r="436">
          <cell r="D436" t="str">
            <v>2005100030</v>
          </cell>
          <cell r="E436" t="str">
            <v>2005100030</v>
          </cell>
          <cell r="F436" t="str">
            <v>Cta. Por Pagar Por Der. De Aduanas E Iva (Tgr) Cp</v>
          </cell>
          <cell r="G436" t="str">
            <v>2005100030  Cta. Por Pagar Por Der. De Aduanas E Iva (Tgr) Cp</v>
          </cell>
          <cell r="H436" t="str">
            <v>Balance</v>
          </cell>
          <cell r="I436" t="str">
            <v>II. Pasivos</v>
          </cell>
          <cell r="J436" t="str">
            <v>1. Pasivos corrientes</v>
          </cell>
          <cell r="K436" t="str">
            <v>2. Cuentas comerciales y otras cuentas por pagar, corrientes</v>
          </cell>
          <cell r="U436" t="str">
            <v>2. Cuentas comerciales y otras cuentas por pagar, corrientes</v>
          </cell>
          <cell r="AG436" t="str">
            <v>Otras cuentas por pagar comerciales y otras cuentas</v>
          </cell>
          <cell r="AH436" t="str">
            <v>III. Pasivos de los segmentos</v>
          </cell>
        </row>
        <row r="437">
          <cell r="D437" t="str">
            <v>2005100040</v>
          </cell>
          <cell r="E437" t="str">
            <v>2005100040</v>
          </cell>
          <cell r="F437" t="str">
            <v>Dif. Proveedores Moneda Extranjera</v>
          </cell>
          <cell r="G437" t="str">
            <v>2005100040  Dif. Proveedores Moneda Extranjera</v>
          </cell>
          <cell r="H437" t="str">
            <v>Balance</v>
          </cell>
          <cell r="I437" t="str">
            <v>II. Pasivos</v>
          </cell>
          <cell r="J437" t="str">
            <v>1. Pasivos corrientes</v>
          </cell>
          <cell r="K437" t="str">
            <v>2. Cuentas comerciales y otras cuentas por pagar, corrientes</v>
          </cell>
          <cell r="U437" t="str">
            <v>2. Cuentas comerciales y otras cuentas por pagar, corrientes</v>
          </cell>
          <cell r="AG437" t="str">
            <v>Deudas por compras o prestación de servicios</v>
          </cell>
          <cell r="AH437" t="str">
            <v>III. Pasivos de los segmentos</v>
          </cell>
        </row>
        <row r="438">
          <cell r="D438" t="str">
            <v>2005100060</v>
          </cell>
          <cell r="E438" t="str">
            <v>2005100060</v>
          </cell>
          <cell r="F438" t="str">
            <v>Ctas.Por Pagar Edificio Morande C/Plazo</v>
          </cell>
          <cell r="G438" t="str">
            <v>2005100060  Ctas.Por Pagar Edificio Morande C/Plazo</v>
          </cell>
          <cell r="H438" t="str">
            <v>Balance</v>
          </cell>
          <cell r="I438" t="str">
            <v>II. Pasivos</v>
          </cell>
          <cell r="J438" t="str">
            <v>1. Pasivos corrientes</v>
          </cell>
          <cell r="K438" t="str">
            <v>2. Cuentas comerciales y otras cuentas por pagar, corrientes</v>
          </cell>
          <cell r="U438" t="str">
            <v>2. Cuentas comerciales y otras cuentas por pagar, corrientes</v>
          </cell>
          <cell r="AG438" t="str">
            <v>Otras cuentas por pagar comerciales y otras cuentas</v>
          </cell>
          <cell r="AH438" t="str">
            <v>III. Pasivos de los segmentos</v>
          </cell>
        </row>
        <row r="439">
          <cell r="D439" t="str">
            <v>2005100070</v>
          </cell>
          <cell r="E439" t="str">
            <v>2005100070</v>
          </cell>
          <cell r="F439" t="str">
            <v>Finiquitos Por Pagar</v>
          </cell>
          <cell r="G439" t="str">
            <v>2005100070  Finiquitos Por Pagar</v>
          </cell>
          <cell r="H439" t="str">
            <v>Balance</v>
          </cell>
          <cell r="I439" t="str">
            <v>II. Pasivos</v>
          </cell>
          <cell r="J439" t="str">
            <v>1. Pasivos corrientes</v>
          </cell>
          <cell r="K439" t="str">
            <v>2. Cuentas comerciales y otras cuentas por pagar, corrientes</v>
          </cell>
          <cell r="U439" t="str">
            <v>2. Cuentas comerciales y otras cuentas por pagar, corrientes</v>
          </cell>
          <cell r="AG439" t="str">
            <v>Cuentas por pagar al personal</v>
          </cell>
          <cell r="AH439" t="str">
            <v>III. Pasivos de los segmentos</v>
          </cell>
        </row>
        <row r="440">
          <cell r="D440" t="str">
            <v>2005100090</v>
          </cell>
          <cell r="E440" t="str">
            <v>2005100090</v>
          </cell>
          <cell r="F440" t="str">
            <v>Ctas.Por Pagar Proy.Cpif Norte-Centro C/Plazo</v>
          </cell>
          <cell r="G440" t="str">
            <v>2005100090  Ctas.Por Pagar Proy.Cpif Norte-Centro C/Plazo</v>
          </cell>
          <cell r="H440" t="str">
            <v>Balance</v>
          </cell>
          <cell r="I440" t="str">
            <v>II. Pasivos</v>
          </cell>
          <cell r="J440" t="str">
            <v>1. Pasivos corrientes</v>
          </cell>
          <cell r="K440" t="str">
            <v>2. Cuentas comerciales y otras cuentas por pagar, corrientes</v>
          </cell>
          <cell r="U440" t="str">
            <v>2. Cuentas comerciales y otras cuentas por pagar, corrientes</v>
          </cell>
          <cell r="AG440" t="str">
            <v xml:space="preserve">Proveedores de Mantención Vias </v>
          </cell>
          <cell r="AH440" t="str">
            <v>III. Pasivos de los segmentos</v>
          </cell>
        </row>
        <row r="441">
          <cell r="D441" t="str">
            <v>2005100091</v>
          </cell>
          <cell r="E441" t="str">
            <v>2005100091</v>
          </cell>
          <cell r="F441" t="str">
            <v>Ctas.Por Pagar Proy.Cpif Norte-Centro C/Plazo</v>
          </cell>
          <cell r="G441" t="str">
            <v>2005100091  Ctas.Por Pagar Proy.Cpif Norte-Centro C/Plazo</v>
          </cell>
          <cell r="H441" t="str">
            <v>Balance</v>
          </cell>
          <cell r="I441" t="str">
            <v>II. Pasivos</v>
          </cell>
          <cell r="J441" t="str">
            <v>1. Pasivos corrientes</v>
          </cell>
          <cell r="K441" t="str">
            <v>2. Cuentas comerciales y otras cuentas por pagar, corrientes</v>
          </cell>
          <cell r="U441" t="str">
            <v>2. Cuentas comerciales y otras cuentas por pagar, corrientes</v>
          </cell>
          <cell r="AG441" t="str">
            <v xml:space="preserve">Proveedores de Mantención Vias </v>
          </cell>
          <cell r="AH441" t="str">
            <v>III. Pasivos de los segmentos</v>
          </cell>
        </row>
        <row r="442">
          <cell r="D442" t="str">
            <v>2005100100</v>
          </cell>
          <cell r="E442" t="str">
            <v>2005100100</v>
          </cell>
          <cell r="F442" t="str">
            <v>Honorarios Por Pagar</v>
          </cell>
          <cell r="G442" t="str">
            <v>2005100100  Honorarios Por Pagar</v>
          </cell>
          <cell r="H442" t="str">
            <v>Balance</v>
          </cell>
          <cell r="I442" t="str">
            <v>II. Pasivos</v>
          </cell>
          <cell r="J442" t="str">
            <v>1. Pasivos corrientes</v>
          </cell>
          <cell r="K442" t="str">
            <v>2. Cuentas comerciales y otras cuentas por pagar, corrientes</v>
          </cell>
          <cell r="U442" t="str">
            <v>2. Cuentas comerciales y otras cuentas por pagar, corrientes</v>
          </cell>
          <cell r="AG442" t="str">
            <v>Otras cuentas por pagar comerciales y otras cuentas</v>
          </cell>
          <cell r="AH442" t="str">
            <v>III. Pasivos de los segmentos</v>
          </cell>
        </row>
        <row r="443">
          <cell r="D443" t="str">
            <v>2005100101</v>
          </cell>
          <cell r="E443" t="str">
            <v>2005100101</v>
          </cell>
          <cell r="F443" t="str">
            <v>Ferrocarril Del Pacífico S.A De Corto Plazo</v>
          </cell>
          <cell r="G443" t="str">
            <v>2005100101  Ferrocarril Del Pacífico S.A De Corto Plazo</v>
          </cell>
          <cell r="H443" t="str">
            <v>Balance</v>
          </cell>
          <cell r="I443" t="str">
            <v>II. Pasivos</v>
          </cell>
          <cell r="J443" t="str">
            <v>1. Pasivos corrientes</v>
          </cell>
          <cell r="K443" t="str">
            <v>2. Cuentas comerciales y otras cuentas por pagar, corrientes</v>
          </cell>
          <cell r="U443" t="str">
            <v>2. Cuentas comerciales y otras cuentas por pagar, corrientes</v>
          </cell>
          <cell r="AG443" t="str">
            <v xml:space="preserve">Proveedores de Mantención Vias </v>
          </cell>
          <cell r="AH443" t="str">
            <v>III. Pasivos de los segmentos</v>
          </cell>
        </row>
        <row r="444">
          <cell r="D444" t="str">
            <v>2005100102</v>
          </cell>
          <cell r="E444" t="str">
            <v>2005100102</v>
          </cell>
          <cell r="F444" t="str">
            <v>Dif. Factura Por Recibir Moneda Extranjera</v>
          </cell>
          <cell r="G444" t="str">
            <v>2005100102  Dif. Factura Por Recibir Moneda Extranjera</v>
          </cell>
          <cell r="H444" t="str">
            <v>Balance</v>
          </cell>
          <cell r="I444" t="str">
            <v>II. Pasivos</v>
          </cell>
          <cell r="J444" t="str">
            <v>1. Pasivos corrientes</v>
          </cell>
          <cell r="K444" t="str">
            <v>2. Cuentas comerciales y otras cuentas por pagar, corrientes</v>
          </cell>
          <cell r="U444" t="str">
            <v>2. Cuentas comerciales y otras cuentas por pagar, corrientes</v>
          </cell>
          <cell r="AG444" t="str">
            <v>Deudas por compras o prestación de servicios</v>
          </cell>
          <cell r="AH444" t="str">
            <v>III. Pasivos de los segmentos</v>
          </cell>
        </row>
        <row r="445">
          <cell r="D445" t="str">
            <v>2005100103</v>
          </cell>
          <cell r="E445" t="str">
            <v>2005100103</v>
          </cell>
          <cell r="F445" t="str">
            <v>Dif. Proveedores Por Pagar Moneda Extranjera</v>
          </cell>
          <cell r="G445" t="str">
            <v>2005100103  Dif. Proveedores Por Pagar Moneda Extranjera</v>
          </cell>
          <cell r="H445" t="str">
            <v>Balance</v>
          </cell>
          <cell r="I445" t="str">
            <v>II. Pasivos</v>
          </cell>
          <cell r="J445" t="str">
            <v>1. Pasivos corrientes</v>
          </cell>
          <cell r="K445" t="str">
            <v>2. Cuentas comerciales y otras cuentas por pagar, corrientes</v>
          </cell>
          <cell r="U445" t="str">
            <v>2. Cuentas comerciales y otras cuentas por pagar, corrientes</v>
          </cell>
          <cell r="AG445" t="str">
            <v>Deudas por compras o prestación de servicios</v>
          </cell>
          <cell r="AH445" t="str">
            <v>III. Pasivos de los segmentos</v>
          </cell>
        </row>
        <row r="446">
          <cell r="D446" t="str">
            <v>2005100120</v>
          </cell>
          <cell r="E446" t="str">
            <v>2005100120</v>
          </cell>
          <cell r="F446" t="str">
            <v>Ferrocarril del Pacífico S.A.</v>
          </cell>
          <cell r="G446" t="str">
            <v>2005100120  Ferrocarril del Pacífico S.A.</v>
          </cell>
          <cell r="H446" t="str">
            <v>Balance</v>
          </cell>
          <cell r="I446" t="str">
            <v>II. Pasivos</v>
          </cell>
          <cell r="J446" t="str">
            <v>1. Pasivos corrientes</v>
          </cell>
          <cell r="K446" t="str">
            <v>2. Cuentas comerciales y otras cuentas por pagar, corrientes</v>
          </cell>
          <cell r="U446" t="str">
            <v>2. Cuentas comerciales y otras cuentas por pagar, corrientes</v>
          </cell>
          <cell r="AG446" t="str">
            <v>Deudas por compras o prestación de servicios</v>
          </cell>
          <cell r="AH446" t="str">
            <v>III. Pasivos de los segmentos</v>
          </cell>
        </row>
        <row r="447">
          <cell r="D447" t="str">
            <v>2007100010</v>
          </cell>
          <cell r="E447" t="str">
            <v>2007100010</v>
          </cell>
          <cell r="F447" t="str">
            <v>Varios Acreedores De Corto Plazo</v>
          </cell>
          <cell r="G447" t="str">
            <v>2007100010  Varios Acreedores De Corto Plazo</v>
          </cell>
          <cell r="H447" t="str">
            <v>Balance</v>
          </cell>
          <cell r="I447" t="str">
            <v>II. Pasivos</v>
          </cell>
          <cell r="J447" t="str">
            <v>1. Pasivos corrientes</v>
          </cell>
          <cell r="K447" t="str">
            <v>2. Cuentas comerciales y otras cuentas por pagar, corrientes</v>
          </cell>
          <cell r="U447" t="str">
            <v>2. Cuentas comerciales y otras cuentas por pagar, corrientes</v>
          </cell>
          <cell r="AG447" t="str">
            <v>Otras cuentas por pagar comerciales y otras cuentas</v>
          </cell>
          <cell r="AH447" t="str">
            <v>III. Pasivos de los segmentos</v>
          </cell>
        </row>
        <row r="448">
          <cell r="D448" t="str">
            <v>2007100020</v>
          </cell>
          <cell r="E448" t="str">
            <v>2007100020</v>
          </cell>
          <cell r="F448" t="str">
            <v>Transportes Combinado Por Pagar</v>
          </cell>
          <cell r="G448" t="str">
            <v>2007100020  Transportes Combinado Por Pagar</v>
          </cell>
          <cell r="H448" t="str">
            <v>Balance</v>
          </cell>
          <cell r="I448" t="str">
            <v>II. Pasivos</v>
          </cell>
          <cell r="J448" t="str">
            <v>1. Pasivos corrientes</v>
          </cell>
          <cell r="K448" t="str">
            <v>2. Cuentas comerciales y otras cuentas por pagar, corrientes</v>
          </cell>
          <cell r="U448" t="str">
            <v>2. Cuentas comerciales y otras cuentas por pagar, corrientes</v>
          </cell>
          <cell r="AG448" t="str">
            <v>Deudas por compras o prestación de servicios</v>
          </cell>
          <cell r="AH448" t="str">
            <v>III. Pasivos de los segmentos</v>
          </cell>
        </row>
        <row r="449">
          <cell r="D449" t="str">
            <v>2009100010</v>
          </cell>
          <cell r="E449" t="str">
            <v>2009100010</v>
          </cell>
          <cell r="F449" t="str">
            <v>Provisiones Varias De Corto Plazo</v>
          </cell>
          <cell r="G449" t="str">
            <v>2009100010  Provisiones Varias De Corto Plazo</v>
          </cell>
          <cell r="H449" t="str">
            <v>Balance</v>
          </cell>
          <cell r="I449" t="str">
            <v>II. Pasivos</v>
          </cell>
          <cell r="J449" t="str">
            <v>1. Pasivos corrientes</v>
          </cell>
          <cell r="K449" t="str">
            <v>2. Cuentas comerciales y otras cuentas por pagar, corrientes</v>
          </cell>
          <cell r="U449" t="str">
            <v>2. Cuentas comerciales y otras cuentas por pagar, corrientes</v>
          </cell>
          <cell r="AG449" t="str">
            <v>Deudas por compras o prestación de servicios</v>
          </cell>
          <cell r="AH449" t="str">
            <v>III. Pasivos de los segmentos</v>
          </cell>
        </row>
        <row r="450">
          <cell r="D450" t="str">
            <v>2009100011</v>
          </cell>
          <cell r="E450" t="str">
            <v>2009100011</v>
          </cell>
          <cell r="F450" t="str">
            <v>Provisiones Varias De Energia Traccion</v>
          </cell>
          <cell r="G450" t="str">
            <v>2009100011  Provisiones Varias De Energia Traccion</v>
          </cell>
          <cell r="H450" t="str">
            <v>Balance</v>
          </cell>
          <cell r="I450" t="str">
            <v>II. Pasivos</v>
          </cell>
          <cell r="J450" t="str">
            <v>1. Pasivos corrientes</v>
          </cell>
          <cell r="K450" t="str">
            <v>2. Cuentas comerciales y otras cuentas por pagar, corrientes</v>
          </cell>
          <cell r="U450" t="str">
            <v>2. Cuentas comerciales y otras cuentas por pagar, corrientes</v>
          </cell>
          <cell r="AG450" t="str">
            <v>Deudas por compras o prestación de servicios</v>
          </cell>
          <cell r="AH450" t="str">
            <v>III. Pasivos de los segmentos</v>
          </cell>
        </row>
        <row r="451">
          <cell r="D451" t="str">
            <v>2009100012</v>
          </cell>
          <cell r="E451" t="str">
            <v>2009100012</v>
          </cell>
          <cell r="F451" t="str">
            <v>Provisiones Varias De Consumos Basicos</v>
          </cell>
          <cell r="G451" t="str">
            <v>2009100012  Provisiones Varias De Consumos Basicos</v>
          </cell>
          <cell r="H451" t="str">
            <v>Balance</v>
          </cell>
          <cell r="I451" t="str">
            <v>II. Pasivos</v>
          </cell>
          <cell r="J451" t="str">
            <v>1. Pasivos corrientes</v>
          </cell>
          <cell r="K451" t="str">
            <v>2. Cuentas comerciales y otras cuentas por pagar, corrientes</v>
          </cell>
          <cell r="U451" t="str">
            <v>2. Cuentas comerciales y otras cuentas por pagar, corrientes</v>
          </cell>
          <cell r="AG451" t="str">
            <v>Deudas por compras o prestación de servicios</v>
          </cell>
          <cell r="AH451" t="str">
            <v>III. Pasivos de los segmentos</v>
          </cell>
        </row>
        <row r="452">
          <cell r="D452" t="str">
            <v>2009100014</v>
          </cell>
          <cell r="E452" t="str">
            <v>2009100014</v>
          </cell>
          <cell r="F452" t="str">
            <v>Provisiones Varias De Estudios Y Asesor</v>
          </cell>
          <cell r="G452" t="str">
            <v>2009100014  Provisiones Varias De Estudios Y Asesor</v>
          </cell>
          <cell r="H452" t="str">
            <v>Balance</v>
          </cell>
          <cell r="I452" t="str">
            <v>II. Pasivos</v>
          </cell>
          <cell r="J452" t="str">
            <v>1. Pasivos corrientes</v>
          </cell>
          <cell r="K452" t="str">
            <v>2. Cuentas comerciales y otras cuentas por pagar, corrientes</v>
          </cell>
          <cell r="U452" t="str">
            <v>2. Cuentas comerciales y otras cuentas por pagar, corrientes</v>
          </cell>
          <cell r="AG452" t="str">
            <v>Deudas por compras o prestación de servicios</v>
          </cell>
          <cell r="AH452" t="str">
            <v>III. Pasivos de los segmentos</v>
          </cell>
        </row>
        <row r="453">
          <cell r="D453" t="str">
            <v>2009100015</v>
          </cell>
          <cell r="E453" t="str">
            <v>2009100015</v>
          </cell>
          <cell r="F453" t="str">
            <v>Provisiones Varias De Automotores</v>
          </cell>
          <cell r="G453" t="str">
            <v>2009100015  Provisiones Varias De Automotores</v>
          </cell>
          <cell r="H453" t="str">
            <v>Balance</v>
          </cell>
          <cell r="I453" t="str">
            <v>II. Pasivos</v>
          </cell>
          <cell r="J453" t="str">
            <v>1. Pasivos corrientes</v>
          </cell>
          <cell r="K453" t="str">
            <v>2. Cuentas comerciales y otras cuentas por pagar, corrientes</v>
          </cell>
          <cell r="U453" t="str">
            <v>2. Cuentas comerciales y otras cuentas por pagar, corrientes</v>
          </cell>
          <cell r="AG453" t="str">
            <v>Deudas por compras o prestación de servicios</v>
          </cell>
          <cell r="AH453" t="str">
            <v>III. Pasivos de los segmentos</v>
          </cell>
        </row>
        <row r="454">
          <cell r="D454" t="str">
            <v>2009100016</v>
          </cell>
          <cell r="E454" t="str">
            <v>2009100016</v>
          </cell>
          <cell r="F454" t="str">
            <v>Provisiones Varias De Aseo Trenes</v>
          </cell>
          <cell r="G454" t="str">
            <v>2009100016  Provisiones Varias De Aseo Trenes</v>
          </cell>
          <cell r="H454" t="str">
            <v>Balance</v>
          </cell>
          <cell r="I454" t="str">
            <v>II. Pasivos</v>
          </cell>
          <cell r="J454" t="str">
            <v>1. Pasivos corrientes</v>
          </cell>
          <cell r="K454" t="str">
            <v>2. Cuentas comerciales y otras cuentas por pagar, corrientes</v>
          </cell>
          <cell r="U454" t="str">
            <v>2. Cuentas comerciales y otras cuentas por pagar, corrientes</v>
          </cell>
          <cell r="AG454" t="str">
            <v>Deudas por compras o prestación de servicios</v>
          </cell>
          <cell r="AH454" t="str">
            <v>III. Pasivos de los segmentos</v>
          </cell>
        </row>
        <row r="455">
          <cell r="D455" t="str">
            <v>2009100017</v>
          </cell>
          <cell r="E455" t="str">
            <v>2009100017</v>
          </cell>
          <cell r="F455" t="str">
            <v>Provisiones Varias De Guarda Cruces</v>
          </cell>
          <cell r="G455" t="str">
            <v>2009100017  Provisiones Varias De Guarda Cruces</v>
          </cell>
          <cell r="H455" t="str">
            <v>Balance</v>
          </cell>
          <cell r="I455" t="str">
            <v>II. Pasivos</v>
          </cell>
          <cell r="J455" t="str">
            <v>1. Pasivos corrientes</v>
          </cell>
          <cell r="K455" t="str">
            <v>2. Cuentas comerciales y otras cuentas por pagar, corrientes</v>
          </cell>
          <cell r="U455" t="str">
            <v>2. Cuentas comerciales y otras cuentas por pagar, corrientes</v>
          </cell>
          <cell r="AG455" t="str">
            <v>Deudas por compras o prestación de servicios</v>
          </cell>
          <cell r="AH455" t="str">
            <v>III. Pasivos de los segmentos</v>
          </cell>
        </row>
        <row r="456">
          <cell r="D456" t="str">
            <v>2009100018</v>
          </cell>
          <cell r="E456" t="str">
            <v>2009100018</v>
          </cell>
          <cell r="F456" t="str">
            <v>Provisiones Varias Mantencion Vias</v>
          </cell>
          <cell r="G456" t="str">
            <v>2009100018  Provisiones Varias Mantencion Vias</v>
          </cell>
          <cell r="H456" t="str">
            <v>Balance</v>
          </cell>
          <cell r="I456" t="str">
            <v>II. Pasivos</v>
          </cell>
          <cell r="J456" t="str">
            <v>1. Pasivos corrientes</v>
          </cell>
          <cell r="K456" t="str">
            <v>2. Cuentas comerciales y otras cuentas por pagar, corrientes</v>
          </cell>
          <cell r="U456" t="str">
            <v>2. Cuentas comerciales y otras cuentas por pagar, corrientes</v>
          </cell>
          <cell r="AG456" t="str">
            <v>Deudas por compras o prestación de servicios</v>
          </cell>
          <cell r="AH456" t="str">
            <v>III. Pasivos de los segmentos</v>
          </cell>
        </row>
        <row r="457">
          <cell r="D457" t="str">
            <v>2009100022</v>
          </cell>
          <cell r="E457" t="str">
            <v>2009100022</v>
          </cell>
          <cell r="F457" t="str">
            <v>Provisiones Varias De Mantencion Sec</v>
          </cell>
          <cell r="G457" t="str">
            <v>2009100022  Provisiones Varias De Mantencion Sec</v>
          </cell>
          <cell r="H457" t="str">
            <v>Balance</v>
          </cell>
          <cell r="I457" t="str">
            <v>II. Pasivos</v>
          </cell>
          <cell r="J457" t="str">
            <v>1. Pasivos corrientes</v>
          </cell>
          <cell r="K457" t="str">
            <v>2. Cuentas comerciales y otras cuentas por pagar, corrientes</v>
          </cell>
          <cell r="U457" t="str">
            <v>2. Cuentas comerciales y otras cuentas por pagar, corrientes</v>
          </cell>
          <cell r="AG457" t="str">
            <v>Deudas por compras o prestación de servicios</v>
          </cell>
          <cell r="AH457" t="str">
            <v>III. Pasivos de los segmentos</v>
          </cell>
        </row>
        <row r="458">
          <cell r="D458" t="str">
            <v>2008100030</v>
          </cell>
          <cell r="E458" t="str">
            <v>2008100030</v>
          </cell>
          <cell r="F458" t="str">
            <v>Isapre Ferrosalud S.A De Corto Plazo</v>
          </cell>
          <cell r="G458" t="str">
            <v>2008100030  Isapre Ferrosalud S.A De Corto Plazo</v>
          </cell>
          <cell r="H458" t="str">
            <v>Balance</v>
          </cell>
          <cell r="I458" t="str">
            <v>II. Pasivos</v>
          </cell>
          <cell r="J458" t="str">
            <v>1. Pasivos corrientes</v>
          </cell>
          <cell r="K458" t="str">
            <v>2. Cuentas comerciales y otras cuentas por pagar, corrientes</v>
          </cell>
          <cell r="U458" t="str">
            <v>2. Cuentas comerciales y otras cuentas por pagar, corrientes</v>
          </cell>
          <cell r="AG458" t="str">
            <v>Deudas por compras o prestación de servicios</v>
          </cell>
          <cell r="AH458" t="str">
            <v>III. Pasivos de los segmentos</v>
          </cell>
        </row>
        <row r="459">
          <cell r="D459" t="str">
            <v>2010500010</v>
          </cell>
          <cell r="E459" t="str">
            <v>2010500010</v>
          </cell>
          <cell r="F459" t="str">
            <v>Iva Débito Fiscal</v>
          </cell>
          <cell r="G459" t="str">
            <v>2010500010  Iva Débito Fiscal</v>
          </cell>
          <cell r="H459" t="str">
            <v>Balance</v>
          </cell>
          <cell r="I459" t="str">
            <v>II. Pasivos</v>
          </cell>
          <cell r="J459" t="str">
            <v>1. Pasivos corrientes</v>
          </cell>
          <cell r="K459" t="str">
            <v>2. Cuentas comerciales y otras cuentas por pagar, corrientes</v>
          </cell>
          <cell r="U459" t="str">
            <v>2. Cuentas comerciales y otras cuentas por pagar, corrientes</v>
          </cell>
          <cell r="AG459" t="str">
            <v>Deudas por compras o prestación de servicios</v>
          </cell>
          <cell r="AH459" t="str">
            <v>III. Pasivos de los segmentos</v>
          </cell>
        </row>
        <row r="460">
          <cell r="D460" t="str">
            <v>2010600010</v>
          </cell>
          <cell r="E460" t="str">
            <v>2010600010</v>
          </cell>
          <cell r="F460" t="str">
            <v>Impto.Unico Art.42-1</v>
          </cell>
          <cell r="G460" t="str">
            <v>2010600010  Impto.Unico Art.42-1</v>
          </cell>
          <cell r="H460" t="str">
            <v>Balance</v>
          </cell>
          <cell r="I460" t="str">
            <v>II. Pasivos</v>
          </cell>
          <cell r="J460" t="str">
            <v>1. Pasivos corrientes</v>
          </cell>
          <cell r="K460" t="str">
            <v>2. Cuentas comerciales y otras cuentas por pagar, corrientes</v>
          </cell>
          <cell r="U460" t="str">
            <v>2. Cuentas comerciales y otras cuentas por pagar, corrientes</v>
          </cell>
          <cell r="AG460" t="str">
            <v>Deudas por compras o prestación de servicios</v>
          </cell>
          <cell r="AH460" t="str">
            <v>III. Pasivos de los segmentos</v>
          </cell>
        </row>
        <row r="461">
          <cell r="D461" t="str">
            <v>2010600050</v>
          </cell>
          <cell r="E461" t="str">
            <v>2010600050</v>
          </cell>
          <cell r="F461" t="str">
            <v>Impto.Único Ley 19170</v>
          </cell>
          <cell r="G461" t="str">
            <v>2010600050  Impto.Único Ley 19170</v>
          </cell>
          <cell r="H461" t="str">
            <v>Balance</v>
          </cell>
          <cell r="I461" t="str">
            <v>II. Pasivos</v>
          </cell>
          <cell r="J461" t="str">
            <v>1. Pasivos corrientes</v>
          </cell>
          <cell r="K461" t="str">
            <v>2. Cuentas comerciales y otras cuentas por pagar, corrientes</v>
          </cell>
          <cell r="U461" t="str">
            <v>2. Cuentas comerciales y otras cuentas por pagar, corrientes</v>
          </cell>
          <cell r="AG461" t="str">
            <v>Deudas por compras o prestación de servicios</v>
          </cell>
          <cell r="AH461" t="str">
            <v>III. Pasivos de los segmentos</v>
          </cell>
        </row>
        <row r="462">
          <cell r="D462" t="str">
            <v>2010500020</v>
          </cell>
          <cell r="E462" t="str">
            <v>2010500020</v>
          </cell>
          <cell r="F462" t="str">
            <v>Iva Por Pagar</v>
          </cell>
          <cell r="G462" t="str">
            <v>2010500020  Iva Por Pagar</v>
          </cell>
          <cell r="H462" t="str">
            <v>Balance</v>
          </cell>
          <cell r="I462" t="str">
            <v>II. Pasivos</v>
          </cell>
          <cell r="J462" t="str">
            <v>1. Pasivos corrientes</v>
          </cell>
          <cell r="K462" t="str">
            <v>2. Cuentas comerciales y otras cuentas por pagar, corrientes</v>
          </cell>
          <cell r="U462" t="str">
            <v>2. Cuentas comerciales y otras cuentas por pagar, corrientes</v>
          </cell>
          <cell r="AG462" t="str">
            <v>Deudas por compras o prestación de servicios</v>
          </cell>
          <cell r="AH462" t="str">
            <v>III. Pasivos de los segmentos</v>
          </cell>
        </row>
        <row r="463">
          <cell r="D463" t="str">
            <v>2010600020</v>
          </cell>
          <cell r="E463" t="str">
            <v>2010600020</v>
          </cell>
          <cell r="F463" t="str">
            <v>Impto.Renta Art.42-2</v>
          </cell>
          <cell r="G463" t="str">
            <v>2010600020  Impto.Renta Art.42-2</v>
          </cell>
          <cell r="H463" t="str">
            <v>Balance</v>
          </cell>
          <cell r="I463" t="str">
            <v>II. Pasivos</v>
          </cell>
          <cell r="J463" t="str">
            <v>1. Pasivos corrientes</v>
          </cell>
          <cell r="K463" t="str">
            <v>2. Cuentas comerciales y otras cuentas por pagar, corrientes</v>
          </cell>
          <cell r="U463" t="str">
            <v>2. Cuentas comerciales y otras cuentas por pagar, corrientes</v>
          </cell>
          <cell r="AG463" t="str">
            <v>Deudas por compras o prestación de servicios</v>
          </cell>
          <cell r="AH463" t="str">
            <v>III. Pasivos de los segmentos</v>
          </cell>
        </row>
        <row r="464">
          <cell r="D464" t="str">
            <v>2011100010</v>
          </cell>
          <cell r="E464" t="str">
            <v>2011100010</v>
          </cell>
          <cell r="F464" t="str">
            <v>DEPÓSITOS POR VENTA DE PASAJES ANTICIPA</v>
          </cell>
          <cell r="G464" t="str">
            <v>2011100010  DEPÓSITOS POR VENTA DE PASAJES ANTICIPA</v>
          </cell>
          <cell r="H464" t="str">
            <v>Balance</v>
          </cell>
          <cell r="I464" t="str">
            <v>II. Pasivos</v>
          </cell>
          <cell r="J464" t="str">
            <v>1. Pasivos corrientes</v>
          </cell>
          <cell r="K464" t="str">
            <v>2. Cuentas comerciales y otras cuentas por pagar, corrientes</v>
          </cell>
          <cell r="U464" t="str">
            <v>2. Cuentas comerciales y otras cuentas por pagar, corrientes</v>
          </cell>
          <cell r="AG464" t="str">
            <v>Deudas por compras o prestación de servicios</v>
          </cell>
          <cell r="AH464" t="str">
            <v>III. Pasivos de los segmentos</v>
          </cell>
        </row>
        <row r="465">
          <cell r="D465">
            <v>0</v>
          </cell>
          <cell r="G465" t="str">
            <v/>
          </cell>
          <cell r="H465" t="str">
            <v>Balance</v>
          </cell>
          <cell r="I465" t="str">
            <v>II. Pasivos</v>
          </cell>
          <cell r="J465" t="str">
            <v>1. Pasivos corrientes</v>
          </cell>
          <cell r="K465" t="str">
            <v>2. Cuentas comerciales y otras cuentas por pagar, corrientes</v>
          </cell>
          <cell r="U465" t="str">
            <v>2. Cuentas comerciales y otras cuentas por pagar, corrientes</v>
          </cell>
          <cell r="AG465" t="str">
            <v>Deudas por compras o prestación de servicios</v>
          </cell>
          <cell r="AH465" t="str">
            <v>III. Pasivos de los segmentos</v>
          </cell>
        </row>
        <row r="466">
          <cell r="D466">
            <v>0</v>
          </cell>
          <cell r="F466" t="str">
            <v>Cuentas por Pagar Comerciales y Otras Cuentas por Pagar</v>
          </cell>
          <cell r="G466" t="str">
            <v/>
          </cell>
          <cell r="H466" t="str">
            <v/>
          </cell>
          <cell r="AH466" t="str">
            <v/>
          </cell>
        </row>
        <row r="467">
          <cell r="D467">
            <v>0</v>
          </cell>
          <cell r="F467" t="str">
            <v/>
          </cell>
          <cell r="G467" t="str">
            <v/>
          </cell>
          <cell r="H467" t="str">
            <v/>
          </cell>
          <cell r="AH467" t="str">
            <v/>
          </cell>
        </row>
        <row r="468">
          <cell r="D468" t="str">
            <v>2008100010</v>
          </cell>
          <cell r="E468" t="str">
            <v>2008100010</v>
          </cell>
          <cell r="F468" t="str">
            <v>Inmobiliaria Nueva Vía S.A De Corto Plazo</v>
          </cell>
          <cell r="G468" t="str">
            <v>2008100010  Inmobiliaria Nueva Vía S.A De Corto Plazo</v>
          </cell>
          <cell r="H468" t="str">
            <v>Balance</v>
          </cell>
          <cell r="I468" t="str">
            <v>II. Pasivos</v>
          </cell>
          <cell r="J468" t="str">
            <v>1. Pasivos corrientes</v>
          </cell>
          <cell r="K468" t="str">
            <v>3. Cuentas por Pagar a Entidades Relacionadas, corrientes</v>
          </cell>
          <cell r="U468" t="str">
            <v>3. Cuentas por Pagar a Entidades Relacionadas, corrientes</v>
          </cell>
          <cell r="AH468" t="str">
            <v>III. Pasivos de los segmentos</v>
          </cell>
        </row>
        <row r="469">
          <cell r="D469" t="str">
            <v>2008100020</v>
          </cell>
          <cell r="E469" t="str">
            <v>2008100020</v>
          </cell>
          <cell r="F469" t="str">
            <v>Metro Regional Valparaíso S.A De Corto Plazo</v>
          </cell>
          <cell r="G469" t="str">
            <v>2008100020  Metro Regional Valparaíso S.A De Corto Plazo</v>
          </cell>
          <cell r="H469" t="str">
            <v>Balance</v>
          </cell>
          <cell r="I469" t="str">
            <v>II. Pasivos</v>
          </cell>
          <cell r="J469" t="str">
            <v>1. Pasivos corrientes</v>
          </cell>
          <cell r="K469" t="str">
            <v>3. Cuentas por Pagar a Entidades Relacionadas, corrientes</v>
          </cell>
          <cell r="U469" t="str">
            <v>3. Cuentas por Pagar a Entidades Relacionadas, corrientes</v>
          </cell>
          <cell r="AH469" t="str">
            <v>III. Pasivos de los segmentos</v>
          </cell>
        </row>
        <row r="470">
          <cell r="D470" t="str">
            <v>2008100070</v>
          </cell>
          <cell r="E470" t="str">
            <v>2008100070</v>
          </cell>
          <cell r="F470" t="str">
            <v>Ferrocarriles Del Sur S.A De Corto Plazo</v>
          </cell>
          <cell r="G470" t="str">
            <v>2008100070  Ferrocarriles Del Sur S.A De Corto Plazo</v>
          </cell>
          <cell r="H470" t="str">
            <v>Balance</v>
          </cell>
          <cell r="I470" t="str">
            <v>II. Pasivos</v>
          </cell>
          <cell r="J470" t="str">
            <v>1. Pasivos corrientes</v>
          </cell>
          <cell r="K470" t="str">
            <v>3. Cuentas por Pagar a Entidades Relacionadas, corrientes</v>
          </cell>
          <cell r="U470" t="str">
            <v>3. Cuentas por Pagar a Entidades Relacionadas, corrientes</v>
          </cell>
          <cell r="AH470" t="str">
            <v>III. Pasivos de los segmentos</v>
          </cell>
        </row>
        <row r="471">
          <cell r="D471" t="str">
            <v>2008100080</v>
          </cell>
          <cell r="E471" t="str">
            <v>2008100080</v>
          </cell>
          <cell r="F471" t="str">
            <v>Trenes Metropolitanos S.A  De Corto Plazo</v>
          </cell>
          <cell r="G471" t="str">
            <v>2008100080  Trenes Metropolitanos S.A  De Corto Plazo</v>
          </cell>
          <cell r="H471" t="str">
            <v>Balance</v>
          </cell>
          <cell r="I471" t="str">
            <v>II. Pasivos</v>
          </cell>
          <cell r="J471" t="str">
            <v>1. Pasivos corrientes</v>
          </cell>
          <cell r="K471" t="str">
            <v>3. Cuentas por Pagar a Entidades Relacionadas, corrientes</v>
          </cell>
          <cell r="U471" t="str">
            <v>3. Cuentas por Pagar a Entidades Relacionadas, corrientes</v>
          </cell>
          <cell r="AH471" t="str">
            <v>III. Pasivos de los segmentos</v>
          </cell>
        </row>
        <row r="472">
          <cell r="D472" t="str">
            <v>2008100040</v>
          </cell>
          <cell r="E472" t="str">
            <v>2008100040</v>
          </cell>
          <cell r="F472" t="str">
            <v>Ctas por Pagar EFE</v>
          </cell>
          <cell r="G472" t="str">
            <v>2008100040  Ctas por Pagar EFE</v>
          </cell>
          <cell r="H472" t="str">
            <v>Balance</v>
          </cell>
          <cell r="I472" t="str">
            <v>II. Pasivos</v>
          </cell>
          <cell r="J472" t="str">
            <v>1. Pasivos corrientes</v>
          </cell>
          <cell r="K472" t="str">
            <v>3. Cuentas por Pagar a Entidades Relacionadas, corrientes</v>
          </cell>
          <cell r="U472" t="str">
            <v>3. Cuentas por Pagar a Entidades Relacionadas, corrientes</v>
          </cell>
          <cell r="AH472" t="str">
            <v>III. Pasivos de los segmentos</v>
          </cell>
        </row>
        <row r="473">
          <cell r="D473" t="str">
            <v>2008200020</v>
          </cell>
          <cell r="E473" t="str">
            <v>2008200020</v>
          </cell>
          <cell r="F473" t="str">
            <v>Cta. Cte. Ferrosur S.A.</v>
          </cell>
          <cell r="G473" t="str">
            <v>2008200020  Cta. Cte. Ferrosur S.A.</v>
          </cell>
          <cell r="H473" t="str">
            <v>Balance</v>
          </cell>
          <cell r="I473" t="str">
            <v>II. Pasivos</v>
          </cell>
          <cell r="J473" t="str">
            <v>1. Pasivos corrientes</v>
          </cell>
          <cell r="K473" t="str">
            <v>3. Cuentas por Pagar a Entidades Relacionadas, corrientes</v>
          </cell>
          <cell r="U473" t="str">
            <v>3. Cuentas por Pagar a Entidades Relacionadas, corrientes</v>
          </cell>
          <cell r="AH473" t="str">
            <v>III. Pasivos de los segmentos</v>
          </cell>
        </row>
        <row r="474">
          <cell r="D474" t="str">
            <v>2008100400</v>
          </cell>
          <cell r="E474" t="str">
            <v>2008100400</v>
          </cell>
          <cell r="F474" t="str">
            <v>Provisiones varias EFE</v>
          </cell>
          <cell r="G474" t="str">
            <v>2008100400  Provisiones varias EFE</v>
          </cell>
          <cell r="H474" t="str">
            <v>Balance</v>
          </cell>
          <cell r="I474" t="str">
            <v>II. Pasivos</v>
          </cell>
          <cell r="J474" t="str">
            <v>1. Pasivos corrientes</v>
          </cell>
          <cell r="K474" t="str">
            <v>3. Cuentas por Pagar a Entidades Relacionadas, corrientes</v>
          </cell>
          <cell r="U474" t="str">
            <v>3. Cuentas por Pagar a Entidades Relacionadas, corrientes</v>
          </cell>
          <cell r="AH474" t="str">
            <v>III. Pasivos de los segmentos</v>
          </cell>
        </row>
        <row r="475">
          <cell r="D475" t="str">
            <v>2008100901</v>
          </cell>
          <cell r="E475" t="str">
            <v>2008100901</v>
          </cell>
          <cell r="F475" t="str">
            <v>Mnisterio de Transportes - Excedentes subsidios</v>
          </cell>
          <cell r="G475" t="str">
            <v>2008100901  Mnisterio de Transportes - Excedentes subsidios</v>
          </cell>
          <cell r="H475" t="str">
            <v>Balance</v>
          </cell>
          <cell r="I475" t="str">
            <v>II. Pasivos</v>
          </cell>
          <cell r="J475" t="str">
            <v>1. Pasivos corrientes</v>
          </cell>
          <cell r="K475" t="str">
            <v>3. Cuentas por Pagar a Entidades Relacionadas, corrientes</v>
          </cell>
          <cell r="U475" t="str">
            <v>3. Cuentas por Pagar a Entidades Relacionadas, corrientes</v>
          </cell>
          <cell r="AH475" t="str">
            <v>III. Pasivos de los segmentos</v>
          </cell>
        </row>
        <row r="476">
          <cell r="D476">
            <v>0</v>
          </cell>
          <cell r="G476" t="str">
            <v/>
          </cell>
          <cell r="H476" t="str">
            <v>Balance</v>
          </cell>
          <cell r="I476" t="str">
            <v>II. Pasivos</v>
          </cell>
          <cell r="J476" t="str">
            <v>1. Pasivos corrientes</v>
          </cell>
          <cell r="K476" t="str">
            <v>3. Cuentas por Pagar a Entidades Relacionadas, corrientes</v>
          </cell>
          <cell r="U476" t="str">
            <v>3. Cuentas por Pagar a Entidades Relacionadas, corrientes</v>
          </cell>
          <cell r="AH476" t="str">
            <v>III. Pasivos de los segmentos</v>
          </cell>
        </row>
        <row r="477">
          <cell r="D477">
            <v>0</v>
          </cell>
          <cell r="F477" t="str">
            <v>Cuentas por Pagar a Entidades Relacionadas, Corrientes</v>
          </cell>
          <cell r="G477" t="str">
            <v/>
          </cell>
          <cell r="H477" t="str">
            <v/>
          </cell>
          <cell r="AH477" t="str">
            <v/>
          </cell>
        </row>
        <row r="478">
          <cell r="D478">
            <v>0</v>
          </cell>
          <cell r="F478" t="str">
            <v/>
          </cell>
          <cell r="G478" t="str">
            <v/>
          </cell>
          <cell r="H478" t="str">
            <v/>
          </cell>
          <cell r="AH478" t="str">
            <v/>
          </cell>
        </row>
        <row r="479">
          <cell r="D479" t="str">
            <v>2009100025</v>
          </cell>
          <cell r="E479" t="str">
            <v>2009100025</v>
          </cell>
          <cell r="F479" t="str">
            <v>Provision Terremoto Cp (Gastos E Inversión)</v>
          </cell>
          <cell r="G479" t="str">
            <v>2009100025  Provision Terremoto Cp (Gastos E Inversión)</v>
          </cell>
          <cell r="H479" t="str">
            <v>Balance</v>
          </cell>
          <cell r="I479" t="str">
            <v>II. Pasivos</v>
          </cell>
          <cell r="J479" t="str">
            <v>1. Pasivos corrientes</v>
          </cell>
          <cell r="K479" t="str">
            <v>4. Otras Provisiones, corrientes</v>
          </cell>
          <cell r="U479" t="str">
            <v>4. Otras Provisiones, corrientes</v>
          </cell>
          <cell r="AH479" t="str">
            <v>III. Pasivos de los segmentos</v>
          </cell>
        </row>
        <row r="480">
          <cell r="D480">
            <v>0</v>
          </cell>
          <cell r="G480" t="str">
            <v/>
          </cell>
          <cell r="H480" t="str">
            <v>Balance</v>
          </cell>
          <cell r="I480" t="str">
            <v>II. Pasivos</v>
          </cell>
          <cell r="J480" t="str">
            <v>1. Pasivos corrientes</v>
          </cell>
          <cell r="K480" t="str">
            <v>4. Otras Provisiones, corrientes</v>
          </cell>
          <cell r="U480" t="str">
            <v>4. Otras Provisiones, corrientes</v>
          </cell>
          <cell r="AH480" t="str">
            <v>III. Pasivos de los segmentos</v>
          </cell>
        </row>
        <row r="481">
          <cell r="D481">
            <v>0</v>
          </cell>
          <cell r="G481" t="str">
            <v/>
          </cell>
          <cell r="H481" t="str">
            <v>Balance</v>
          </cell>
          <cell r="I481" t="str">
            <v>II. Pasivos</v>
          </cell>
          <cell r="J481" t="str">
            <v>1. Pasivos corrientes</v>
          </cell>
          <cell r="K481" t="str">
            <v>4. Otras Provisiones, corrientes</v>
          </cell>
          <cell r="U481" t="str">
            <v>4. Otras Provisiones, corrientes</v>
          </cell>
          <cell r="AH481" t="str">
            <v>III. Pasivos de los segmentos</v>
          </cell>
        </row>
        <row r="482">
          <cell r="D482">
            <v>0</v>
          </cell>
          <cell r="G482" t="str">
            <v/>
          </cell>
          <cell r="H482" t="str">
            <v>Balance</v>
          </cell>
          <cell r="I482" t="str">
            <v>II. Pasivos</v>
          </cell>
          <cell r="J482" t="str">
            <v>1. Pasivos corrientes</v>
          </cell>
          <cell r="K482" t="str">
            <v>4. Otras Provisiones, corrientes</v>
          </cell>
          <cell r="U482" t="str">
            <v>4. Otras Provisiones, corrientes</v>
          </cell>
          <cell r="AH482" t="str">
            <v>III. Pasivos de los segmentos</v>
          </cell>
        </row>
        <row r="483">
          <cell r="D483">
            <v>0</v>
          </cell>
          <cell r="F483" t="str">
            <v>Otras Provisones A Corto Plazo</v>
          </cell>
          <cell r="G483" t="str">
            <v/>
          </cell>
          <cell r="H483" t="str">
            <v/>
          </cell>
          <cell r="AH483" t="str">
            <v/>
          </cell>
        </row>
        <row r="484">
          <cell r="D484">
            <v>0</v>
          </cell>
          <cell r="F484" t="str">
            <v/>
          </cell>
          <cell r="G484" t="str">
            <v/>
          </cell>
          <cell r="H484" t="str">
            <v/>
          </cell>
          <cell r="AH484" t="str">
            <v/>
          </cell>
        </row>
        <row r="485">
          <cell r="D485">
            <v>0</v>
          </cell>
          <cell r="G485" t="str">
            <v/>
          </cell>
          <cell r="H485" t="str">
            <v>Balance</v>
          </cell>
          <cell r="I485" t="str">
            <v>II. Pasivos</v>
          </cell>
          <cell r="J485" t="str">
            <v>1. Pasivos corrientes</v>
          </cell>
          <cell r="K485" t="str">
            <v>5. Pasivos por Impuestos, corrientes</v>
          </cell>
          <cell r="U485" t="str">
            <v>5. Pasivos por Impuestos, corrientes</v>
          </cell>
          <cell r="AH485" t="str">
            <v>III. Pasivos de los segmentos</v>
          </cell>
        </row>
        <row r="486">
          <cell r="D486">
            <v>0</v>
          </cell>
          <cell r="G486" t="str">
            <v/>
          </cell>
          <cell r="H486" t="str">
            <v>Balance</v>
          </cell>
          <cell r="I486" t="str">
            <v>II. Pasivos</v>
          </cell>
          <cell r="J486" t="str">
            <v>1. Pasivos corrientes</v>
          </cell>
          <cell r="K486" t="str">
            <v>5. Pasivos por Impuestos, corrientes</v>
          </cell>
          <cell r="U486" t="str">
            <v>5. Pasivos por Impuestos, corrientes</v>
          </cell>
          <cell r="AH486" t="str">
            <v>III. Pasivos de los segmentos</v>
          </cell>
        </row>
        <row r="487">
          <cell r="D487">
            <v>0</v>
          </cell>
          <cell r="G487" t="str">
            <v/>
          </cell>
          <cell r="H487" t="str">
            <v>Balance</v>
          </cell>
          <cell r="I487" t="str">
            <v>II. Pasivos</v>
          </cell>
          <cell r="J487" t="str">
            <v>1. Pasivos corrientes</v>
          </cell>
          <cell r="K487" t="str">
            <v>5. Pasivos por Impuestos, corrientes</v>
          </cell>
          <cell r="U487" t="str">
            <v>5. Pasivos por Impuestos, corrientes</v>
          </cell>
          <cell r="AH487" t="str">
            <v>III. Pasivos de los segmentos</v>
          </cell>
        </row>
        <row r="488">
          <cell r="D488">
            <v>0</v>
          </cell>
          <cell r="G488" t="str">
            <v/>
          </cell>
          <cell r="H488" t="str">
            <v>Balance</v>
          </cell>
          <cell r="I488" t="str">
            <v>II. Pasivos</v>
          </cell>
          <cell r="J488" t="str">
            <v>1. Pasivos corrientes</v>
          </cell>
          <cell r="K488" t="str">
            <v>5. Pasivos por Impuestos, corrientes</v>
          </cell>
          <cell r="U488" t="str">
            <v>5. Pasivos por Impuestos, corrientes</v>
          </cell>
          <cell r="AH488" t="str">
            <v>III. Pasivos de los segmentos</v>
          </cell>
        </row>
        <row r="489">
          <cell r="D489">
            <v>0</v>
          </cell>
          <cell r="G489" t="str">
            <v/>
          </cell>
          <cell r="H489" t="str">
            <v>Balance</v>
          </cell>
          <cell r="I489" t="str">
            <v>II. Pasivos</v>
          </cell>
          <cell r="J489" t="str">
            <v>1. Pasivos corrientes</v>
          </cell>
          <cell r="K489" t="str">
            <v>5. Pasivos por Impuestos, corrientes</v>
          </cell>
          <cell r="U489" t="str">
            <v>5. Pasivos por Impuestos, corrientes</v>
          </cell>
          <cell r="AH489" t="str">
            <v>III. Pasivos de los segmentos</v>
          </cell>
        </row>
        <row r="490">
          <cell r="D490">
            <v>0</v>
          </cell>
          <cell r="F490" t="str">
            <v>Pasivos por Impuestos Corrientes</v>
          </cell>
          <cell r="G490" t="str">
            <v/>
          </cell>
          <cell r="H490" t="str">
            <v/>
          </cell>
          <cell r="AH490" t="str">
            <v/>
          </cell>
        </row>
        <row r="491">
          <cell r="D491">
            <v>0</v>
          </cell>
          <cell r="F491" t="str">
            <v/>
          </cell>
          <cell r="G491" t="str">
            <v/>
          </cell>
          <cell r="H491" t="str">
            <v/>
          </cell>
          <cell r="AH491" t="str">
            <v/>
          </cell>
        </row>
        <row r="492">
          <cell r="D492" t="str">
            <v>2009100020</v>
          </cell>
          <cell r="E492" t="str">
            <v>2009100020</v>
          </cell>
          <cell r="F492" t="str">
            <v>Provisión De Feriados De Corto Plazo</v>
          </cell>
          <cell r="G492" t="str">
            <v>2009100020  Provisión De Feriados De Corto Plazo</v>
          </cell>
          <cell r="H492" t="str">
            <v>Balance</v>
          </cell>
          <cell r="I492" t="str">
            <v>II. Pasivos</v>
          </cell>
          <cell r="J492" t="str">
            <v>1. Pasivos corrientes</v>
          </cell>
          <cell r="K492" t="str">
            <v>6. Provisiones por beneficios a los empleados, corrientes</v>
          </cell>
          <cell r="U492" t="str">
            <v>6. Provisiones por beneficios a los empleados, corrientes</v>
          </cell>
          <cell r="AH492" t="str">
            <v>III. Pasivos de los segmentos</v>
          </cell>
        </row>
        <row r="493">
          <cell r="D493" t="str">
            <v>2009100030</v>
          </cell>
          <cell r="E493" t="str">
            <v>2009100030</v>
          </cell>
          <cell r="F493" t="str">
            <v>Prov. Indem. Años De Servicios Todo Evento Cp</v>
          </cell>
          <cell r="G493" t="str">
            <v>2009100030  Prov. Indem. Años De Servicios Todo Evento Cp</v>
          </cell>
          <cell r="H493" t="str">
            <v>Balance</v>
          </cell>
          <cell r="I493" t="str">
            <v>II. Pasivos</v>
          </cell>
          <cell r="J493" t="str">
            <v>1. Pasivos corrientes</v>
          </cell>
          <cell r="K493" t="str">
            <v>6. Provisiones por beneficios a los empleados, corrientes</v>
          </cell>
          <cell r="U493" t="str">
            <v>6. Provisiones por beneficios a los empleados, corrientes</v>
          </cell>
          <cell r="AH493" t="str">
            <v>III. Pasivos de los segmentos</v>
          </cell>
        </row>
        <row r="494">
          <cell r="D494" t="str">
            <v>2009100040</v>
          </cell>
          <cell r="E494" t="str">
            <v>2009100040</v>
          </cell>
          <cell r="F494" t="str">
            <v>Otras provisiones por benef. a los empleados</v>
          </cell>
          <cell r="G494" t="str">
            <v>2009100040  Otras provisiones por benef. a los empleados</v>
          </cell>
          <cell r="H494" t="str">
            <v>Balance</v>
          </cell>
          <cell r="I494" t="str">
            <v>II. Pasivos</v>
          </cell>
          <cell r="J494" t="str">
            <v>1. Pasivos corrientes</v>
          </cell>
          <cell r="K494" t="str">
            <v>6. Provisiones por beneficios a los empleados, corrientes</v>
          </cell>
          <cell r="U494" t="str">
            <v>6. Provisiones por beneficios a los empleados, corrientes</v>
          </cell>
          <cell r="AH494" t="str">
            <v>III. Pasivos de los segmentos</v>
          </cell>
        </row>
        <row r="495">
          <cell r="D495">
            <v>0</v>
          </cell>
          <cell r="G495" t="str">
            <v/>
          </cell>
          <cell r="H495" t="str">
            <v>Balance</v>
          </cell>
          <cell r="I495" t="str">
            <v>II. Pasivos</v>
          </cell>
          <cell r="J495" t="str">
            <v>1. Pasivos corrientes</v>
          </cell>
          <cell r="K495" t="str">
            <v>6. Provisiones por beneficios a los empleados, corrientes</v>
          </cell>
          <cell r="U495" t="str">
            <v>6. Provisiones por beneficios a los empleados, corrientes</v>
          </cell>
          <cell r="AH495" t="str">
            <v>III. Pasivos de los segmentos</v>
          </cell>
        </row>
        <row r="496">
          <cell r="D496">
            <v>0</v>
          </cell>
          <cell r="F496" t="str">
            <v>Provisiones Corrientes Por Beneficios a Los Empleados</v>
          </cell>
          <cell r="G496" t="str">
            <v/>
          </cell>
          <cell r="H496" t="str">
            <v/>
          </cell>
          <cell r="AH496" t="str">
            <v/>
          </cell>
        </row>
        <row r="497">
          <cell r="D497">
            <v>0</v>
          </cell>
          <cell r="F497" t="str">
            <v/>
          </cell>
          <cell r="G497" t="str">
            <v/>
          </cell>
          <cell r="H497" t="str">
            <v/>
          </cell>
          <cell r="AH497" t="str">
            <v/>
          </cell>
        </row>
        <row r="498">
          <cell r="D498" t="str">
            <v>2010100010</v>
          </cell>
          <cell r="E498" t="str">
            <v>2010100010</v>
          </cell>
          <cell r="F498" t="str">
            <v>Cajas De Compensación</v>
          </cell>
          <cell r="G498" t="str">
            <v>2010100010  Cajas De Compensación</v>
          </cell>
          <cell r="H498" t="str">
            <v>Balance</v>
          </cell>
          <cell r="I498" t="str">
            <v>II. Pasivos</v>
          </cell>
          <cell r="J498" t="str">
            <v>1. Pasivos corrientes</v>
          </cell>
          <cell r="K498" t="str">
            <v>7. Otros Pasivos No Financieros, corrientes</v>
          </cell>
          <cell r="U498" t="str">
            <v>7. Otros Pasivos No Financieros, corrientes</v>
          </cell>
          <cell r="AH498" t="str">
            <v>III. Pasivos de los segmentos</v>
          </cell>
        </row>
        <row r="499">
          <cell r="D499" t="str">
            <v>2010100020</v>
          </cell>
          <cell r="E499" t="str">
            <v>2010100020</v>
          </cell>
          <cell r="F499" t="str">
            <v>I.N.P.</v>
          </cell>
          <cell r="G499" t="str">
            <v>2010100020  I.N.P.</v>
          </cell>
          <cell r="H499" t="str">
            <v>Balance</v>
          </cell>
          <cell r="I499" t="str">
            <v>II. Pasivos</v>
          </cell>
          <cell r="J499" t="str">
            <v>1. Pasivos corrientes</v>
          </cell>
          <cell r="K499" t="str">
            <v>7. Otros Pasivos No Financieros, corrientes</v>
          </cell>
          <cell r="U499" t="str">
            <v>7. Otros Pasivos No Financieros, corrientes</v>
          </cell>
          <cell r="AH499" t="str">
            <v>III. Pasivos de los segmentos</v>
          </cell>
        </row>
        <row r="500">
          <cell r="D500" t="str">
            <v>2010100030</v>
          </cell>
          <cell r="E500" t="str">
            <v>2010100030</v>
          </cell>
          <cell r="F500" t="str">
            <v>Administradora De Fondos De Pensiones(Afps)</v>
          </cell>
          <cell r="G500" t="str">
            <v>2010100030  Administradora De Fondos De Pensiones(Afps)</v>
          </cell>
          <cell r="H500" t="str">
            <v>Balance</v>
          </cell>
          <cell r="I500" t="str">
            <v>II. Pasivos</v>
          </cell>
          <cell r="J500" t="str">
            <v>1. Pasivos corrientes</v>
          </cell>
          <cell r="K500" t="str">
            <v>7. Otros Pasivos No Financieros, corrientes</v>
          </cell>
          <cell r="U500" t="str">
            <v>7. Otros Pasivos No Financieros, corrientes</v>
          </cell>
          <cell r="AH500" t="str">
            <v>III. Pasivos de los segmentos</v>
          </cell>
        </row>
        <row r="501">
          <cell r="D501" t="str">
            <v>2010200010</v>
          </cell>
          <cell r="E501" t="str">
            <v>2010200010</v>
          </cell>
          <cell r="F501" t="str">
            <v>Embargos Judiciales</v>
          </cell>
          <cell r="G501" t="str">
            <v>2010200010  Embargos Judiciales</v>
          </cell>
          <cell r="H501" t="str">
            <v>Balance</v>
          </cell>
          <cell r="I501" t="str">
            <v>II. Pasivos</v>
          </cell>
          <cell r="J501" t="str">
            <v>1. Pasivos corrientes</v>
          </cell>
          <cell r="K501" t="str">
            <v>7. Otros Pasivos No Financieros, corrientes</v>
          </cell>
          <cell r="U501" t="str">
            <v>7. Otros Pasivos No Financieros, corrientes</v>
          </cell>
          <cell r="AH501" t="str">
            <v>III. Pasivos de los segmentos</v>
          </cell>
        </row>
        <row r="502">
          <cell r="D502" t="str">
            <v>2010300010</v>
          </cell>
          <cell r="E502" t="str">
            <v>2010300010</v>
          </cell>
          <cell r="F502" t="str">
            <v>Fondos De Salud(Inp)</v>
          </cell>
          <cell r="G502" t="str">
            <v>2010300010  Fondos De Salud(Inp)</v>
          </cell>
          <cell r="H502" t="str">
            <v>Balance</v>
          </cell>
          <cell r="I502" t="str">
            <v>II. Pasivos</v>
          </cell>
          <cell r="J502" t="str">
            <v>1. Pasivos corrientes</v>
          </cell>
          <cell r="K502" t="str">
            <v>7. Otros Pasivos No Financieros, corrientes</v>
          </cell>
          <cell r="U502" t="str">
            <v>7. Otros Pasivos No Financieros, corrientes</v>
          </cell>
          <cell r="AH502" t="str">
            <v>III. Pasivos de los segmentos</v>
          </cell>
        </row>
        <row r="503">
          <cell r="D503" t="str">
            <v>2010300020</v>
          </cell>
          <cell r="E503" t="str">
            <v>2010300020</v>
          </cell>
          <cell r="F503" t="str">
            <v>Fondos De Terceros (Mutual)</v>
          </cell>
          <cell r="G503" t="str">
            <v>2010300020  Fondos De Terceros (Mutual)</v>
          </cell>
          <cell r="H503" t="str">
            <v>Balance</v>
          </cell>
          <cell r="I503" t="str">
            <v>II. Pasivos</v>
          </cell>
          <cell r="J503" t="str">
            <v>1. Pasivos corrientes</v>
          </cell>
          <cell r="K503" t="str">
            <v>7. Otros Pasivos No Financieros, corrientes</v>
          </cell>
          <cell r="U503" t="str">
            <v>7. Otros Pasivos No Financieros, corrientes</v>
          </cell>
          <cell r="AH503" t="str">
            <v>III. Pasivos de los segmentos</v>
          </cell>
        </row>
        <row r="504">
          <cell r="D504" t="str">
            <v>2010300040</v>
          </cell>
          <cell r="E504" t="str">
            <v>2010300040</v>
          </cell>
          <cell r="F504" t="str">
            <v>Seguros Por Pagar Ley Nº16744</v>
          </cell>
          <cell r="G504" t="str">
            <v>2010300040  Seguros Por Pagar Ley Nº16744</v>
          </cell>
          <cell r="H504" t="str">
            <v>Balance</v>
          </cell>
          <cell r="I504" t="str">
            <v>II. Pasivos</v>
          </cell>
          <cell r="J504" t="str">
            <v>1. Pasivos corrientes</v>
          </cell>
          <cell r="K504" t="str">
            <v>7. Otros Pasivos No Financieros, corrientes</v>
          </cell>
          <cell r="U504" t="str">
            <v>7. Otros Pasivos No Financieros, corrientes</v>
          </cell>
          <cell r="AH504" t="str">
            <v>III. Pasivos de los segmentos</v>
          </cell>
        </row>
        <row r="505">
          <cell r="D505" t="str">
            <v>2010300050</v>
          </cell>
          <cell r="E505" t="str">
            <v>2010300050</v>
          </cell>
          <cell r="F505" t="str">
            <v>Servicio Bienestar Del Personal</v>
          </cell>
          <cell r="G505" t="str">
            <v>2010300050  Servicio Bienestar Del Personal</v>
          </cell>
          <cell r="H505" t="str">
            <v>Balance</v>
          </cell>
          <cell r="I505" t="str">
            <v>II. Pasivos</v>
          </cell>
          <cell r="J505" t="str">
            <v>1. Pasivos corrientes</v>
          </cell>
          <cell r="K505" t="str">
            <v>7. Otros Pasivos No Financieros, corrientes</v>
          </cell>
          <cell r="U505" t="str">
            <v>7. Otros Pasivos No Financieros, corrientes</v>
          </cell>
          <cell r="AH505" t="str">
            <v>III. Pasivos de los segmentos</v>
          </cell>
        </row>
        <row r="506">
          <cell r="D506" t="str">
            <v>2010300060</v>
          </cell>
          <cell r="E506" t="str">
            <v>2010300060</v>
          </cell>
          <cell r="F506" t="str">
            <v>Descuentos Otras Instituciones</v>
          </cell>
          <cell r="G506" t="str">
            <v>2010300060  Descuentos Otras Instituciones</v>
          </cell>
          <cell r="H506" t="str">
            <v>Balance</v>
          </cell>
          <cell r="I506" t="str">
            <v>II. Pasivos</v>
          </cell>
          <cell r="J506" t="str">
            <v>1. Pasivos corrientes</v>
          </cell>
          <cell r="K506" t="str">
            <v>7. Otros Pasivos No Financieros, corrientes</v>
          </cell>
          <cell r="U506" t="str">
            <v>7. Otros Pasivos No Financieros, corrientes</v>
          </cell>
          <cell r="AH506" t="str">
            <v>III. Pasivos de los segmentos</v>
          </cell>
        </row>
        <row r="507">
          <cell r="D507" t="str">
            <v>2010400010</v>
          </cell>
          <cell r="E507" t="str">
            <v>2010400010</v>
          </cell>
          <cell r="F507" t="str">
            <v>Haberes Por Pagar</v>
          </cell>
          <cell r="G507" t="str">
            <v>2010400010  Haberes Por Pagar</v>
          </cell>
          <cell r="H507" t="str">
            <v>Balance</v>
          </cell>
          <cell r="I507" t="str">
            <v>II. Pasivos</v>
          </cell>
          <cell r="J507" t="str">
            <v>1. Pasivos corrientes</v>
          </cell>
          <cell r="K507" t="str">
            <v>7. Otros Pasivos No Financieros, corrientes</v>
          </cell>
          <cell r="U507" t="str">
            <v>7. Otros Pasivos No Financieros, corrientes</v>
          </cell>
          <cell r="AH507" t="str">
            <v>III. Pasivos de los segmentos</v>
          </cell>
        </row>
        <row r="508">
          <cell r="D508" t="str">
            <v>2010400020</v>
          </cell>
          <cell r="E508" t="str">
            <v>2010400020</v>
          </cell>
          <cell r="F508" t="str">
            <v>Haberes Insolutos</v>
          </cell>
          <cell r="G508" t="str">
            <v>2010400020  Haberes Insolutos</v>
          </cell>
          <cell r="H508" t="str">
            <v>Balance</v>
          </cell>
          <cell r="I508" t="str">
            <v>II. Pasivos</v>
          </cell>
          <cell r="J508" t="str">
            <v>1. Pasivos corrientes</v>
          </cell>
          <cell r="K508" t="str">
            <v>7. Otros Pasivos No Financieros, corrientes</v>
          </cell>
          <cell r="U508" t="str">
            <v>7. Otros Pasivos No Financieros, corrientes</v>
          </cell>
          <cell r="AH508" t="str">
            <v>III. Pasivos de los segmentos</v>
          </cell>
        </row>
        <row r="509">
          <cell r="D509" t="str">
            <v>2013100010</v>
          </cell>
          <cell r="E509" t="str">
            <v>2013100010</v>
          </cell>
          <cell r="F509" t="str">
            <v>Garantías En Efectivo</v>
          </cell>
          <cell r="G509" t="str">
            <v>2013100010  Garantías En Efectivo</v>
          </cell>
          <cell r="H509" t="str">
            <v>Balance</v>
          </cell>
          <cell r="I509" t="str">
            <v>II. Pasivos</v>
          </cell>
          <cell r="J509" t="str">
            <v>1. Pasivos corrientes</v>
          </cell>
          <cell r="K509" t="str">
            <v>7. Otros Pasivos No Financieros, corrientes</v>
          </cell>
          <cell r="U509" t="str">
            <v>7. Otros Pasivos No Financieros, corrientes</v>
          </cell>
          <cell r="AH509" t="str">
            <v>III. Pasivos de los segmentos</v>
          </cell>
        </row>
        <row r="510">
          <cell r="D510" t="str">
            <v>2013100020</v>
          </cell>
          <cell r="E510" t="str">
            <v>2013100020</v>
          </cell>
          <cell r="F510" t="str">
            <v>Transferencias De Ministerio Hacienda Ley Nº19170</v>
          </cell>
          <cell r="G510" t="str">
            <v>2013100020  Transferencias De Ministerio Hacienda Ley Nº19170</v>
          </cell>
          <cell r="H510" t="str">
            <v>Balance</v>
          </cell>
          <cell r="I510" t="str">
            <v>II. Pasivos</v>
          </cell>
          <cell r="J510" t="str">
            <v>1. Pasivos corrientes</v>
          </cell>
          <cell r="K510" t="str">
            <v>7. Otros Pasivos No Financieros, corrientes</v>
          </cell>
          <cell r="U510" t="str">
            <v>7. Otros Pasivos No Financieros, corrientes</v>
          </cell>
          <cell r="AH510" t="str">
            <v>III. Pasivos de los segmentos</v>
          </cell>
        </row>
        <row r="511">
          <cell r="D511" t="str">
            <v>2013100030</v>
          </cell>
          <cell r="E511" t="str">
            <v>2013100030</v>
          </cell>
          <cell r="F511" t="str">
            <v>Ret.Previsional Indemnización Ley Nº19170</v>
          </cell>
          <cell r="G511" t="str">
            <v>2013100030  Ret.Previsional Indemnización Ley Nº19170</v>
          </cell>
          <cell r="H511" t="str">
            <v>Balance</v>
          </cell>
          <cell r="I511" t="str">
            <v>II. Pasivos</v>
          </cell>
          <cell r="J511" t="str">
            <v>1. Pasivos corrientes</v>
          </cell>
          <cell r="K511" t="str">
            <v>7. Otros Pasivos No Financieros, corrientes</v>
          </cell>
          <cell r="U511" t="str">
            <v>7. Otros Pasivos No Financieros, corrientes</v>
          </cell>
          <cell r="AH511" t="str">
            <v>III. Pasivos de los segmentos</v>
          </cell>
        </row>
        <row r="512">
          <cell r="D512" t="str">
            <v>2013100040</v>
          </cell>
          <cell r="E512" t="str">
            <v>2013100040</v>
          </cell>
          <cell r="F512" t="str">
            <v>Haberes Por Pagar Indemnización Ley Nº19170</v>
          </cell>
          <cell r="G512" t="str">
            <v>2013100040  Haberes Por Pagar Indemnización Ley Nº19170</v>
          </cell>
          <cell r="H512" t="str">
            <v>Balance</v>
          </cell>
          <cell r="I512" t="str">
            <v>II. Pasivos</v>
          </cell>
          <cell r="J512" t="str">
            <v>1. Pasivos corrientes</v>
          </cell>
          <cell r="K512" t="str">
            <v>7. Otros Pasivos No Financieros, corrientes</v>
          </cell>
          <cell r="U512" t="str">
            <v>7. Otros Pasivos No Financieros, corrientes</v>
          </cell>
          <cell r="AH512" t="str">
            <v>III. Pasivos de los segmentos</v>
          </cell>
        </row>
        <row r="513">
          <cell r="D513" t="str">
            <v>2013100070</v>
          </cell>
          <cell r="E513" t="str">
            <v>2013100070</v>
          </cell>
          <cell r="F513" t="str">
            <v>Venta De Activo Fijo Pendiente De Formalizar</v>
          </cell>
          <cell r="G513" t="str">
            <v>2013100070  Venta De Activo Fijo Pendiente De Formalizar</v>
          </cell>
          <cell r="H513" t="str">
            <v>Balance</v>
          </cell>
          <cell r="I513" t="str">
            <v>II. Pasivos</v>
          </cell>
          <cell r="J513" t="str">
            <v>1. Pasivos corrientes</v>
          </cell>
          <cell r="K513" t="str">
            <v>7. Otros Pasivos No Financieros, corrientes</v>
          </cell>
          <cell r="U513" t="str">
            <v>7. Otros Pasivos No Financieros, corrientes</v>
          </cell>
          <cell r="AH513" t="str">
            <v>III. Pasivos de los segmentos</v>
          </cell>
        </row>
        <row r="514">
          <cell r="D514" t="str">
            <v>2013100080</v>
          </cell>
          <cell r="E514" t="str">
            <v>2013100080</v>
          </cell>
          <cell r="F514" t="str">
            <v>Garantías En Efectivo Antiguas</v>
          </cell>
          <cell r="G514" t="str">
            <v>2013100080  Garantías En Efectivo Antiguas</v>
          </cell>
          <cell r="H514" t="str">
            <v>Balance</v>
          </cell>
          <cell r="I514" t="str">
            <v>II. Pasivos</v>
          </cell>
          <cell r="J514" t="str">
            <v>1. Pasivos corrientes</v>
          </cell>
          <cell r="K514" t="str">
            <v>7. Otros Pasivos No Financieros, corrientes</v>
          </cell>
          <cell r="U514" t="str">
            <v>7. Otros Pasivos No Financieros, corrientes</v>
          </cell>
          <cell r="AH514" t="str">
            <v>III. Pasivos de los segmentos</v>
          </cell>
        </row>
        <row r="515">
          <cell r="D515" t="str">
            <v>2013100091</v>
          </cell>
          <cell r="E515" t="str">
            <v>2013100091</v>
          </cell>
          <cell r="F515" t="str">
            <v>Dif. Moneda Acreedores C.Plazo</v>
          </cell>
          <cell r="G515" t="str">
            <v>2013100091  Dif. Moneda Acreedores C.Plazo</v>
          </cell>
          <cell r="H515" t="str">
            <v>Balance</v>
          </cell>
          <cell r="I515" t="str">
            <v>II. Pasivos</v>
          </cell>
          <cell r="J515" t="str">
            <v>1. Pasivos corrientes</v>
          </cell>
          <cell r="K515" t="str">
            <v>7. Otros Pasivos No Financieros, corrientes</v>
          </cell>
          <cell r="U515" t="str">
            <v>7. Otros Pasivos No Financieros, corrientes</v>
          </cell>
          <cell r="AH515" t="str">
            <v>III. Pasivos de los segmentos</v>
          </cell>
        </row>
        <row r="516">
          <cell r="D516" t="str">
            <v>2008200030</v>
          </cell>
          <cell r="E516" t="str">
            <v>2008200030</v>
          </cell>
          <cell r="F516" t="str">
            <v>Paseo Estacion Arriendos Percibidos Anticip. C.P</v>
          </cell>
          <cell r="G516" t="str">
            <v>2008200030  Paseo Estacion Arriendos Percibidos Anticip. C.P</v>
          </cell>
          <cell r="H516" t="str">
            <v>Balance</v>
          </cell>
          <cell r="I516" t="str">
            <v>II. Pasivos</v>
          </cell>
          <cell r="J516" t="str">
            <v>1. Pasivos corrientes</v>
          </cell>
          <cell r="K516" t="str">
            <v>7. Otros Pasivos No Financieros, corrientes</v>
          </cell>
          <cell r="U516" t="str">
            <v>7. Otros Pasivos No Financieros, corrientes</v>
          </cell>
          <cell r="AH516" t="str">
            <v>III. Pasivos de los segmentos</v>
          </cell>
        </row>
        <row r="517">
          <cell r="D517" t="str">
            <v>2011200020</v>
          </cell>
          <cell r="E517" t="str">
            <v>2011200020</v>
          </cell>
          <cell r="F517" t="str">
            <v>Ingresos antiipados por Arriendos</v>
          </cell>
          <cell r="G517" t="str">
            <v>2011200020  Ingresos antiipados por Arriendos</v>
          </cell>
          <cell r="H517" t="str">
            <v>Balance</v>
          </cell>
          <cell r="I517" t="str">
            <v>II. Pasivos</v>
          </cell>
          <cell r="J517" t="str">
            <v>1. Pasivos corrientes</v>
          </cell>
          <cell r="K517" t="str">
            <v>7. Otros Pasivos No Financieros, corrientes</v>
          </cell>
          <cell r="U517" t="str">
            <v>7. Otros Pasivos No Financieros, corrientes</v>
          </cell>
          <cell r="AH517" t="str">
            <v>III. Pasivos de los segmentos</v>
          </cell>
        </row>
        <row r="518">
          <cell r="D518" t="str">
            <v>2011200030</v>
          </cell>
          <cell r="E518" t="str">
            <v>2011200030</v>
          </cell>
          <cell r="F518" t="str">
            <v>Ingresos anticipados</v>
          </cell>
          <cell r="G518" t="str">
            <v>2011200030  Ingresos anticipados</v>
          </cell>
          <cell r="H518" t="str">
            <v>Balance</v>
          </cell>
          <cell r="I518" t="str">
            <v>II. Pasivos</v>
          </cell>
          <cell r="J518" t="str">
            <v>1. Pasivos corrientes</v>
          </cell>
          <cell r="K518" t="str">
            <v>7. Otros Pasivos No Financieros, corrientes</v>
          </cell>
          <cell r="U518" t="str">
            <v>7. Otros Pasivos No Financieros, corrientes</v>
          </cell>
          <cell r="AH518" t="str">
            <v>III. Pasivos de los segmentos</v>
          </cell>
        </row>
        <row r="519">
          <cell r="D519">
            <v>0</v>
          </cell>
          <cell r="G519" t="str">
            <v/>
          </cell>
          <cell r="H519" t="str">
            <v>Balance</v>
          </cell>
          <cell r="I519" t="str">
            <v>II. Pasivos</v>
          </cell>
          <cell r="J519" t="str">
            <v>1. Pasivos corrientes</v>
          </cell>
          <cell r="K519" t="str">
            <v>7. Otros Pasivos No Financieros, corrientes</v>
          </cell>
          <cell r="U519" t="str">
            <v>7. Otros Pasivos No Financieros, corrientes</v>
          </cell>
          <cell r="AH519" t="str">
            <v>III. Pasivos de los segmentos</v>
          </cell>
        </row>
        <row r="520">
          <cell r="D520">
            <v>0</v>
          </cell>
          <cell r="F520" t="str">
            <v>Otros Pasivos No Financieros Corrientes</v>
          </cell>
          <cell r="G520" t="str">
            <v/>
          </cell>
          <cell r="H520" t="str">
            <v/>
          </cell>
          <cell r="AH520" t="str">
            <v/>
          </cell>
        </row>
        <row r="521">
          <cell r="D521">
            <v>0</v>
          </cell>
          <cell r="F521" t="str">
            <v/>
          </cell>
          <cell r="G521" t="str">
            <v/>
          </cell>
          <cell r="H521" t="str">
            <v/>
          </cell>
          <cell r="AH521" t="str">
            <v/>
          </cell>
        </row>
        <row r="522">
          <cell r="D522">
            <v>0</v>
          </cell>
          <cell r="F522" t="str">
            <v>Total De Pasivos Corrientes Distintos De Los Pasivos Incluidos En Grupos De Activos Para Su Disposición Clasificados Como Mantenidos Para La Venta</v>
          </cell>
          <cell r="G522" t="str">
            <v/>
          </cell>
          <cell r="H522" t="str">
            <v/>
          </cell>
          <cell r="I522" t="str">
            <v>II. Pasivos</v>
          </cell>
          <cell r="J522" t="str">
            <v>1. Pasivos corrientes</v>
          </cell>
          <cell r="AH522" t="str">
            <v>III. Pasivos de los segmentos</v>
          </cell>
        </row>
        <row r="523">
          <cell r="D523">
            <v>0</v>
          </cell>
          <cell r="F523" t="str">
            <v/>
          </cell>
          <cell r="G523" t="str">
            <v/>
          </cell>
          <cell r="H523" t="str">
            <v/>
          </cell>
          <cell r="AH523" t="str">
            <v/>
          </cell>
        </row>
        <row r="524">
          <cell r="D524">
            <v>0</v>
          </cell>
          <cell r="F524" t="str">
            <v>Pasivos Incluidos En Grupos De Activos Para Su Disposición Clasificados Como Mantenidos Para La Venta</v>
          </cell>
          <cell r="G524" t="str">
            <v/>
          </cell>
          <cell r="H524" t="str">
            <v/>
          </cell>
          <cell r="I524" t="str">
            <v>II. Pasivos</v>
          </cell>
          <cell r="J524" t="str">
            <v>1. Pasivos corrientes</v>
          </cell>
          <cell r="AH524" t="str">
            <v>III. Pasivos de los segmentos</v>
          </cell>
        </row>
        <row r="525">
          <cell r="D525">
            <v>0</v>
          </cell>
          <cell r="F525" t="str">
            <v/>
          </cell>
          <cell r="G525" t="str">
            <v/>
          </cell>
          <cell r="H525" t="str">
            <v/>
          </cell>
          <cell r="AH525" t="str">
            <v/>
          </cell>
        </row>
        <row r="526">
          <cell r="D526">
            <v>0</v>
          </cell>
          <cell r="F526" t="str">
            <v>Pasivos Corrientes Totales</v>
          </cell>
          <cell r="G526" t="str">
            <v/>
          </cell>
          <cell r="H526" t="str">
            <v/>
          </cell>
          <cell r="I526" t="str">
            <v>II. Pasivos</v>
          </cell>
          <cell r="J526" t="str">
            <v>1. Pasivos corrientes</v>
          </cell>
          <cell r="AH526" t="str">
            <v>III. Pasivos de los segmentos</v>
          </cell>
        </row>
        <row r="527">
          <cell r="D527">
            <v>0</v>
          </cell>
          <cell r="F527" t="str">
            <v/>
          </cell>
          <cell r="G527" t="str">
            <v/>
          </cell>
          <cell r="H527" t="str">
            <v/>
          </cell>
          <cell r="AH527" t="str">
            <v/>
          </cell>
        </row>
        <row r="528">
          <cell r="D528">
            <v>0</v>
          </cell>
          <cell r="F528" t="str">
            <v>Pasivos No Corrientes</v>
          </cell>
          <cell r="G528" t="str">
            <v/>
          </cell>
          <cell r="H528" t="str">
            <v/>
          </cell>
          <cell r="AH528" t="str">
            <v/>
          </cell>
        </row>
        <row r="529">
          <cell r="D529" t="str">
            <v>1039300090</v>
          </cell>
          <cell r="E529" t="str">
            <v>1039300090</v>
          </cell>
          <cell r="F529" t="str">
            <v>Intereses Por Devengar De Préstamo Lp</v>
          </cell>
          <cell r="G529" t="str">
            <v>1039300090  Intereses Por Devengar De Préstamo Lp</v>
          </cell>
          <cell r="H529" t="str">
            <v>Balance</v>
          </cell>
          <cell r="I529" t="str">
            <v>II. Pasivos</v>
          </cell>
          <cell r="J529" t="str">
            <v>2. Pasivos no corrientes</v>
          </cell>
          <cell r="K529" t="str">
            <v>1. Otros Pasivos Financieros, no corrientes</v>
          </cell>
          <cell r="U529" t="str">
            <v>1. Otros Pasivos Financieros, no corrientes</v>
          </cell>
          <cell r="AH529" t="str">
            <v>III. Pasivos de los segmentos</v>
          </cell>
        </row>
        <row r="530">
          <cell r="D530" t="str">
            <v>2021100010</v>
          </cell>
          <cell r="E530" t="str">
            <v>2021100010</v>
          </cell>
          <cell r="F530" t="str">
            <v>Préstamos Bancarios De Largo Plazo (Usd)</v>
          </cell>
          <cell r="G530" t="str">
            <v>2021100010  Préstamos Bancarios De Largo Plazo (Usd)</v>
          </cell>
          <cell r="H530" t="str">
            <v>Balance</v>
          </cell>
          <cell r="I530" t="str">
            <v>II. Pasivos</v>
          </cell>
          <cell r="J530" t="str">
            <v>2. Pasivos no corrientes</v>
          </cell>
          <cell r="K530" t="str">
            <v>1. Otros Pasivos Financieros, no corrientes</v>
          </cell>
          <cell r="U530" t="str">
            <v>1. Otros Pasivos Financieros, no corrientes</v>
          </cell>
          <cell r="AH530" t="str">
            <v>III. Pasivos de los segmentos</v>
          </cell>
        </row>
        <row r="531">
          <cell r="D531" t="str">
            <v>2021100011</v>
          </cell>
          <cell r="E531" t="str">
            <v>2021100011</v>
          </cell>
          <cell r="F531" t="str">
            <v>Préstamos Bancarios De Largo Plazo(Uf)</v>
          </cell>
          <cell r="G531" t="str">
            <v>2021100011  Préstamos Bancarios De Largo Plazo(Uf)</v>
          </cell>
          <cell r="H531" t="str">
            <v>Balance</v>
          </cell>
          <cell r="I531" t="str">
            <v>II. Pasivos</v>
          </cell>
          <cell r="J531" t="str">
            <v>2. Pasivos no corrientes</v>
          </cell>
          <cell r="K531" t="str">
            <v>1. Otros Pasivos Financieros, no corrientes</v>
          </cell>
          <cell r="U531" t="str">
            <v>1. Otros Pasivos Financieros, no corrientes</v>
          </cell>
          <cell r="AH531" t="str">
            <v>III. Pasivos de los segmentos</v>
          </cell>
        </row>
        <row r="532">
          <cell r="D532" t="str">
            <v>2021100020</v>
          </cell>
          <cell r="E532" t="str">
            <v>2021100020</v>
          </cell>
          <cell r="F532" t="str">
            <v>Intereses X Ptmos. Bancarios Largo Plazo (Usd)</v>
          </cell>
          <cell r="G532" t="str">
            <v>2021100020  Intereses X Ptmos. Bancarios Largo Plazo (Usd)</v>
          </cell>
          <cell r="H532" t="str">
            <v>Balance</v>
          </cell>
          <cell r="I532" t="str">
            <v>II. Pasivos</v>
          </cell>
          <cell r="J532" t="str">
            <v>2. Pasivos no corrientes</v>
          </cell>
          <cell r="K532" t="str">
            <v>1. Otros Pasivos Financieros, no corrientes</v>
          </cell>
          <cell r="U532" t="str">
            <v>1. Otros Pasivos Financieros, no corrientes</v>
          </cell>
          <cell r="AH532" t="str">
            <v>III. Pasivos de los segmentos</v>
          </cell>
        </row>
        <row r="533">
          <cell r="D533" t="str">
            <v>2021100021</v>
          </cell>
          <cell r="E533" t="str">
            <v>2021100021</v>
          </cell>
          <cell r="F533" t="str">
            <v>Intereses X Ptmos. Bancarios De L/Plazo Uf</v>
          </cell>
          <cell r="G533" t="str">
            <v>2021100021  Intereses X Ptmos. Bancarios De L/Plazo Uf</v>
          </cell>
          <cell r="H533" t="str">
            <v>Balance</v>
          </cell>
          <cell r="I533" t="str">
            <v>II. Pasivos</v>
          </cell>
          <cell r="J533" t="str">
            <v>2. Pasivos no corrientes</v>
          </cell>
          <cell r="K533" t="str">
            <v>1. Otros Pasivos Financieros, no corrientes</v>
          </cell>
          <cell r="U533" t="str">
            <v>1. Otros Pasivos Financieros, no corrientes</v>
          </cell>
          <cell r="AH533" t="str">
            <v>III. Pasivos de los segmentos</v>
          </cell>
        </row>
        <row r="534">
          <cell r="D534" t="str">
            <v>1039300070</v>
          </cell>
          <cell r="E534" t="str">
            <v>1039300070</v>
          </cell>
          <cell r="F534" t="str">
            <v>Gastos Por Emisión En Colocación De Bonos</v>
          </cell>
          <cell r="G534" t="str">
            <v>1039300070  Gastos Por Emisión En Colocación De Bonos</v>
          </cell>
          <cell r="H534" t="str">
            <v>Balance</v>
          </cell>
          <cell r="I534" t="str">
            <v>II. Pasivos</v>
          </cell>
          <cell r="J534" t="str">
            <v>2. Pasivos no corrientes</v>
          </cell>
          <cell r="K534" t="str">
            <v>1. Otros Pasivos Financieros, no corrientes</v>
          </cell>
          <cell r="U534" t="str">
            <v>1. Otros Pasivos Financieros, no corrientes</v>
          </cell>
          <cell r="AH534" t="str">
            <v>III. Pasivos de los segmentos</v>
          </cell>
        </row>
        <row r="535">
          <cell r="D535" t="str">
            <v>1039300080</v>
          </cell>
          <cell r="E535" t="str">
            <v>1039300080</v>
          </cell>
          <cell r="F535" t="str">
            <v>Intereses Por  Devengar Bonos Largo Plazo De Lp</v>
          </cell>
          <cell r="G535" t="str">
            <v>1039300080  Intereses Por  Devengar Bonos Largo Plazo De Lp</v>
          </cell>
          <cell r="H535" t="str">
            <v>Balance</v>
          </cell>
          <cell r="I535" t="str">
            <v>II. Pasivos</v>
          </cell>
          <cell r="J535" t="str">
            <v>2. Pasivos no corrientes</v>
          </cell>
          <cell r="K535" t="str">
            <v>1. Otros Pasivos Financieros, no corrientes</v>
          </cell>
          <cell r="U535" t="str">
            <v>1. Otros Pasivos Financieros, no corrientes</v>
          </cell>
          <cell r="AH535" t="str">
            <v>III. Pasivos de los segmentos</v>
          </cell>
        </row>
        <row r="536">
          <cell r="D536" t="str">
            <v>1039300120</v>
          </cell>
          <cell r="E536" t="str">
            <v>1039300120</v>
          </cell>
          <cell r="F536" t="str">
            <v>Descuentos Sobre Bonos</v>
          </cell>
          <cell r="G536" t="str">
            <v>1039300120  Descuentos Sobre Bonos</v>
          </cell>
          <cell r="H536" t="str">
            <v>Balance</v>
          </cell>
          <cell r="I536" t="str">
            <v>II. Pasivos</v>
          </cell>
          <cell r="J536" t="str">
            <v>2. Pasivos no corrientes</v>
          </cell>
          <cell r="K536" t="str">
            <v>1. Otros Pasivos Financieros, no corrientes</v>
          </cell>
          <cell r="U536" t="str">
            <v>1. Otros Pasivos Financieros, no corrientes</v>
          </cell>
          <cell r="AH536" t="str">
            <v>III. Pasivos de los segmentos</v>
          </cell>
        </row>
        <row r="537">
          <cell r="D537" t="str">
            <v>1039300130</v>
          </cell>
          <cell r="E537" t="str">
            <v>1039300130</v>
          </cell>
          <cell r="F537" t="str">
            <v>Intercambio Fc.Belgrano Argentina</v>
          </cell>
          <cell r="G537" t="str">
            <v>1039300130  Intercambio Fc.Belgrano Argentina</v>
          </cell>
          <cell r="H537" t="str">
            <v>Balance</v>
          </cell>
          <cell r="I537" t="str">
            <v>II. Pasivos</v>
          </cell>
          <cell r="J537" t="str">
            <v>2. Pasivos no corrientes</v>
          </cell>
          <cell r="K537" t="str">
            <v>1. Otros Pasivos Financieros, no corrientes</v>
          </cell>
          <cell r="U537" t="str">
            <v>1. Otros Pasivos Financieros, no corrientes</v>
          </cell>
          <cell r="AH537" t="str">
            <v>III. Pasivos de los segmentos</v>
          </cell>
        </row>
        <row r="538">
          <cell r="D538" t="str">
            <v>1039300131</v>
          </cell>
          <cell r="E538" t="str">
            <v>1039300131</v>
          </cell>
          <cell r="F538" t="str">
            <v>Mayor/Menor Valor Ret.Tecnica A.Fijo</v>
          </cell>
          <cell r="G538" t="str">
            <v>1039300131  Mayor/Menor Valor Ret.Tecnica A.Fijo</v>
          </cell>
          <cell r="H538" t="str">
            <v>Balance</v>
          </cell>
          <cell r="I538" t="str">
            <v>II. Pasivos</v>
          </cell>
          <cell r="J538" t="str">
            <v>2. Pasivos no corrientes</v>
          </cell>
          <cell r="K538" t="str">
            <v>1. Otros Pasivos Financieros, no corrientes</v>
          </cell>
          <cell r="U538" t="str">
            <v>1. Otros Pasivos Financieros, no corrientes</v>
          </cell>
          <cell r="AH538" t="str">
            <v>III. Pasivos de los segmentos</v>
          </cell>
        </row>
        <row r="539">
          <cell r="D539" t="str">
            <v>2022100010</v>
          </cell>
          <cell r="E539" t="str">
            <v>2022100010</v>
          </cell>
          <cell r="F539" t="str">
            <v>Obligaciones Sobre Bonos De Largo Plazo</v>
          </cell>
          <cell r="G539" t="str">
            <v>2022100010  Obligaciones Sobre Bonos De Largo Plazo</v>
          </cell>
          <cell r="H539" t="str">
            <v>Balance</v>
          </cell>
          <cell r="I539" t="str">
            <v>II. Pasivos</v>
          </cell>
          <cell r="J539" t="str">
            <v>2. Pasivos no corrientes</v>
          </cell>
          <cell r="K539" t="str">
            <v>1. Otros Pasivos Financieros, no corrientes</v>
          </cell>
          <cell r="U539" t="str">
            <v>1. Otros Pasivos Financieros, no corrientes</v>
          </cell>
          <cell r="AH539" t="str">
            <v>III. Pasivos de los segmentos</v>
          </cell>
        </row>
        <row r="540">
          <cell r="D540" t="str">
            <v>2022100020</v>
          </cell>
          <cell r="E540" t="str">
            <v>2022100020</v>
          </cell>
          <cell r="F540" t="str">
            <v>Intereses Sobre Bonos De Largo Plazo</v>
          </cell>
          <cell r="G540" t="str">
            <v>2022100020  Intereses Sobre Bonos De Largo Plazo</v>
          </cell>
          <cell r="H540" t="str">
            <v>Balance</v>
          </cell>
          <cell r="I540" t="str">
            <v>II. Pasivos</v>
          </cell>
          <cell r="J540" t="str">
            <v>2. Pasivos no corrientes</v>
          </cell>
          <cell r="K540" t="str">
            <v>1. Otros Pasivos Financieros, no corrientes</v>
          </cell>
          <cell r="U540" t="str">
            <v>1. Otros Pasivos Financieros, no corrientes</v>
          </cell>
          <cell r="AH540" t="str">
            <v>III. Pasivos de los segmentos</v>
          </cell>
        </row>
        <row r="541">
          <cell r="D541" t="str">
            <v>2029100040</v>
          </cell>
          <cell r="E541" t="str">
            <v>2029100040</v>
          </cell>
          <cell r="F541" t="str">
            <v>Créditos Diferidos Sobre Bonos</v>
          </cell>
          <cell r="G541" t="str">
            <v>2029100040  Créditos Diferidos Sobre Bonos</v>
          </cell>
          <cell r="H541" t="str">
            <v>Balance</v>
          </cell>
          <cell r="I541" t="str">
            <v>II. Pasivos</v>
          </cell>
          <cell r="J541" t="str">
            <v>2. Pasivos no corrientes</v>
          </cell>
          <cell r="K541" t="str">
            <v>1. Otros Pasivos Financieros, no corrientes</v>
          </cell>
          <cell r="U541" t="str">
            <v>1. Otros Pasivos Financieros, no corrientes</v>
          </cell>
          <cell r="AH541" t="str">
            <v>III. Pasivos de los segmentos</v>
          </cell>
        </row>
        <row r="542">
          <cell r="D542">
            <v>0</v>
          </cell>
          <cell r="G542" t="str">
            <v/>
          </cell>
          <cell r="H542" t="str">
            <v>Balance</v>
          </cell>
          <cell r="I542" t="str">
            <v>II. Pasivos</v>
          </cell>
          <cell r="J542" t="str">
            <v>2. Pasivos no corrientes</v>
          </cell>
          <cell r="K542" t="str">
            <v>1. Otros Pasivos Financieros, no corrientes</v>
          </cell>
          <cell r="U542" t="str">
            <v>1. Otros Pasivos Financieros, no corrientes</v>
          </cell>
          <cell r="AH542" t="str">
            <v>III. Pasivos de los segmentos</v>
          </cell>
        </row>
        <row r="543">
          <cell r="D543">
            <v>0</v>
          </cell>
          <cell r="G543" t="str">
            <v/>
          </cell>
          <cell r="H543" t="str">
            <v>Balance</v>
          </cell>
          <cell r="I543" t="str">
            <v>II. Pasivos</v>
          </cell>
          <cell r="J543" t="str">
            <v>2. Pasivos no corrientes</v>
          </cell>
          <cell r="K543" t="str">
            <v>1. Otros Pasivos Financieros, no corrientes</v>
          </cell>
          <cell r="U543" t="str">
            <v>1. Otros Pasivos Financieros, no corrientes</v>
          </cell>
          <cell r="AH543" t="str">
            <v>III. Pasivos de los segmentos</v>
          </cell>
        </row>
        <row r="544">
          <cell r="D544">
            <v>0</v>
          </cell>
          <cell r="F544" t="str">
            <v>Otros Pasivos Financieros No Corrientes</v>
          </cell>
          <cell r="G544" t="str">
            <v/>
          </cell>
          <cell r="H544" t="str">
            <v/>
          </cell>
          <cell r="AH544" t="str">
            <v/>
          </cell>
        </row>
        <row r="545">
          <cell r="D545">
            <v>0</v>
          </cell>
          <cell r="G545" t="str">
            <v/>
          </cell>
          <cell r="H545" t="str">
            <v/>
          </cell>
          <cell r="AH545" t="str">
            <v/>
          </cell>
        </row>
        <row r="546">
          <cell r="D546" t="str">
            <v>1039300110</v>
          </cell>
          <cell r="E546" t="str">
            <v>1039300110</v>
          </cell>
          <cell r="F546" t="str">
            <v>Intereses Diferidos Por  Der. De Aduanas(Tgr)  Lp</v>
          </cell>
          <cell r="G546" t="str">
            <v>1039300110  Intereses Diferidos Por  Der. De Aduanas(Tgr)  Lp</v>
          </cell>
          <cell r="H546" t="str">
            <v>Balance</v>
          </cell>
          <cell r="I546" t="str">
            <v>II. Pasivos</v>
          </cell>
          <cell r="J546" t="str">
            <v>2. Pasivos no corrientes</v>
          </cell>
          <cell r="K546" t="str">
            <v>2. Otras cuentas por pagar, no corrientes</v>
          </cell>
          <cell r="U546" t="str">
            <v>2. Otras cuentas por pagar, no corrientes</v>
          </cell>
          <cell r="AH546" t="str">
            <v>III. Pasivos de los segmentos</v>
          </cell>
        </row>
        <row r="547">
          <cell r="D547" t="str">
            <v>1039300160</v>
          </cell>
          <cell r="E547" t="str">
            <v>1039300160</v>
          </cell>
          <cell r="F547" t="str">
            <v>Int.Por Devengar Por Arriendo L/Plazo</v>
          </cell>
          <cell r="G547" t="str">
            <v>1039300160  Int.Por Devengar Por Arriendo L/Plazo</v>
          </cell>
          <cell r="H547" t="str">
            <v>Balance</v>
          </cell>
          <cell r="I547" t="str">
            <v>II. Pasivos</v>
          </cell>
          <cell r="J547" t="str">
            <v>2. Pasivos no corrientes</v>
          </cell>
          <cell r="K547" t="str">
            <v>2. Otras cuentas por pagar, no corrientes</v>
          </cell>
          <cell r="U547" t="str">
            <v>2. Otras cuentas por pagar, no corrientes</v>
          </cell>
          <cell r="AH547" t="str">
            <v>III. Pasivos de los segmentos</v>
          </cell>
        </row>
        <row r="548">
          <cell r="D548" t="str">
            <v>1039300180</v>
          </cell>
          <cell r="E548" t="str">
            <v>1039300180</v>
          </cell>
          <cell r="F548" t="str">
            <v>Intereses Por Devengar Proyecto Inversiones Lp</v>
          </cell>
          <cell r="G548" t="str">
            <v>1039300180  Intereses Por Devengar Proyecto Inversiones Lp</v>
          </cell>
          <cell r="H548" t="str">
            <v>Balance</v>
          </cell>
          <cell r="I548" t="str">
            <v>II. Pasivos</v>
          </cell>
          <cell r="J548" t="str">
            <v>2. Pasivos no corrientes</v>
          </cell>
          <cell r="K548" t="str">
            <v>2. Otras cuentas por pagar, no corrientes</v>
          </cell>
          <cell r="U548" t="str">
            <v>2. Otras cuentas por pagar, no corrientes</v>
          </cell>
          <cell r="AH548" t="str">
            <v>III. Pasivos de los segmentos</v>
          </cell>
        </row>
        <row r="549">
          <cell r="D549" t="str">
            <v>2023100010</v>
          </cell>
          <cell r="E549" t="str">
            <v>2023100010</v>
          </cell>
          <cell r="F549" t="str">
            <v>Iva Y Derechos De Aduanas Por Pagar A Tgr De Lp</v>
          </cell>
          <cell r="G549" t="str">
            <v>2023100010  Iva Y Derechos De Aduanas Por Pagar A Tgr De Lp</v>
          </cell>
          <cell r="H549" t="str">
            <v>Balance</v>
          </cell>
          <cell r="I549" t="str">
            <v>II. Pasivos</v>
          </cell>
          <cell r="J549" t="str">
            <v>2. Pasivos no corrientes</v>
          </cell>
          <cell r="K549" t="str">
            <v>2. Otras cuentas por pagar, no corrientes</v>
          </cell>
          <cell r="U549" t="str">
            <v>2. Otras cuentas por pagar, no corrientes</v>
          </cell>
          <cell r="AH549" t="str">
            <v>III. Pasivos de los segmentos</v>
          </cell>
        </row>
        <row r="550">
          <cell r="D550" t="str">
            <v>2023100030</v>
          </cell>
          <cell r="E550" t="str">
            <v>2023100030</v>
          </cell>
          <cell r="F550" t="str">
            <v>Dif. Proveedores Moneda Extranjera. Cta 202310001</v>
          </cell>
          <cell r="G550" t="str">
            <v>2023100030  Dif. Proveedores Moneda Extranjera. Cta 202310001</v>
          </cell>
          <cell r="H550" t="str">
            <v>Balance</v>
          </cell>
          <cell r="I550" t="str">
            <v>II. Pasivos</v>
          </cell>
          <cell r="J550" t="str">
            <v>2. Pasivos no corrientes</v>
          </cell>
          <cell r="K550" t="str">
            <v>2. Otras cuentas por pagar, no corrientes</v>
          </cell>
          <cell r="U550" t="str">
            <v>2. Otras cuentas por pagar, no corrientes</v>
          </cell>
          <cell r="AH550" t="str">
            <v>III. Pasivos de los segmentos</v>
          </cell>
        </row>
        <row r="551">
          <cell r="D551" t="str">
            <v>2023100051</v>
          </cell>
          <cell r="E551" t="str">
            <v>2023100051</v>
          </cell>
          <cell r="F551" t="str">
            <v>Ctas.Por Pagar Proy.Cpif Norte-Centro L/Plazo</v>
          </cell>
          <cell r="G551" t="str">
            <v>2023100051  Ctas.Por Pagar Proy.Cpif Norte-Centro L/Plazo</v>
          </cell>
          <cell r="H551" t="str">
            <v>Balance</v>
          </cell>
          <cell r="I551" t="str">
            <v>II. Pasivos</v>
          </cell>
          <cell r="J551" t="str">
            <v>2. Pasivos no corrientes</v>
          </cell>
          <cell r="K551" t="str">
            <v>2. Otras cuentas por pagar, no corrientes</v>
          </cell>
          <cell r="U551" t="str">
            <v>2. Otras cuentas por pagar, no corrientes</v>
          </cell>
          <cell r="AH551" t="str">
            <v>III. Pasivos de los segmentos</v>
          </cell>
        </row>
        <row r="552">
          <cell r="D552" t="str">
            <v>2023100060</v>
          </cell>
          <cell r="E552" t="str">
            <v>2023100060</v>
          </cell>
          <cell r="F552" t="str">
            <v>Ferrocarril Del Pacífico S.A De Largo Plazo</v>
          </cell>
          <cell r="G552" t="str">
            <v>2023100060  Ferrocarril Del Pacífico S.A De Largo Plazo</v>
          </cell>
          <cell r="H552" t="str">
            <v>Balance</v>
          </cell>
          <cell r="I552" t="str">
            <v>II. Pasivos</v>
          </cell>
          <cell r="J552" t="str">
            <v>2. Pasivos no corrientes</v>
          </cell>
          <cell r="K552" t="str">
            <v>2. Otras cuentas por pagar, no corrientes</v>
          </cell>
          <cell r="U552" t="str">
            <v>2. Otras cuentas por pagar, no corrientes</v>
          </cell>
          <cell r="AH552" t="str">
            <v>III. Pasivos de los segmentos</v>
          </cell>
        </row>
        <row r="553">
          <cell r="D553" t="str">
            <v>2026100040</v>
          </cell>
          <cell r="E553" t="str">
            <v>2026100040</v>
          </cell>
          <cell r="F553" t="str">
            <v>Provisión pérdida en filiales</v>
          </cell>
          <cell r="G553" t="str">
            <v>2026100040  Provisión pérdida en filiales</v>
          </cell>
          <cell r="H553" t="str">
            <v>Balance</v>
          </cell>
          <cell r="I553" t="str">
            <v>II. Pasivos</v>
          </cell>
          <cell r="J553" t="str">
            <v>2. Pasivos no corrientes</v>
          </cell>
          <cell r="K553" t="str">
            <v>2. Otras cuentas por pagar, no corrientes</v>
          </cell>
          <cell r="U553" t="str">
            <v>2. Otras cuentas por pagar, no corrientes</v>
          </cell>
          <cell r="AH553" t="str">
            <v>III. Pasivos de los segmentos</v>
          </cell>
        </row>
        <row r="554">
          <cell r="D554">
            <v>0</v>
          </cell>
          <cell r="G554" t="str">
            <v/>
          </cell>
          <cell r="AH554" t="str">
            <v/>
          </cell>
        </row>
        <row r="555">
          <cell r="D555">
            <v>0</v>
          </cell>
          <cell r="F555" t="str">
            <v>Pasivos No Corrientes</v>
          </cell>
          <cell r="G555" t="str">
            <v/>
          </cell>
          <cell r="H555" t="str">
            <v/>
          </cell>
          <cell r="AH555" t="str">
            <v/>
          </cell>
        </row>
        <row r="556">
          <cell r="D556">
            <v>0</v>
          </cell>
          <cell r="G556" t="str">
            <v/>
          </cell>
          <cell r="H556" t="str">
            <v/>
          </cell>
          <cell r="AH556" t="str">
            <v/>
          </cell>
        </row>
        <row r="557">
          <cell r="D557" t="str">
            <v>2025100010</v>
          </cell>
          <cell r="E557" t="str">
            <v>2025100010</v>
          </cell>
          <cell r="F557" t="str">
            <v>Inmobiliaria Nueva Vía S.A De Largo Plazo</v>
          </cell>
          <cell r="G557" t="str">
            <v>2025100010  Inmobiliaria Nueva Vía S.A De Largo Plazo</v>
          </cell>
          <cell r="H557" t="str">
            <v>Balance</v>
          </cell>
          <cell r="I557" t="str">
            <v>II. Pasivos</v>
          </cell>
          <cell r="J557" t="str">
            <v>2. Pasivos no corrientes</v>
          </cell>
          <cell r="K557" t="str">
            <v>3. Cuentas por Pagar a Entidades Relacionadas, no corrientes</v>
          </cell>
          <cell r="U557" t="str">
            <v>3. Cuentas por Pagar a Entidades Relacionadas, no corrientes</v>
          </cell>
          <cell r="AH557" t="str">
            <v>III. Pasivos de los segmentos</v>
          </cell>
        </row>
        <row r="558">
          <cell r="D558" t="str">
            <v>2025100020</v>
          </cell>
          <cell r="E558" t="str">
            <v>2025100020</v>
          </cell>
          <cell r="F558" t="str">
            <v>Metro Regional Valparaiso S.A De Largo Plazo</v>
          </cell>
          <cell r="G558" t="str">
            <v>2025100020  Metro Regional Valparaiso S.A De Largo Plazo</v>
          </cell>
          <cell r="H558" t="str">
            <v>Balance</v>
          </cell>
          <cell r="I558" t="str">
            <v>II. Pasivos</v>
          </cell>
          <cell r="J558" t="str">
            <v>2. Pasivos no corrientes</v>
          </cell>
          <cell r="K558" t="str">
            <v>3. Cuentas por Pagar a Entidades Relacionadas, no corrientes</v>
          </cell>
          <cell r="U558" t="str">
            <v>3. Cuentas por Pagar a Entidades Relacionadas, no corrientes</v>
          </cell>
          <cell r="AH558" t="str">
            <v>III. Pasivos de los segmentos</v>
          </cell>
        </row>
        <row r="559">
          <cell r="D559" t="str">
            <v>2025100060</v>
          </cell>
          <cell r="E559" t="str">
            <v>2025100060</v>
          </cell>
          <cell r="F559" t="str">
            <v>Cuenta Por Pagar Efe Largo Plazo</v>
          </cell>
          <cell r="G559" t="str">
            <v>2025100060  Cuenta Por Pagar Efe Largo Plazo</v>
          </cell>
          <cell r="H559" t="str">
            <v>Balance</v>
          </cell>
          <cell r="I559" t="str">
            <v>II. Pasivos</v>
          </cell>
          <cell r="J559" t="str">
            <v>2. Pasivos no corrientes</v>
          </cell>
          <cell r="K559" t="str">
            <v>3. Cuentas por Pagar a Entidades Relacionadas, no corrientes</v>
          </cell>
          <cell r="U559" t="str">
            <v>3. Cuentas por Pagar a Entidades Relacionadas, no corrientes</v>
          </cell>
          <cell r="AH559" t="str">
            <v>III. Pasivos de los segmentos</v>
          </cell>
        </row>
        <row r="560">
          <cell r="D560" t="str">
            <v>2029100042</v>
          </cell>
          <cell r="E560" t="str">
            <v>2029100042</v>
          </cell>
          <cell r="F560" t="str">
            <v>Arriendo edficio Morandé L.P.</v>
          </cell>
          <cell r="G560" t="str">
            <v>2029100042  Arriendo edficio Morandé L.P.</v>
          </cell>
          <cell r="H560" t="str">
            <v>Balance</v>
          </cell>
          <cell r="I560" t="str">
            <v>II. Pasivos</v>
          </cell>
          <cell r="J560" t="str">
            <v>2. Pasivos no corrientes</v>
          </cell>
          <cell r="K560" t="str">
            <v>3. Cuentas por Pagar a Entidades Relacionadas, no corrientes</v>
          </cell>
          <cell r="U560" t="str">
            <v>3. Cuentas por Pagar a Entidades Relacionadas, no corrientes</v>
          </cell>
          <cell r="AH560" t="str">
            <v>III. Pasivos de los segmentos</v>
          </cell>
        </row>
        <row r="561">
          <cell r="D561" t="str">
            <v>2025100070</v>
          </cell>
          <cell r="E561" t="str">
            <v>2025100070</v>
          </cell>
          <cell r="F561" t="str">
            <v>Cuenta Por Pagar Efe Largo Plazo</v>
          </cell>
          <cell r="G561" t="str">
            <v>2025100070  Cuenta Por Pagar Efe Largo Plazo</v>
          </cell>
          <cell r="H561" t="str">
            <v>Balance</v>
          </cell>
          <cell r="I561" t="str">
            <v>II. Pasivos</v>
          </cell>
          <cell r="J561" t="str">
            <v>2. Pasivos no corrientes</v>
          </cell>
          <cell r="K561" t="str">
            <v>3. Cuentas por Pagar a Entidades Relacionadas, no corrientes</v>
          </cell>
          <cell r="U561" t="str">
            <v>3. Cuentas por Pagar a Entidades Relacionadas, no corrientes</v>
          </cell>
          <cell r="AH561" t="str">
            <v>III. Pasivos de los segmentos</v>
          </cell>
        </row>
        <row r="562">
          <cell r="D562">
            <v>0</v>
          </cell>
          <cell r="G562" t="str">
            <v/>
          </cell>
          <cell r="H562" t="str">
            <v>Balance</v>
          </cell>
          <cell r="I562" t="str">
            <v>II. Pasivos</v>
          </cell>
          <cell r="J562" t="str">
            <v>2. Pasivos no corrientes</v>
          </cell>
          <cell r="K562" t="str">
            <v>3. Cuentas por Pagar a Entidades Relacionadas, no corrientes</v>
          </cell>
          <cell r="U562" t="str">
            <v>3. Cuentas por Pagar a Entidades Relacionadas, no corrientes</v>
          </cell>
          <cell r="AH562" t="str">
            <v>III. Pasivos de los segmentos</v>
          </cell>
        </row>
        <row r="563">
          <cell r="D563">
            <v>0</v>
          </cell>
          <cell r="G563" t="str">
            <v/>
          </cell>
          <cell r="H563" t="str">
            <v>Balance</v>
          </cell>
          <cell r="I563" t="str">
            <v>II. Pasivos</v>
          </cell>
          <cell r="J563" t="str">
            <v>2. Pasivos no corrientes</v>
          </cell>
          <cell r="K563" t="str">
            <v>3. Cuentas por Pagar a Entidades Relacionadas, no corrientes</v>
          </cell>
          <cell r="U563" t="str">
            <v>3. Cuentas por Pagar a Entidades Relacionadas, no corrientes</v>
          </cell>
          <cell r="AH563" t="str">
            <v>III. Pasivos de los segmentos</v>
          </cell>
        </row>
        <row r="564">
          <cell r="D564">
            <v>0</v>
          </cell>
          <cell r="G564" t="str">
            <v/>
          </cell>
          <cell r="H564" t="str">
            <v>Balance</v>
          </cell>
          <cell r="I564" t="str">
            <v>II. Pasivos</v>
          </cell>
          <cell r="J564" t="str">
            <v>2. Pasivos no corrientes</v>
          </cell>
          <cell r="K564" t="str">
            <v>3. Cuentas por Pagar a Entidades Relacionadas, no corrientes</v>
          </cell>
          <cell r="U564" t="str">
            <v>3. Cuentas por Pagar a Entidades Relacionadas, no corrientes</v>
          </cell>
          <cell r="AH564" t="str">
            <v>III. Pasivos de los segmentos</v>
          </cell>
        </row>
        <row r="565">
          <cell r="D565">
            <v>0</v>
          </cell>
          <cell r="G565" t="str">
            <v/>
          </cell>
          <cell r="H565" t="str">
            <v>Balance</v>
          </cell>
          <cell r="I565" t="str">
            <v>II. Pasivos</v>
          </cell>
          <cell r="J565" t="str">
            <v>2. Pasivos no corrientes</v>
          </cell>
          <cell r="K565" t="str">
            <v>3. Cuentas por Pagar a Entidades Relacionadas, no corrientes</v>
          </cell>
          <cell r="U565" t="str">
            <v>3. Cuentas por Pagar a Entidades Relacionadas, no corrientes</v>
          </cell>
          <cell r="AH565" t="str">
            <v>III. Pasivos de los segmentos</v>
          </cell>
        </row>
        <row r="566">
          <cell r="D566">
            <v>0</v>
          </cell>
          <cell r="F566" t="str">
            <v>Cuentas por Pagar a Entidades Relaconadas, No Corrientes</v>
          </cell>
          <cell r="G566" t="str">
            <v/>
          </cell>
          <cell r="H566" t="str">
            <v/>
          </cell>
          <cell r="AH566" t="str">
            <v/>
          </cell>
        </row>
        <row r="567">
          <cell r="D567">
            <v>0</v>
          </cell>
          <cell r="G567" t="str">
            <v/>
          </cell>
          <cell r="H567" t="str">
            <v/>
          </cell>
          <cell r="AH567" t="str">
            <v/>
          </cell>
        </row>
        <row r="568">
          <cell r="D568" t="str">
            <v>2026100030</v>
          </cell>
          <cell r="E568" t="str">
            <v>2026100030</v>
          </cell>
          <cell r="F568" t="str">
            <v>Contingencias Juicios De Largo Plazo</v>
          </cell>
          <cell r="G568" t="str">
            <v>2026100030  Contingencias Juicios De Largo Plazo</v>
          </cell>
          <cell r="H568" t="str">
            <v>Balance</v>
          </cell>
          <cell r="I568" t="str">
            <v>II. Pasivos</v>
          </cell>
          <cell r="J568" t="str">
            <v>2. Pasivos no corrientes</v>
          </cell>
          <cell r="K568" t="str">
            <v>4. Otras Provisiones, no corrientes</v>
          </cell>
          <cell r="U568" t="str">
            <v>4. Otras Provisiones, no corrientes</v>
          </cell>
          <cell r="AH568" t="str">
            <v>III. Pasivos de los segmentos</v>
          </cell>
        </row>
        <row r="569">
          <cell r="D569" t="str">
            <v>2026100040</v>
          </cell>
          <cell r="E569" t="str">
            <v>2026100040</v>
          </cell>
          <cell r="F569" t="str">
            <v>Provisión De Pérdidas En Filiales</v>
          </cell>
          <cell r="G569" t="str">
            <v>2026100040  Provisión De Pérdidas En Filiales</v>
          </cell>
          <cell r="H569" t="str">
            <v>Balance</v>
          </cell>
          <cell r="I569" t="str">
            <v>II. Pasivos</v>
          </cell>
          <cell r="J569" t="str">
            <v>2. Pasivos no corrientes</v>
          </cell>
          <cell r="K569" t="str">
            <v>4. Otras Provisiones, no corrientes</v>
          </cell>
          <cell r="U569" t="str">
            <v>4. Otras Provisiones, no corrientes</v>
          </cell>
          <cell r="AH569" t="str">
            <v>III. Pasivos de los segmentos</v>
          </cell>
        </row>
        <row r="570">
          <cell r="D570" t="str">
            <v>2026100090</v>
          </cell>
          <cell r="E570" t="str">
            <v>2026100090</v>
          </cell>
          <cell r="F570" t="str">
            <v>Provisiones varias LP</v>
          </cell>
          <cell r="G570" t="str">
            <v>2026100090  Provisiones varias LP</v>
          </cell>
          <cell r="H570" t="str">
            <v>Balance</v>
          </cell>
          <cell r="I570" t="str">
            <v>II. Pasivos</v>
          </cell>
          <cell r="J570" t="str">
            <v>2. Pasivos no corrientes</v>
          </cell>
          <cell r="K570" t="str">
            <v>4. Otras Provisiones, no corrientes</v>
          </cell>
          <cell r="U570" t="str">
            <v>4. Otras Provisiones, no corrientes</v>
          </cell>
          <cell r="AH570" t="str">
            <v>III. Pasivos de los segmentos</v>
          </cell>
        </row>
        <row r="571">
          <cell r="D571">
            <v>0</v>
          </cell>
          <cell r="G571" t="str">
            <v/>
          </cell>
          <cell r="H571" t="str">
            <v>Balance</v>
          </cell>
          <cell r="I571" t="str">
            <v>II. Pasivos</v>
          </cell>
          <cell r="J571" t="str">
            <v>2. Pasivos no corrientes</v>
          </cell>
          <cell r="K571" t="str">
            <v>4. Otras Provisiones, no corrientes</v>
          </cell>
          <cell r="U571" t="str">
            <v>4. Otras Provisiones, no corrientes</v>
          </cell>
          <cell r="AH571" t="str">
            <v>III. Pasivos de los segmentos</v>
          </cell>
        </row>
        <row r="572">
          <cell r="D572">
            <v>0</v>
          </cell>
          <cell r="G572" t="str">
            <v/>
          </cell>
          <cell r="H572" t="str">
            <v>Balance</v>
          </cell>
          <cell r="I572" t="str">
            <v>II. Pasivos</v>
          </cell>
          <cell r="J572" t="str">
            <v>2. Pasivos no corrientes</v>
          </cell>
          <cell r="K572" t="str">
            <v>4. Otras Provisiones, no corrientes</v>
          </cell>
          <cell r="U572" t="str">
            <v>4. Otras Provisiones, no corrientes</v>
          </cell>
          <cell r="AH572" t="str">
            <v>III. Pasivos de los segmentos</v>
          </cell>
        </row>
        <row r="573">
          <cell r="D573">
            <v>0</v>
          </cell>
          <cell r="G573" t="str">
            <v/>
          </cell>
          <cell r="H573" t="str">
            <v>Balance</v>
          </cell>
          <cell r="I573" t="str">
            <v>II. Pasivos</v>
          </cell>
          <cell r="J573" t="str">
            <v>2. Pasivos no corrientes</v>
          </cell>
          <cell r="K573" t="str">
            <v>4. Otras Provisiones, no corrientes</v>
          </cell>
          <cell r="U573" t="str">
            <v>4. Otras Provisiones, no corrientes</v>
          </cell>
          <cell r="AH573" t="str">
            <v>III. Pasivos de los segmentos</v>
          </cell>
        </row>
        <row r="574">
          <cell r="D574">
            <v>0</v>
          </cell>
          <cell r="F574" t="str">
            <v>Otras Provisiones a Largo Plazo</v>
          </cell>
          <cell r="G574" t="str">
            <v/>
          </cell>
          <cell r="H574" t="str">
            <v/>
          </cell>
          <cell r="AH574" t="str">
            <v/>
          </cell>
        </row>
        <row r="575">
          <cell r="D575">
            <v>0</v>
          </cell>
        </row>
        <row r="576">
          <cell r="D576">
            <v>0</v>
          </cell>
          <cell r="G576" t="str">
            <v/>
          </cell>
          <cell r="H576" t="str">
            <v/>
          </cell>
          <cell r="I576" t="str">
            <v>II. Pasivos</v>
          </cell>
          <cell r="J576" t="str">
            <v>2. Pasivos no corrientes</v>
          </cell>
          <cell r="K576" t="str">
            <v>5. Pasivo Por Impuestos Diferidos</v>
          </cell>
          <cell r="U576" t="str">
            <v>5. Pasivo Por Impuestos Diferidos</v>
          </cell>
          <cell r="AH576" t="str">
            <v>III. Pasivos de los segmentos</v>
          </cell>
        </row>
        <row r="577">
          <cell r="D577">
            <v>0</v>
          </cell>
          <cell r="F577" t="str">
            <v>Pasivo Por Impuestos Diferidos</v>
          </cell>
          <cell r="G577" t="str">
            <v/>
          </cell>
          <cell r="H577" t="str">
            <v/>
          </cell>
        </row>
        <row r="578">
          <cell r="D578">
            <v>0</v>
          </cell>
        </row>
        <row r="579">
          <cell r="D579">
            <v>0</v>
          </cell>
        </row>
        <row r="580">
          <cell r="D580" t="str">
            <v>2026100010</v>
          </cell>
          <cell r="E580" t="str">
            <v>2026100010</v>
          </cell>
          <cell r="F580" t="str">
            <v>Indemnización Años De Servicios A Todo Evento  Lp</v>
          </cell>
          <cell r="G580" t="str">
            <v>2026100010  Indemnización Años De Servicios A Todo Evento  Lp</v>
          </cell>
          <cell r="H580" t="str">
            <v>Balance</v>
          </cell>
          <cell r="I580" t="str">
            <v>II. Pasivos</v>
          </cell>
          <cell r="J580" t="str">
            <v>2. Pasivos no corrientes</v>
          </cell>
          <cell r="K580" t="str">
            <v>6. Provisiones por Beneficios a los Empleados, no corrientes</v>
          </cell>
          <cell r="U580" t="str">
            <v>6. Provisiones por Beneficios a los Empleados, no corrientes</v>
          </cell>
          <cell r="AH580" t="str">
            <v>III. Pasivos de los segmentos</v>
          </cell>
        </row>
        <row r="581">
          <cell r="D581" t="str">
            <v>2026100020</v>
          </cell>
          <cell r="E581" t="str">
            <v>2026100020</v>
          </cell>
          <cell r="F581" t="str">
            <v>Feriados Del Personal De Largo Plazo</v>
          </cell>
          <cell r="G581" t="str">
            <v>2026100020  Feriados Del Personal De Largo Plazo</v>
          </cell>
          <cell r="H581" t="str">
            <v>Balance</v>
          </cell>
          <cell r="I581" t="str">
            <v>II. Pasivos</v>
          </cell>
          <cell r="J581" t="str">
            <v>2. Pasivos no corrientes</v>
          </cell>
          <cell r="K581" t="str">
            <v>6. Provisiones por Beneficios a los Empleados, no corrientes</v>
          </cell>
          <cell r="U581" t="str">
            <v>6. Provisiones por Beneficios a los Empleados, no corrientes</v>
          </cell>
          <cell r="AH581" t="str">
            <v>III. Pasivos de los segmentos</v>
          </cell>
        </row>
        <row r="582">
          <cell r="D582">
            <v>0</v>
          </cell>
          <cell r="G582" t="str">
            <v/>
          </cell>
          <cell r="H582" t="str">
            <v>Balance</v>
          </cell>
          <cell r="I582" t="str">
            <v>II. Pasivos</v>
          </cell>
          <cell r="J582" t="str">
            <v>2. Pasivos no corrientes</v>
          </cell>
          <cell r="K582" t="str">
            <v>6. Provisiones por Beneficios a los Empleados, no corrientes</v>
          </cell>
          <cell r="U582" t="str">
            <v>6. Provisiones por Beneficios a los Empleados, no corrientes</v>
          </cell>
          <cell r="AH582" t="str">
            <v>III. Pasivos de los segmentos</v>
          </cell>
        </row>
        <row r="583">
          <cell r="D583">
            <v>0</v>
          </cell>
          <cell r="G583" t="str">
            <v/>
          </cell>
          <cell r="H583" t="str">
            <v>Balance</v>
          </cell>
          <cell r="I583" t="str">
            <v>II. Pasivos</v>
          </cell>
          <cell r="J583" t="str">
            <v>2. Pasivos no corrientes</v>
          </cell>
          <cell r="K583" t="str">
            <v>6. Provisiones por Beneficios a los Empleados, no corrientes</v>
          </cell>
          <cell r="U583" t="str">
            <v>6. Provisiones por Beneficios a los Empleados, no corrientes</v>
          </cell>
          <cell r="AH583" t="str">
            <v>III. Pasivos de los segmentos</v>
          </cell>
        </row>
        <row r="584">
          <cell r="D584">
            <v>0</v>
          </cell>
          <cell r="F584" t="str">
            <v>Provisiones No Corrientes Por Beneficios a Los Empleados</v>
          </cell>
          <cell r="G584" t="str">
            <v/>
          </cell>
          <cell r="H584" t="str">
            <v/>
          </cell>
          <cell r="AH584" t="str">
            <v/>
          </cell>
        </row>
        <row r="585">
          <cell r="D585">
            <v>0</v>
          </cell>
          <cell r="F585" t="str">
            <v/>
          </cell>
          <cell r="G585" t="str">
            <v/>
          </cell>
          <cell r="H585" t="str">
            <v/>
          </cell>
          <cell r="AH585" t="str">
            <v/>
          </cell>
        </row>
        <row r="586">
          <cell r="D586" t="str">
            <v>1024300120</v>
          </cell>
          <cell r="E586" t="str">
            <v>1024300120</v>
          </cell>
          <cell r="F586" t="str">
            <v>Proyecto Convento Viejo</v>
          </cell>
          <cell r="G586" t="str">
            <v>1024300120  Proyecto Convento Viejo</v>
          </cell>
          <cell r="H586" t="str">
            <v>Balance</v>
          </cell>
          <cell r="I586" t="str">
            <v>II. Pasivos</v>
          </cell>
          <cell r="J586" t="str">
            <v>2. Pasivos no corrientes</v>
          </cell>
          <cell r="K586" t="str">
            <v>7. Otros pasivos no financieros, no corrientes</v>
          </cell>
          <cell r="U586" t="str">
            <v>7. Otros pasivos no financieros, no corrientes</v>
          </cell>
          <cell r="AH586" t="str">
            <v>III. Pasivos de los segmentos</v>
          </cell>
        </row>
        <row r="587">
          <cell r="D587" t="str">
            <v>2029100010</v>
          </cell>
          <cell r="E587" t="str">
            <v>2029100010</v>
          </cell>
          <cell r="F587" t="str">
            <v>Proyecto Convento Viejo</v>
          </cell>
          <cell r="G587" t="str">
            <v>2029100010  Proyecto Convento Viejo</v>
          </cell>
          <cell r="H587" t="str">
            <v>Balance</v>
          </cell>
          <cell r="I587" t="str">
            <v>II. Pasivos</v>
          </cell>
          <cell r="J587" t="str">
            <v>2. Pasivos no corrientes</v>
          </cell>
          <cell r="K587" t="str">
            <v>7. Otros pasivos no financieros, no corrientes</v>
          </cell>
          <cell r="U587" t="str">
            <v>7. Otros pasivos no financieros, no corrientes</v>
          </cell>
          <cell r="AH587" t="str">
            <v>III. Pasivos de los segmentos</v>
          </cell>
        </row>
        <row r="588">
          <cell r="D588" t="str">
            <v>5110109303</v>
          </cell>
          <cell r="E588" t="str">
            <v>5110109303</v>
          </cell>
          <cell r="F588" t="str">
            <v>Boletas Bancarias En Garantía</v>
          </cell>
          <cell r="G588" t="str">
            <v>5110109303  Boletas Bancarias En Garantía</v>
          </cell>
          <cell r="H588" t="str">
            <v>Balance</v>
          </cell>
          <cell r="I588" t="str">
            <v>II. Pasivos</v>
          </cell>
          <cell r="J588" t="str">
            <v>2. Pasivos no corrientes</v>
          </cell>
          <cell r="K588" t="str">
            <v>7. Otros pasivos no financieros, no corrientes</v>
          </cell>
          <cell r="U588" t="str">
            <v>7. Otros pasivos no financieros, no corrientes</v>
          </cell>
          <cell r="AH588" t="str">
            <v>III. Pasivos de los segmentos</v>
          </cell>
        </row>
        <row r="589">
          <cell r="D589" t="str">
            <v>5110109310</v>
          </cell>
          <cell r="E589" t="str">
            <v>5110109310</v>
          </cell>
          <cell r="F589" t="str">
            <v>Pólizas Seguros  En Garantía</v>
          </cell>
          <cell r="G589" t="str">
            <v>5110109310  Pólizas Seguros  En Garantía</v>
          </cell>
          <cell r="H589" t="str">
            <v>Balance</v>
          </cell>
          <cell r="I589" t="str">
            <v>II. Pasivos</v>
          </cell>
          <cell r="J589" t="str">
            <v>2. Pasivos no corrientes</v>
          </cell>
          <cell r="K589" t="str">
            <v>7. Otros pasivos no financieros, no corrientes</v>
          </cell>
          <cell r="U589" t="str">
            <v>7. Otros pasivos no financieros, no corrientes</v>
          </cell>
          <cell r="AH589" t="str">
            <v>III. Pasivos de los segmentos</v>
          </cell>
        </row>
        <row r="590">
          <cell r="D590" t="str">
            <v>5220109403</v>
          </cell>
          <cell r="E590" t="str">
            <v>5220109403</v>
          </cell>
          <cell r="F590" t="str">
            <v>Boletas En Garantías</v>
          </cell>
          <cell r="G590" t="str">
            <v>5220109403  Boletas En Garantías</v>
          </cell>
          <cell r="H590" t="str">
            <v>Balance</v>
          </cell>
          <cell r="I590" t="str">
            <v>II. Pasivos</v>
          </cell>
          <cell r="J590" t="str">
            <v>2. Pasivos no corrientes</v>
          </cell>
          <cell r="K590" t="str">
            <v>7. Otros pasivos no financieros, no corrientes</v>
          </cell>
          <cell r="U590" t="str">
            <v>7. Otros pasivos no financieros, no corrientes</v>
          </cell>
          <cell r="AH590" t="str">
            <v>III. Pasivos de los segmentos</v>
          </cell>
        </row>
        <row r="591">
          <cell r="D591" t="str">
            <v>5110109306</v>
          </cell>
          <cell r="E591" t="str">
            <v>5110109306</v>
          </cell>
          <cell r="F591" t="str">
            <v>Documentos En Garantía</v>
          </cell>
          <cell r="G591" t="str">
            <v>5110109306  Documentos En Garantía</v>
          </cell>
          <cell r="H591" t="str">
            <v>Balance</v>
          </cell>
          <cell r="I591" t="str">
            <v>II. Pasivos</v>
          </cell>
          <cell r="J591" t="str">
            <v>2. Pasivos no corrientes</v>
          </cell>
          <cell r="K591" t="str">
            <v>7. Otros pasivos no financieros, no corrientes</v>
          </cell>
          <cell r="U591" t="str">
            <v>7. Otros pasivos no financieros, no corrientes</v>
          </cell>
          <cell r="AH591" t="str">
            <v>III. Pasivos de los segmentos</v>
          </cell>
        </row>
        <row r="592">
          <cell r="D592" t="str">
            <v>5220109410</v>
          </cell>
          <cell r="E592" t="str">
            <v>5220109410</v>
          </cell>
          <cell r="F592" t="str">
            <v>Pólizas Seguros  En Garantía</v>
          </cell>
          <cell r="G592" t="str">
            <v>5220109410  Pólizas Seguros  En Garantía</v>
          </cell>
          <cell r="H592" t="str">
            <v>Balance</v>
          </cell>
          <cell r="I592" t="str">
            <v>II. Pasivos</v>
          </cell>
          <cell r="J592" t="str">
            <v>2. Pasivos no corrientes</v>
          </cell>
          <cell r="K592" t="str">
            <v>7. Otros pasivos no financieros, no corrientes</v>
          </cell>
          <cell r="U592" t="str">
            <v>7. Otros pasivos no financieros, no corrientes</v>
          </cell>
          <cell r="AH592" t="str">
            <v>III. Pasivos de los segmentos</v>
          </cell>
        </row>
        <row r="593">
          <cell r="D593" t="str">
            <v>2029100041</v>
          </cell>
          <cell r="E593" t="str">
            <v>2029100041</v>
          </cell>
          <cell r="F593" t="str">
            <v>Dif.Moneda Acreedores L.Plazo</v>
          </cell>
          <cell r="G593" t="str">
            <v>2029100041  Dif.Moneda Acreedores L.Plazo</v>
          </cell>
          <cell r="H593" t="str">
            <v>Balance</v>
          </cell>
          <cell r="I593" t="str">
            <v>II. Pasivos</v>
          </cell>
          <cell r="J593" t="str">
            <v>2. Pasivos no corrientes</v>
          </cell>
          <cell r="K593" t="str">
            <v>7. Otros pasivos no financieros, no corrientes</v>
          </cell>
          <cell r="U593" t="str">
            <v>7. Otros pasivos no financieros, no corrientes</v>
          </cell>
          <cell r="AH593" t="str">
            <v>III. Pasivos de los segmentos</v>
          </cell>
        </row>
        <row r="594">
          <cell r="D594" t="str">
            <v>2029100060</v>
          </cell>
          <cell r="E594" t="str">
            <v>2029100060</v>
          </cell>
          <cell r="F594" t="str">
            <v>Arriendos Percibidos Anticipadamente Lp</v>
          </cell>
          <cell r="G594" t="str">
            <v>2029100060  Arriendos Percibidos Anticipadamente Lp</v>
          </cell>
          <cell r="H594" t="str">
            <v>Balance</v>
          </cell>
          <cell r="I594" t="str">
            <v>II. Pasivos</v>
          </cell>
          <cell r="J594" t="str">
            <v>2. Pasivos no corrientes</v>
          </cell>
          <cell r="K594" t="str">
            <v>7. Otros pasivos no financieros, no corrientes</v>
          </cell>
          <cell r="U594" t="str">
            <v>7. Otros pasivos no financieros, no corrientes</v>
          </cell>
          <cell r="AH594" t="str">
            <v>III. Pasivos de los segmentos</v>
          </cell>
        </row>
        <row r="595">
          <cell r="D595" t="str">
            <v>2029100070</v>
          </cell>
          <cell r="E595" t="str">
            <v>2029100070</v>
          </cell>
          <cell r="F595" t="str">
            <v>Ingresos percibidos anticipadamente L.P.</v>
          </cell>
          <cell r="G595" t="str">
            <v>2029100070  Ingresos percibidos anticipadamente L.P.</v>
          </cell>
          <cell r="H595" t="str">
            <v>Balance</v>
          </cell>
          <cell r="I595" t="str">
            <v>II. Pasivos</v>
          </cell>
          <cell r="J595" t="str">
            <v>2. Pasivos no corrientes</v>
          </cell>
          <cell r="K595" t="str">
            <v>7. Otros pasivos no financieros, no corrientes</v>
          </cell>
          <cell r="U595" t="str">
            <v>7. Otros pasivos no financieros, no corrientes</v>
          </cell>
          <cell r="AH595" t="str">
            <v>III. Pasivos de los segmentos</v>
          </cell>
        </row>
        <row r="596">
          <cell r="D596">
            <v>0</v>
          </cell>
          <cell r="G596" t="str">
            <v/>
          </cell>
          <cell r="H596" t="str">
            <v>Balance</v>
          </cell>
          <cell r="I596" t="str">
            <v>II. Pasivos</v>
          </cell>
          <cell r="J596" t="str">
            <v>2. Pasivos no corrientes</v>
          </cell>
          <cell r="K596" t="str">
            <v>7. Otros pasivos no financieros, no corrientes</v>
          </cell>
          <cell r="U596" t="str">
            <v>7. Otros pasivos no financieros, no corrientes</v>
          </cell>
          <cell r="AH596" t="str">
            <v>III. Pasivos de los segmentos</v>
          </cell>
        </row>
        <row r="597">
          <cell r="D597">
            <v>0</v>
          </cell>
          <cell r="G597" t="str">
            <v/>
          </cell>
          <cell r="H597" t="str">
            <v>Balance</v>
          </cell>
          <cell r="I597" t="str">
            <v>II. Pasivos</v>
          </cell>
          <cell r="J597" t="str">
            <v>2. Pasivos no corrientes</v>
          </cell>
          <cell r="K597" t="str">
            <v>7. Otros pasivos no financieros, no corrientes</v>
          </cell>
          <cell r="U597" t="str">
            <v>7. Otros pasivos no financieros, no corrientes</v>
          </cell>
          <cell r="AH597" t="str">
            <v>III. Pasivos de los segmentos</v>
          </cell>
        </row>
        <row r="598">
          <cell r="D598">
            <v>0</v>
          </cell>
          <cell r="G598" t="str">
            <v/>
          </cell>
          <cell r="H598" t="str">
            <v>Balance</v>
          </cell>
          <cell r="I598" t="str">
            <v>II. Pasivos</v>
          </cell>
          <cell r="J598" t="str">
            <v>2. Pasivos no corrientes</v>
          </cell>
          <cell r="K598" t="str">
            <v>7. Otros pasivos no financieros, no corrientes</v>
          </cell>
          <cell r="U598" t="str">
            <v>7. Otros pasivos no financieros, no corrientes</v>
          </cell>
          <cell r="AH598" t="str">
            <v>III. Pasivos de los segmentos</v>
          </cell>
        </row>
        <row r="599">
          <cell r="D599">
            <v>0</v>
          </cell>
          <cell r="F599" t="str">
            <v>Otros Pasivos No Financieros No Corrientes</v>
          </cell>
          <cell r="G599" t="str">
            <v/>
          </cell>
          <cell r="H599" t="str">
            <v/>
          </cell>
          <cell r="AH599" t="str">
            <v/>
          </cell>
        </row>
        <row r="600">
          <cell r="D600">
            <v>0</v>
          </cell>
          <cell r="F600" t="str">
            <v/>
          </cell>
          <cell r="G600" t="str">
            <v/>
          </cell>
          <cell r="H600" t="str">
            <v/>
          </cell>
          <cell r="AH600" t="str">
            <v/>
          </cell>
        </row>
        <row r="601">
          <cell r="D601">
            <v>0</v>
          </cell>
          <cell r="F601" t="str">
            <v>Total De Pasivos No Corrientes</v>
          </cell>
          <cell r="G601" t="str">
            <v/>
          </cell>
          <cell r="H601" t="str">
            <v/>
          </cell>
          <cell r="I601" t="str">
            <v>II. Pasivos</v>
          </cell>
          <cell r="J601" t="str">
            <v>2. Pasivos no corrientes</v>
          </cell>
          <cell r="AH601" t="str">
            <v>III. Pasivos de los segmentos</v>
          </cell>
        </row>
        <row r="602">
          <cell r="D602">
            <v>0</v>
          </cell>
          <cell r="F602" t="str">
            <v/>
          </cell>
          <cell r="G602" t="str">
            <v/>
          </cell>
          <cell r="H602" t="str">
            <v/>
          </cell>
          <cell r="AH602" t="str">
            <v/>
          </cell>
        </row>
        <row r="603">
          <cell r="D603">
            <v>0</v>
          </cell>
          <cell r="F603" t="str">
            <v>Total De Activos</v>
          </cell>
          <cell r="G603" t="str">
            <v/>
          </cell>
          <cell r="H603" t="str">
            <v/>
          </cell>
          <cell r="I603" t="str">
            <v>II. Pasivos</v>
          </cell>
          <cell r="J603" t="str">
            <v>2. Pasivos no corrientes</v>
          </cell>
          <cell r="AH603" t="str">
            <v>III. Pasivos de los segmentos</v>
          </cell>
        </row>
        <row r="604">
          <cell r="D604">
            <v>0</v>
          </cell>
          <cell r="F604" t="str">
            <v/>
          </cell>
          <cell r="G604" t="str">
            <v/>
          </cell>
          <cell r="H604" t="str">
            <v/>
          </cell>
          <cell r="AH604" t="str">
            <v/>
          </cell>
        </row>
        <row r="605">
          <cell r="D605">
            <v>0</v>
          </cell>
          <cell r="G605" t="str">
            <v/>
          </cell>
          <cell r="AH605" t="str">
            <v/>
          </cell>
        </row>
        <row r="606">
          <cell r="D606">
            <v>0</v>
          </cell>
          <cell r="F606" t="str">
            <v>Interés minoritario</v>
          </cell>
          <cell r="G606" t="str">
            <v/>
          </cell>
          <cell r="AH606" t="str">
            <v/>
          </cell>
        </row>
        <row r="607">
          <cell r="D607" t="str">
            <v>2039999999</v>
          </cell>
          <cell r="E607" t="str">
            <v>2039999999</v>
          </cell>
          <cell r="F607" t="str">
            <v>Interés minoritario</v>
          </cell>
          <cell r="G607" t="str">
            <v>2039999999  Interés minoritario</v>
          </cell>
          <cell r="H607" t="str">
            <v>Balance</v>
          </cell>
          <cell r="I607" t="str">
            <v>II. Pasivos</v>
          </cell>
          <cell r="J607" t="str">
            <v>4. Interés Minoritario</v>
          </cell>
          <cell r="K607" t="str">
            <v>1. Participaciones no controladoras</v>
          </cell>
          <cell r="U607" t="str">
            <v>1. Participaciones no controladoras</v>
          </cell>
          <cell r="AH607" t="str">
            <v>III. Pasivos de los segmentos</v>
          </cell>
        </row>
        <row r="608">
          <cell r="D608">
            <v>0</v>
          </cell>
          <cell r="G608" t="str">
            <v/>
          </cell>
          <cell r="AH608" t="str">
            <v/>
          </cell>
        </row>
        <row r="609">
          <cell r="D609">
            <v>0</v>
          </cell>
          <cell r="G609" t="str">
            <v/>
          </cell>
          <cell r="AH609" t="str">
            <v/>
          </cell>
        </row>
        <row r="610">
          <cell r="D610">
            <v>0</v>
          </cell>
          <cell r="G610" t="str">
            <v/>
          </cell>
          <cell r="AH610" t="str">
            <v/>
          </cell>
        </row>
        <row r="611">
          <cell r="D611">
            <v>0</v>
          </cell>
          <cell r="F611" t="str">
            <v>Patrimonio</v>
          </cell>
          <cell r="G611" t="str">
            <v/>
          </cell>
          <cell r="H611" t="str">
            <v/>
          </cell>
          <cell r="AH611" t="str">
            <v/>
          </cell>
        </row>
        <row r="612">
          <cell r="D612">
            <v>0</v>
          </cell>
          <cell r="F612" t="str">
            <v/>
          </cell>
          <cell r="G612" t="str">
            <v/>
          </cell>
          <cell r="H612" t="str">
            <v/>
          </cell>
          <cell r="AH612" t="str">
            <v/>
          </cell>
        </row>
        <row r="613">
          <cell r="D613" t="str">
            <v>2031100010</v>
          </cell>
          <cell r="E613" t="str">
            <v>2031100010</v>
          </cell>
          <cell r="F613" t="str">
            <v>Capital</v>
          </cell>
          <cell r="G613" t="str">
            <v>2031100010  Capital</v>
          </cell>
          <cell r="H613" t="str">
            <v>Balance</v>
          </cell>
          <cell r="I613" t="str">
            <v>II. Pasivos</v>
          </cell>
          <cell r="J613" t="str">
            <v>3. Patrimonio</v>
          </cell>
          <cell r="K613" t="str">
            <v>1. Capital Emitido</v>
          </cell>
          <cell r="L613" t="str">
            <v>Patrimonio atribuible a los Socias de la contrroladora</v>
          </cell>
          <cell r="U613" t="str">
            <v>1. Capital Emitido</v>
          </cell>
          <cell r="AG613" t="str">
            <v>Capital Emitido</v>
          </cell>
          <cell r="AH613" t="str">
            <v>III. Pasivos de los segmentos</v>
          </cell>
        </row>
        <row r="614">
          <cell r="D614">
            <v>0</v>
          </cell>
          <cell r="F614" t="str">
            <v>Capital Emitido</v>
          </cell>
          <cell r="G614" t="str">
            <v/>
          </cell>
          <cell r="H614" t="str">
            <v/>
          </cell>
          <cell r="AH614" t="str">
            <v/>
          </cell>
        </row>
        <row r="615">
          <cell r="D615">
            <v>0</v>
          </cell>
        </row>
        <row r="616">
          <cell r="D616" t="str">
            <v>2035100010</v>
          </cell>
          <cell r="E616" t="str">
            <v>2035100010</v>
          </cell>
          <cell r="F616" t="str">
            <v>Utilidad (Pérdida) del Ejercicio</v>
          </cell>
          <cell r="G616" t="str">
            <v>2035100010  Utilidad (Pérdida) del Ejercicio</v>
          </cell>
          <cell r="H616" t="str">
            <v>Balance</v>
          </cell>
          <cell r="I616" t="str">
            <v>II. Pasivos</v>
          </cell>
          <cell r="J616" t="str">
            <v>3. Patrimonio</v>
          </cell>
          <cell r="K616" t="str">
            <v>2. Ganancias (Pérdidas) Acumuladas</v>
          </cell>
          <cell r="L616" t="str">
            <v>Patrimonio atribuible a los Socias de la contrroladora</v>
          </cell>
          <cell r="U616" t="str">
            <v>2. Ganancias (Pérdidas) del Ejercicio</v>
          </cell>
          <cell r="AG616" t="str">
            <v>Ganacias (Pérdidas) Acum.</v>
          </cell>
          <cell r="AH616" t="str">
            <v>III. Pasivos de los segmentos</v>
          </cell>
        </row>
        <row r="617">
          <cell r="D617" t="str">
            <v>2034100010</v>
          </cell>
          <cell r="E617" t="str">
            <v>2034100010</v>
          </cell>
          <cell r="F617" t="str">
            <v>Pérdidas acumuladas</v>
          </cell>
          <cell r="G617" t="str">
            <v>2034100010  Pérdidas acumuladas</v>
          </cell>
          <cell r="H617" t="str">
            <v>Balance</v>
          </cell>
          <cell r="I617" t="str">
            <v>II. Pasivos</v>
          </cell>
          <cell r="J617" t="str">
            <v>3. Patrimonio</v>
          </cell>
          <cell r="K617" t="str">
            <v>2. Ganancias (Pérdidas) Acumuladas</v>
          </cell>
          <cell r="L617" t="str">
            <v>Patrimonio atribuible a los Socias de la contrroladora</v>
          </cell>
          <cell r="U617" t="str">
            <v>6. Otras Reservas</v>
          </cell>
          <cell r="AG617" t="str">
            <v>Ganacias (Pérdidas) Acum.</v>
          </cell>
          <cell r="AH617" t="str">
            <v>III. Pasivos de los segmentos</v>
          </cell>
        </row>
        <row r="618">
          <cell r="D618">
            <v>0</v>
          </cell>
          <cell r="G618" t="str">
            <v/>
          </cell>
          <cell r="H618" t="str">
            <v>Balance</v>
          </cell>
          <cell r="I618" t="str">
            <v>II. Pasivos</v>
          </cell>
          <cell r="J618" t="str">
            <v>3. Patrimonio</v>
          </cell>
          <cell r="K618" t="str">
            <v>2. Ganancias (Pérdidas) Acumuladas</v>
          </cell>
          <cell r="L618" t="str">
            <v>Patrimonio atribuible a los Socias de la contrroladora</v>
          </cell>
          <cell r="AH618" t="str">
            <v>III. Pasivos de los segmentos</v>
          </cell>
        </row>
        <row r="619">
          <cell r="D619">
            <v>0</v>
          </cell>
          <cell r="F619" t="str">
            <v>Ganacias (Pérdidas) Acumuladas</v>
          </cell>
          <cell r="G619" t="str">
            <v/>
          </cell>
          <cell r="H619" t="str">
            <v/>
          </cell>
          <cell r="AH619" t="str">
            <v/>
          </cell>
        </row>
        <row r="620">
          <cell r="D620">
            <v>0</v>
          </cell>
          <cell r="F620" t="str">
            <v/>
          </cell>
          <cell r="G620" t="str">
            <v/>
          </cell>
          <cell r="H620" t="str">
            <v/>
          </cell>
          <cell r="AH620" t="str">
            <v/>
          </cell>
        </row>
        <row r="621">
          <cell r="D621">
            <v>0</v>
          </cell>
          <cell r="F621" t="str">
            <v/>
          </cell>
          <cell r="G621" t="str">
            <v/>
          </cell>
          <cell r="H621" t="str">
            <v/>
          </cell>
          <cell r="AH621" t="str">
            <v/>
          </cell>
        </row>
        <row r="622">
          <cell r="D622" t="str">
            <v>2033100010</v>
          </cell>
          <cell r="E622" t="str">
            <v>2033100010</v>
          </cell>
          <cell r="F622" t="str">
            <v>Reservas Acumuladas</v>
          </cell>
          <cell r="G622" t="str">
            <v>2033100010  Reservas Acumuladas</v>
          </cell>
          <cell r="H622" t="str">
            <v>Balance</v>
          </cell>
          <cell r="I622" t="str">
            <v>II. Pasivos</v>
          </cell>
          <cell r="J622" t="str">
            <v>3. Patrimonio</v>
          </cell>
          <cell r="K622" t="str">
            <v>6. Otras Reservas</v>
          </cell>
          <cell r="L622" t="str">
            <v>Patrimonio atribuible a los Socios de la controladora</v>
          </cell>
          <cell r="U622" t="str">
            <v>6. Otras Reservas</v>
          </cell>
          <cell r="AG622" t="str">
            <v>Otras Reservas</v>
          </cell>
          <cell r="AH622" t="str">
            <v>III. Pasivos de los segmentos</v>
          </cell>
        </row>
        <row r="623">
          <cell r="D623" t="str">
            <v>2033100020</v>
          </cell>
          <cell r="E623" t="str">
            <v>2033100020</v>
          </cell>
          <cell r="F623" t="str">
            <v>Reserva Por  Bienes Del Activo Fijo</v>
          </cell>
          <cell r="G623" t="str">
            <v>2033100020  Reserva Por  Bienes Del Activo Fijo</v>
          </cell>
          <cell r="H623" t="str">
            <v>Balance</v>
          </cell>
          <cell r="I623" t="str">
            <v>II. Pasivos</v>
          </cell>
          <cell r="J623" t="str">
            <v>3. Patrimonio</v>
          </cell>
          <cell r="K623" t="str">
            <v>6. Otras Reservas</v>
          </cell>
          <cell r="L623" t="str">
            <v>Patrimonio atribuible a los Socios de la controladora</v>
          </cell>
          <cell r="U623" t="str">
            <v>6. Otras Reservas</v>
          </cell>
          <cell r="AG623" t="str">
            <v>Otras Reservas</v>
          </cell>
          <cell r="AH623" t="str">
            <v>III. Pasivos de los segmentos</v>
          </cell>
        </row>
        <row r="624">
          <cell r="D624" t="str">
            <v>2033100030</v>
          </cell>
          <cell r="E624" t="str">
            <v>2033100030</v>
          </cell>
          <cell r="F624" t="str">
            <v>Reserva De Retasación Técnicas  Año 1987</v>
          </cell>
          <cell r="G624" t="str">
            <v>2033100030  Reserva De Retasación Técnicas  Año 1987</v>
          </cell>
          <cell r="H624" t="str">
            <v>Balance</v>
          </cell>
          <cell r="I624" t="str">
            <v>II. Pasivos</v>
          </cell>
          <cell r="J624" t="str">
            <v>3. Patrimonio</v>
          </cell>
          <cell r="K624" t="str">
            <v>6. Otras Reservas</v>
          </cell>
          <cell r="L624" t="str">
            <v>Patrimonio atribuible a los Socios de la controladora</v>
          </cell>
          <cell r="U624" t="str">
            <v>6. Otras Reservas</v>
          </cell>
          <cell r="AG624" t="str">
            <v>Otras Reservas</v>
          </cell>
          <cell r="AH624" t="str">
            <v>III. Pasivos de los segmentos</v>
          </cell>
        </row>
        <row r="625">
          <cell r="D625" t="str">
            <v>2033100040</v>
          </cell>
          <cell r="E625" t="str">
            <v>2033100040</v>
          </cell>
          <cell r="F625" t="str">
            <v>Reserva De Retasación Técnica Año 1993</v>
          </cell>
          <cell r="G625" t="str">
            <v>2033100040  Reserva De Retasación Técnica Año 1993</v>
          </cell>
          <cell r="H625" t="str">
            <v>Balance</v>
          </cell>
          <cell r="I625" t="str">
            <v>II. Pasivos</v>
          </cell>
          <cell r="J625" t="str">
            <v>3. Patrimonio</v>
          </cell>
          <cell r="K625" t="str">
            <v>6. Otras Reservas</v>
          </cell>
          <cell r="L625" t="str">
            <v>Patrimonio atribuible a los Socios de la controladora</v>
          </cell>
          <cell r="U625" t="str">
            <v>6. Otras Reservas</v>
          </cell>
          <cell r="AG625" t="str">
            <v>Otras Reservas</v>
          </cell>
          <cell r="AH625" t="str">
            <v>III. Pasivos de los segmentos</v>
          </cell>
        </row>
        <row r="626">
          <cell r="D626" t="str">
            <v>2033100050</v>
          </cell>
          <cell r="E626" t="str">
            <v>2033100050</v>
          </cell>
          <cell r="F626" t="str">
            <v>Reserva Por Diferencia De Material</v>
          </cell>
          <cell r="G626" t="str">
            <v>2033100050  Reserva Por Diferencia De Material</v>
          </cell>
          <cell r="H626" t="str">
            <v>Balance</v>
          </cell>
          <cell r="I626" t="str">
            <v>II. Pasivos</v>
          </cell>
          <cell r="J626" t="str">
            <v>3. Patrimonio</v>
          </cell>
          <cell r="K626" t="str">
            <v>6. Otras Reservas</v>
          </cell>
          <cell r="L626" t="str">
            <v>Patrimonio atribuible a los Socios de la controladora</v>
          </cell>
          <cell r="U626" t="str">
            <v>6. Otras Reservas</v>
          </cell>
          <cell r="AG626" t="str">
            <v>Otras Reservas</v>
          </cell>
          <cell r="AH626" t="str">
            <v>III. Pasivos de los segmentos</v>
          </cell>
        </row>
        <row r="627">
          <cell r="D627" t="str">
            <v>2033100060</v>
          </cell>
          <cell r="E627" t="str">
            <v>2033100060</v>
          </cell>
          <cell r="F627" t="str">
            <v>Reserva Futuras Capitalizaciones</v>
          </cell>
          <cell r="G627" t="str">
            <v>2033100060  Reserva Futuras Capitalizaciones</v>
          </cell>
          <cell r="H627" t="str">
            <v>Balance</v>
          </cell>
          <cell r="I627" t="str">
            <v>II. Pasivos</v>
          </cell>
          <cell r="J627" t="str">
            <v>3. Patrimonio</v>
          </cell>
          <cell r="K627" t="str">
            <v>6. Otras Reservas</v>
          </cell>
          <cell r="L627" t="str">
            <v>Patrimonio atribuible a los Socios de la controladora</v>
          </cell>
          <cell r="U627" t="str">
            <v>6. Otras Reservas</v>
          </cell>
          <cell r="AG627" t="str">
            <v>Otras Reservas</v>
          </cell>
          <cell r="AH627" t="str">
            <v>III. Pasivos de los segmentos</v>
          </cell>
        </row>
        <row r="628">
          <cell r="D628" t="str">
            <v>2033100070</v>
          </cell>
          <cell r="E628" t="str">
            <v>2033100070</v>
          </cell>
          <cell r="F628" t="str">
            <v>Reserva mayor valor retasación técnica</v>
          </cell>
          <cell r="G628" t="str">
            <v>2033100070  Reserva mayor valor retasación técnica</v>
          </cell>
          <cell r="H628" t="str">
            <v>Balance</v>
          </cell>
          <cell r="I628" t="str">
            <v>II. Pasivos</v>
          </cell>
          <cell r="J628" t="str">
            <v>3. Patrimonio</v>
          </cell>
          <cell r="K628" t="str">
            <v>6. Otras Reservas</v>
          </cell>
          <cell r="L628" t="str">
            <v>Patrimonio atribuible a los Socios de la controladora</v>
          </cell>
          <cell r="U628" t="str">
            <v>6. Otras Reservas</v>
          </cell>
          <cell r="AG628" t="str">
            <v>Otras Reservas</v>
          </cell>
          <cell r="AH628" t="str">
            <v>III. Pasivos de los segmentos</v>
          </cell>
        </row>
        <row r="629">
          <cell r="D629" t="str">
            <v>2033100090</v>
          </cell>
          <cell r="E629" t="str">
            <v>2033100090</v>
          </cell>
          <cell r="F629" t="str">
            <v>Reserva Futuras Capitalizac.Emp.Portuaria Arica</v>
          </cell>
          <cell r="G629" t="str">
            <v>2033100090  Reserva Futuras Capitalizac.Emp.Portuaria Arica</v>
          </cell>
          <cell r="H629" t="str">
            <v>Balance</v>
          </cell>
          <cell r="I629" t="str">
            <v>II. Pasivos</v>
          </cell>
          <cell r="J629" t="str">
            <v>3. Patrimonio</v>
          </cell>
          <cell r="K629" t="str">
            <v>6. Otras Reservas</v>
          </cell>
          <cell r="L629" t="str">
            <v>Patrimonio atribuible a los Socios de la controladora</v>
          </cell>
          <cell r="U629" t="str">
            <v>6. Otras Reservas</v>
          </cell>
          <cell r="AG629" t="str">
            <v>Otras Reservas</v>
          </cell>
          <cell r="AH629" t="str">
            <v>III. Pasivos de los segmentos</v>
          </cell>
        </row>
        <row r="630">
          <cell r="D630" t="str">
            <v>2033100100</v>
          </cell>
          <cell r="E630" t="str">
            <v>2033100100</v>
          </cell>
          <cell r="F630" t="str">
            <v>Otras Reservas IFRS</v>
          </cell>
          <cell r="G630" t="str">
            <v>2033100100  Otras Reservas IFRS</v>
          </cell>
          <cell r="H630" t="str">
            <v>Balance</v>
          </cell>
          <cell r="I630" t="str">
            <v>II. Pasivos</v>
          </cell>
          <cell r="J630" t="str">
            <v>3. Patrimonio</v>
          </cell>
          <cell r="K630" t="str">
            <v>6. Otras Reservas</v>
          </cell>
          <cell r="L630" t="str">
            <v>Patrimonio atribuible a los Socios de la controladora</v>
          </cell>
          <cell r="U630" t="str">
            <v>6. Otras Reservas</v>
          </cell>
          <cell r="AG630" t="str">
            <v>Otras Reservas</v>
          </cell>
          <cell r="AH630" t="str">
            <v>III. Pasivos de los segmentos</v>
          </cell>
        </row>
        <row r="631">
          <cell r="D631" t="str">
            <v>2033100110</v>
          </cell>
          <cell r="E631" t="str">
            <v>2033100110</v>
          </cell>
          <cell r="F631" t="str">
            <v>Reservas Aportes del Estado - Pago Deuda Interna (Bonos)</v>
          </cell>
          <cell r="G631" t="str">
            <v>2033100110  Reservas Aportes del Estado - Pago Deuda Interna (Bonos)</v>
          </cell>
          <cell r="H631" t="str">
            <v>Balance</v>
          </cell>
          <cell r="I631" t="str">
            <v>II. Pasivos</v>
          </cell>
          <cell r="J631" t="str">
            <v>3. Patrimonio</v>
          </cell>
          <cell r="K631" t="str">
            <v>6. Otras Reservas</v>
          </cell>
          <cell r="L631" t="str">
            <v>Patrimonio atribuible a los Socios de la controladora</v>
          </cell>
          <cell r="U631" t="str">
            <v>6. Otras Reservas</v>
          </cell>
          <cell r="AG631" t="str">
            <v>Otras Reservas</v>
          </cell>
          <cell r="AH631" t="str">
            <v>III. Pasivos de los segmentos</v>
          </cell>
        </row>
        <row r="632">
          <cell r="D632" t="str">
            <v>2033100115</v>
          </cell>
          <cell r="E632" t="str">
            <v>2033100115</v>
          </cell>
          <cell r="F632" t="str">
            <v>Reservas Aportes del Estado - Pago Deuda Externa</v>
          </cell>
          <cell r="G632" t="str">
            <v>2033100115  Reservas Aportes del Estado - Pago Deuda Externa</v>
          </cell>
          <cell r="H632" t="str">
            <v>Balance</v>
          </cell>
          <cell r="I632" t="str">
            <v>II. Pasivos</v>
          </cell>
          <cell r="J632" t="str">
            <v>3. Patrimonio</v>
          </cell>
          <cell r="K632" t="str">
            <v>6. Otras Reservas</v>
          </cell>
          <cell r="L632" t="str">
            <v>Patrimonio atribuible a los Socios de la controladora</v>
          </cell>
          <cell r="U632" t="str">
            <v>6. Otras Reservas</v>
          </cell>
          <cell r="AG632" t="str">
            <v>Otras Reservas</v>
          </cell>
          <cell r="AH632" t="str">
            <v>III. Pasivos de los segmentos</v>
          </cell>
        </row>
        <row r="633">
          <cell r="D633" t="str">
            <v>2033100130</v>
          </cell>
          <cell r="E633" t="str">
            <v>2033100130</v>
          </cell>
          <cell r="F633" t="str">
            <v>Reservas Aportes del Estado Pago Impuestos</v>
          </cell>
          <cell r="G633" t="str">
            <v>2033100130  Reservas Aportes del Estado Pago Impuestos</v>
          </cell>
          <cell r="H633" t="str">
            <v>Balance</v>
          </cell>
          <cell r="I633" t="str">
            <v>II. Pasivos</v>
          </cell>
          <cell r="J633" t="str">
            <v>3. Patrimonio</v>
          </cell>
          <cell r="K633" t="str">
            <v>6. Otras Reservas</v>
          </cell>
          <cell r="L633" t="str">
            <v>Patrimonio atribuible a los Socios de la controladora</v>
          </cell>
          <cell r="U633" t="str">
            <v>6. Otras Reservas</v>
          </cell>
          <cell r="AG633" t="str">
            <v>Otras Reservas</v>
          </cell>
          <cell r="AH633" t="str">
            <v>III. Pasivos de los segmentos</v>
          </cell>
        </row>
        <row r="634">
          <cell r="D634" t="str">
            <v>2033100135</v>
          </cell>
          <cell r="E634" t="str">
            <v>2033100135</v>
          </cell>
          <cell r="F634" t="str">
            <v>Reservas Aportes del Estado - Mant. Infraestructura</v>
          </cell>
          <cell r="G634" t="str">
            <v>2033100135  Reservas Aportes del Estado - Mant. Infraestructura</v>
          </cell>
          <cell r="H634" t="str">
            <v>Balance</v>
          </cell>
          <cell r="I634" t="str">
            <v>II. Pasivos</v>
          </cell>
          <cell r="J634" t="str">
            <v>3. Patrimonio</v>
          </cell>
          <cell r="K634" t="str">
            <v>6. Otras Reservas</v>
          </cell>
          <cell r="L634" t="str">
            <v>Patrimonio atribuible a los Socios de la controladora</v>
          </cell>
          <cell r="U634" t="str">
            <v>6. Otras Reservas</v>
          </cell>
          <cell r="AG634" t="str">
            <v>Otras Reservas</v>
          </cell>
          <cell r="AH634" t="str">
            <v>III. Pasivos de los segmentos</v>
          </cell>
        </row>
        <row r="635">
          <cell r="D635" t="str">
            <v>2033100200</v>
          </cell>
          <cell r="E635" t="str">
            <v>2033100200</v>
          </cell>
          <cell r="F635" t="str">
            <v>Otras resultados integrales</v>
          </cell>
          <cell r="G635" t="str">
            <v>2033100200  Otras resultados integrales</v>
          </cell>
          <cell r="H635" t="str">
            <v>Balance</v>
          </cell>
          <cell r="I635" t="str">
            <v>II. Pasivos</v>
          </cell>
          <cell r="J635" t="str">
            <v>3. Patrimonio</v>
          </cell>
          <cell r="K635" t="str">
            <v>6. Otras Reservas</v>
          </cell>
          <cell r="L635" t="str">
            <v>Patrimonio atribuible a los Socios de la controladora</v>
          </cell>
          <cell r="U635" t="str">
            <v>6. Otras Reservas</v>
          </cell>
          <cell r="AG635" t="str">
            <v>Otras Reservas</v>
          </cell>
          <cell r="AH635" t="str">
            <v>III. Pasivos de los segmentos</v>
          </cell>
        </row>
        <row r="636">
          <cell r="D636" t="str">
            <v>2033100300</v>
          </cell>
          <cell r="E636" t="str">
            <v>2033100300</v>
          </cell>
          <cell r="F636" t="str">
            <v>Coberturas de flujos de caja</v>
          </cell>
          <cell r="G636" t="str">
            <v>2033100300  Coberturas de flujos de caja</v>
          </cell>
          <cell r="H636" t="str">
            <v>Balance</v>
          </cell>
          <cell r="I636" t="str">
            <v>II. Pasivos</v>
          </cell>
          <cell r="J636" t="str">
            <v>3. Patrimonio</v>
          </cell>
          <cell r="K636" t="str">
            <v>6. Otras Reservas</v>
          </cell>
          <cell r="L636" t="str">
            <v>Patrimonio atribuible a los Socios de la controladora</v>
          </cell>
          <cell r="U636" t="str">
            <v>6. Otras Reservas</v>
          </cell>
          <cell r="AG636" t="str">
            <v>Reservas cob. flujo de caja</v>
          </cell>
          <cell r="AH636" t="str">
            <v>III. Pasivos de los segmentos</v>
          </cell>
        </row>
        <row r="637">
          <cell r="D637" t="str">
            <v>2033100400</v>
          </cell>
          <cell r="E637" t="str">
            <v>2033100400</v>
          </cell>
          <cell r="F637" t="str">
            <v>Corrección Monetaria Capital años anteriores</v>
          </cell>
          <cell r="G637" t="str">
            <v>2033100400  Corrección Monetaria Capital años anteriores</v>
          </cell>
          <cell r="H637" t="str">
            <v>Balance</v>
          </cell>
          <cell r="I637" t="str">
            <v>II. Pasivos</v>
          </cell>
          <cell r="J637" t="str">
            <v>3. Patrimonio</v>
          </cell>
          <cell r="K637" t="str">
            <v>6. Otras Reservas</v>
          </cell>
          <cell r="L637" t="str">
            <v>Patrimonio atribuible a los Socios de la controladora</v>
          </cell>
          <cell r="U637" t="str">
            <v>6. Otras Reservas</v>
          </cell>
          <cell r="AG637" t="str">
            <v>Otras Reservas</v>
          </cell>
          <cell r="AH637" t="str">
            <v>III. Pasivos de los segmentos</v>
          </cell>
        </row>
        <row r="638">
          <cell r="D638" t="str">
            <v>2034100020</v>
          </cell>
          <cell r="E638" t="str">
            <v>2034100020</v>
          </cell>
          <cell r="F638" t="str">
            <v>Déficit acumulado período desarrollo</v>
          </cell>
          <cell r="G638" t="str">
            <v>2034100020  Déficit acumulado período desarrollo</v>
          </cell>
          <cell r="H638" t="str">
            <v>Balance</v>
          </cell>
          <cell r="I638" t="str">
            <v>II. Pasivos</v>
          </cell>
          <cell r="J638" t="str">
            <v>3. Patrimonio</v>
          </cell>
          <cell r="K638" t="str">
            <v>6. Otras Reservas</v>
          </cell>
          <cell r="L638" t="str">
            <v>Patrimonio atribuible a los Socios de la controladora</v>
          </cell>
          <cell r="U638" t="str">
            <v>6. Otras Reservas</v>
          </cell>
          <cell r="AG638" t="str">
            <v>Otras Reservas</v>
          </cell>
          <cell r="AH638" t="str">
            <v>III. Pasivos de los segmentos</v>
          </cell>
        </row>
        <row r="639">
          <cell r="D639" t="str">
            <v>2033100080</v>
          </cell>
          <cell r="E639" t="str">
            <v>2033100080</v>
          </cell>
          <cell r="F639" t="str">
            <v>Sobreprecio Venta De Acciones</v>
          </cell>
          <cell r="G639" t="str">
            <v>2033100080  Sobreprecio Venta De Acciones</v>
          </cell>
          <cell r="H639" t="str">
            <v>Balance</v>
          </cell>
          <cell r="I639" t="str">
            <v>II. Pasivos</v>
          </cell>
          <cell r="J639" t="str">
            <v>3. Patrimonio</v>
          </cell>
          <cell r="K639" t="str">
            <v>6. Otras Reservas</v>
          </cell>
          <cell r="L639" t="str">
            <v>Patrimonio atribuible a los Socios de la controladora</v>
          </cell>
          <cell r="U639" t="str">
            <v>6. Otras Reservas</v>
          </cell>
          <cell r="AG639" t="str">
            <v>Otras Reservas</v>
          </cell>
          <cell r="AH639" t="str">
            <v>III. Pasivos de los segmentos</v>
          </cell>
        </row>
        <row r="640">
          <cell r="D640" t="str">
            <v>1011100015</v>
          </cell>
          <cell r="E640" t="str">
            <v>1011100015</v>
          </cell>
          <cell r="F640" t="str">
            <v>Acciones Suscritas Por Cobrar</v>
          </cell>
          <cell r="G640" t="str">
            <v>1011100015  Acciones Suscritas Por Cobrar</v>
          </cell>
          <cell r="H640" t="str">
            <v>Balance</v>
          </cell>
          <cell r="I640" t="str">
            <v>II. Pasivos</v>
          </cell>
          <cell r="J640" t="str">
            <v>3. Patrimonio</v>
          </cell>
          <cell r="K640" t="str">
            <v>6. Otras Reservas</v>
          </cell>
          <cell r="L640" t="str">
            <v>Patrimonio atribuible a los Socios de la controladora</v>
          </cell>
          <cell r="U640" t="str">
            <v>6. Otras Reservas</v>
          </cell>
          <cell r="AG640" t="str">
            <v>Otras Reservas</v>
          </cell>
          <cell r="AH640" t="str">
            <v>III. Pasivos de los segmentos</v>
          </cell>
        </row>
        <row r="641">
          <cell r="D641" t="str">
            <v>2032100010</v>
          </cell>
          <cell r="E641" t="str">
            <v>2032100010</v>
          </cell>
          <cell r="F641" t="str">
            <v>Reserva Revalorización Capital</v>
          </cell>
          <cell r="G641" t="str">
            <v>2032100010  Reserva Revalorización Capital</v>
          </cell>
          <cell r="H641" t="str">
            <v>Balance</v>
          </cell>
          <cell r="I641" t="str">
            <v>II. Pasivos</v>
          </cell>
          <cell r="J641" t="str">
            <v>3. Patrimonio</v>
          </cell>
          <cell r="K641" t="str">
            <v>6. Otras Reservas</v>
          </cell>
          <cell r="L641" t="str">
            <v>Patrimonio atribuible a los Socios de la controladora</v>
          </cell>
          <cell r="U641" t="str">
            <v>6. Otras Reservas</v>
          </cell>
          <cell r="AG641" t="str">
            <v>Otras Reservas</v>
          </cell>
          <cell r="AH641" t="str">
            <v>III. Pasivos de los segmentos</v>
          </cell>
        </row>
        <row r="642">
          <cell r="D642" t="str">
            <v>2033100500</v>
          </cell>
          <cell r="E642" t="str">
            <v>2033100500</v>
          </cell>
          <cell r="F642" t="str">
            <v>Otras Reservas (1)</v>
          </cell>
          <cell r="G642" t="str">
            <v>2033100500  Otras Reservas (1)</v>
          </cell>
          <cell r="H642" t="str">
            <v>Balance</v>
          </cell>
          <cell r="I642" t="str">
            <v>II. Pasivos</v>
          </cell>
          <cell r="J642" t="str">
            <v>3. Patrimonio</v>
          </cell>
          <cell r="K642" t="str">
            <v>6. Otras Reservas</v>
          </cell>
          <cell r="L642" t="str">
            <v>Patrimonio atribuible a los Socios de la controladora</v>
          </cell>
          <cell r="U642" t="str">
            <v>6. Otras Reservas</v>
          </cell>
          <cell r="AG642" t="str">
            <v>Otras Reservas</v>
          </cell>
          <cell r="AH642" t="str">
            <v>III. Pasivos de los segmentos</v>
          </cell>
        </row>
        <row r="643">
          <cell r="D643" t="str">
            <v>2033100600</v>
          </cell>
          <cell r="E643" t="str">
            <v>2033100600</v>
          </cell>
          <cell r="F643" t="str">
            <v>Otras Reservas (2)</v>
          </cell>
          <cell r="G643" t="str">
            <v>2033100600  Otras Reservas (2)</v>
          </cell>
          <cell r="H643" t="str">
            <v>Balance</v>
          </cell>
          <cell r="I643" t="str">
            <v>II. Pasivos</v>
          </cell>
          <cell r="J643" t="str">
            <v>3. Patrimonio</v>
          </cell>
          <cell r="K643" t="str">
            <v>6. Otras Reservas</v>
          </cell>
          <cell r="L643" t="str">
            <v>Patrimonio atribuible a los Socios de la controladora</v>
          </cell>
          <cell r="U643" t="str">
            <v>6. Otras Reservas</v>
          </cell>
          <cell r="AG643" t="str">
            <v>Otras Reservas</v>
          </cell>
          <cell r="AH643" t="str">
            <v>III. Pasivos de los segmentos</v>
          </cell>
        </row>
        <row r="644">
          <cell r="D644">
            <v>0</v>
          </cell>
          <cell r="F644" t="str">
            <v/>
          </cell>
          <cell r="G644" t="str">
            <v/>
          </cell>
          <cell r="H644" t="str">
            <v/>
          </cell>
          <cell r="AH644" t="str">
            <v/>
          </cell>
        </row>
        <row r="645">
          <cell r="D645">
            <v>0</v>
          </cell>
          <cell r="F645" t="str">
            <v>Total Otras Reservas</v>
          </cell>
          <cell r="G645" t="str">
            <v/>
          </cell>
          <cell r="H645" t="str">
            <v/>
          </cell>
          <cell r="AH645" t="str">
            <v/>
          </cell>
        </row>
        <row r="646">
          <cell r="D646">
            <v>0</v>
          </cell>
          <cell r="F646" t="str">
            <v>Patrimonio Atribuible A Los Propietarios De La Controladora</v>
          </cell>
          <cell r="G646" t="str">
            <v/>
          </cell>
          <cell r="H646" t="str">
            <v/>
          </cell>
          <cell r="AG646" t="str">
            <v>Patri. Controladora</v>
          </cell>
          <cell r="AH646" t="str">
            <v/>
          </cell>
        </row>
        <row r="647">
          <cell r="D647">
            <v>0</v>
          </cell>
          <cell r="F647" t="str">
            <v/>
          </cell>
          <cell r="G647" t="str">
            <v/>
          </cell>
          <cell r="H647" t="str">
            <v/>
          </cell>
          <cell r="AH647" t="str">
            <v/>
          </cell>
        </row>
        <row r="648">
          <cell r="D648">
            <v>0</v>
          </cell>
          <cell r="F648" t="str">
            <v>Participaciones No Controladas</v>
          </cell>
          <cell r="G648" t="str">
            <v/>
          </cell>
          <cell r="H648" t="str">
            <v/>
          </cell>
          <cell r="I648" t="str">
            <v>II. Pasivos</v>
          </cell>
          <cell r="J648" t="str">
            <v>3. Patrimonio</v>
          </cell>
          <cell r="K648" t="str">
            <v>4. Participaciones no controladas</v>
          </cell>
          <cell r="L648" t="str">
            <v>Otras participaciones</v>
          </cell>
          <cell r="U648" t="str">
            <v>1. Patrimonio - sin resultado del ejercicio</v>
          </cell>
          <cell r="AG648" t="str">
            <v>Particip. No Controladas</v>
          </cell>
          <cell r="AH648" t="str">
            <v>III. Pasivos de los segmentos</v>
          </cell>
        </row>
        <row r="649">
          <cell r="D649">
            <v>0</v>
          </cell>
          <cell r="F649" t="str">
            <v/>
          </cell>
          <cell r="G649" t="str">
            <v/>
          </cell>
          <cell r="H649" t="str">
            <v/>
          </cell>
          <cell r="AH649" t="str">
            <v/>
          </cell>
        </row>
        <row r="650">
          <cell r="D650">
            <v>0</v>
          </cell>
          <cell r="F650" t="str">
            <v>Patrimonio Total</v>
          </cell>
          <cell r="G650" t="str">
            <v/>
          </cell>
          <cell r="H650" t="str">
            <v/>
          </cell>
          <cell r="AH650" t="str">
            <v/>
          </cell>
        </row>
        <row r="651">
          <cell r="D651">
            <v>0</v>
          </cell>
          <cell r="F651" t="str">
            <v>Total De Patrimonio Y Pasivos</v>
          </cell>
          <cell r="G651" t="str">
            <v/>
          </cell>
          <cell r="H651" t="str">
            <v/>
          </cell>
          <cell r="AH651" t="str">
            <v/>
          </cell>
        </row>
        <row r="652">
          <cell r="D652">
            <v>0</v>
          </cell>
          <cell r="G652" t="str">
            <v/>
          </cell>
          <cell r="H652" t="str">
            <v/>
          </cell>
          <cell r="AH652" t="str">
            <v/>
          </cell>
        </row>
        <row r="653">
          <cell r="D653">
            <v>0</v>
          </cell>
          <cell r="F653" t="str">
            <v>Activos</v>
          </cell>
          <cell r="G653" t="str">
            <v/>
          </cell>
          <cell r="H653" t="str">
            <v/>
          </cell>
          <cell r="AH653" t="str">
            <v/>
          </cell>
        </row>
        <row r="654">
          <cell r="D654">
            <v>0</v>
          </cell>
          <cell r="F654" t="str">
            <v>Activos Corrientes</v>
          </cell>
          <cell r="G654" t="str">
            <v/>
          </cell>
          <cell r="H654" t="str">
            <v/>
          </cell>
          <cell r="AH654" t="str">
            <v/>
          </cell>
        </row>
        <row r="655">
          <cell r="D655">
            <v>0</v>
          </cell>
          <cell r="F655" t="str">
            <v>.</v>
          </cell>
          <cell r="G655" t="str">
            <v/>
          </cell>
          <cell r="H655" t="str">
            <v/>
          </cell>
          <cell r="AH655" t="str">
            <v/>
          </cell>
        </row>
        <row r="656">
          <cell r="D656">
            <v>0</v>
          </cell>
          <cell r="F656" t="str">
            <v>.</v>
          </cell>
          <cell r="G656" t="str">
            <v/>
          </cell>
          <cell r="H656" t="str">
            <v/>
          </cell>
          <cell r="AH656" t="str">
            <v/>
          </cell>
        </row>
        <row r="657">
          <cell r="D657" t="str">
            <v>1-1-01-01-01</v>
          </cell>
          <cell r="E657" t="str">
            <v>1-1-01-01-01</v>
          </cell>
          <cell r="F657" t="str">
            <v>Caja Central</v>
          </cell>
          <cell r="G657" t="str">
            <v>1-1-01-01-01  Caja Central</v>
          </cell>
          <cell r="H657" t="str">
            <v>Balance</v>
          </cell>
          <cell r="I657" t="str">
            <v>I. Activos</v>
          </cell>
          <cell r="J657" t="str">
            <v>1. Activos corrientes</v>
          </cell>
          <cell r="K657" t="str">
            <v>1. Efectivo y Equivalentes al Efectivo</v>
          </cell>
          <cell r="L657" t="str">
            <v>A. corrtes. distintos de A. para su disposición clasif. para venta o distrib. a propiet.</v>
          </cell>
          <cell r="U657" t="str">
            <v>1. Efectivo y Equivalentes al Efectivo</v>
          </cell>
          <cell r="AG657" t="str">
            <v>Caja Bancos</v>
          </cell>
          <cell r="AH657" t="str">
            <v>I. Activos de los segmentos</v>
          </cell>
        </row>
        <row r="658">
          <cell r="D658" t="str">
            <v>1-1-01-01-02</v>
          </cell>
          <cell r="E658" t="str">
            <v>1-1-01-01-02</v>
          </cell>
          <cell r="F658" t="str">
            <v>DOCUMENTOS EN CAJA POR DEPOSITAR</v>
          </cell>
          <cell r="G658" t="str">
            <v>1-1-01-01-02  DOCUMENTOS EN CAJA POR DEPOSITAR</v>
          </cell>
          <cell r="H658" t="str">
            <v>Balance</v>
          </cell>
          <cell r="I658" t="str">
            <v>I. Activos</v>
          </cell>
          <cell r="J658" t="str">
            <v>1. Activos corrientes</v>
          </cell>
          <cell r="K658" t="str">
            <v>1. Efectivo y Equivalentes al Efectivo</v>
          </cell>
          <cell r="L658" t="str">
            <v>A. corrtes. distintos de A. para su disposición clasif. para venta o distrib. a propiet.</v>
          </cell>
          <cell r="U658" t="str">
            <v>1. Efectivo y Equivalentes al Efectivo</v>
          </cell>
          <cell r="AG658" t="str">
            <v>Caja Bancos</v>
          </cell>
          <cell r="AH658" t="str">
            <v>I. Activos de los segmentos</v>
          </cell>
        </row>
        <row r="659">
          <cell r="D659" t="str">
            <v>1-1-01-02-02</v>
          </cell>
          <cell r="E659" t="str">
            <v>1-1-01-02-02</v>
          </cell>
          <cell r="F659" t="str">
            <v>Banco Santander Santiago Iv Etapa</v>
          </cell>
          <cell r="G659" t="str">
            <v>1-1-01-02-02  Banco Santander Santiago Iv Etapa</v>
          </cell>
          <cell r="H659" t="str">
            <v>Balance</v>
          </cell>
          <cell r="I659" t="str">
            <v>I. Activos</v>
          </cell>
          <cell r="J659" t="str">
            <v>1. Activos corrientes</v>
          </cell>
          <cell r="K659" t="str">
            <v>1. Efectivo y Equivalentes al Efectivo</v>
          </cell>
          <cell r="L659" t="str">
            <v>A. corrtes. distintos de A. para su disposición clasif. para venta o distrib. a propiet.</v>
          </cell>
          <cell r="U659" t="str">
            <v>1. Efectivo y Equivalentes al Efectivo</v>
          </cell>
          <cell r="AG659" t="str">
            <v>Caja Bancos</v>
          </cell>
          <cell r="AH659" t="str">
            <v>I. Activos de los segmentos</v>
          </cell>
        </row>
        <row r="660">
          <cell r="D660" t="str">
            <v>1-1-01-02-03</v>
          </cell>
          <cell r="E660" t="str">
            <v>1-1-01-02-03</v>
          </cell>
          <cell r="F660" t="str">
            <v>Banco Santander Santiago</v>
          </cell>
          <cell r="G660" t="str">
            <v>1-1-01-02-03  Banco Santander Santiago</v>
          </cell>
          <cell r="H660" t="str">
            <v>Balance</v>
          </cell>
          <cell r="I660" t="str">
            <v>I. Activos</v>
          </cell>
          <cell r="J660" t="str">
            <v>1. Activos corrientes</v>
          </cell>
          <cell r="K660" t="str">
            <v>1. Efectivo y Equivalentes al Efectivo</v>
          </cell>
          <cell r="L660" t="str">
            <v>A. corrtes. distintos de A. para su disposición clasif. para venta o distrib. a propiet.</v>
          </cell>
          <cell r="U660" t="str">
            <v>1. Efectivo y Equivalentes al Efectivo</v>
          </cell>
          <cell r="AG660" t="str">
            <v>Caja Bancos</v>
          </cell>
          <cell r="AH660" t="str">
            <v>I. Activos de los segmentos</v>
          </cell>
        </row>
        <row r="661">
          <cell r="D661" t="str">
            <v>1-1-01-02-04</v>
          </cell>
          <cell r="E661" t="str">
            <v>1-1-01-02-04</v>
          </cell>
          <cell r="F661" t="str">
            <v>Banco Del Desarrollo</v>
          </cell>
          <cell r="G661" t="str">
            <v>1-1-01-02-04  Banco Del Desarrollo</v>
          </cell>
          <cell r="H661" t="str">
            <v>Balance</v>
          </cell>
          <cell r="I661" t="str">
            <v>I. Activos</v>
          </cell>
          <cell r="J661" t="str">
            <v>1. Activos corrientes</v>
          </cell>
          <cell r="K661" t="str">
            <v>1. Efectivo y Equivalentes al Efectivo</v>
          </cell>
          <cell r="L661" t="str">
            <v>A. corrtes. distintos de A. para su disposición clasif. para venta o distrib. a propiet.</v>
          </cell>
          <cell r="U661" t="str">
            <v>1. Efectivo y Equivalentes al Efectivo</v>
          </cell>
          <cell r="AG661" t="str">
            <v>Caja Bancos</v>
          </cell>
          <cell r="AH661" t="str">
            <v>I. Activos de los segmentos</v>
          </cell>
        </row>
        <row r="662">
          <cell r="D662" t="str">
            <v>1-1-02-01-02</v>
          </cell>
          <cell r="E662" t="str">
            <v>1-1-02-01-02</v>
          </cell>
          <cell r="F662" t="str">
            <v>Inversion Fondos Mutuos</v>
          </cell>
          <cell r="G662" t="str">
            <v>1-1-02-01-02  Inversion Fondos Mutuos</v>
          </cell>
          <cell r="H662" t="str">
            <v>Balance</v>
          </cell>
          <cell r="I662" t="str">
            <v>I. Activos</v>
          </cell>
          <cell r="J662" t="str">
            <v>1. Activos corrientes</v>
          </cell>
          <cell r="K662" t="str">
            <v>1. Efectivo y Equivalentes al Efectivo</v>
          </cell>
          <cell r="L662" t="str">
            <v>A. corrtes. distintos de A. para su disposición clasif. para venta o distrib. a propiet.</v>
          </cell>
          <cell r="U662" t="str">
            <v>1. Efectivo y Equivalentes al Efectivo</v>
          </cell>
          <cell r="AG662" t="str">
            <v>Cuotas de fondos mutuos</v>
          </cell>
          <cell r="AH662" t="str">
            <v>I. Activos de los segmentos</v>
          </cell>
        </row>
        <row r="663">
          <cell r="D663" t="str">
            <v>1-1-99-01-01</v>
          </cell>
          <cell r="E663" t="str">
            <v>1-1-99-01-01</v>
          </cell>
          <cell r="F663" t="str">
            <v>Fondos Por Rendir Por Única Vez</v>
          </cell>
          <cell r="G663" t="str">
            <v>1-1-99-01-01  Fondos Por Rendir Por Única Vez</v>
          </cell>
          <cell r="H663" t="str">
            <v>Balance</v>
          </cell>
          <cell r="I663" t="str">
            <v>I. Activos</v>
          </cell>
          <cell r="J663" t="str">
            <v>1. Activos corrientes</v>
          </cell>
          <cell r="K663" t="str">
            <v>1. Efectivo y Equivalentes al Efectivo</v>
          </cell>
          <cell r="L663" t="str">
            <v>A. corrtes. distintos de A. para su disposición clasif. para venta o distrib. a propiet.</v>
          </cell>
          <cell r="U663" t="str">
            <v>1. Efectivo y Equivalentes al Efectivo</v>
          </cell>
          <cell r="AG663" t="str">
            <v>Caja Bancos</v>
          </cell>
          <cell r="AH663" t="str">
            <v>I. Activos de los segmentos</v>
          </cell>
        </row>
        <row r="664">
          <cell r="D664" t="str">
            <v>1-1-99-01-02</v>
          </cell>
          <cell r="E664" t="str">
            <v>1-1-99-01-02</v>
          </cell>
          <cell r="F664" t="str">
            <v>Fondos Por Rendir Con Renovación</v>
          </cell>
          <cell r="G664" t="str">
            <v>1-1-99-01-02  Fondos Por Rendir Con Renovación</v>
          </cell>
          <cell r="H664" t="str">
            <v>Balance</v>
          </cell>
          <cell r="I664" t="str">
            <v>I. Activos</v>
          </cell>
          <cell r="J664" t="str">
            <v>1. Activos corrientes</v>
          </cell>
          <cell r="K664" t="str">
            <v>1. Efectivo y Equivalentes al Efectivo</v>
          </cell>
          <cell r="L664" t="str">
            <v>A. corrtes. distintos de A. para su disposición clasif. para venta o distrib. a propiet.</v>
          </cell>
          <cell r="U664" t="str">
            <v>1. Efectivo y Equivalentes al Efectivo</v>
          </cell>
          <cell r="AG664" t="str">
            <v>Caja Bancos</v>
          </cell>
          <cell r="AH664" t="str">
            <v>I. Activos de los segmentos</v>
          </cell>
        </row>
        <row r="665">
          <cell r="D665">
            <v>0</v>
          </cell>
          <cell r="G665" t="str">
            <v/>
          </cell>
          <cell r="H665" t="str">
            <v>Balance</v>
          </cell>
          <cell r="I665" t="str">
            <v>I. Activos</v>
          </cell>
          <cell r="J665" t="str">
            <v>1. Activos corrientes</v>
          </cell>
          <cell r="K665" t="str">
            <v>1. Efectivo y Equivalentes al Efectivo</v>
          </cell>
          <cell r="L665" t="str">
            <v>A. corrtes. distintos de A. para su disposición clasif. para venta o distrib. a propiet.</v>
          </cell>
          <cell r="U665" t="str">
            <v>1. Efectivo y Equivalentes al Efectivo</v>
          </cell>
          <cell r="AH665" t="str">
            <v>I. Activos de los segmentos</v>
          </cell>
        </row>
        <row r="666">
          <cell r="D666">
            <v>0</v>
          </cell>
          <cell r="G666" t="str">
            <v/>
          </cell>
          <cell r="H666" t="str">
            <v>Balance</v>
          </cell>
          <cell r="I666" t="str">
            <v>I. Activos</v>
          </cell>
          <cell r="J666" t="str">
            <v>1. Activos corrientes</v>
          </cell>
          <cell r="K666" t="str">
            <v>1. Efectivo y Equivalentes al Efectivo</v>
          </cell>
          <cell r="L666" t="str">
            <v>A. corrtes. distintos de A. para su disposición clasif. para venta o distrib. a propiet.</v>
          </cell>
          <cell r="U666" t="str">
            <v>1. Efectivo y Equivalentes al Efectivo</v>
          </cell>
          <cell r="AH666" t="str">
            <v>I. Activos de los segmentos</v>
          </cell>
        </row>
        <row r="667">
          <cell r="D667">
            <v>0</v>
          </cell>
          <cell r="F667" t="str">
            <v>Efectivo Y Equivalentes Al Efectivo</v>
          </cell>
          <cell r="G667" t="str">
            <v/>
          </cell>
          <cell r="H667" t="str">
            <v/>
          </cell>
          <cell r="U667" t="str">
            <v/>
          </cell>
          <cell r="AH667" t="str">
            <v/>
          </cell>
        </row>
        <row r="668">
          <cell r="D668">
            <v>0</v>
          </cell>
          <cell r="G668" t="str">
            <v/>
          </cell>
          <cell r="H668" t="str">
            <v>Balance</v>
          </cell>
          <cell r="I668" t="str">
            <v>I. Activos</v>
          </cell>
          <cell r="J668" t="str">
            <v>1. Activos corrientes</v>
          </cell>
          <cell r="K668" t="str">
            <v>2. Otros Activos Financieros, corrientes</v>
          </cell>
          <cell r="L668" t="str">
            <v>A. corrtes. distintos de A. para su disposición clasif. para venta o distrib. a propiet.</v>
          </cell>
          <cell r="U668" t="str">
            <v>2. Otros Activos Financieros, corrientes</v>
          </cell>
          <cell r="AH668" t="str">
            <v>I. Activos de los segmentos</v>
          </cell>
        </row>
        <row r="669">
          <cell r="D669">
            <v>0</v>
          </cell>
          <cell r="G669" t="str">
            <v/>
          </cell>
          <cell r="H669" t="str">
            <v>Balance</v>
          </cell>
          <cell r="I669" t="str">
            <v>I. Activos</v>
          </cell>
          <cell r="J669" t="str">
            <v>1. Activos corrientes</v>
          </cell>
          <cell r="K669" t="str">
            <v>2. Otros Activos Financieros, corrientes</v>
          </cell>
          <cell r="L669" t="str">
            <v>A. corrtes. distintos de A. para su disposición clasif. para venta o distrib. a propiet.</v>
          </cell>
          <cell r="U669" t="str">
            <v>2. Otros Activos Financieros, corrientes</v>
          </cell>
          <cell r="AH669" t="str">
            <v>I. Activos de los segmentos</v>
          </cell>
        </row>
        <row r="670">
          <cell r="D670">
            <v>0</v>
          </cell>
          <cell r="F670" t="str">
            <v>Otros Activos Financieros Corrientes</v>
          </cell>
          <cell r="G670" t="str">
            <v/>
          </cell>
          <cell r="H670" t="str">
            <v/>
          </cell>
          <cell r="U670" t="str">
            <v/>
          </cell>
          <cell r="AH670" t="str">
            <v/>
          </cell>
        </row>
        <row r="671">
          <cell r="D671" t="str">
            <v>1-1-06-01-02</v>
          </cell>
          <cell r="E671" t="str">
            <v>1-1-06-01-02</v>
          </cell>
          <cell r="F671" t="str">
            <v>Cuenta Corriente Del Personal</v>
          </cell>
          <cell r="G671" t="str">
            <v>1-1-06-01-02  Cuenta Corriente Del Personal</v>
          </cell>
          <cell r="H671" t="str">
            <v>Balance</v>
          </cell>
          <cell r="I671" t="str">
            <v>I. Activos</v>
          </cell>
          <cell r="J671" t="str">
            <v>1. Activos corrientes</v>
          </cell>
          <cell r="K671" t="str">
            <v>3. Otros Activos No Financieros, corrientes</v>
          </cell>
          <cell r="L671" t="str">
            <v>A. corrtes. distintos de A. para su disposición clasif. para venta o distrib. a propiet.</v>
          </cell>
          <cell r="U671" t="str">
            <v>3. Otros Activos No Financieros, corrientes</v>
          </cell>
          <cell r="AG671" t="str">
            <v>Deudores varios</v>
          </cell>
          <cell r="AH671" t="str">
            <v>I. Activos de los segmentos</v>
          </cell>
        </row>
        <row r="672">
          <cell r="D672" t="str">
            <v>1-1-06-01-07</v>
          </cell>
          <cell r="E672" t="str">
            <v>1-1-06-01-07</v>
          </cell>
          <cell r="F672" t="str">
            <v>Deudores Varios</v>
          </cell>
          <cell r="G672" t="str">
            <v>1-1-06-01-07  Deudores Varios</v>
          </cell>
          <cell r="H672" t="str">
            <v>Balance</v>
          </cell>
          <cell r="I672" t="str">
            <v>I. Activos</v>
          </cell>
          <cell r="J672" t="str">
            <v>1. Activos corrientes</v>
          </cell>
          <cell r="K672" t="str">
            <v>3. Otros Activos No Financieros, corrientes</v>
          </cell>
          <cell r="L672" t="str">
            <v>A. corrtes. distintos de A. para su disposición clasif. para venta o distrib. a propiet.</v>
          </cell>
          <cell r="U672" t="str">
            <v>3. Otros Activos No Financieros, corrientes</v>
          </cell>
          <cell r="AG672" t="str">
            <v>Deudores varios</v>
          </cell>
          <cell r="AH672" t="str">
            <v>I. Activos de los segmentos</v>
          </cell>
        </row>
        <row r="673">
          <cell r="D673" t="str">
            <v>1-1-06-01-09</v>
          </cell>
          <cell r="E673" t="str">
            <v>1-1-06-01-09</v>
          </cell>
          <cell r="F673" t="str">
            <v>Otros Anticipos Proveedores</v>
          </cell>
          <cell r="G673" t="str">
            <v>1-1-06-01-09  Otros Anticipos Proveedores</v>
          </cell>
          <cell r="H673" t="str">
            <v>Balance</v>
          </cell>
          <cell r="I673" t="str">
            <v>I. Activos</v>
          </cell>
          <cell r="J673" t="str">
            <v>1. Activos corrientes</v>
          </cell>
          <cell r="K673" t="str">
            <v>3. Otros Activos No Financieros, corrientes</v>
          </cell>
          <cell r="L673" t="str">
            <v>A. corrtes. distintos de A. para su disposición clasif. para venta o distrib. a propiet.</v>
          </cell>
          <cell r="U673" t="str">
            <v>3. Otros Activos No Financieros, corrientes</v>
          </cell>
          <cell r="AG673" t="str">
            <v>Deudores varios</v>
          </cell>
          <cell r="AH673" t="str">
            <v>I. Activos de los segmentos</v>
          </cell>
        </row>
        <row r="674">
          <cell r="D674" t="str">
            <v>1-1-99-01-04</v>
          </cell>
          <cell r="E674" t="str">
            <v>1-1-99-01-04</v>
          </cell>
          <cell r="F674" t="str">
            <v>Iv Etapa Garantías En Efectivo Uf</v>
          </cell>
          <cell r="G674" t="str">
            <v>1-1-99-01-04  Iv Etapa Garantías En Efectivo Uf</v>
          </cell>
          <cell r="H674" t="str">
            <v>Balance</v>
          </cell>
          <cell r="I674" t="str">
            <v>I. Activos</v>
          </cell>
          <cell r="J674" t="str">
            <v>1. Activos corrientes</v>
          </cell>
          <cell r="K674" t="str">
            <v>3. Otros Activos No Financieros, corrientes</v>
          </cell>
          <cell r="L674" t="str">
            <v>A. corrtes. distintos de A. para su disposición clasif. para venta o distrib. a propiet.</v>
          </cell>
          <cell r="U674" t="str">
            <v>3. Otros Activos No Financieros, corrientes</v>
          </cell>
          <cell r="AG674" t="str">
            <v>Deudores varios</v>
          </cell>
          <cell r="AH674" t="str">
            <v>I. Activos de los segmentos</v>
          </cell>
        </row>
        <row r="675">
          <cell r="D675">
            <v>0</v>
          </cell>
          <cell r="G675" t="str">
            <v/>
          </cell>
          <cell r="H675" t="str">
            <v>Balance</v>
          </cell>
          <cell r="I675" t="str">
            <v>I. Activos</v>
          </cell>
          <cell r="J675" t="str">
            <v>1. Activos corrientes</v>
          </cell>
          <cell r="K675" t="str">
            <v>3. Otros Activos No Financieros, corrientes</v>
          </cell>
          <cell r="L675" t="str">
            <v>A. corrtes. distintos de A. para su disposición clasif. para venta o distrib. a propiet.</v>
          </cell>
          <cell r="U675" t="str">
            <v>3. Otros Activos No Financieros, corrientes</v>
          </cell>
          <cell r="AG675" t="str">
            <v>Deudores varios</v>
          </cell>
          <cell r="AH675" t="str">
            <v>I. Activos de los segmentos</v>
          </cell>
        </row>
        <row r="676">
          <cell r="D676">
            <v>0</v>
          </cell>
          <cell r="G676" t="str">
            <v/>
          </cell>
          <cell r="H676" t="str">
            <v>Balance</v>
          </cell>
          <cell r="I676" t="str">
            <v>I. Activos</v>
          </cell>
          <cell r="J676" t="str">
            <v>1. Activos corrientes</v>
          </cell>
          <cell r="K676" t="str">
            <v>3. Otros Activos No Financieros, corrientes</v>
          </cell>
          <cell r="L676" t="str">
            <v>A. corrtes. distintos de A. para su disposición clasif. para venta o distrib. a propiet.</v>
          </cell>
          <cell r="U676" t="str">
            <v>3. Otros Activos No Financieros, corrientes</v>
          </cell>
          <cell r="AG676" t="str">
            <v>Deudores varios</v>
          </cell>
          <cell r="AH676" t="str">
            <v>I. Activos de los segmentos</v>
          </cell>
        </row>
        <row r="677">
          <cell r="D677">
            <v>0</v>
          </cell>
          <cell r="G677" t="str">
            <v/>
          </cell>
          <cell r="H677" t="str">
            <v>Balance</v>
          </cell>
          <cell r="I677" t="str">
            <v>I. Activos</v>
          </cell>
          <cell r="J677" t="str">
            <v>1. Activos corrientes</v>
          </cell>
          <cell r="K677" t="str">
            <v>3. Otros Activos No Financieros, corrientes</v>
          </cell>
          <cell r="L677" t="str">
            <v>A. corrtes. distintos de A. para su disposición clasif. para venta o distrib. a propiet.</v>
          </cell>
          <cell r="U677" t="str">
            <v>3. Otros Activos No Financieros, corrientes</v>
          </cell>
          <cell r="AH677" t="str">
            <v>I. Activos de los segmentos</v>
          </cell>
        </row>
        <row r="678">
          <cell r="D678">
            <v>0</v>
          </cell>
          <cell r="F678" t="str">
            <v>Otros Activos No Financieros, Corrientes</v>
          </cell>
          <cell r="G678" t="str">
            <v/>
          </cell>
          <cell r="H678" t="str">
            <v/>
          </cell>
          <cell r="U678" t="str">
            <v/>
          </cell>
          <cell r="AH678" t="str">
            <v/>
          </cell>
        </row>
        <row r="679">
          <cell r="D679" t="str">
            <v>1-1-04-01-01</v>
          </cell>
          <cell r="E679" t="str">
            <v>1-1-04-01-01</v>
          </cell>
          <cell r="F679" t="str">
            <v>Facturas Por Cobrar</v>
          </cell>
          <cell r="G679" t="str">
            <v>1-1-04-01-01  Facturas Por Cobrar</v>
          </cell>
          <cell r="H679" t="str">
            <v>Balance</v>
          </cell>
          <cell r="I679" t="str">
            <v>I. Activos</v>
          </cell>
          <cell r="J679" t="str">
            <v>1. Activos corrientes</v>
          </cell>
          <cell r="K679" t="str">
            <v>4. Deudores Comerciales y otras cuentas por cobrar, corrientes</v>
          </cell>
          <cell r="L679" t="str">
            <v>A. corrtes. distintos de A. para su disposición clasif. para venta o distrib. a propiet.</v>
          </cell>
          <cell r="U679" t="str">
            <v>4. Deudores Comerciales y otras cuentas por cobrar, corrientes</v>
          </cell>
          <cell r="AG679" t="str">
            <v>Deudores varios</v>
          </cell>
          <cell r="AH679" t="str">
            <v>I. Activos de los segmentos</v>
          </cell>
        </row>
        <row r="680">
          <cell r="D680" t="str">
            <v>1-1-04-01-02</v>
          </cell>
          <cell r="E680" t="str">
            <v>1-1-04-01-02</v>
          </cell>
          <cell r="F680" t="str">
            <v>Facturas Por Cobrar ( Para Castigo )</v>
          </cell>
          <cell r="G680" t="str">
            <v>1-1-04-01-02  Facturas Por Cobrar ( Para Castigo )</v>
          </cell>
          <cell r="H680" t="str">
            <v>Balance</v>
          </cell>
          <cell r="I680" t="str">
            <v>I. Activos</v>
          </cell>
          <cell r="J680" t="str">
            <v>1. Activos corrientes</v>
          </cell>
          <cell r="K680" t="str">
            <v>4. Deudores Comerciales y otras cuentas por cobrar, corrientes</v>
          </cell>
          <cell r="L680" t="str">
            <v>A. corrtes. distintos de A. para su disposición clasif. para venta o distrib. a propiet.</v>
          </cell>
          <cell r="U680" t="str">
            <v>4. Deudores Comerciales y otras cuentas por cobrar, corrientes</v>
          </cell>
          <cell r="AG680" t="str">
            <v>Deudores varios</v>
          </cell>
          <cell r="AH680" t="str">
            <v>I. Activos de los segmentos</v>
          </cell>
        </row>
        <row r="681">
          <cell r="D681" t="str">
            <v>1-1-04-02-03</v>
          </cell>
          <cell r="E681" t="str">
            <v>1-1-04-02-03</v>
          </cell>
          <cell r="F681" t="str">
            <v>Ventas  Por Cobrar Transbank Debitos</v>
          </cell>
          <cell r="G681" t="str">
            <v>1-1-04-02-03  Ventas  Por Cobrar Transbank Debitos</v>
          </cell>
          <cell r="H681" t="str">
            <v>Balance</v>
          </cell>
          <cell r="I681" t="str">
            <v>I. Activos</v>
          </cell>
          <cell r="J681" t="str">
            <v>1. Activos corrientes</v>
          </cell>
          <cell r="K681" t="str">
            <v>4. Deudores Comerciales y otras cuentas por cobrar, corrientes</v>
          </cell>
          <cell r="L681" t="str">
            <v>A. corrtes. distintos de A. para su disposición clasif. para venta o distrib. a propiet.</v>
          </cell>
          <cell r="U681" t="str">
            <v>4. Deudores Comerciales y otras cuentas por cobrar, corrientes</v>
          </cell>
          <cell r="AG681" t="str">
            <v>Deudores varios</v>
          </cell>
          <cell r="AH681" t="str">
            <v>I. Activos de los segmentos</v>
          </cell>
        </row>
        <row r="682">
          <cell r="D682" t="str">
            <v>1-1-04-02-04</v>
          </cell>
          <cell r="E682" t="str">
            <v>1-1-04-02-04</v>
          </cell>
          <cell r="F682" t="str">
            <v>Ventas  Por Cobrar Transbank Creditos</v>
          </cell>
          <cell r="G682" t="str">
            <v>1-1-04-02-04  Ventas  Por Cobrar Transbank Creditos</v>
          </cell>
          <cell r="H682" t="str">
            <v>Balance</v>
          </cell>
          <cell r="I682" t="str">
            <v>I. Activos</v>
          </cell>
          <cell r="J682" t="str">
            <v>1. Activos corrientes</v>
          </cell>
          <cell r="K682" t="str">
            <v>4. Deudores Comerciales y otras cuentas por cobrar, corrientes</v>
          </cell>
          <cell r="L682" t="str">
            <v>A. corrtes. distintos de A. para su disposición clasif. para venta o distrib. a propiet.</v>
          </cell>
          <cell r="U682" t="str">
            <v>4. Deudores Comerciales y otras cuentas por cobrar, corrientes</v>
          </cell>
          <cell r="AG682" t="str">
            <v>Deudores varios</v>
          </cell>
          <cell r="AH682" t="str">
            <v>I. Activos de los segmentos</v>
          </cell>
        </row>
        <row r="683">
          <cell r="D683" t="str">
            <v>1-1-05-01-02</v>
          </cell>
          <cell r="E683" t="str">
            <v>1-1-05-01-02</v>
          </cell>
          <cell r="F683" t="str">
            <v>Otros Docs Por Cobrar</v>
          </cell>
          <cell r="G683" t="str">
            <v>1-1-05-01-02  Otros Docs Por Cobrar</v>
          </cell>
          <cell r="H683" t="str">
            <v>Balance</v>
          </cell>
          <cell r="I683" t="str">
            <v>I. Activos</v>
          </cell>
          <cell r="J683" t="str">
            <v>1. Activos corrientes</v>
          </cell>
          <cell r="K683" t="str">
            <v>4. Deudores Comerciales y otras cuentas por cobrar, corrientes</v>
          </cell>
          <cell r="L683" t="str">
            <v>A. corrtes. distintos de A. para su disposición clasif. para venta o distrib. a propiet.</v>
          </cell>
          <cell r="U683" t="str">
            <v>4. Deudores Comerciales y otras cuentas por cobrar, corrientes</v>
          </cell>
          <cell r="AG683" t="str">
            <v>Deudores varios</v>
          </cell>
          <cell r="AH683" t="str">
            <v>I. Activos de los segmentos</v>
          </cell>
        </row>
        <row r="684">
          <cell r="D684" t="str">
            <v>1-1-05-01-03</v>
          </cell>
          <cell r="E684" t="str">
            <v>1-1-05-01-03</v>
          </cell>
          <cell r="F684" t="str">
            <v>Cheques Por Cobrar</v>
          </cell>
          <cell r="G684" t="str">
            <v>1-1-05-01-03  Cheques Por Cobrar</v>
          </cell>
          <cell r="H684" t="str">
            <v>Balance</v>
          </cell>
          <cell r="I684" t="str">
            <v>I. Activos</v>
          </cell>
          <cell r="J684" t="str">
            <v>1. Activos corrientes</v>
          </cell>
          <cell r="K684" t="str">
            <v>4. Deudores Comerciales y otras cuentas por cobrar, corrientes</v>
          </cell>
          <cell r="L684" t="str">
            <v>A. corrtes. distintos de A. para su disposición clasif. para venta o distrib. a propiet.</v>
          </cell>
          <cell r="U684" t="str">
            <v>4. Deudores Comerciales y otras cuentas por cobrar, corrientes</v>
          </cell>
          <cell r="AG684" t="str">
            <v>Documentos por cobrar</v>
          </cell>
          <cell r="AH684" t="str">
            <v>I. Activos de los segmentos</v>
          </cell>
        </row>
        <row r="685">
          <cell r="D685" t="str">
            <v>1-1-06-01-01</v>
          </cell>
          <cell r="E685" t="str">
            <v>1-1-06-01-01</v>
          </cell>
          <cell r="F685" t="str">
            <v>Reparos De Ventas</v>
          </cell>
          <cell r="G685" t="str">
            <v>1-1-06-01-01  Reparos De Ventas</v>
          </cell>
          <cell r="H685" t="str">
            <v>Balance</v>
          </cell>
          <cell r="I685" t="str">
            <v>I. Activos</v>
          </cell>
          <cell r="J685" t="str">
            <v>1. Activos corrientes</v>
          </cell>
          <cell r="K685" t="str">
            <v>4. Deudores Comerciales y otras cuentas por cobrar, corrientes</v>
          </cell>
          <cell r="L685" t="str">
            <v>A. corrtes. distintos de A. para su disposición clasif. para venta o distrib. a propiet.</v>
          </cell>
          <cell r="U685" t="str">
            <v>4. Deudores Comerciales y otras cuentas por cobrar, corrientes</v>
          </cell>
          <cell r="AG685" t="str">
            <v>Deudores varios</v>
          </cell>
          <cell r="AH685" t="str">
            <v>I. Activos de los segmentos</v>
          </cell>
        </row>
        <row r="686">
          <cell r="D686" t="str">
            <v>1-1-10-01-01</v>
          </cell>
          <cell r="E686" t="str">
            <v>1-1-10-01-01</v>
          </cell>
          <cell r="F686" t="str">
            <v>Seguros anticipados</v>
          </cell>
          <cell r="G686" t="str">
            <v>1-1-10-01-01  Seguros anticipados</v>
          </cell>
          <cell r="H686" t="str">
            <v>Balance</v>
          </cell>
          <cell r="I686" t="str">
            <v>I. Activos</v>
          </cell>
          <cell r="J686" t="str">
            <v>1. Activos corrientes</v>
          </cell>
          <cell r="K686" t="str">
            <v>4. Deudores Comerciales y otras cuentas por cobrar, corrientes</v>
          </cell>
          <cell r="L686" t="str">
            <v>A. corrtes. distintos de A. para su disposición clasif. para venta o distrib. a propiet.</v>
          </cell>
          <cell r="U686" t="str">
            <v>4. Deudores Comerciales y otras cuentas por cobrar, corrientes</v>
          </cell>
          <cell r="AG686" t="str">
            <v>Deudores varios</v>
          </cell>
          <cell r="AH686" t="str">
            <v>I. Activos de los segmentos</v>
          </cell>
        </row>
        <row r="687">
          <cell r="D687" t="str">
            <v>2-1-11-01-01</v>
          </cell>
          <cell r="E687" t="str">
            <v>2-1-11-01-01</v>
          </cell>
          <cell r="F687" t="str">
            <v>Estimación Deudas Incobrables Por Ventas</v>
          </cell>
          <cell r="G687" t="str">
            <v>2-1-11-01-01  Estimación Deudas Incobrables Por Ventas</v>
          </cell>
          <cell r="H687" t="str">
            <v>Balance</v>
          </cell>
          <cell r="I687" t="str">
            <v>I. Activos</v>
          </cell>
          <cell r="J687" t="str">
            <v>1. Activos corrientes</v>
          </cell>
          <cell r="K687" t="str">
            <v>4. Deudores Comerciales y otras cuentas por cobrar, corrientes</v>
          </cell>
          <cell r="L687" t="str">
            <v>A. corrtes. distintos de A. para su disposición clasif. para venta o distrib. a propiet.</v>
          </cell>
          <cell r="U687" t="str">
            <v>4. Deudores Comerciales y otras cuentas por cobrar, corrientes</v>
          </cell>
          <cell r="AG687" t="str">
            <v>Provision deudores incobrables</v>
          </cell>
          <cell r="AH687" t="str">
            <v>I. Activos de los segmentos</v>
          </cell>
        </row>
        <row r="688">
          <cell r="D688" t="str">
            <v>1-1-07-01-04</v>
          </cell>
          <cell r="E688" t="str">
            <v>1-1-07-01-04</v>
          </cell>
          <cell r="F688" t="str">
            <v>Subsidio por cobrar a Minisitaerio de Transportes</v>
          </cell>
          <cell r="G688" t="str">
            <v>1-1-07-01-04  Subsidio por cobrar a Minisitaerio de Transportes</v>
          </cell>
          <cell r="H688" t="str">
            <v>Balance</v>
          </cell>
          <cell r="I688" t="str">
            <v>I. Activos</v>
          </cell>
          <cell r="J688" t="str">
            <v>1. Activos corrientes</v>
          </cell>
          <cell r="K688" t="str">
            <v>4. Deudores Comerciales y otras cuentas por cobrar, corrientes</v>
          </cell>
          <cell r="L688" t="str">
            <v>A. corrtes. distintos de A. para su disposición clasif. para venta o distrib. a propiet.</v>
          </cell>
          <cell r="U688" t="str">
            <v>4. Deudores Comerciales y otras cuentas por cobrar, corrientes</v>
          </cell>
          <cell r="AG688" t="str">
            <v xml:space="preserve"> </v>
          </cell>
          <cell r="AH688" t="str">
            <v>I. Activos de los segmentos</v>
          </cell>
        </row>
        <row r="689">
          <cell r="D689">
            <v>0</v>
          </cell>
          <cell r="G689" t="str">
            <v/>
          </cell>
          <cell r="H689" t="str">
            <v>Balance</v>
          </cell>
          <cell r="I689" t="str">
            <v>I. Activos</v>
          </cell>
          <cell r="J689" t="str">
            <v>1. Activos corrientes</v>
          </cell>
          <cell r="K689" t="str">
            <v>4. Deudores Comerciales y otras cuentas por cobrar, corrientes</v>
          </cell>
          <cell r="L689" t="str">
            <v>A. corrtes. distintos de A. para su disposición clasif. para venta o distrib. a propiet.</v>
          </cell>
          <cell r="U689" t="str">
            <v>4. Deudores Comerciales y otras cuentas por cobrar, corrientes</v>
          </cell>
          <cell r="AG689" t="str">
            <v xml:space="preserve"> </v>
          </cell>
          <cell r="AH689" t="str">
            <v>I. Activos de los segmentos</v>
          </cell>
        </row>
        <row r="690">
          <cell r="D690">
            <v>0</v>
          </cell>
          <cell r="G690" t="str">
            <v/>
          </cell>
          <cell r="H690" t="str">
            <v>Balance</v>
          </cell>
          <cell r="I690" t="str">
            <v>I. Activos</v>
          </cell>
          <cell r="J690" t="str">
            <v>1. Activos corrientes</v>
          </cell>
          <cell r="K690" t="str">
            <v>4. Deudores Comerciales y otras cuentas por cobrar, corrientes</v>
          </cell>
          <cell r="L690" t="str">
            <v>A. corrtes. distintos de A. para su disposición clasif. para venta o distrib. a propiet.</v>
          </cell>
          <cell r="U690" t="str">
            <v>4. Deudores Comerciales y otras cuentas por cobrar, corrientes</v>
          </cell>
          <cell r="AG690" t="str">
            <v xml:space="preserve"> </v>
          </cell>
          <cell r="AH690" t="str">
            <v>I. Activos de los segmentos</v>
          </cell>
        </row>
        <row r="691">
          <cell r="D691">
            <v>0</v>
          </cell>
          <cell r="F691" t="str">
            <v>Deudores Comerciales Y Otras Cuentas Por Cobrar Corrientes</v>
          </cell>
          <cell r="G691" t="str">
            <v/>
          </cell>
          <cell r="H691" t="str">
            <v/>
          </cell>
          <cell r="U691" t="str">
            <v/>
          </cell>
          <cell r="AH691" t="str">
            <v/>
          </cell>
        </row>
        <row r="692">
          <cell r="D692" t="str">
            <v>1-1-07-01-01</v>
          </cell>
          <cell r="E692" t="str">
            <v>1-1-07-01-01</v>
          </cell>
          <cell r="F692" t="str">
            <v>Docs Y Ctas Por Cobrar Emp Rel Efe</v>
          </cell>
          <cell r="G692" t="str">
            <v>1-1-07-01-01  Docs Y Ctas Por Cobrar Emp Rel Efe</v>
          </cell>
          <cell r="H692" t="str">
            <v>Balance</v>
          </cell>
          <cell r="I692" t="str">
            <v>I. Activos</v>
          </cell>
          <cell r="J692" t="str">
            <v>1. Activos corrientes</v>
          </cell>
          <cell r="K692" t="str">
            <v>5. Cuentas por Cobrar a Entidades Relacionadas, corrientes</v>
          </cell>
          <cell r="L692" t="str">
            <v>A. corrtes. distintos de A. para su disposición clasif. para venta o distrib. a propiet.</v>
          </cell>
          <cell r="U692" t="str">
            <v>5. Cuentas por Cobrar a Entidades Relacionadas, corrientes</v>
          </cell>
          <cell r="AG692" t="str">
            <v xml:space="preserve"> </v>
          </cell>
          <cell r="AH692" t="str">
            <v>I. Activos de los segmentos</v>
          </cell>
        </row>
        <row r="693">
          <cell r="D693" t="str">
            <v>1-1-07-01-02</v>
          </cell>
          <cell r="E693" t="str">
            <v>1-1-07-01-02</v>
          </cell>
          <cell r="F693" t="str">
            <v>Iv Etapa Doctos.Y Ctas.Por Cobrar A Efe</v>
          </cell>
          <cell r="G693" t="str">
            <v>1-1-07-01-02  Iv Etapa Doctos.Y Ctas.Por Cobrar A Efe</v>
          </cell>
          <cell r="H693" t="str">
            <v>Balance</v>
          </cell>
          <cell r="I693" t="str">
            <v>I. Activos</v>
          </cell>
          <cell r="J693" t="str">
            <v>1. Activos corrientes</v>
          </cell>
          <cell r="K693" t="str">
            <v>5. Cuentas por Cobrar a Entidades Relacionadas, corrientes</v>
          </cell>
          <cell r="L693" t="str">
            <v>A. corrtes. distintos de A. para su disposición clasif. para venta o distrib. a propiet.</v>
          </cell>
          <cell r="U693" t="str">
            <v>5. Cuentas por Cobrar a Entidades Relacionadas, corrientes</v>
          </cell>
          <cell r="AG693" t="str">
            <v xml:space="preserve"> </v>
          </cell>
          <cell r="AH693" t="str">
            <v>I. Activos de los segmentos</v>
          </cell>
        </row>
        <row r="694">
          <cell r="D694">
            <v>0</v>
          </cell>
          <cell r="G694" t="str">
            <v/>
          </cell>
          <cell r="H694" t="str">
            <v>Balance</v>
          </cell>
          <cell r="I694" t="str">
            <v>I. Activos</v>
          </cell>
          <cell r="J694" t="str">
            <v>1. Activos corrientes</v>
          </cell>
          <cell r="K694" t="str">
            <v>5. Cuentas por Cobrar a Entidades Relacionadas, corrientes</v>
          </cell>
          <cell r="L694" t="str">
            <v>A. corrtes. distintos de A. para su disposición clasif. para venta o distrib. a propiet.</v>
          </cell>
          <cell r="U694" t="str">
            <v>5. Cuentas por Cobrar a Entidades Relacionadas, corrientes</v>
          </cell>
          <cell r="AG694" t="str">
            <v xml:space="preserve"> </v>
          </cell>
          <cell r="AH694" t="str">
            <v>I. Activos de los segmentos</v>
          </cell>
        </row>
        <row r="695">
          <cell r="D695">
            <v>0</v>
          </cell>
          <cell r="G695" t="str">
            <v/>
          </cell>
          <cell r="H695" t="str">
            <v>Balance</v>
          </cell>
          <cell r="I695" t="str">
            <v>I. Activos</v>
          </cell>
          <cell r="J695" t="str">
            <v>1. Activos corrientes</v>
          </cell>
          <cell r="K695" t="str">
            <v>5. Cuentas por Cobrar a Entidades Relacionadas, corrientes</v>
          </cell>
          <cell r="L695" t="str">
            <v>A. corrtes. distintos de A. para su disposición clasif. para venta o distrib. a propiet.</v>
          </cell>
          <cell r="U695" t="str">
            <v>5. Cuentas por Cobrar a Entidades Relacionadas, corrientes</v>
          </cell>
          <cell r="AG695" t="str">
            <v xml:space="preserve"> </v>
          </cell>
          <cell r="AH695" t="str">
            <v>I. Activos de los segmentos</v>
          </cell>
        </row>
        <row r="696">
          <cell r="D696">
            <v>0</v>
          </cell>
          <cell r="F696" t="str">
            <v>Ctas. Por Cobrar A Entidades Relacionadas, Corrientes</v>
          </cell>
          <cell r="G696" t="str">
            <v/>
          </cell>
          <cell r="H696" t="str">
            <v/>
          </cell>
          <cell r="U696" t="str">
            <v/>
          </cell>
          <cell r="AH696" t="str">
            <v/>
          </cell>
        </row>
        <row r="697">
          <cell r="D697">
            <v>0</v>
          </cell>
          <cell r="F697" t="str">
            <v/>
          </cell>
          <cell r="G697" t="str">
            <v/>
          </cell>
          <cell r="H697" t="str">
            <v/>
          </cell>
          <cell r="U697" t="str">
            <v/>
          </cell>
          <cell r="AH697" t="str">
            <v/>
          </cell>
        </row>
        <row r="698">
          <cell r="D698" t="str">
            <v>1-1-08-01-01</v>
          </cell>
          <cell r="E698" t="str">
            <v>1-1-08-01-01</v>
          </cell>
          <cell r="F698" t="str">
            <v>Tarjetas De Pvc</v>
          </cell>
          <cell r="G698" t="str">
            <v>1-1-08-01-01  Tarjetas De Pvc</v>
          </cell>
          <cell r="H698" t="str">
            <v>Balance</v>
          </cell>
          <cell r="I698" t="str">
            <v>I. Activos</v>
          </cell>
          <cell r="J698" t="str">
            <v>1. Activos corrientes</v>
          </cell>
          <cell r="K698" t="str">
            <v>6. Inventarios</v>
          </cell>
          <cell r="U698" t="str">
            <v>6. Inventarios</v>
          </cell>
          <cell r="AG698" t="str">
            <v>Inventarios</v>
          </cell>
          <cell r="AH698" t="str">
            <v>I. Activos de los segmentos</v>
          </cell>
        </row>
        <row r="699">
          <cell r="D699" t="str">
            <v>1-1-08-01-02</v>
          </cell>
          <cell r="E699" t="str">
            <v>1-1-08-01-02</v>
          </cell>
          <cell r="F699" t="str">
            <v>Repuestos para equipos electromecánicos</v>
          </cell>
          <cell r="G699" t="str">
            <v>1-1-08-01-02  Repuestos para equipos electromecánicos</v>
          </cell>
          <cell r="H699" t="str">
            <v>Balance</v>
          </cell>
          <cell r="I699" t="str">
            <v>I. Activos</v>
          </cell>
          <cell r="J699" t="str">
            <v>1. Activos corrientes</v>
          </cell>
          <cell r="K699" t="str">
            <v>6. Inventarios</v>
          </cell>
          <cell r="U699" t="str">
            <v>6. Inventarios</v>
          </cell>
          <cell r="AG699" t="str">
            <v>Inventarios</v>
          </cell>
          <cell r="AH699" t="str">
            <v>I. Activos de los segmentos</v>
          </cell>
        </row>
        <row r="700">
          <cell r="D700">
            <v>0</v>
          </cell>
          <cell r="G700" t="str">
            <v/>
          </cell>
          <cell r="H700" t="str">
            <v>Balance</v>
          </cell>
          <cell r="I700" t="str">
            <v>I. Activos</v>
          </cell>
          <cell r="J700" t="str">
            <v>1. Activos corrientes</v>
          </cell>
          <cell r="K700" t="str">
            <v>6. Inventarios</v>
          </cell>
          <cell r="U700" t="str">
            <v>6. Inventarios</v>
          </cell>
          <cell r="AG700" t="str">
            <v>Inventarios</v>
          </cell>
          <cell r="AH700" t="str">
            <v>I. Activos de los segmentos</v>
          </cell>
        </row>
        <row r="701">
          <cell r="D701">
            <v>0</v>
          </cell>
          <cell r="F701" t="str">
            <v>Inventarios</v>
          </cell>
          <cell r="G701" t="str">
            <v/>
          </cell>
          <cell r="H701" t="str">
            <v/>
          </cell>
          <cell r="U701" t="str">
            <v/>
          </cell>
          <cell r="AH701" t="str">
            <v/>
          </cell>
        </row>
        <row r="702">
          <cell r="D702">
            <v>0</v>
          </cell>
          <cell r="F702" t="str">
            <v/>
          </cell>
          <cell r="G702" t="str">
            <v/>
          </cell>
          <cell r="H702" t="str">
            <v/>
          </cell>
          <cell r="I702" t="str">
            <v>I. Activos</v>
          </cell>
          <cell r="J702" t="str">
            <v>1. Activos corrientes</v>
          </cell>
          <cell r="K702" t="str">
            <v>7. Activos biológicos, corrientes</v>
          </cell>
          <cell r="U702" t="str">
            <v>7. Activos biológicos, corrientes</v>
          </cell>
          <cell r="AH702" t="str">
            <v>I. Activos de los segmentos</v>
          </cell>
        </row>
        <row r="703">
          <cell r="D703">
            <v>0</v>
          </cell>
          <cell r="F703" t="str">
            <v>Activos Biológicos Corrientes</v>
          </cell>
          <cell r="G703" t="str">
            <v/>
          </cell>
          <cell r="H703" t="str">
            <v/>
          </cell>
          <cell r="U703" t="str">
            <v/>
          </cell>
          <cell r="AH703" t="str">
            <v/>
          </cell>
        </row>
        <row r="704">
          <cell r="D704">
            <v>0</v>
          </cell>
          <cell r="F704" t="str">
            <v/>
          </cell>
          <cell r="G704" t="str">
            <v/>
          </cell>
          <cell r="H704" t="str">
            <v/>
          </cell>
          <cell r="U704" t="str">
            <v/>
          </cell>
          <cell r="AH704" t="str">
            <v/>
          </cell>
        </row>
        <row r="705">
          <cell r="D705" t="str">
            <v>1-1-09-01-03</v>
          </cell>
          <cell r="E705" t="str">
            <v>1-1-09-01-03</v>
          </cell>
          <cell r="F705" t="str">
            <v>Capacitación Sence Por Recuperar</v>
          </cell>
          <cell r="G705" t="str">
            <v>1-1-09-01-03  Capacitación Sence Por Recuperar</v>
          </cell>
          <cell r="H705" t="str">
            <v>Balance</v>
          </cell>
          <cell r="I705" t="str">
            <v>I. Activos</v>
          </cell>
          <cell r="J705" t="str">
            <v>1. Activos corrientes</v>
          </cell>
          <cell r="K705" t="str">
            <v>8. Activos por Impuestos, corrientes</v>
          </cell>
          <cell r="L705" t="str">
            <v>A. corrtes. distintos de A. para su disposición clasif. para venta o distrib. a propiet.</v>
          </cell>
          <cell r="U705" t="str">
            <v>8. Activos por Impuestos, corrientes</v>
          </cell>
          <cell r="AH705" t="str">
            <v>I. Activos de los segmentos</v>
          </cell>
        </row>
        <row r="706">
          <cell r="D706">
            <v>0</v>
          </cell>
          <cell r="G706" t="str">
            <v/>
          </cell>
          <cell r="H706" t="str">
            <v>Balance</v>
          </cell>
          <cell r="I706" t="str">
            <v>I. Activos</v>
          </cell>
          <cell r="J706" t="str">
            <v>1. Activos corrientes</v>
          </cell>
          <cell r="K706" t="str">
            <v>8. Activos por Impuestos, corrientes</v>
          </cell>
          <cell r="L706" t="str">
            <v>A. corrtes. distintos de A. para su disposición clasif. para venta o distrib. a propiet.</v>
          </cell>
          <cell r="U706" t="str">
            <v>8. Activos por Impuestos, corrientes</v>
          </cell>
          <cell r="AH706" t="str">
            <v>I. Activos de los segmentos</v>
          </cell>
        </row>
        <row r="707">
          <cell r="D707">
            <v>0</v>
          </cell>
          <cell r="G707" t="str">
            <v/>
          </cell>
          <cell r="H707" t="str">
            <v>Balance</v>
          </cell>
          <cell r="I707" t="str">
            <v>I. Activos</v>
          </cell>
          <cell r="J707" t="str">
            <v>1. Activos corrientes</v>
          </cell>
          <cell r="K707" t="str">
            <v>8. Activos por Impuestos, corrientes</v>
          </cell>
          <cell r="L707" t="str">
            <v>A. corrtes. distintos de A. para su disposición clasif. para venta o distrib. a propiet.</v>
          </cell>
          <cell r="U707" t="str">
            <v>8. Activos por Impuestos, corrientes</v>
          </cell>
          <cell r="AH707" t="str">
            <v>I. Activos de los segmentos</v>
          </cell>
        </row>
        <row r="708">
          <cell r="D708">
            <v>0</v>
          </cell>
          <cell r="F708" t="str">
            <v>Activos Por Impuestos Corrientes</v>
          </cell>
          <cell r="G708" t="str">
            <v/>
          </cell>
          <cell r="H708" t="str">
            <v/>
          </cell>
          <cell r="U708" t="str">
            <v/>
          </cell>
          <cell r="AH708" t="str">
            <v/>
          </cell>
        </row>
        <row r="709">
          <cell r="D709">
            <v>0</v>
          </cell>
          <cell r="F709" t="str">
            <v/>
          </cell>
          <cell r="G709" t="str">
            <v/>
          </cell>
          <cell r="H709" t="str">
            <v/>
          </cell>
          <cell r="U709" t="str">
            <v/>
          </cell>
          <cell r="AH709" t="str">
            <v/>
          </cell>
        </row>
        <row r="710">
          <cell r="D710">
            <v>0</v>
          </cell>
          <cell r="F710" t="str">
            <v>Total De Activos Corrientes Distintos De Los Activos O Grupos De Activos Para Su Disposición Clasificados Como Mantenidos Para La Venta O Como Mantenidos Para Distribuir A Los Propietarios</v>
          </cell>
          <cell r="G710" t="str">
            <v/>
          </cell>
          <cell r="H710" t="str">
            <v/>
          </cell>
          <cell r="U710" t="str">
            <v/>
          </cell>
          <cell r="AH710" t="str">
            <v/>
          </cell>
        </row>
        <row r="711">
          <cell r="D711">
            <v>0</v>
          </cell>
          <cell r="F711" t="str">
            <v/>
          </cell>
          <cell r="G711" t="str">
            <v/>
          </cell>
          <cell r="H711" t="str">
            <v/>
          </cell>
          <cell r="U711" t="str">
            <v/>
          </cell>
          <cell r="AH711" t="str">
            <v/>
          </cell>
        </row>
        <row r="712">
          <cell r="D712">
            <v>0</v>
          </cell>
          <cell r="F712" t="str">
            <v/>
          </cell>
          <cell r="G712" t="str">
            <v/>
          </cell>
          <cell r="H712" t="str">
            <v/>
          </cell>
          <cell r="U712" t="str">
            <v/>
          </cell>
          <cell r="AH712" t="str">
            <v/>
          </cell>
        </row>
        <row r="713">
          <cell r="D713">
            <v>0</v>
          </cell>
          <cell r="F713" t="str">
            <v/>
          </cell>
          <cell r="G713" t="str">
            <v/>
          </cell>
          <cell r="H713" t="str">
            <v/>
          </cell>
          <cell r="I713" t="str">
            <v>I. Activos</v>
          </cell>
          <cell r="J713" t="str">
            <v>1. Activos corrientes</v>
          </cell>
          <cell r="K713" t="str">
            <v xml:space="preserve">9. Activos, no corrientes o Grupos de Activos para su Disposición Clasificados como Mantenidos para la Venta </v>
          </cell>
          <cell r="L713" t="str">
            <v>Activos No Corrientes o Grupos de Activos para su Disposición Clasificados como Mantenidos para la Venta o como Mantenidos para Distribuir a los Propietarios</v>
          </cell>
          <cell r="U713" t="str">
            <v xml:space="preserve">9. Activos, no corrientes o Grupos de Activos para su Disposición Clasificados como Mantenidos para la Venta </v>
          </cell>
          <cell r="AH713" t="str">
            <v>I. Activos de los segmentos</v>
          </cell>
        </row>
        <row r="714">
          <cell r="D714">
            <v>0</v>
          </cell>
          <cell r="F714" t="str">
            <v xml:space="preserve">Activos No Corrientes O Grupos De Activos Para Su Disposición Clasificados Como Mantenidos Para La Venta </v>
          </cell>
          <cell r="G714" t="str">
            <v/>
          </cell>
          <cell r="H714" t="str">
            <v/>
          </cell>
          <cell r="U714" t="str">
            <v/>
          </cell>
          <cell r="AH714" t="str">
            <v/>
          </cell>
        </row>
        <row r="715">
          <cell r="D715">
            <v>0</v>
          </cell>
          <cell r="F715" t="str">
            <v/>
          </cell>
          <cell r="G715" t="str">
            <v/>
          </cell>
          <cell r="H715" t="str">
            <v/>
          </cell>
          <cell r="U715" t="str">
            <v/>
          </cell>
          <cell r="AH715" t="str">
            <v/>
          </cell>
        </row>
        <row r="716">
          <cell r="D716">
            <v>0</v>
          </cell>
          <cell r="F716" t="str">
            <v/>
          </cell>
          <cell r="G716" t="str">
            <v/>
          </cell>
          <cell r="H716" t="str">
            <v/>
          </cell>
          <cell r="I716" t="str">
            <v>I. Activos</v>
          </cell>
          <cell r="J716" t="str">
            <v>1. Activos corrientes</v>
          </cell>
          <cell r="K716" t="str">
            <v>10. Activos, no corrientes o Grupos de Activos para su Disposición Clasificados como Mantenidos para Distribuir a los Propietarios</v>
          </cell>
          <cell r="L716" t="str">
            <v>Activos No Corrientes o Grupos de Activos para su Disposición Clasificados como Mantenidos para la Venta o como Mantenidos para Distribuir a los Propietarios</v>
          </cell>
          <cell r="U716" t="str">
            <v>10. Activos, no corrientes o Grupos de Activos para su Disposición Clasificados como Mantenidos para Distribuir a los Propietarios</v>
          </cell>
          <cell r="AH716" t="str">
            <v>I. Activos de los segmentos</v>
          </cell>
        </row>
        <row r="717">
          <cell r="D717">
            <v>0</v>
          </cell>
          <cell r="F717" t="str">
            <v>Activos No Corrientes O Grupos De Activos Para Su Disposición Clasificados Como Mantenidos Para Distribuir A Los Propietarios</v>
          </cell>
          <cell r="G717" t="str">
            <v/>
          </cell>
          <cell r="H717" t="str">
            <v/>
          </cell>
          <cell r="U717" t="str">
            <v/>
          </cell>
          <cell r="AH717" t="str">
            <v/>
          </cell>
        </row>
        <row r="718">
          <cell r="D718">
            <v>0</v>
          </cell>
          <cell r="F718" t="str">
            <v/>
          </cell>
          <cell r="G718" t="str">
            <v/>
          </cell>
          <cell r="H718" t="str">
            <v/>
          </cell>
          <cell r="U718" t="str">
            <v/>
          </cell>
          <cell r="AH718" t="str">
            <v/>
          </cell>
        </row>
        <row r="719">
          <cell r="D719">
            <v>0</v>
          </cell>
          <cell r="F719" t="str">
            <v/>
          </cell>
          <cell r="G719" t="str">
            <v/>
          </cell>
          <cell r="H719" t="str">
            <v/>
          </cell>
          <cell r="L719" t="str">
            <v>Activos No Corrientes o Grupos de Activos para su Disposición Clasificados como Mantenidos para la Venta o como Mantenidos para Distribuir a los Propietarios</v>
          </cell>
          <cell r="U719" t="str">
            <v/>
          </cell>
          <cell r="AH719" t="str">
            <v>I. Activos de los segmentos</v>
          </cell>
        </row>
        <row r="720">
          <cell r="D720">
            <v>0</v>
          </cell>
          <cell r="F720" t="str">
            <v>Activos No Corrientes O Grupos De Activos Para Su Disposición Clasificados Como Mantenidos Para La Venta O Como Mantenidos Para Distribuir A Los Propietarios</v>
          </cell>
          <cell r="G720" t="str">
            <v/>
          </cell>
          <cell r="H720" t="str">
            <v/>
          </cell>
          <cell r="U720" t="str">
            <v/>
          </cell>
          <cell r="AH720" t="str">
            <v/>
          </cell>
        </row>
        <row r="721">
          <cell r="D721">
            <v>0</v>
          </cell>
          <cell r="F721" t="str">
            <v/>
          </cell>
          <cell r="G721" t="str">
            <v/>
          </cell>
          <cell r="H721" t="str">
            <v/>
          </cell>
          <cell r="U721" t="str">
            <v/>
          </cell>
          <cell r="AH721" t="str">
            <v/>
          </cell>
        </row>
        <row r="722">
          <cell r="D722">
            <v>0</v>
          </cell>
          <cell r="F722" t="str">
            <v>Activos Corrientes Totales</v>
          </cell>
          <cell r="G722" t="str">
            <v/>
          </cell>
          <cell r="H722" t="str">
            <v/>
          </cell>
          <cell r="U722" t="str">
            <v/>
          </cell>
          <cell r="AH722" t="str">
            <v/>
          </cell>
        </row>
        <row r="723">
          <cell r="D723">
            <v>0</v>
          </cell>
          <cell r="F723" t="str">
            <v/>
          </cell>
          <cell r="G723" t="str">
            <v/>
          </cell>
          <cell r="H723" t="str">
            <v/>
          </cell>
          <cell r="U723" t="str">
            <v/>
          </cell>
          <cell r="AH723" t="str">
            <v/>
          </cell>
        </row>
        <row r="724">
          <cell r="D724">
            <v>0</v>
          </cell>
          <cell r="F724" t="str">
            <v/>
          </cell>
          <cell r="G724" t="str">
            <v/>
          </cell>
          <cell r="H724" t="str">
            <v/>
          </cell>
          <cell r="U724" t="str">
            <v/>
          </cell>
          <cell r="AH724" t="str">
            <v/>
          </cell>
        </row>
        <row r="725">
          <cell r="D725">
            <v>0</v>
          </cell>
          <cell r="F725" t="str">
            <v>Activos No Corrientes</v>
          </cell>
          <cell r="G725" t="str">
            <v/>
          </cell>
          <cell r="H725" t="str">
            <v/>
          </cell>
          <cell r="U725" t="str">
            <v/>
          </cell>
          <cell r="AH725" t="str">
            <v/>
          </cell>
        </row>
        <row r="726">
          <cell r="D726">
            <v>0</v>
          </cell>
          <cell r="F726" t="str">
            <v/>
          </cell>
          <cell r="G726" t="str">
            <v/>
          </cell>
          <cell r="H726" t="str">
            <v/>
          </cell>
          <cell r="U726" t="str">
            <v/>
          </cell>
          <cell r="AH726" t="str">
            <v/>
          </cell>
        </row>
        <row r="727">
          <cell r="D727" t="str">
            <v>1-3-05-02-01</v>
          </cell>
          <cell r="E727" t="str">
            <v>1-3-05-02-01</v>
          </cell>
          <cell r="F727" t="str">
            <v>Deudores Varios Largo Plazo</v>
          </cell>
          <cell r="G727" t="str">
            <v>1-3-05-02-01  Deudores Varios Largo Plazo</v>
          </cell>
          <cell r="H727" t="str">
            <v>Balance</v>
          </cell>
          <cell r="I727" t="str">
            <v>I. Activos</v>
          </cell>
          <cell r="J727" t="str">
            <v>2. Activos no corrientes</v>
          </cell>
          <cell r="K727" t="str">
            <v>1. Otros Activos Financieros, no corrientes</v>
          </cell>
          <cell r="U727" t="str">
            <v>1. Otros Activos Financieros, no corrientes</v>
          </cell>
          <cell r="AH727" t="str">
            <v>I. Activos de los segmentos</v>
          </cell>
        </row>
        <row r="728">
          <cell r="D728">
            <v>0</v>
          </cell>
          <cell r="F728" t="str">
            <v>Otros Activos Financieros No Corrientes</v>
          </cell>
          <cell r="G728" t="str">
            <v/>
          </cell>
          <cell r="H728" t="str">
            <v/>
          </cell>
          <cell r="U728" t="str">
            <v/>
          </cell>
          <cell r="AH728" t="str">
            <v/>
          </cell>
        </row>
        <row r="729">
          <cell r="D729">
            <v>0</v>
          </cell>
          <cell r="F729" t="str">
            <v/>
          </cell>
          <cell r="G729" t="str">
            <v/>
          </cell>
          <cell r="H729" t="str">
            <v/>
          </cell>
          <cell r="U729" t="str">
            <v/>
          </cell>
          <cell r="AH729" t="str">
            <v/>
          </cell>
        </row>
        <row r="730">
          <cell r="D730">
            <v>0</v>
          </cell>
          <cell r="G730" t="str">
            <v/>
          </cell>
          <cell r="H730" t="str">
            <v>Balance</v>
          </cell>
          <cell r="I730" t="str">
            <v>I. Activos</v>
          </cell>
          <cell r="J730" t="str">
            <v>2. Activos no corrientes</v>
          </cell>
          <cell r="K730" t="str">
            <v>2. Otros Activos No Financieros, no corrientes</v>
          </cell>
          <cell r="U730" t="str">
            <v>2. Otros Activos No Financieros, no corrientes</v>
          </cell>
          <cell r="AH730" t="str">
            <v>I. Activos de los segmentos</v>
          </cell>
        </row>
        <row r="731">
          <cell r="D731">
            <v>0</v>
          </cell>
          <cell r="G731" t="str">
            <v/>
          </cell>
          <cell r="H731" t="str">
            <v>Balance</v>
          </cell>
          <cell r="I731" t="str">
            <v>I. Activos</v>
          </cell>
          <cell r="J731" t="str">
            <v>2. Activos no corrientes</v>
          </cell>
          <cell r="K731" t="str">
            <v>2. Otros Activos No Financieros, no corrientes</v>
          </cell>
          <cell r="U731" t="str">
            <v>2. Otros Activos No Financieros, no corrientes</v>
          </cell>
          <cell r="AH731" t="str">
            <v>I. Activos de los segmentos</v>
          </cell>
        </row>
        <row r="732">
          <cell r="D732">
            <v>0</v>
          </cell>
          <cell r="G732" t="str">
            <v/>
          </cell>
          <cell r="H732" t="str">
            <v>Balance</v>
          </cell>
          <cell r="I732" t="str">
            <v>I. Activos</v>
          </cell>
          <cell r="J732" t="str">
            <v>2. Activos no corrientes</v>
          </cell>
          <cell r="K732" t="str">
            <v>2. Otros Activos No Financieros, no corrientes</v>
          </cell>
          <cell r="U732" t="str">
            <v>2. Otros Activos No Financieros, no corrientes</v>
          </cell>
          <cell r="AH732" t="str">
            <v>I. Activos de los segmentos</v>
          </cell>
        </row>
        <row r="733">
          <cell r="D733">
            <v>0</v>
          </cell>
          <cell r="F733" t="str">
            <v>Otros Activos No Financieros No Corrientes</v>
          </cell>
          <cell r="G733" t="str">
            <v/>
          </cell>
          <cell r="H733" t="str">
            <v/>
          </cell>
          <cell r="U733" t="str">
            <v/>
          </cell>
          <cell r="AH733" t="str">
            <v/>
          </cell>
        </row>
        <row r="734">
          <cell r="D734">
            <v>0</v>
          </cell>
          <cell r="F734" t="str">
            <v/>
          </cell>
          <cell r="G734" t="str">
            <v/>
          </cell>
          <cell r="H734" t="str">
            <v/>
          </cell>
          <cell r="U734" t="str">
            <v/>
          </cell>
          <cell r="AH734" t="str">
            <v/>
          </cell>
        </row>
        <row r="735">
          <cell r="D735">
            <v>0</v>
          </cell>
          <cell r="G735" t="str">
            <v/>
          </cell>
          <cell r="H735" t="str">
            <v/>
          </cell>
          <cell r="I735" t="str">
            <v>I. Activos</v>
          </cell>
          <cell r="J735" t="str">
            <v>2. Activos no corrientes</v>
          </cell>
          <cell r="K735" t="str">
            <v>3. Derechos por Cobrar, no corrientes</v>
          </cell>
          <cell r="U735" t="str">
            <v>3. Derechos por Cobrar, no corrientes</v>
          </cell>
          <cell r="AH735" t="str">
            <v>I. Activos de los segmentos</v>
          </cell>
        </row>
        <row r="736">
          <cell r="D736">
            <v>0</v>
          </cell>
          <cell r="F736" t="str">
            <v>Derechos Por Cobrar No Corrientes</v>
          </cell>
          <cell r="G736" t="str">
            <v/>
          </cell>
          <cell r="H736" t="str">
            <v/>
          </cell>
          <cell r="U736" t="str">
            <v/>
          </cell>
        </row>
        <row r="737">
          <cell r="D737">
            <v>0</v>
          </cell>
          <cell r="F737" t="str">
            <v/>
          </cell>
          <cell r="G737" t="str">
            <v/>
          </cell>
          <cell r="H737" t="str">
            <v/>
          </cell>
          <cell r="U737" t="str">
            <v/>
          </cell>
        </row>
        <row r="738">
          <cell r="D738" t="str">
            <v>1-3-06-01-01</v>
          </cell>
          <cell r="E738" t="str">
            <v>1-3-06-01-01</v>
          </cell>
          <cell r="F738" t="str">
            <v>Docs Y Ctas Por Cobrar Empresas Relacion</v>
          </cell>
          <cell r="G738" t="str">
            <v>1-3-06-01-01  Docs Y Ctas Por Cobrar Empresas Relacion</v>
          </cell>
          <cell r="H738" t="str">
            <v>Balance</v>
          </cell>
          <cell r="I738" t="str">
            <v>I. Activos</v>
          </cell>
          <cell r="J738" t="str">
            <v>2. Activos no corrientes</v>
          </cell>
          <cell r="K738" t="str">
            <v>4. Cuentas por Cobrar a Entidades Relacionadas, no corrientes</v>
          </cell>
          <cell r="U738" t="str">
            <v>4. Cuentas por Cobrar a Entidades Relacionadas, no corrientes</v>
          </cell>
          <cell r="AH738" t="str">
            <v>I. Activos de los segmentos</v>
          </cell>
        </row>
        <row r="739">
          <cell r="D739">
            <v>0</v>
          </cell>
          <cell r="G739" t="str">
            <v/>
          </cell>
          <cell r="H739" t="str">
            <v>Balance</v>
          </cell>
          <cell r="I739" t="str">
            <v>I. Activos</v>
          </cell>
          <cell r="J739" t="str">
            <v>2. Activos no corrientes</v>
          </cell>
          <cell r="K739" t="str">
            <v>4. Cuentas por Cobrar a Entidades Relacionadas, no corrientes</v>
          </cell>
          <cell r="U739" t="str">
            <v>4. Cuentas por Cobrar a Entidades Relacionadas, no corrientes</v>
          </cell>
          <cell r="AH739" t="str">
            <v>I. Activos de los segmentos</v>
          </cell>
        </row>
        <row r="740">
          <cell r="D740">
            <v>0</v>
          </cell>
          <cell r="G740" t="str">
            <v/>
          </cell>
          <cell r="H740" t="str">
            <v>Balance</v>
          </cell>
          <cell r="I740" t="str">
            <v>I. Activos</v>
          </cell>
          <cell r="J740" t="str">
            <v>2. Activos no corrientes</v>
          </cell>
          <cell r="K740" t="str">
            <v>4. Cuentas por Cobrar a Entidades Relacionadas, no corrientes</v>
          </cell>
          <cell r="U740" t="str">
            <v>4. Cuentas por Cobrar a Entidades Relacionadas, no corrientes</v>
          </cell>
          <cell r="AH740" t="str">
            <v>I. Activos de los segmentos</v>
          </cell>
        </row>
        <row r="741">
          <cell r="D741">
            <v>0</v>
          </cell>
          <cell r="F741" t="str">
            <v>Cuentas Por Cobrar A Entidades Relacionadas, No Corriente</v>
          </cell>
          <cell r="G741" t="str">
            <v/>
          </cell>
          <cell r="H741" t="str">
            <v/>
          </cell>
          <cell r="U741" t="str">
            <v/>
          </cell>
        </row>
        <row r="742">
          <cell r="D742">
            <v>0</v>
          </cell>
          <cell r="F742" t="str">
            <v/>
          </cell>
          <cell r="G742" t="str">
            <v/>
          </cell>
          <cell r="H742" t="str">
            <v/>
          </cell>
          <cell r="U742" t="str">
            <v/>
          </cell>
        </row>
        <row r="743">
          <cell r="D743">
            <v>0</v>
          </cell>
          <cell r="G743" t="str">
            <v/>
          </cell>
          <cell r="H743" t="str">
            <v/>
          </cell>
          <cell r="I743" t="str">
            <v>I. Activos</v>
          </cell>
          <cell r="J743" t="str">
            <v>2. Activos no corrientes</v>
          </cell>
          <cell r="K743" t="str">
            <v>5. Inversiones contabilizadas utilizando el método de la participación</v>
          </cell>
          <cell r="U743" t="str">
            <v>5. Inversiones contabilizadas utilizando el método de la participación</v>
          </cell>
          <cell r="AH743" t="str">
            <v>I. Activos de los segmentos</v>
          </cell>
        </row>
        <row r="744">
          <cell r="D744">
            <v>0</v>
          </cell>
          <cell r="F744" t="str">
            <v>Inversiones Contabilizadas Utilizando El Método De La Participación</v>
          </cell>
          <cell r="G744" t="str">
            <v/>
          </cell>
          <cell r="H744" t="str">
            <v/>
          </cell>
          <cell r="U744" t="str">
            <v/>
          </cell>
        </row>
        <row r="745">
          <cell r="D745">
            <v>0</v>
          </cell>
          <cell r="F745" t="str">
            <v/>
          </cell>
          <cell r="G745" t="str">
            <v/>
          </cell>
          <cell r="H745" t="str">
            <v/>
          </cell>
          <cell r="U745" t="str">
            <v/>
          </cell>
        </row>
        <row r="746">
          <cell r="D746" t="str">
            <v>1-2-06-01-03</v>
          </cell>
          <cell r="E746" t="str">
            <v>1-2-06-01-03</v>
          </cell>
          <cell r="F746" t="str">
            <v>Software Adquiridos</v>
          </cell>
          <cell r="G746" t="str">
            <v>1-2-06-01-03  Software Adquiridos</v>
          </cell>
          <cell r="H746" t="str">
            <v>Balance</v>
          </cell>
          <cell r="I746" t="str">
            <v>I. Activos</v>
          </cell>
          <cell r="J746" t="str">
            <v>2. Activos no corrientes</v>
          </cell>
          <cell r="K746" t="str">
            <v>6. Activos intangibles distintos de la plusvalía</v>
          </cell>
          <cell r="U746" t="str">
            <v>6. Activos intangibles distintos de la plusvalía</v>
          </cell>
          <cell r="AH746" t="str">
            <v>I. Activos de los segmentos</v>
          </cell>
        </row>
        <row r="747">
          <cell r="D747" t="str">
            <v>1-2-08-01-16</v>
          </cell>
          <cell r="E747" t="str">
            <v>1-2-08-01-16</v>
          </cell>
          <cell r="F747" t="str">
            <v>Deprec. Acumulada Software Adquiridos</v>
          </cell>
          <cell r="G747" t="str">
            <v>1-2-08-01-16  Deprec. Acumulada Software Adquiridos</v>
          </cell>
          <cell r="H747" t="str">
            <v>Balance</v>
          </cell>
          <cell r="I747" t="str">
            <v>I. Activos</v>
          </cell>
          <cell r="J747" t="str">
            <v>2. Activos no corrientes</v>
          </cell>
          <cell r="K747" t="str">
            <v>6. Activos intangibles distintos de la plusvalía</v>
          </cell>
          <cell r="U747" t="str">
            <v>7.Amortización Act. Int. distintos de la plusvalía</v>
          </cell>
          <cell r="AH747" t="str">
            <v>I. Activos de los segmentos</v>
          </cell>
        </row>
        <row r="748">
          <cell r="D748">
            <v>0</v>
          </cell>
          <cell r="G748" t="str">
            <v/>
          </cell>
          <cell r="H748" t="str">
            <v>Balance</v>
          </cell>
          <cell r="I748" t="str">
            <v>I. Activos</v>
          </cell>
          <cell r="J748" t="str">
            <v>2. Activos no corrientes</v>
          </cell>
          <cell r="K748" t="str">
            <v>6. Activos intangibles distintos de la plusvalía</v>
          </cell>
          <cell r="U748" t="str">
            <v>7.Amortización Act. Int. distintos de la plusvalía</v>
          </cell>
          <cell r="AH748" t="str">
            <v>I. Activos de los segmentos</v>
          </cell>
        </row>
        <row r="749">
          <cell r="D749">
            <v>0</v>
          </cell>
          <cell r="G749" t="str">
            <v/>
          </cell>
          <cell r="H749" t="str">
            <v>Balance</v>
          </cell>
          <cell r="I749" t="str">
            <v>I. Activos</v>
          </cell>
          <cell r="J749" t="str">
            <v>2. Activos no corrientes</v>
          </cell>
          <cell r="K749" t="str">
            <v>6. Activos intangibles distintos de la plusvalía</v>
          </cell>
          <cell r="U749" t="str">
            <v>7.Amortización Act. Int. distintos de la plusvalía</v>
          </cell>
          <cell r="AH749" t="str">
            <v>I. Activos de los segmentos</v>
          </cell>
        </row>
        <row r="750">
          <cell r="D750">
            <v>0</v>
          </cell>
          <cell r="F750" t="str">
            <v>Activos Intangibles Distintos De La Plusvalía</v>
          </cell>
          <cell r="G750" t="str">
            <v/>
          </cell>
          <cell r="H750" t="str">
            <v/>
          </cell>
          <cell r="U750" t="str">
            <v/>
          </cell>
        </row>
        <row r="751">
          <cell r="D751">
            <v>0</v>
          </cell>
          <cell r="F751" t="str">
            <v/>
          </cell>
          <cell r="G751" t="str">
            <v/>
          </cell>
          <cell r="H751" t="str">
            <v/>
          </cell>
          <cell r="U751" t="str">
            <v/>
          </cell>
        </row>
        <row r="752">
          <cell r="D752">
            <v>0</v>
          </cell>
          <cell r="F752" t="str">
            <v/>
          </cell>
          <cell r="G752" t="str">
            <v/>
          </cell>
          <cell r="H752" t="str">
            <v/>
          </cell>
          <cell r="I752" t="str">
            <v>I. Activos</v>
          </cell>
          <cell r="J752" t="str">
            <v>2. Activos no corrientes</v>
          </cell>
          <cell r="K752" t="str">
            <v>7. Plusvalía</v>
          </cell>
          <cell r="U752" t="str">
            <v>8. Plusvalía</v>
          </cell>
        </row>
        <row r="753">
          <cell r="D753">
            <v>0</v>
          </cell>
          <cell r="F753" t="str">
            <v>Plusvalía</v>
          </cell>
          <cell r="G753" t="str">
            <v/>
          </cell>
          <cell r="H753" t="str">
            <v/>
          </cell>
          <cell r="U753" t="str">
            <v/>
          </cell>
        </row>
        <row r="754">
          <cell r="D754">
            <v>0</v>
          </cell>
          <cell r="F754" t="str">
            <v/>
          </cell>
          <cell r="G754" t="str">
            <v/>
          </cell>
          <cell r="H754" t="str">
            <v/>
          </cell>
          <cell r="U754" t="str">
            <v/>
          </cell>
        </row>
        <row r="755">
          <cell r="D755" t="str">
            <v>1-2-01-01-01</v>
          </cell>
          <cell r="E755" t="str">
            <v>1-2-01-01-01</v>
          </cell>
          <cell r="F755" t="str">
            <v>Terrenos</v>
          </cell>
          <cell r="G755" t="str">
            <v>1-2-01-01-01  Terrenos</v>
          </cell>
          <cell r="H755" t="str">
            <v>Balance</v>
          </cell>
          <cell r="I755" t="str">
            <v>I. Activos</v>
          </cell>
          <cell r="J755" t="str">
            <v>2. Activos no corrientes</v>
          </cell>
          <cell r="K755" t="str">
            <v>8. Propiedades, Planta y Equipo</v>
          </cell>
          <cell r="U755" t="str">
            <v>9. Propiedades, Planta y Equipo</v>
          </cell>
          <cell r="AH755" t="str">
            <v>I. Activos de los segmentos</v>
          </cell>
        </row>
        <row r="756">
          <cell r="D756" t="str">
            <v>1-2-02-01-01</v>
          </cell>
          <cell r="E756" t="str">
            <v>1-2-02-01-01</v>
          </cell>
          <cell r="F756" t="str">
            <v>Construcciones Y Obras De Infraestructur</v>
          </cell>
          <cell r="G756" t="str">
            <v>1-2-02-01-01  Construcciones Y Obras De Infraestructur</v>
          </cell>
          <cell r="H756" t="str">
            <v>Balance</v>
          </cell>
          <cell r="I756" t="str">
            <v>I. Activos</v>
          </cell>
          <cell r="J756" t="str">
            <v>2. Activos no corrientes</v>
          </cell>
          <cell r="K756" t="str">
            <v>8. Propiedades, Planta y Equipo</v>
          </cell>
          <cell r="U756" t="str">
            <v>9. Propiedades, Planta y Equipo</v>
          </cell>
          <cell r="AH756" t="str">
            <v>I. Activos de los segmentos</v>
          </cell>
        </row>
        <row r="757">
          <cell r="D757" t="str">
            <v>1-2-03-01-01</v>
          </cell>
          <cell r="E757" t="str">
            <v>1-2-03-01-01</v>
          </cell>
          <cell r="F757" t="str">
            <v>Automotores</v>
          </cell>
          <cell r="G757" t="str">
            <v>1-2-03-01-01  Automotores</v>
          </cell>
          <cell r="H757" t="str">
            <v>Balance</v>
          </cell>
          <cell r="I757" t="str">
            <v>I. Activos</v>
          </cell>
          <cell r="J757" t="str">
            <v>2. Activos no corrientes</v>
          </cell>
          <cell r="K757" t="str">
            <v>8. Propiedades, Planta y Equipo</v>
          </cell>
          <cell r="U757" t="str">
            <v>9. Propiedades, Planta y Equipo</v>
          </cell>
          <cell r="AH757" t="str">
            <v>I. Activos de los segmentos</v>
          </cell>
        </row>
        <row r="758">
          <cell r="D758" t="str">
            <v>1-2-03-01-03</v>
          </cell>
          <cell r="E758" t="str">
            <v>1-2-03-01-03</v>
          </cell>
          <cell r="F758" t="str">
            <v>Vehiculos</v>
          </cell>
          <cell r="G758" t="str">
            <v>1-2-03-01-03  Vehiculos</v>
          </cell>
          <cell r="H758" t="str">
            <v>Balance</v>
          </cell>
          <cell r="I758" t="str">
            <v>I. Activos</v>
          </cell>
          <cell r="J758" t="str">
            <v>2. Activos no corrientes</v>
          </cell>
          <cell r="K758" t="str">
            <v>8. Propiedades, Planta y Equipo</v>
          </cell>
          <cell r="U758" t="str">
            <v>9. Propiedades, Planta y Equipo</v>
          </cell>
          <cell r="AH758" t="str">
            <v>I. Activos de los segmentos</v>
          </cell>
        </row>
        <row r="759">
          <cell r="D759" t="str">
            <v>1-2-04-01-01</v>
          </cell>
          <cell r="E759" t="str">
            <v>1-2-04-01-01</v>
          </cell>
          <cell r="F759" t="str">
            <v>Maquinas Y Equipos De Oficina</v>
          </cell>
          <cell r="G759" t="str">
            <v>1-2-04-01-01  Maquinas Y Equipos De Oficina</v>
          </cell>
          <cell r="H759" t="str">
            <v>Balance</v>
          </cell>
          <cell r="I759" t="str">
            <v>I. Activos</v>
          </cell>
          <cell r="J759" t="str">
            <v>2. Activos no corrientes</v>
          </cell>
          <cell r="K759" t="str">
            <v>8. Propiedades, Planta y Equipo</v>
          </cell>
          <cell r="U759" t="str">
            <v>9. Propiedades, Planta y Equipo</v>
          </cell>
          <cell r="AH759" t="str">
            <v>I. Activos de los segmentos</v>
          </cell>
        </row>
        <row r="760">
          <cell r="D760" t="str">
            <v>1-2-04-01-03</v>
          </cell>
          <cell r="E760" t="str">
            <v>1-2-04-01-03</v>
          </cell>
          <cell r="F760" t="str">
            <v>Equipos Computacionales</v>
          </cell>
          <cell r="G760" t="str">
            <v>1-2-04-01-03  Equipos Computacionales</v>
          </cell>
          <cell r="H760" t="str">
            <v>Balance</v>
          </cell>
          <cell r="I760" t="str">
            <v>I. Activos</v>
          </cell>
          <cell r="J760" t="str">
            <v>2. Activos no corrientes</v>
          </cell>
          <cell r="K760" t="str">
            <v>8. Propiedades, Planta y Equipo</v>
          </cell>
          <cell r="U760" t="str">
            <v>9. Propiedades, Planta y Equipo</v>
          </cell>
          <cell r="AH760" t="str">
            <v>I. Activos de los segmentos</v>
          </cell>
        </row>
        <row r="761">
          <cell r="D761" t="str">
            <v>1-2-05-01-01</v>
          </cell>
          <cell r="E761" t="str">
            <v>1-2-05-01-01</v>
          </cell>
          <cell r="F761" t="str">
            <v>Herramientas</v>
          </cell>
          <cell r="G761" t="str">
            <v>1-2-05-01-01  Herramientas</v>
          </cell>
          <cell r="H761" t="str">
            <v>Balance</v>
          </cell>
          <cell r="I761" t="str">
            <v>I. Activos</v>
          </cell>
          <cell r="J761" t="str">
            <v>2. Activos no corrientes</v>
          </cell>
          <cell r="K761" t="str">
            <v>8. Propiedades, Planta y Equipo</v>
          </cell>
          <cell r="U761" t="str">
            <v>9. Propiedades, Planta y Equipo</v>
          </cell>
          <cell r="AH761" t="str">
            <v>I. Activos de los segmentos</v>
          </cell>
        </row>
        <row r="762">
          <cell r="D762" t="str">
            <v>1-2-06-01-01</v>
          </cell>
          <cell r="E762" t="str">
            <v>1-2-06-01-01</v>
          </cell>
          <cell r="F762" t="str">
            <v>Muebles</v>
          </cell>
          <cell r="G762" t="str">
            <v>1-2-06-01-01  Muebles</v>
          </cell>
          <cell r="H762" t="str">
            <v>Balance</v>
          </cell>
          <cell r="I762" t="str">
            <v>I. Activos</v>
          </cell>
          <cell r="J762" t="str">
            <v>2. Activos no corrientes</v>
          </cell>
          <cell r="K762" t="str">
            <v>8. Propiedades, Planta y Equipo</v>
          </cell>
          <cell r="U762" t="str">
            <v>9. Propiedades, Planta y Equipo</v>
          </cell>
          <cell r="AH762" t="str">
            <v>I. Activos de los segmentos</v>
          </cell>
        </row>
        <row r="763">
          <cell r="D763" t="str">
            <v>1-2-07-01-02</v>
          </cell>
          <cell r="E763" t="str">
            <v>1-2-07-01-02</v>
          </cell>
          <cell r="F763" t="str">
            <v>Inversion Obras Ejecucion Terminal Limac</v>
          </cell>
          <cell r="G763" t="str">
            <v>1-2-07-01-02  Inversion Obras Ejecucion Terminal Limac</v>
          </cell>
          <cell r="H763" t="str">
            <v>Balance</v>
          </cell>
          <cell r="I763" t="str">
            <v>I. Activos</v>
          </cell>
          <cell r="J763" t="str">
            <v>2. Activos no corrientes</v>
          </cell>
          <cell r="K763" t="str">
            <v>8. Propiedades, Planta y Equipo</v>
          </cell>
          <cell r="U763" t="str">
            <v>9. Propiedades, Planta y Equipo</v>
          </cell>
          <cell r="AH763" t="str">
            <v>I. Activos de los segmentos</v>
          </cell>
        </row>
        <row r="764">
          <cell r="D764" t="str">
            <v>1-2-07-01-03</v>
          </cell>
          <cell r="E764" t="str">
            <v>1-2-07-01-03</v>
          </cell>
          <cell r="F764" t="str">
            <v>Inversion Obras En Ejecucion Viña Del Ma</v>
          </cell>
          <cell r="G764" t="str">
            <v>1-2-07-01-03  Inversion Obras En Ejecucion Viña Del Ma</v>
          </cell>
          <cell r="H764" t="str">
            <v>Balance</v>
          </cell>
          <cell r="I764" t="str">
            <v>I. Activos</v>
          </cell>
          <cell r="J764" t="str">
            <v>2. Activos no corrientes</v>
          </cell>
          <cell r="K764" t="str">
            <v>8. Propiedades, Planta y Equipo</v>
          </cell>
          <cell r="U764" t="str">
            <v>9. Propiedades, Planta y Equipo</v>
          </cell>
          <cell r="AH764" t="str">
            <v>I. Activos de los segmentos</v>
          </cell>
        </row>
        <row r="765">
          <cell r="D765" t="str">
            <v>1-2-08-01-01</v>
          </cell>
          <cell r="E765" t="str">
            <v>1-2-08-01-01</v>
          </cell>
          <cell r="F765" t="str">
            <v>Deprec. Acumulada Const. Y Obras Infraes</v>
          </cell>
          <cell r="G765" t="str">
            <v>1-2-08-01-01  Deprec. Acumulada Const. Y Obras Infraes</v>
          </cell>
          <cell r="H765" t="str">
            <v>Balance</v>
          </cell>
          <cell r="I765" t="str">
            <v>I. Activos</v>
          </cell>
          <cell r="J765" t="str">
            <v>2. Activos no corrientes</v>
          </cell>
          <cell r="K765" t="str">
            <v>8. Propiedades, Planta y Equipo</v>
          </cell>
          <cell r="U765" t="str">
            <v>10. Depreciación</v>
          </cell>
          <cell r="AH765" t="str">
            <v>I. Activos de los segmentos</v>
          </cell>
        </row>
        <row r="766">
          <cell r="D766" t="str">
            <v>1-2-08-01-02</v>
          </cell>
          <cell r="E766" t="str">
            <v>1-2-08-01-02</v>
          </cell>
          <cell r="F766" t="str">
            <v>Deprec. Acumulada Automotores</v>
          </cell>
          <cell r="G766" t="str">
            <v>1-2-08-01-02  Deprec. Acumulada Automotores</v>
          </cell>
          <cell r="H766" t="str">
            <v>Balance</v>
          </cell>
          <cell r="I766" t="str">
            <v>I. Activos</v>
          </cell>
          <cell r="J766" t="str">
            <v>2. Activos no corrientes</v>
          </cell>
          <cell r="K766" t="str">
            <v>8. Propiedades, Planta y Equipo</v>
          </cell>
          <cell r="U766" t="str">
            <v>10. Depreciación</v>
          </cell>
          <cell r="AH766" t="str">
            <v>I. Activos de los segmentos</v>
          </cell>
        </row>
        <row r="767">
          <cell r="D767" t="str">
            <v>1-2-08-01-03</v>
          </cell>
          <cell r="E767" t="str">
            <v>1-2-08-01-03</v>
          </cell>
          <cell r="F767" t="str">
            <v>Deprec. Acumulada Maquinarias Y Equipos</v>
          </cell>
          <cell r="G767" t="str">
            <v>1-2-08-01-03  Deprec. Acumulada Maquinarias Y Equipos</v>
          </cell>
          <cell r="H767" t="str">
            <v>Balance</v>
          </cell>
          <cell r="I767" t="str">
            <v>I. Activos</v>
          </cell>
          <cell r="J767" t="str">
            <v>2. Activos no corrientes</v>
          </cell>
          <cell r="K767" t="str">
            <v>8. Propiedades, Planta y Equipo</v>
          </cell>
          <cell r="U767" t="str">
            <v>10. Depreciación</v>
          </cell>
          <cell r="AH767" t="str">
            <v>I. Activos de los segmentos</v>
          </cell>
        </row>
        <row r="768">
          <cell r="D768" t="str">
            <v>1-2-08-01-04</v>
          </cell>
          <cell r="E768" t="str">
            <v>1-2-08-01-04</v>
          </cell>
          <cell r="F768" t="str">
            <v>Deprec. Acumulada Maquinas Y Herramienta</v>
          </cell>
          <cell r="G768" t="str">
            <v>1-2-08-01-04  Deprec. Acumulada Maquinas Y Herramienta</v>
          </cell>
          <cell r="H768" t="str">
            <v>Balance</v>
          </cell>
          <cell r="I768" t="str">
            <v>I. Activos</v>
          </cell>
          <cell r="J768" t="str">
            <v>2. Activos no corrientes</v>
          </cell>
          <cell r="K768" t="str">
            <v>8. Propiedades, Planta y Equipo</v>
          </cell>
          <cell r="U768" t="str">
            <v>10. Depreciación</v>
          </cell>
          <cell r="AH768" t="str">
            <v>I. Activos de los segmentos</v>
          </cell>
        </row>
        <row r="769">
          <cell r="D769" t="str">
            <v>1-2-08-01-05</v>
          </cell>
          <cell r="E769" t="str">
            <v>1-2-08-01-05</v>
          </cell>
          <cell r="F769" t="str">
            <v>Deprec. Acumulada Muebles</v>
          </cell>
          <cell r="G769" t="str">
            <v>1-2-08-01-05  Deprec. Acumulada Muebles</v>
          </cell>
          <cell r="H769" t="str">
            <v>Balance</v>
          </cell>
          <cell r="I769" t="str">
            <v>I. Activos</v>
          </cell>
          <cell r="J769" t="str">
            <v>2. Activos no corrientes</v>
          </cell>
          <cell r="K769" t="str">
            <v>8. Propiedades, Planta y Equipo</v>
          </cell>
          <cell r="U769" t="str">
            <v>10. Depreciación</v>
          </cell>
          <cell r="AH769" t="str">
            <v>I. Activos de los segmentos</v>
          </cell>
        </row>
        <row r="770">
          <cell r="D770" t="str">
            <v>1-2-08-01-06</v>
          </cell>
          <cell r="E770" t="str">
            <v>1-2-08-01-06</v>
          </cell>
          <cell r="F770" t="str">
            <v>Deprec. Acumulada Vehiculos</v>
          </cell>
          <cell r="G770" t="str">
            <v>1-2-08-01-06  Deprec. Acumulada Vehiculos</v>
          </cell>
          <cell r="H770" t="str">
            <v>Balance</v>
          </cell>
          <cell r="I770" t="str">
            <v>I. Activos</v>
          </cell>
          <cell r="J770" t="str">
            <v>2. Activos no corrientes</v>
          </cell>
          <cell r="K770" t="str">
            <v>8. Propiedades, Planta y Equipo</v>
          </cell>
          <cell r="U770" t="str">
            <v>10. Depreciación</v>
          </cell>
          <cell r="AH770" t="str">
            <v>I. Activos de los segmentos</v>
          </cell>
        </row>
        <row r="771">
          <cell r="D771" t="str">
            <v>1-2-08-01-07</v>
          </cell>
          <cell r="E771" t="str">
            <v>1-2-08-01-07</v>
          </cell>
          <cell r="F771" t="str">
            <v>Deprec. Acumulada Equipos Computacionale</v>
          </cell>
          <cell r="G771" t="str">
            <v>1-2-08-01-07  Deprec. Acumulada Equipos Computacionale</v>
          </cell>
          <cell r="H771" t="str">
            <v>Balance</v>
          </cell>
          <cell r="I771" t="str">
            <v>I. Activos</v>
          </cell>
          <cell r="J771" t="str">
            <v>2. Activos no corrientes</v>
          </cell>
          <cell r="K771" t="str">
            <v>8. Propiedades, Planta y Equipo</v>
          </cell>
          <cell r="U771" t="str">
            <v>10. Depreciación</v>
          </cell>
          <cell r="AH771" t="str">
            <v>I. Activos de los segmentos</v>
          </cell>
        </row>
        <row r="772">
          <cell r="D772" t="str">
            <v>1-2-07-01-01</v>
          </cell>
          <cell r="E772" t="str">
            <v>1-2-07-01-01</v>
          </cell>
          <cell r="F772" t="str">
            <v>Inv. en ejecución Sist. Control ASI</v>
          </cell>
          <cell r="G772" t="str">
            <v>1-2-07-01-01  Inv. en ejecución Sist. Control ASI</v>
          </cell>
          <cell r="H772" t="str">
            <v>Balance</v>
          </cell>
          <cell r="I772" t="str">
            <v>I. Activos</v>
          </cell>
          <cell r="J772" t="str">
            <v>2. Activos no corrientes</v>
          </cell>
          <cell r="K772" t="str">
            <v>8. Propiedades, Planta y Equipo</v>
          </cell>
          <cell r="U772" t="str">
            <v>10. Depreciación</v>
          </cell>
          <cell r="AH772" t="str">
            <v>I. Activos de los segmentos</v>
          </cell>
        </row>
        <row r="773">
          <cell r="D773">
            <v>0</v>
          </cell>
          <cell r="G773" t="str">
            <v/>
          </cell>
          <cell r="H773" t="str">
            <v>Balance</v>
          </cell>
          <cell r="I773" t="str">
            <v>I. Activos</v>
          </cell>
          <cell r="J773" t="str">
            <v>2. Activos no corrientes</v>
          </cell>
          <cell r="K773" t="str">
            <v>8. Propiedades, Planta y Equipo</v>
          </cell>
          <cell r="U773" t="str">
            <v>10. Depreciación</v>
          </cell>
          <cell r="AH773" t="str">
            <v>I. Activos de los segmentos</v>
          </cell>
        </row>
        <row r="774">
          <cell r="D774">
            <v>0</v>
          </cell>
          <cell r="G774" t="str">
            <v/>
          </cell>
          <cell r="H774" t="str">
            <v>Balance</v>
          </cell>
          <cell r="I774" t="str">
            <v>I. Activos</v>
          </cell>
          <cell r="J774" t="str">
            <v>2. Activos no corrientes</v>
          </cell>
          <cell r="K774" t="str">
            <v>8. Propiedades, Planta y Equipo</v>
          </cell>
          <cell r="U774" t="str">
            <v>10. Depreciación</v>
          </cell>
          <cell r="AH774" t="str">
            <v>I. Activos de los segmentos</v>
          </cell>
        </row>
        <row r="775">
          <cell r="D775">
            <v>0</v>
          </cell>
          <cell r="F775" t="str">
            <v>Propiedades, Planta Y Equipo</v>
          </cell>
          <cell r="G775" t="str">
            <v/>
          </cell>
          <cell r="H775" t="str">
            <v/>
          </cell>
          <cell r="U775" t="str">
            <v/>
          </cell>
        </row>
        <row r="776">
          <cell r="D776">
            <v>0</v>
          </cell>
          <cell r="F776" t="str">
            <v/>
          </cell>
          <cell r="G776" t="str">
            <v/>
          </cell>
          <cell r="H776" t="str">
            <v/>
          </cell>
          <cell r="U776" t="str">
            <v/>
          </cell>
        </row>
        <row r="777">
          <cell r="D777">
            <v>0</v>
          </cell>
          <cell r="F777" t="str">
            <v/>
          </cell>
          <cell r="G777" t="str">
            <v/>
          </cell>
          <cell r="H777" t="str">
            <v/>
          </cell>
          <cell r="U777" t="str">
            <v/>
          </cell>
        </row>
        <row r="778">
          <cell r="D778">
            <v>0</v>
          </cell>
          <cell r="F778" t="str">
            <v/>
          </cell>
          <cell r="G778" t="str">
            <v/>
          </cell>
          <cell r="H778" t="str">
            <v/>
          </cell>
          <cell r="I778" t="str">
            <v>I. Activos</v>
          </cell>
          <cell r="J778" t="str">
            <v>2. Activos no corrientes</v>
          </cell>
          <cell r="K778" t="str">
            <v>9. Activos biológicos, no corrientes</v>
          </cell>
          <cell r="U778" t="str">
            <v>11. Activos biológicos, no corrientes</v>
          </cell>
          <cell r="AH778" t="str">
            <v>I. Activos de los segmentos</v>
          </cell>
        </row>
        <row r="779">
          <cell r="D779">
            <v>0</v>
          </cell>
          <cell r="F779" t="str">
            <v>Activos Biológicos, No Corrientes</v>
          </cell>
          <cell r="G779" t="str">
            <v/>
          </cell>
          <cell r="H779" t="str">
            <v/>
          </cell>
          <cell r="U779" t="str">
            <v/>
          </cell>
        </row>
        <row r="780">
          <cell r="D780">
            <v>0</v>
          </cell>
          <cell r="F780" t="str">
            <v/>
          </cell>
          <cell r="G780" t="str">
            <v/>
          </cell>
          <cell r="H780" t="str">
            <v/>
          </cell>
          <cell r="U780" t="str">
            <v/>
          </cell>
        </row>
        <row r="781">
          <cell r="D781" t="str">
            <v>1-2-01-01-10</v>
          </cell>
          <cell r="E781" t="str">
            <v>1-2-01-01-10</v>
          </cell>
          <cell r="F781" t="str">
            <v>TERRENOS PARA INVERSION</v>
          </cell>
          <cell r="G781" t="str">
            <v>1-2-01-01-10  TERRENOS PARA INVERSION</v>
          </cell>
          <cell r="H781" t="str">
            <v>Balance</v>
          </cell>
          <cell r="I781" t="str">
            <v>I. Activos</v>
          </cell>
          <cell r="J781" t="str">
            <v>2. Activos no corrientes</v>
          </cell>
          <cell r="K781" t="str">
            <v>10. Propiedad de inversión</v>
          </cell>
          <cell r="U781" t="str">
            <v>12. Propiedad de inversión</v>
          </cell>
          <cell r="AH781" t="str">
            <v>I. Activos de los segmentos</v>
          </cell>
        </row>
        <row r="782">
          <cell r="D782" t="str">
            <v>1-2-02-01-10</v>
          </cell>
          <cell r="E782" t="str">
            <v>1-2-02-01-10</v>
          </cell>
          <cell r="F782" t="str">
            <v>CONSTRUCCIONES Y OBRAS PARA INVERSION</v>
          </cell>
          <cell r="G782" t="str">
            <v>1-2-02-01-10  CONSTRUCCIONES Y OBRAS PARA INVERSION</v>
          </cell>
          <cell r="H782" t="str">
            <v>Balance</v>
          </cell>
          <cell r="I782" t="str">
            <v>I. Activos</v>
          </cell>
          <cell r="J782" t="str">
            <v>2. Activos no corrientes</v>
          </cell>
          <cell r="K782" t="str">
            <v>10. Propiedad de inversión</v>
          </cell>
          <cell r="U782" t="str">
            <v>12. Propiedad de inversión</v>
          </cell>
          <cell r="AH782" t="str">
            <v>I. Activos de los segmentos</v>
          </cell>
        </row>
        <row r="783">
          <cell r="D783" t="str">
            <v>1-2-08-01-10</v>
          </cell>
          <cell r="E783" t="str">
            <v>1-2-08-01-10</v>
          </cell>
          <cell r="F783" t="str">
            <v>DEPREC. ACUM. CONSTRUC. Y OBRAS INVERSIO</v>
          </cell>
          <cell r="G783" t="str">
            <v>1-2-08-01-10  DEPREC. ACUM. CONSTRUC. Y OBRAS INVERSIO</v>
          </cell>
          <cell r="H783" t="str">
            <v>Balance</v>
          </cell>
          <cell r="I783" t="str">
            <v>I. Activos</v>
          </cell>
          <cell r="J783" t="str">
            <v>2. Activos no corrientes</v>
          </cell>
          <cell r="K783" t="str">
            <v>10. Propiedad de inversión</v>
          </cell>
          <cell r="U783" t="str">
            <v>12. Propiedad de inversión</v>
          </cell>
          <cell r="AH783" t="str">
            <v>I. Activos de los segmentos</v>
          </cell>
        </row>
        <row r="784">
          <cell r="D784">
            <v>0</v>
          </cell>
          <cell r="F784" t="str">
            <v/>
          </cell>
          <cell r="G784" t="str">
            <v/>
          </cell>
          <cell r="H784" t="str">
            <v/>
          </cell>
          <cell r="I784" t="str">
            <v>I. Activos</v>
          </cell>
          <cell r="J784" t="str">
            <v>2. Activos no corrientes</v>
          </cell>
          <cell r="K784" t="str">
            <v>10. Propiedad de inversión</v>
          </cell>
          <cell r="U784" t="str">
            <v>12. Propiedad de inversión</v>
          </cell>
          <cell r="AH784" t="str">
            <v>I. Activos de los segmentos</v>
          </cell>
        </row>
        <row r="785">
          <cell r="D785">
            <v>0</v>
          </cell>
          <cell r="F785" t="str">
            <v>Propiedad De Inversión</v>
          </cell>
          <cell r="G785" t="str">
            <v/>
          </cell>
          <cell r="H785" t="str">
            <v/>
          </cell>
          <cell r="U785" t="str">
            <v/>
          </cell>
        </row>
        <row r="786">
          <cell r="D786">
            <v>0</v>
          </cell>
          <cell r="F786" t="str">
            <v/>
          </cell>
          <cell r="G786" t="str">
            <v/>
          </cell>
          <cell r="H786" t="str">
            <v/>
          </cell>
          <cell r="U786" t="str">
            <v/>
          </cell>
        </row>
        <row r="787">
          <cell r="D787">
            <v>0</v>
          </cell>
          <cell r="F787" t="str">
            <v/>
          </cell>
          <cell r="G787" t="str">
            <v/>
          </cell>
          <cell r="H787" t="str">
            <v/>
          </cell>
          <cell r="U787" t="str">
            <v/>
          </cell>
        </row>
        <row r="788">
          <cell r="D788">
            <v>0</v>
          </cell>
          <cell r="F788" t="str">
            <v/>
          </cell>
          <cell r="G788" t="str">
            <v/>
          </cell>
          <cell r="H788" t="str">
            <v/>
          </cell>
          <cell r="I788" t="str">
            <v>I. Activos</v>
          </cell>
          <cell r="J788" t="str">
            <v>2. Activos no corrientes</v>
          </cell>
          <cell r="K788" t="str">
            <v>11. Activos por impuestos diferidos</v>
          </cell>
          <cell r="U788" t="str">
            <v>13. Activos por impuestos diferidos</v>
          </cell>
          <cell r="AH788" t="str">
            <v>I. Activos de los segmentos</v>
          </cell>
        </row>
        <row r="789">
          <cell r="D789">
            <v>0</v>
          </cell>
          <cell r="F789" t="str">
            <v>Activos Por Impuestos Diferidos</v>
          </cell>
          <cell r="G789" t="str">
            <v/>
          </cell>
          <cell r="H789" t="str">
            <v/>
          </cell>
          <cell r="U789" t="str">
            <v/>
          </cell>
        </row>
        <row r="790">
          <cell r="D790">
            <v>0</v>
          </cell>
          <cell r="F790" t="str">
            <v/>
          </cell>
          <cell r="G790" t="str">
            <v/>
          </cell>
          <cell r="H790" t="str">
            <v/>
          </cell>
          <cell r="U790" t="str">
            <v/>
          </cell>
        </row>
        <row r="791">
          <cell r="D791">
            <v>0</v>
          </cell>
          <cell r="F791" t="str">
            <v/>
          </cell>
          <cell r="G791" t="str">
            <v/>
          </cell>
          <cell r="H791" t="str">
            <v/>
          </cell>
          <cell r="U791" t="str">
            <v/>
          </cell>
        </row>
        <row r="792">
          <cell r="D792">
            <v>0</v>
          </cell>
          <cell r="F792" t="str">
            <v>Total De Activos No Corrientes</v>
          </cell>
          <cell r="G792" t="str">
            <v/>
          </cell>
          <cell r="H792" t="str">
            <v/>
          </cell>
          <cell r="U792" t="str">
            <v/>
          </cell>
        </row>
        <row r="793">
          <cell r="D793">
            <v>0</v>
          </cell>
          <cell r="F793" t="str">
            <v/>
          </cell>
          <cell r="G793" t="str">
            <v/>
          </cell>
          <cell r="H793" t="str">
            <v/>
          </cell>
          <cell r="U793" t="str">
            <v/>
          </cell>
        </row>
        <row r="794">
          <cell r="D794">
            <v>0</v>
          </cell>
          <cell r="F794" t="str">
            <v>Total De Activos</v>
          </cell>
          <cell r="G794" t="str">
            <v/>
          </cell>
          <cell r="H794" t="str">
            <v/>
          </cell>
          <cell r="I794" t="str">
            <v>I. Activos</v>
          </cell>
          <cell r="U794" t="str">
            <v/>
          </cell>
        </row>
        <row r="795">
          <cell r="D795">
            <v>0</v>
          </cell>
          <cell r="F795" t="str">
            <v/>
          </cell>
          <cell r="G795" t="str">
            <v/>
          </cell>
          <cell r="H795" t="str">
            <v/>
          </cell>
          <cell r="U795" t="str">
            <v/>
          </cell>
        </row>
        <row r="796">
          <cell r="D796">
            <v>0</v>
          </cell>
          <cell r="F796" t="str">
            <v/>
          </cell>
          <cell r="G796" t="str">
            <v/>
          </cell>
          <cell r="H796" t="str">
            <v/>
          </cell>
          <cell r="U796" t="str">
            <v/>
          </cell>
        </row>
        <row r="797">
          <cell r="D797">
            <v>0</v>
          </cell>
          <cell r="F797" t="str">
            <v/>
          </cell>
          <cell r="G797" t="str">
            <v/>
          </cell>
          <cell r="H797" t="str">
            <v/>
          </cell>
          <cell r="U797" t="str">
            <v/>
          </cell>
        </row>
        <row r="798">
          <cell r="D798">
            <v>0</v>
          </cell>
          <cell r="F798" t="str">
            <v/>
          </cell>
          <cell r="G798" t="str">
            <v/>
          </cell>
          <cell r="H798" t="str">
            <v/>
          </cell>
          <cell r="U798" t="str">
            <v/>
          </cell>
        </row>
        <row r="799">
          <cell r="D799">
            <v>0</v>
          </cell>
          <cell r="F799" t="str">
            <v>Patrimonio Y Pasivos</v>
          </cell>
          <cell r="G799" t="str">
            <v/>
          </cell>
          <cell r="H799" t="str">
            <v/>
          </cell>
          <cell r="U799" t="str">
            <v/>
          </cell>
        </row>
        <row r="800">
          <cell r="D800">
            <v>0</v>
          </cell>
          <cell r="F800" t="str">
            <v>Pasivos</v>
          </cell>
          <cell r="G800" t="str">
            <v/>
          </cell>
          <cell r="H800" t="str">
            <v/>
          </cell>
          <cell r="U800" t="str">
            <v/>
          </cell>
        </row>
        <row r="801">
          <cell r="D801">
            <v>0</v>
          </cell>
          <cell r="F801" t="str">
            <v>Pasivos Corrientes</v>
          </cell>
          <cell r="G801" t="str">
            <v/>
          </cell>
          <cell r="H801" t="str">
            <v/>
          </cell>
          <cell r="U801" t="str">
            <v/>
          </cell>
        </row>
        <row r="802">
          <cell r="D802">
            <v>0</v>
          </cell>
          <cell r="F802" t="str">
            <v>.</v>
          </cell>
          <cell r="G802" t="str">
            <v/>
          </cell>
          <cell r="H802" t="str">
            <v/>
          </cell>
          <cell r="U802" t="str">
            <v/>
          </cell>
        </row>
        <row r="803">
          <cell r="D803" t="str">
            <v>2-1-01-01-02</v>
          </cell>
          <cell r="E803" t="str">
            <v>2-1-01-01-02</v>
          </cell>
          <cell r="F803" t="str">
            <v>Credito Banco Scotiabank</v>
          </cell>
          <cell r="G803" t="str">
            <v>2-1-01-01-02  Credito Banco Scotiabank</v>
          </cell>
          <cell r="H803" t="str">
            <v>Balance</v>
          </cell>
          <cell r="I803" t="str">
            <v>II. Pasivos</v>
          </cell>
          <cell r="J803" t="str">
            <v>1. Pasivos corrientes</v>
          </cell>
          <cell r="K803" t="str">
            <v>1. Otros Pasivos Financieros, corrientes</v>
          </cell>
          <cell r="U803" t="str">
            <v>1. Otros Pasivos Financieros, corrientes</v>
          </cell>
          <cell r="AH803" t="str">
            <v>III. Pasivos de los segmentos</v>
          </cell>
        </row>
        <row r="804">
          <cell r="D804">
            <v>0</v>
          </cell>
          <cell r="F804" t="str">
            <v>Otros Pasivos Financieros Corrientes</v>
          </cell>
          <cell r="G804" t="str">
            <v/>
          </cell>
          <cell r="H804" t="str">
            <v/>
          </cell>
          <cell r="U804" t="str">
            <v/>
          </cell>
          <cell r="AH804" t="str">
            <v/>
          </cell>
        </row>
        <row r="805">
          <cell r="D805">
            <v>0</v>
          </cell>
          <cell r="G805" t="str">
            <v/>
          </cell>
          <cell r="H805" t="str">
            <v/>
          </cell>
          <cell r="U805" t="str">
            <v/>
          </cell>
          <cell r="AH805" t="str">
            <v/>
          </cell>
        </row>
        <row r="806">
          <cell r="D806" t="str">
            <v>2-1-07-01-01</v>
          </cell>
          <cell r="E806" t="str">
            <v>2-1-07-01-01</v>
          </cell>
          <cell r="F806" t="str">
            <v>Proveedores Bienes Y Servicios</v>
          </cell>
          <cell r="G806" t="str">
            <v>2-1-07-01-01  Proveedores Bienes Y Servicios</v>
          </cell>
          <cell r="H806" t="str">
            <v>Balance</v>
          </cell>
          <cell r="I806" t="str">
            <v>II. Pasivos</v>
          </cell>
          <cell r="J806" t="str">
            <v>1. Pasivos corrientes</v>
          </cell>
          <cell r="K806" t="str">
            <v>2. Cuentas comerciales y otras cuentas por pagar, corrientes</v>
          </cell>
          <cell r="U806" t="str">
            <v>2. Cuentas comerciales y otras cuentas por pagar, corrientes</v>
          </cell>
          <cell r="AG806" t="str">
            <v>Deudas por compras o prestación de servicios</v>
          </cell>
          <cell r="AH806" t="str">
            <v>III. Pasivos de los segmentos</v>
          </cell>
        </row>
        <row r="807">
          <cell r="D807" t="str">
            <v>2-1-07-01-02</v>
          </cell>
          <cell r="E807" t="str">
            <v>2-1-07-01-02</v>
          </cell>
          <cell r="F807" t="str">
            <v>Otros Proveedores</v>
          </cell>
          <cell r="G807" t="str">
            <v>2-1-07-01-02  Otros Proveedores</v>
          </cell>
          <cell r="H807" t="str">
            <v>Balance</v>
          </cell>
          <cell r="I807" t="str">
            <v>II. Pasivos</v>
          </cell>
          <cell r="J807" t="str">
            <v>1. Pasivos corrientes</v>
          </cell>
          <cell r="K807" t="str">
            <v>2. Cuentas comerciales y otras cuentas por pagar, corrientes</v>
          </cell>
          <cell r="U807" t="str">
            <v>2. Cuentas comerciales y otras cuentas por pagar, corrientes</v>
          </cell>
          <cell r="AG807" t="str">
            <v>Deudas por compras o prestación de servicios</v>
          </cell>
          <cell r="AH807" t="str">
            <v>III. Pasivos de los segmentos</v>
          </cell>
        </row>
        <row r="808">
          <cell r="D808" t="str">
            <v>2-1-07-01-07</v>
          </cell>
          <cell r="E808" t="str">
            <v>2-1-07-01-07</v>
          </cell>
          <cell r="F808" t="str">
            <v>Seguros Por Pagar</v>
          </cell>
          <cell r="G808" t="str">
            <v>2-1-07-01-07  Seguros Por Pagar</v>
          </cell>
          <cell r="H808" t="str">
            <v>Balance</v>
          </cell>
          <cell r="I808" t="str">
            <v>II. Pasivos</v>
          </cell>
          <cell r="J808" t="str">
            <v>1. Pasivos corrientes</v>
          </cell>
          <cell r="K808" t="str">
            <v>2. Cuentas comerciales y otras cuentas por pagar, corrientes</v>
          </cell>
          <cell r="U808" t="str">
            <v>2. Cuentas comerciales y otras cuentas por pagar, corrientes</v>
          </cell>
          <cell r="AG808" t="str">
            <v>Otras cuentas por pagar comerciales y otras cuentas</v>
          </cell>
          <cell r="AH808" t="str">
            <v>III. Pasivos de los segmentos</v>
          </cell>
        </row>
        <row r="809">
          <cell r="D809" t="str">
            <v>2-1-11-01-02</v>
          </cell>
          <cell r="E809" t="str">
            <v>2-1-11-01-02</v>
          </cell>
          <cell r="F809" t="str">
            <v>Feriados Del Personal</v>
          </cell>
          <cell r="G809" t="str">
            <v>2-1-11-01-02  Feriados Del Personal</v>
          </cell>
          <cell r="H809" t="str">
            <v>Balance</v>
          </cell>
          <cell r="I809" t="str">
            <v>II. Pasivos</v>
          </cell>
          <cell r="J809" t="str">
            <v>1. Pasivos corrientes</v>
          </cell>
          <cell r="K809" t="str">
            <v>2. Cuentas comerciales y otras cuentas por pagar, corrientes</v>
          </cell>
          <cell r="U809" t="str">
            <v>2. Cuentas comerciales y otras cuentas por pagar, corrientes</v>
          </cell>
          <cell r="AG809" t="str">
            <v>Cuentas por pagar al personal</v>
          </cell>
          <cell r="AH809" t="str">
            <v>III. Pasivos de los segmentos</v>
          </cell>
        </row>
        <row r="810">
          <cell r="D810" t="str">
            <v>2-1-11-01-03</v>
          </cell>
          <cell r="E810" t="str">
            <v>2-1-11-01-03</v>
          </cell>
          <cell r="F810" t="str">
            <v>Provisiones Varias</v>
          </cell>
          <cell r="G810" t="str">
            <v>2-1-11-01-03  Provisiones Varias</v>
          </cell>
          <cell r="H810" t="str">
            <v>Balance</v>
          </cell>
          <cell r="I810" t="str">
            <v>II. Pasivos</v>
          </cell>
          <cell r="J810" t="str">
            <v>1. Pasivos corrientes</v>
          </cell>
          <cell r="K810" t="str">
            <v>2. Cuentas comerciales y otras cuentas por pagar, corrientes</v>
          </cell>
          <cell r="U810" t="str">
            <v>2. Cuentas comerciales y otras cuentas por pagar, corrientes</v>
          </cell>
          <cell r="AG810" t="str">
            <v>Otras cuentas por pagar comerciales y otras cuentas</v>
          </cell>
          <cell r="AH810" t="str">
            <v>III. Pasivos de los segmentos</v>
          </cell>
        </row>
        <row r="811">
          <cell r="D811" t="str">
            <v>2-1-11-01-04</v>
          </cell>
          <cell r="E811" t="str">
            <v>2-1-11-01-04</v>
          </cell>
          <cell r="F811" t="str">
            <v>Provision Boletas De Honorarios</v>
          </cell>
          <cell r="G811" t="str">
            <v>2-1-11-01-04  Provision Boletas De Honorarios</v>
          </cell>
          <cell r="H811" t="str">
            <v>Balance</v>
          </cell>
          <cell r="I811" t="str">
            <v>II. Pasivos</v>
          </cell>
          <cell r="J811" t="str">
            <v>1. Pasivos corrientes</v>
          </cell>
          <cell r="K811" t="str">
            <v>2. Cuentas comerciales y otras cuentas por pagar, corrientes</v>
          </cell>
          <cell r="U811" t="str">
            <v>2. Cuentas comerciales y otras cuentas por pagar, corrientes</v>
          </cell>
          <cell r="AG811" t="str">
            <v>Otras cuentas por pagar comerciales y otras cuentas</v>
          </cell>
          <cell r="AH811" t="str">
            <v>III. Pasivos de los segmentos</v>
          </cell>
        </row>
        <row r="812">
          <cell r="D812" t="str">
            <v>2-1-12-03-01</v>
          </cell>
          <cell r="E812" t="str">
            <v>2-1-12-03-01</v>
          </cell>
          <cell r="F812" t="str">
            <v>Impuesto Único Trabajadores</v>
          </cell>
          <cell r="G812" t="str">
            <v>2-1-12-03-01  Impuesto Único Trabajadores</v>
          </cell>
          <cell r="H812" t="str">
            <v>Balance</v>
          </cell>
          <cell r="I812" t="str">
            <v>II. Pasivos</v>
          </cell>
          <cell r="J812" t="str">
            <v>1. Pasivos corrientes</v>
          </cell>
          <cell r="K812" t="str">
            <v>2. Cuentas comerciales y otras cuentas por pagar, corrientes</v>
          </cell>
          <cell r="U812" t="str">
            <v>2. Cuentas comerciales y otras cuentas por pagar, corrientes</v>
          </cell>
          <cell r="AH812" t="str">
            <v>III. Pasivos de los segmentos</v>
          </cell>
        </row>
        <row r="813">
          <cell r="D813" t="str">
            <v>2-1-12-03-02</v>
          </cell>
          <cell r="E813" t="str">
            <v>2-1-12-03-02</v>
          </cell>
          <cell r="F813" t="str">
            <v>Impuesto 2A Categoria Honorarios</v>
          </cell>
          <cell r="G813" t="str">
            <v>2-1-12-03-02  Impuesto 2A Categoria Honorarios</v>
          </cell>
          <cell r="H813" t="str">
            <v>Balance</v>
          </cell>
          <cell r="I813" t="str">
            <v>II. Pasivos</v>
          </cell>
          <cell r="J813" t="str">
            <v>1. Pasivos corrientes</v>
          </cell>
          <cell r="K813" t="str">
            <v>2. Cuentas comerciales y otras cuentas por pagar, corrientes</v>
          </cell>
          <cell r="U813" t="str">
            <v>2. Cuentas comerciales y otras cuentas por pagar, corrientes</v>
          </cell>
          <cell r="AH813" t="str">
            <v>III. Pasivos de los segmentos</v>
          </cell>
        </row>
        <row r="814">
          <cell r="D814" t="str">
            <v>2-1-12-03-03</v>
          </cell>
          <cell r="E814" t="str">
            <v>2-1-12-03-03</v>
          </cell>
          <cell r="F814" t="str">
            <v>Impuesto 2A Categoria Dietas Directorio</v>
          </cell>
          <cell r="G814" t="str">
            <v>2-1-12-03-03  Impuesto 2A Categoria Dietas Directorio</v>
          </cell>
          <cell r="H814" t="str">
            <v>Balance</v>
          </cell>
          <cell r="I814" t="str">
            <v>II. Pasivos</v>
          </cell>
          <cell r="J814" t="str">
            <v>1. Pasivos corrientes</v>
          </cell>
          <cell r="K814" t="str">
            <v>2. Cuentas comerciales y otras cuentas por pagar, corrientes</v>
          </cell>
          <cell r="U814" t="str">
            <v>2. Cuentas comerciales y otras cuentas por pagar, corrientes</v>
          </cell>
          <cell r="AH814" t="str">
            <v>III. Pasivos de los segmentos</v>
          </cell>
        </row>
        <row r="815">
          <cell r="D815" t="str">
            <v>2-1-12-04-01</v>
          </cell>
          <cell r="E815" t="str">
            <v>2-1-12-04-01</v>
          </cell>
          <cell r="F815" t="str">
            <v>Iva Débito Fiscal</v>
          </cell>
          <cell r="G815" t="str">
            <v>2-1-12-04-01  Iva Débito Fiscal</v>
          </cell>
          <cell r="H815" t="str">
            <v>Balance</v>
          </cell>
          <cell r="I815" t="str">
            <v>II. Pasivos</v>
          </cell>
          <cell r="J815" t="str">
            <v>1. Pasivos corrientes</v>
          </cell>
          <cell r="K815" t="str">
            <v>2. Cuentas comerciales y otras cuentas por pagar, corrientes</v>
          </cell>
          <cell r="U815" t="str">
            <v>2. Cuentas comerciales y otras cuentas por pagar, corrientes</v>
          </cell>
          <cell r="AH815" t="str">
            <v>III. Pasivos de los segmentos</v>
          </cell>
        </row>
        <row r="816">
          <cell r="D816" t="str">
            <v>2-1-12-04-02</v>
          </cell>
          <cell r="E816" t="str">
            <v>2-1-12-04-02</v>
          </cell>
          <cell r="F816" t="str">
            <v>Iva Por Pagar</v>
          </cell>
          <cell r="G816" t="str">
            <v>2-1-12-04-02  Iva Por Pagar</v>
          </cell>
          <cell r="H816" t="str">
            <v>Balance</v>
          </cell>
          <cell r="I816" t="str">
            <v>II. Pasivos</v>
          </cell>
          <cell r="J816" t="str">
            <v>1. Pasivos corrientes</v>
          </cell>
          <cell r="K816" t="str">
            <v>2. Cuentas comerciales y otras cuentas por pagar, corrientes</v>
          </cell>
          <cell r="U816" t="str">
            <v>2. Cuentas comerciales y otras cuentas por pagar, corrientes</v>
          </cell>
          <cell r="AH816" t="str">
            <v>III. Pasivos de los segmentos</v>
          </cell>
        </row>
        <row r="817">
          <cell r="D817">
            <v>0</v>
          </cell>
          <cell r="G817" t="str">
            <v/>
          </cell>
          <cell r="H817" t="str">
            <v>Balance</v>
          </cell>
          <cell r="I817" t="str">
            <v>II. Pasivos</v>
          </cell>
          <cell r="J817" t="str">
            <v>1. Pasivos corrientes</v>
          </cell>
          <cell r="K817" t="str">
            <v>2. Cuentas comerciales y otras cuentas por pagar, corrientes</v>
          </cell>
          <cell r="U817" t="str">
            <v>2. Cuentas comerciales y otras cuentas por pagar, corrientes</v>
          </cell>
          <cell r="AH817" t="str">
            <v>III. Pasivos de los segmentos</v>
          </cell>
        </row>
        <row r="818">
          <cell r="D818">
            <v>0</v>
          </cell>
          <cell r="G818" t="str">
            <v/>
          </cell>
          <cell r="H818" t="str">
            <v>Balance</v>
          </cell>
          <cell r="I818" t="str">
            <v>II. Pasivos</v>
          </cell>
          <cell r="J818" t="str">
            <v>1. Pasivos corrientes</v>
          </cell>
          <cell r="K818" t="str">
            <v>2. Cuentas comerciales y otras cuentas por pagar, corrientes</v>
          </cell>
          <cell r="U818" t="str">
            <v>2. Cuentas comerciales y otras cuentas por pagar, corrientes</v>
          </cell>
          <cell r="AH818" t="str">
            <v>III. Pasivos de los segmentos</v>
          </cell>
        </row>
        <row r="819">
          <cell r="D819">
            <v>0</v>
          </cell>
          <cell r="G819" t="str">
            <v/>
          </cell>
          <cell r="H819" t="str">
            <v>Balance</v>
          </cell>
          <cell r="I819" t="str">
            <v>II. Pasivos</v>
          </cell>
          <cell r="J819" t="str">
            <v>1. Pasivos corrientes</v>
          </cell>
          <cell r="K819" t="str">
            <v>2. Cuentas comerciales y otras cuentas por pagar, corrientes</v>
          </cell>
          <cell r="U819" t="str">
            <v>2. Cuentas comerciales y otras cuentas por pagar, corrientes</v>
          </cell>
          <cell r="AH819" t="str">
            <v>III. Pasivos de los segmentos</v>
          </cell>
        </row>
        <row r="820">
          <cell r="D820">
            <v>0</v>
          </cell>
          <cell r="F820" t="str">
            <v>Cuentas Por Pagar Comerciales Y Otras Cuentas Por Pagar</v>
          </cell>
          <cell r="G820" t="str">
            <v/>
          </cell>
          <cell r="H820" t="str">
            <v/>
          </cell>
          <cell r="U820" t="str">
            <v/>
          </cell>
          <cell r="AH820" t="str">
            <v/>
          </cell>
        </row>
        <row r="821">
          <cell r="D821">
            <v>0</v>
          </cell>
          <cell r="F821" t="str">
            <v/>
          </cell>
          <cell r="G821" t="str">
            <v/>
          </cell>
          <cell r="H821" t="str">
            <v/>
          </cell>
          <cell r="U821" t="str">
            <v/>
          </cell>
          <cell r="AH821" t="str">
            <v/>
          </cell>
        </row>
        <row r="822">
          <cell r="D822" t="str">
            <v>2-1-10-01-01</v>
          </cell>
          <cell r="E822" t="str">
            <v>2-1-10-01-01</v>
          </cell>
          <cell r="F822" t="str">
            <v>Docs Y Ctas Por Pagar Emp Relac Cp A Efe</v>
          </cell>
          <cell r="G822" t="str">
            <v>2-1-10-01-01  Docs Y Ctas Por Pagar Emp Relac Cp A Efe</v>
          </cell>
          <cell r="H822" t="str">
            <v>Balance</v>
          </cell>
          <cell r="I822" t="str">
            <v>II. Pasivos</v>
          </cell>
          <cell r="J822" t="str">
            <v>1. Pasivos corrientes</v>
          </cell>
          <cell r="K822" t="str">
            <v>3. Cuentas por Pagar a Entidades Relacionadas, corrientes</v>
          </cell>
          <cell r="U822" t="str">
            <v>3. Cuentas por Pagar a Entidades Relacionadas, corrientes</v>
          </cell>
          <cell r="AG822" t="str">
            <v xml:space="preserve"> </v>
          </cell>
          <cell r="AH822" t="str">
            <v>III. Pasivos de los segmentos</v>
          </cell>
        </row>
        <row r="823">
          <cell r="D823" t="str">
            <v>2-1-10-01-02</v>
          </cell>
          <cell r="E823" t="str">
            <v>2-1-10-01-02</v>
          </cell>
          <cell r="F823" t="str">
            <v>Iv Etapa Docs. Y Ctas. Por Pagar Emp Rel</v>
          </cell>
          <cell r="G823" t="str">
            <v>2-1-10-01-02  Iv Etapa Docs. Y Ctas. Por Pagar Emp Rel</v>
          </cell>
          <cell r="H823" t="str">
            <v>Balance</v>
          </cell>
          <cell r="I823" t="str">
            <v>II. Pasivos</v>
          </cell>
          <cell r="J823" t="str">
            <v>1. Pasivos corrientes</v>
          </cell>
          <cell r="K823" t="str">
            <v>3. Cuentas por Pagar a Entidades Relacionadas, corrientes</v>
          </cell>
          <cell r="U823" t="str">
            <v>3. Cuentas por Pagar a Entidades Relacionadas, corrientes</v>
          </cell>
          <cell r="AG823" t="str">
            <v xml:space="preserve"> </v>
          </cell>
          <cell r="AH823" t="str">
            <v>III. Pasivos de los segmentos</v>
          </cell>
        </row>
        <row r="824">
          <cell r="D824" t="str">
            <v>2-1-10-01-03</v>
          </cell>
          <cell r="E824" t="str">
            <v>2-1-10-01-03</v>
          </cell>
          <cell r="F824" t="str">
            <v>Cuenta Corriente Mercantil Por Pagar A E</v>
          </cell>
          <cell r="G824" t="str">
            <v>2-1-10-01-03  Cuenta Corriente Mercantil Por Pagar A E</v>
          </cell>
          <cell r="H824" t="str">
            <v>Balance</v>
          </cell>
          <cell r="I824" t="str">
            <v>II. Pasivos</v>
          </cell>
          <cell r="J824" t="str">
            <v>1. Pasivos corrientes</v>
          </cell>
          <cell r="K824" t="str">
            <v>3. Cuentas por Pagar a Entidades Relacionadas, corrientes</v>
          </cell>
          <cell r="U824" t="str">
            <v>3. Cuentas por Pagar a Entidades Relacionadas, corrientes</v>
          </cell>
          <cell r="AG824" t="str">
            <v xml:space="preserve"> </v>
          </cell>
          <cell r="AH824" t="str">
            <v>III. Pasivos de los segmentos</v>
          </cell>
        </row>
        <row r="825">
          <cell r="D825" t="str">
            <v>2-1-10-01-04</v>
          </cell>
          <cell r="E825" t="str">
            <v>2-1-10-01-04</v>
          </cell>
          <cell r="F825" t="str">
            <v>EXCEDENTE SUBSIDIO MINISTERO TRANSPORTES</v>
          </cell>
          <cell r="G825" t="str">
            <v>2-1-10-01-04  EXCEDENTE SUBSIDIO MINISTERO TRANSPORTES</v>
          </cell>
          <cell r="H825" t="str">
            <v>Balance</v>
          </cell>
          <cell r="I825" t="str">
            <v>II. Pasivos</v>
          </cell>
          <cell r="J825" t="str">
            <v>1. Pasivos corrientes</v>
          </cell>
          <cell r="K825" t="str">
            <v>3. Cuentas por Pagar a Entidades Relacionadas, corrientes</v>
          </cell>
          <cell r="U825" t="str">
            <v>3. Cuentas por Pagar a Entidades Relacionadas, corrientes</v>
          </cell>
          <cell r="AG825" t="str">
            <v xml:space="preserve"> </v>
          </cell>
          <cell r="AH825" t="str">
            <v>III. Pasivos de los segmentos</v>
          </cell>
        </row>
        <row r="826">
          <cell r="D826">
            <v>0</v>
          </cell>
          <cell r="G826" t="str">
            <v/>
          </cell>
          <cell r="H826" t="str">
            <v>Balance</v>
          </cell>
          <cell r="I826" t="str">
            <v>II. Pasivos</v>
          </cell>
          <cell r="J826" t="str">
            <v>1. Pasivos corrientes</v>
          </cell>
          <cell r="K826" t="str">
            <v>3. Cuentas por Pagar a Entidades Relacionadas, corrientes</v>
          </cell>
          <cell r="U826" t="str">
            <v>3. Cuentas por Pagar a Entidades Relacionadas, corrientes</v>
          </cell>
          <cell r="AG826" t="str">
            <v xml:space="preserve"> </v>
          </cell>
          <cell r="AH826" t="str">
            <v>III. Pasivos de los segmentos</v>
          </cell>
        </row>
        <row r="827">
          <cell r="D827">
            <v>0</v>
          </cell>
          <cell r="F827" t="str">
            <v>Cuentas Por Pagar A Entidades Relacionadas, Corrientes</v>
          </cell>
          <cell r="G827" t="str">
            <v/>
          </cell>
          <cell r="H827" t="str">
            <v/>
          </cell>
          <cell r="U827" t="str">
            <v/>
          </cell>
          <cell r="AH827" t="str">
            <v/>
          </cell>
        </row>
        <row r="828">
          <cell r="D828">
            <v>0</v>
          </cell>
          <cell r="F828" t="str">
            <v/>
          </cell>
          <cell r="G828" t="str">
            <v/>
          </cell>
          <cell r="H828" t="str">
            <v/>
          </cell>
          <cell r="U828" t="str">
            <v/>
          </cell>
          <cell r="AH828" t="str">
            <v/>
          </cell>
        </row>
        <row r="829">
          <cell r="D829">
            <v>0</v>
          </cell>
          <cell r="G829" t="str">
            <v/>
          </cell>
          <cell r="H829" t="str">
            <v/>
          </cell>
          <cell r="I829" t="str">
            <v>II. Pasivos</v>
          </cell>
          <cell r="J829" t="str">
            <v>1. Pasivos corrientes</v>
          </cell>
          <cell r="K829" t="str">
            <v>4. Otras Provisiones, corrientes</v>
          </cell>
          <cell r="U829" t="str">
            <v>4. Otras Provisiones, corrientes</v>
          </cell>
          <cell r="AH829" t="str">
            <v>III. Pasivos de los segmentos</v>
          </cell>
        </row>
        <row r="830">
          <cell r="D830">
            <v>0</v>
          </cell>
          <cell r="F830" t="str">
            <v>Otras Provisones A Corto Plazo</v>
          </cell>
          <cell r="G830" t="str">
            <v/>
          </cell>
          <cell r="H830" t="str">
            <v/>
          </cell>
          <cell r="U830" t="str">
            <v/>
          </cell>
          <cell r="AH830" t="str">
            <v/>
          </cell>
        </row>
        <row r="831">
          <cell r="D831">
            <v>0</v>
          </cell>
          <cell r="F831" t="str">
            <v/>
          </cell>
          <cell r="G831" t="str">
            <v/>
          </cell>
          <cell r="H831" t="str">
            <v/>
          </cell>
          <cell r="U831" t="str">
            <v/>
          </cell>
          <cell r="AH831" t="str">
            <v/>
          </cell>
        </row>
        <row r="832">
          <cell r="D832">
            <v>0</v>
          </cell>
          <cell r="G832" t="str">
            <v/>
          </cell>
          <cell r="H832" t="str">
            <v>Balance</v>
          </cell>
          <cell r="I832" t="str">
            <v>II. Pasivos</v>
          </cell>
          <cell r="J832" t="str">
            <v>1. Pasivos corrientes</v>
          </cell>
          <cell r="K832" t="str">
            <v>5. Pasivos por Impuestos, corrientes</v>
          </cell>
          <cell r="U832" t="str">
            <v>5. Pasivos por Impuestos, corrientes</v>
          </cell>
          <cell r="AH832" t="str">
            <v>III. Pasivos de los segmentos</v>
          </cell>
        </row>
        <row r="833">
          <cell r="D833">
            <v>0</v>
          </cell>
          <cell r="G833" t="str">
            <v/>
          </cell>
          <cell r="H833" t="str">
            <v>Balance</v>
          </cell>
          <cell r="I833" t="str">
            <v>II. Pasivos</v>
          </cell>
          <cell r="J833" t="str">
            <v>1. Pasivos corrientes</v>
          </cell>
          <cell r="K833" t="str">
            <v>5. Pasivos por Impuestos, corrientes</v>
          </cell>
          <cell r="U833" t="str">
            <v>5. Pasivos por Impuestos, corrientes</v>
          </cell>
          <cell r="AH833" t="str">
            <v>III. Pasivos de los segmentos</v>
          </cell>
        </row>
        <row r="834">
          <cell r="D834">
            <v>0</v>
          </cell>
          <cell r="G834" t="str">
            <v/>
          </cell>
          <cell r="H834" t="str">
            <v>Balance</v>
          </cell>
          <cell r="I834" t="str">
            <v>II. Pasivos</v>
          </cell>
          <cell r="J834" t="str">
            <v>1. Pasivos corrientes</v>
          </cell>
          <cell r="K834" t="str">
            <v>5. Pasivos por Impuestos, corrientes</v>
          </cell>
          <cell r="U834" t="str">
            <v>5. Pasivos por Impuestos, corrientes</v>
          </cell>
          <cell r="AH834" t="str">
            <v>III. Pasivos de los segmentos</v>
          </cell>
        </row>
        <row r="835">
          <cell r="D835">
            <v>0</v>
          </cell>
          <cell r="G835" t="str">
            <v/>
          </cell>
          <cell r="H835" t="str">
            <v>Balance</v>
          </cell>
          <cell r="I835" t="str">
            <v>II. Pasivos</v>
          </cell>
          <cell r="J835" t="str">
            <v>1. Pasivos corrientes</v>
          </cell>
          <cell r="K835" t="str">
            <v>5. Pasivos por Impuestos, corrientes</v>
          </cell>
          <cell r="U835" t="str">
            <v>5. Pasivos por Impuestos, corrientes</v>
          </cell>
          <cell r="AH835" t="str">
            <v>III. Pasivos de los segmentos</v>
          </cell>
        </row>
        <row r="836">
          <cell r="D836">
            <v>0</v>
          </cell>
          <cell r="G836" t="str">
            <v/>
          </cell>
          <cell r="H836" t="str">
            <v>Balance</v>
          </cell>
          <cell r="I836" t="str">
            <v>II. Pasivos</v>
          </cell>
          <cell r="J836" t="str">
            <v>1. Pasivos corrientes</v>
          </cell>
          <cell r="K836" t="str">
            <v>5. Pasivos por Impuestos, corrientes</v>
          </cell>
          <cell r="U836" t="str">
            <v>5. Pasivos por Impuestos, corrientes</v>
          </cell>
          <cell r="AH836" t="str">
            <v>III. Pasivos de los segmentos</v>
          </cell>
        </row>
        <row r="837">
          <cell r="D837">
            <v>0</v>
          </cell>
          <cell r="F837" t="str">
            <v>Pasivos Por Impuestos Corrientes</v>
          </cell>
          <cell r="G837" t="str">
            <v/>
          </cell>
          <cell r="H837" t="str">
            <v/>
          </cell>
          <cell r="U837" t="str">
            <v/>
          </cell>
          <cell r="AH837" t="str">
            <v/>
          </cell>
        </row>
        <row r="838">
          <cell r="D838">
            <v>0</v>
          </cell>
          <cell r="F838" t="str">
            <v/>
          </cell>
          <cell r="G838" t="str">
            <v/>
          </cell>
          <cell r="H838" t="str">
            <v/>
          </cell>
          <cell r="U838" t="str">
            <v/>
          </cell>
          <cell r="AH838" t="str">
            <v/>
          </cell>
        </row>
        <row r="839">
          <cell r="D839">
            <v>0</v>
          </cell>
          <cell r="G839" t="str">
            <v/>
          </cell>
          <cell r="H839" t="str">
            <v/>
          </cell>
          <cell r="I839" t="str">
            <v>II. Pasivos</v>
          </cell>
          <cell r="J839" t="str">
            <v>1. Pasivos corrientes</v>
          </cell>
          <cell r="K839" t="str">
            <v>6. Provisiones por beneficios a los empleados, corrientes</v>
          </cell>
          <cell r="U839" t="str">
            <v>6. Provisiones por beneficios a los empleados, corrientes</v>
          </cell>
          <cell r="AH839" t="str">
            <v>III. Pasivos de los segmentos</v>
          </cell>
        </row>
        <row r="840">
          <cell r="D840">
            <v>0</v>
          </cell>
          <cell r="F840" t="str">
            <v>Provisiones Corrientes Por Beneficios A Los Empleados</v>
          </cell>
          <cell r="G840" t="str">
            <v/>
          </cell>
          <cell r="H840" t="str">
            <v/>
          </cell>
          <cell r="U840" t="str">
            <v/>
          </cell>
          <cell r="AH840" t="str">
            <v/>
          </cell>
        </row>
        <row r="841">
          <cell r="D841">
            <v>0</v>
          </cell>
          <cell r="F841" t="str">
            <v/>
          </cell>
          <cell r="G841" t="str">
            <v/>
          </cell>
          <cell r="H841" t="str">
            <v/>
          </cell>
          <cell r="U841" t="str">
            <v/>
          </cell>
          <cell r="AH841" t="str">
            <v/>
          </cell>
        </row>
        <row r="842">
          <cell r="D842" t="str">
            <v>1-1-99-01-05</v>
          </cell>
          <cell r="E842" t="str">
            <v>1-1-99-01-05</v>
          </cell>
          <cell r="F842" t="str">
            <v>Intereses No Devengados Iva Diferido C/P</v>
          </cell>
          <cell r="G842" t="str">
            <v>1-1-99-01-05  Intereses No Devengados Iva Diferido C/P</v>
          </cell>
          <cell r="H842" t="str">
            <v>Balance</v>
          </cell>
          <cell r="I842" t="str">
            <v>II. Pasivos</v>
          </cell>
          <cell r="J842" t="str">
            <v>1. Pasivos corrientes</v>
          </cell>
          <cell r="K842" t="str">
            <v>7. Otros Pasivos No Financieros, corrientes</v>
          </cell>
          <cell r="U842" t="str">
            <v>7. Otros Pasivos No Financieros, corrientes</v>
          </cell>
          <cell r="AH842" t="str">
            <v>III. Pasivos de los segmentos</v>
          </cell>
        </row>
        <row r="843">
          <cell r="D843" t="str">
            <v>2-1-07-01-10</v>
          </cell>
          <cell r="E843" t="str">
            <v>2-1-07-01-10</v>
          </cell>
          <cell r="F843" t="str">
            <v>Garantías En Efectivo Uf</v>
          </cell>
          <cell r="G843" t="str">
            <v>2-1-07-01-10  Garantías En Efectivo Uf</v>
          </cell>
          <cell r="H843" t="str">
            <v>Balance</v>
          </cell>
          <cell r="I843" t="str">
            <v>II. Pasivos</v>
          </cell>
          <cell r="J843" t="str">
            <v>1. Pasivos corrientes</v>
          </cell>
          <cell r="K843" t="str">
            <v>7. Otros Pasivos No Financieros, corrientes</v>
          </cell>
          <cell r="U843" t="str">
            <v>7. Otros Pasivos No Financieros, corrientes</v>
          </cell>
          <cell r="AH843" t="str">
            <v>III. Pasivos de los segmentos</v>
          </cell>
        </row>
        <row r="844">
          <cell r="D844" t="str">
            <v>2-1-08-01-02</v>
          </cell>
          <cell r="E844" t="str">
            <v>2-1-08-01-02</v>
          </cell>
          <cell r="F844" t="str">
            <v>Otros documento por pagar C.P.</v>
          </cell>
          <cell r="G844" t="str">
            <v>2-1-08-01-02  Otros documento por pagar C.P.</v>
          </cell>
          <cell r="H844" t="str">
            <v>Balance</v>
          </cell>
          <cell r="I844" t="str">
            <v>II. Pasivos</v>
          </cell>
          <cell r="J844" t="str">
            <v>1. Pasivos corrientes</v>
          </cell>
          <cell r="K844" t="str">
            <v>7. Otros Pasivos No Financieros, corrientes</v>
          </cell>
          <cell r="U844" t="str">
            <v>7. Otros Pasivos No Financieros, corrientes</v>
          </cell>
          <cell r="AH844" t="str">
            <v>III. Pasivos de los segmentos</v>
          </cell>
        </row>
        <row r="845">
          <cell r="D845" t="str">
            <v>2-1-09-01-01</v>
          </cell>
          <cell r="E845" t="str">
            <v>2-1-09-01-01</v>
          </cell>
          <cell r="F845" t="str">
            <v>Acreedores Varios</v>
          </cell>
          <cell r="G845" t="str">
            <v>2-1-09-01-01  Acreedores Varios</v>
          </cell>
          <cell r="H845" t="str">
            <v>Balance</v>
          </cell>
          <cell r="I845" t="str">
            <v>II. Pasivos</v>
          </cell>
          <cell r="J845" t="str">
            <v>1. Pasivos corrientes</v>
          </cell>
          <cell r="K845" t="str">
            <v>7. Otros Pasivos No Financieros, corrientes</v>
          </cell>
          <cell r="U845" t="str">
            <v>7. Otros Pasivos No Financieros, corrientes</v>
          </cell>
          <cell r="AH845" t="str">
            <v>III. Pasivos de los segmentos</v>
          </cell>
        </row>
        <row r="846">
          <cell r="D846" t="str">
            <v>2-1-12-01-01</v>
          </cell>
          <cell r="E846" t="str">
            <v>2-1-12-01-01</v>
          </cell>
          <cell r="F846" t="str">
            <v>Afp Por Pagar</v>
          </cell>
          <cell r="G846" t="str">
            <v>2-1-12-01-01  Afp Por Pagar</v>
          </cell>
          <cell r="H846" t="str">
            <v>Balance</v>
          </cell>
          <cell r="I846" t="str">
            <v>II. Pasivos</v>
          </cell>
          <cell r="J846" t="str">
            <v>1. Pasivos corrientes</v>
          </cell>
          <cell r="K846" t="str">
            <v>7. Otros Pasivos No Financieros, corrientes</v>
          </cell>
          <cell r="U846" t="str">
            <v>7. Otros Pasivos No Financieros, corrientes</v>
          </cell>
          <cell r="AH846" t="str">
            <v>III. Pasivos de los segmentos</v>
          </cell>
        </row>
        <row r="847">
          <cell r="D847" t="str">
            <v>2-1-12-01-02</v>
          </cell>
          <cell r="E847" t="str">
            <v>2-1-12-01-02</v>
          </cell>
          <cell r="F847" t="str">
            <v>Isapres Por Pagar</v>
          </cell>
          <cell r="G847" t="str">
            <v>2-1-12-01-02  Isapres Por Pagar</v>
          </cell>
          <cell r="H847" t="str">
            <v>Balance</v>
          </cell>
          <cell r="I847" t="str">
            <v>II. Pasivos</v>
          </cell>
          <cell r="J847" t="str">
            <v>1. Pasivos corrientes</v>
          </cell>
          <cell r="K847" t="str">
            <v>7. Otros Pasivos No Financieros, corrientes</v>
          </cell>
          <cell r="U847" t="str">
            <v>7. Otros Pasivos No Financieros, corrientes</v>
          </cell>
          <cell r="AH847" t="str">
            <v>III. Pasivos de los segmentos</v>
          </cell>
        </row>
        <row r="848">
          <cell r="D848" t="str">
            <v>2-1-12-01-03</v>
          </cell>
          <cell r="E848" t="str">
            <v>2-1-12-01-03</v>
          </cell>
          <cell r="F848" t="str">
            <v>Cotizaciones Fonasa Por Pagar</v>
          </cell>
          <cell r="G848" t="str">
            <v>2-1-12-01-03  Cotizaciones Fonasa Por Pagar</v>
          </cell>
          <cell r="H848" t="str">
            <v>Balance</v>
          </cell>
          <cell r="I848" t="str">
            <v>II. Pasivos</v>
          </cell>
          <cell r="J848" t="str">
            <v>1. Pasivos corrientes</v>
          </cell>
          <cell r="K848" t="str">
            <v>7. Otros Pasivos No Financieros, corrientes</v>
          </cell>
          <cell r="U848" t="str">
            <v>7. Otros Pasivos No Financieros, corrientes</v>
          </cell>
          <cell r="AH848" t="str">
            <v>III. Pasivos de los segmentos</v>
          </cell>
        </row>
        <row r="849">
          <cell r="D849" t="str">
            <v>2-1-12-01-04</v>
          </cell>
          <cell r="E849" t="str">
            <v>2-1-12-01-04</v>
          </cell>
          <cell r="F849" t="str">
            <v>Retenciones Fondos De Terceros</v>
          </cell>
          <cell r="G849" t="str">
            <v>2-1-12-01-04  Retenciones Fondos De Terceros</v>
          </cell>
          <cell r="H849" t="str">
            <v>Balance</v>
          </cell>
          <cell r="I849" t="str">
            <v>II. Pasivos</v>
          </cell>
          <cell r="J849" t="str">
            <v>1. Pasivos corrientes</v>
          </cell>
          <cell r="K849" t="str">
            <v>7. Otros Pasivos No Financieros, corrientes</v>
          </cell>
          <cell r="U849" t="str">
            <v>7. Otros Pasivos No Financieros, corrientes</v>
          </cell>
          <cell r="AH849" t="str">
            <v>III. Pasivos de los segmentos</v>
          </cell>
        </row>
        <row r="850">
          <cell r="D850" t="str">
            <v>2-1-12-01-05</v>
          </cell>
          <cell r="E850" t="str">
            <v>2-1-12-01-05</v>
          </cell>
          <cell r="F850" t="str">
            <v>Créditos Sociales (La Araucana)</v>
          </cell>
          <cell r="G850" t="str">
            <v>2-1-12-01-05  Créditos Sociales (La Araucana)</v>
          </cell>
          <cell r="H850" t="str">
            <v>Balance</v>
          </cell>
          <cell r="I850" t="str">
            <v>II. Pasivos</v>
          </cell>
          <cell r="J850" t="str">
            <v>1. Pasivos corrientes</v>
          </cell>
          <cell r="K850" t="str">
            <v>7. Otros Pasivos No Financieros, corrientes</v>
          </cell>
          <cell r="U850" t="str">
            <v>7. Otros Pasivos No Financieros, corrientes</v>
          </cell>
          <cell r="AH850" t="str">
            <v>III. Pasivos de los segmentos</v>
          </cell>
        </row>
        <row r="851">
          <cell r="D851" t="str">
            <v>2-1-12-01-06</v>
          </cell>
          <cell r="E851" t="str">
            <v>2-1-12-01-06</v>
          </cell>
          <cell r="F851" t="str">
            <v>Retenciones Judiciales Trabajadores</v>
          </cell>
          <cell r="G851" t="str">
            <v>2-1-12-01-06  Retenciones Judiciales Trabajadores</v>
          </cell>
          <cell r="H851" t="str">
            <v>Balance</v>
          </cell>
          <cell r="I851" t="str">
            <v>II. Pasivos</v>
          </cell>
          <cell r="J851" t="str">
            <v>1. Pasivos corrientes</v>
          </cell>
          <cell r="K851" t="str">
            <v>7. Otros Pasivos No Financieros, corrientes</v>
          </cell>
          <cell r="U851" t="str">
            <v>7. Otros Pasivos No Financieros, corrientes</v>
          </cell>
          <cell r="AH851" t="str">
            <v>III. Pasivos de los segmentos</v>
          </cell>
        </row>
        <row r="852">
          <cell r="D852" t="str">
            <v>2-1-12-02-01</v>
          </cell>
          <cell r="E852" t="str">
            <v>2-1-12-02-01</v>
          </cell>
          <cell r="F852" t="str">
            <v>Mutual De Seguridad Por Pagar</v>
          </cell>
          <cell r="G852" t="str">
            <v>2-1-12-02-01  Mutual De Seguridad Por Pagar</v>
          </cell>
          <cell r="H852" t="str">
            <v>Balance</v>
          </cell>
          <cell r="I852" t="str">
            <v>II. Pasivos</v>
          </cell>
          <cell r="J852" t="str">
            <v>1. Pasivos corrientes</v>
          </cell>
          <cell r="K852" t="str">
            <v>7. Otros Pasivos No Financieros, corrientes</v>
          </cell>
          <cell r="U852" t="str">
            <v>7. Otros Pasivos No Financieros, corrientes</v>
          </cell>
          <cell r="AH852" t="str">
            <v>III. Pasivos de los segmentos</v>
          </cell>
        </row>
        <row r="853">
          <cell r="D853" t="str">
            <v>2-1-12-02-02</v>
          </cell>
          <cell r="E853" t="str">
            <v>2-1-12-02-02</v>
          </cell>
          <cell r="F853" t="str">
            <v>Caja De Compensacion Por  Compensar</v>
          </cell>
          <cell r="G853" t="str">
            <v>2-1-12-02-02  Caja De Compensacion Por  Compensar</v>
          </cell>
          <cell r="H853" t="str">
            <v>Balance</v>
          </cell>
          <cell r="I853" t="str">
            <v>II. Pasivos</v>
          </cell>
          <cell r="J853" t="str">
            <v>1. Pasivos corrientes</v>
          </cell>
          <cell r="K853" t="str">
            <v>7. Otros Pasivos No Financieros, corrientes</v>
          </cell>
          <cell r="U853" t="str">
            <v>7. Otros Pasivos No Financieros, corrientes</v>
          </cell>
          <cell r="AH853" t="str">
            <v>III. Pasivos de los segmentos</v>
          </cell>
        </row>
        <row r="854">
          <cell r="D854" t="str">
            <v>2-1-14-01-01</v>
          </cell>
          <cell r="E854" t="str">
            <v>2-1-14-01-01</v>
          </cell>
          <cell r="F854" t="str">
            <v>Ingresos Anticipados Por Pasajes</v>
          </cell>
          <cell r="G854" t="str">
            <v>2-1-14-01-01  Ingresos Anticipados Por Pasajes</v>
          </cell>
          <cell r="H854" t="str">
            <v>Balance</v>
          </cell>
          <cell r="I854" t="str">
            <v>II. Pasivos</v>
          </cell>
          <cell r="J854" t="str">
            <v>1. Pasivos corrientes</v>
          </cell>
          <cell r="K854" t="str">
            <v>7. Otros Pasivos No Financieros, corrientes</v>
          </cell>
          <cell r="U854" t="str">
            <v>7. Otros Pasivos No Financieros, corrientes</v>
          </cell>
          <cell r="AH854" t="str">
            <v>III. Pasivos de los segmentos</v>
          </cell>
        </row>
        <row r="855">
          <cell r="D855" t="str">
            <v>2-1-14-01-02</v>
          </cell>
          <cell r="E855" t="str">
            <v>2-1-14-01-02</v>
          </cell>
          <cell r="F855" t="str">
            <v>Ingresos Anticipados Por Arriendos</v>
          </cell>
          <cell r="G855" t="str">
            <v>2-1-14-01-02  Ingresos Anticipados Por Arriendos</v>
          </cell>
          <cell r="H855" t="str">
            <v>Balance</v>
          </cell>
          <cell r="I855" t="str">
            <v>II. Pasivos</v>
          </cell>
          <cell r="J855" t="str">
            <v>1. Pasivos corrientes</v>
          </cell>
          <cell r="K855" t="str">
            <v>7. Otros Pasivos No Financieros, corrientes</v>
          </cell>
          <cell r="U855" t="str">
            <v>7. Otros Pasivos No Financieros, corrientes</v>
          </cell>
          <cell r="AH855" t="str">
            <v>III. Pasivos de los segmentos</v>
          </cell>
        </row>
        <row r="856">
          <cell r="D856" t="str">
            <v>2-1-99-01-02</v>
          </cell>
          <cell r="E856" t="str">
            <v>2-1-99-01-02</v>
          </cell>
          <cell r="F856" t="str">
            <v>Iva Diferido Por Pagar Cp</v>
          </cell>
          <cell r="G856" t="str">
            <v>2-1-99-01-02  Iva Diferido Por Pagar Cp</v>
          </cell>
          <cell r="H856" t="str">
            <v>Balance</v>
          </cell>
          <cell r="I856" t="str">
            <v>II. Pasivos</v>
          </cell>
          <cell r="J856" t="str">
            <v>1. Pasivos corrientes</v>
          </cell>
          <cell r="K856" t="str">
            <v>7. Otros Pasivos No Financieros, corrientes</v>
          </cell>
          <cell r="U856" t="str">
            <v>7. Otros Pasivos No Financieros, corrientes</v>
          </cell>
          <cell r="AH856" t="str">
            <v>III. Pasivos de los segmentos</v>
          </cell>
        </row>
        <row r="857">
          <cell r="D857" t="str">
            <v>2-1-99-01-03</v>
          </cell>
          <cell r="E857" t="str">
            <v>2-1-99-01-03</v>
          </cell>
          <cell r="F857" t="str">
            <v>Otros Por Pagar</v>
          </cell>
          <cell r="G857" t="str">
            <v>2-1-99-01-03  Otros Por Pagar</v>
          </cell>
          <cell r="H857" t="str">
            <v>Balance</v>
          </cell>
          <cell r="I857" t="str">
            <v>II. Pasivos</v>
          </cell>
          <cell r="J857" t="str">
            <v>1. Pasivos corrientes</v>
          </cell>
          <cell r="K857" t="str">
            <v>7. Otros Pasivos No Financieros, corrientes</v>
          </cell>
          <cell r="U857" t="str">
            <v>7. Otros Pasivos No Financieros, corrientes</v>
          </cell>
          <cell r="AH857" t="str">
            <v>III. Pasivos de los segmentos</v>
          </cell>
        </row>
        <row r="858">
          <cell r="D858" t="str">
            <v>2-1-99-99-99</v>
          </cell>
          <cell r="E858" t="str">
            <v>2-1-99-99-99</v>
          </cell>
          <cell r="F858" t="str">
            <v>Otros pasivos no financieros corrientes otros</v>
          </cell>
          <cell r="G858" t="str">
            <v>2-1-99-99-99  Otros pasivos no financieros corrientes otros</v>
          </cell>
          <cell r="H858" t="str">
            <v>Balance</v>
          </cell>
          <cell r="I858" t="str">
            <v>II. Pasivos</v>
          </cell>
          <cell r="J858" t="str">
            <v>1. Pasivos corrientes</v>
          </cell>
          <cell r="K858" t="str">
            <v>7. Otros Pasivos No Financieros, corrientes</v>
          </cell>
          <cell r="U858" t="str">
            <v>7. Otros Pasivos No Financieros, corrientes</v>
          </cell>
          <cell r="AH858" t="str">
            <v>III. Pasivos de los segmentos</v>
          </cell>
        </row>
        <row r="859">
          <cell r="D859" t="str">
            <v>2-1-99-01-01</v>
          </cell>
          <cell r="E859" t="str">
            <v>2-1-99-01-01</v>
          </cell>
          <cell r="F859" t="str">
            <v>Haberes por pagar</v>
          </cell>
          <cell r="G859" t="str">
            <v>2-1-99-01-01  Haberes por pagar</v>
          </cell>
          <cell r="H859" t="str">
            <v>Balance</v>
          </cell>
          <cell r="I859" t="str">
            <v>II. Pasivos</v>
          </cell>
          <cell r="J859" t="str">
            <v>1. Pasivos corrientes</v>
          </cell>
          <cell r="K859" t="str">
            <v>7. Otros Pasivos No Financieros, corrientes</v>
          </cell>
          <cell r="U859" t="str">
            <v>7. Otros Pasivos No Financieros, corrientes</v>
          </cell>
          <cell r="AH859" t="str">
            <v>III. Pasivos de los segmentos</v>
          </cell>
        </row>
        <row r="860">
          <cell r="D860">
            <v>0</v>
          </cell>
          <cell r="G860" t="str">
            <v/>
          </cell>
          <cell r="H860" t="str">
            <v>Balance</v>
          </cell>
          <cell r="I860" t="str">
            <v>II. Pasivos</v>
          </cell>
          <cell r="J860" t="str">
            <v>1. Pasivos corrientes</v>
          </cell>
          <cell r="K860" t="str">
            <v>7. Otros Pasivos No Financieros, corrientes</v>
          </cell>
          <cell r="U860" t="str">
            <v>7. Otros Pasivos No Financieros, corrientes</v>
          </cell>
          <cell r="AH860" t="str">
            <v>III. Pasivos de los segmentos</v>
          </cell>
        </row>
        <row r="861">
          <cell r="D861">
            <v>0</v>
          </cell>
          <cell r="G861" t="str">
            <v/>
          </cell>
          <cell r="H861" t="str">
            <v>Balance</v>
          </cell>
          <cell r="I861" t="str">
            <v>II. Pasivos</v>
          </cell>
          <cell r="J861" t="str">
            <v>1. Pasivos corrientes</v>
          </cell>
          <cell r="K861" t="str">
            <v>7. Otros Pasivos No Financieros, corrientes</v>
          </cell>
          <cell r="U861" t="str">
            <v>7. Otros Pasivos No Financieros, corrientes</v>
          </cell>
          <cell r="AH861" t="str">
            <v>III. Pasivos de los segmentos</v>
          </cell>
        </row>
        <row r="862">
          <cell r="D862">
            <v>0</v>
          </cell>
          <cell r="F862" t="str">
            <v>Otros Pasivos No Financieros Corrientes</v>
          </cell>
          <cell r="G862" t="str">
            <v/>
          </cell>
          <cell r="H862" t="str">
            <v/>
          </cell>
          <cell r="U862" t="str">
            <v/>
          </cell>
          <cell r="AH862" t="str">
            <v/>
          </cell>
        </row>
        <row r="863">
          <cell r="D863">
            <v>0</v>
          </cell>
          <cell r="F863" t="str">
            <v/>
          </cell>
          <cell r="G863" t="str">
            <v/>
          </cell>
          <cell r="H863" t="str">
            <v/>
          </cell>
          <cell r="U863" t="str">
            <v/>
          </cell>
          <cell r="AH863" t="str">
            <v/>
          </cell>
        </row>
        <row r="864">
          <cell r="D864">
            <v>0</v>
          </cell>
          <cell r="F864" t="str">
            <v>Total De Pasivos Corrientes Distintos De Los Pasivos Incluidos En Grupos De Activos Para Su Disposición Clasificados Como Mantenidos Para La Venta</v>
          </cell>
          <cell r="G864" t="str">
            <v/>
          </cell>
          <cell r="H864" t="str">
            <v/>
          </cell>
          <cell r="I864" t="str">
            <v>II. Pasivos</v>
          </cell>
          <cell r="J864" t="str">
            <v>1. Pasivos corrientes</v>
          </cell>
          <cell r="U864" t="str">
            <v/>
          </cell>
          <cell r="AH864" t="str">
            <v>III. Pasivos de los segmentos</v>
          </cell>
        </row>
        <row r="865">
          <cell r="D865">
            <v>0</v>
          </cell>
          <cell r="F865" t="str">
            <v/>
          </cell>
          <cell r="G865" t="str">
            <v/>
          </cell>
          <cell r="H865" t="str">
            <v/>
          </cell>
          <cell r="U865" t="str">
            <v/>
          </cell>
          <cell r="AH865" t="str">
            <v/>
          </cell>
        </row>
        <row r="866">
          <cell r="D866">
            <v>0</v>
          </cell>
          <cell r="F866" t="str">
            <v>Pasivos Incluidos En Grupos De Activos Para Su Disposición Clasificados Como Mantenidos Para La Venta</v>
          </cell>
          <cell r="G866" t="str">
            <v/>
          </cell>
          <cell r="H866" t="str">
            <v/>
          </cell>
          <cell r="I866" t="str">
            <v>II. Pasivos</v>
          </cell>
          <cell r="J866" t="str">
            <v>1. Pasivos corrientes</v>
          </cell>
          <cell r="U866" t="str">
            <v/>
          </cell>
          <cell r="AH866" t="str">
            <v>III. Pasivos de los segmentos</v>
          </cell>
        </row>
        <row r="867">
          <cell r="D867">
            <v>0</v>
          </cell>
          <cell r="F867" t="str">
            <v/>
          </cell>
          <cell r="G867" t="str">
            <v/>
          </cell>
          <cell r="H867" t="str">
            <v/>
          </cell>
          <cell r="U867" t="str">
            <v/>
          </cell>
          <cell r="AH867" t="str">
            <v/>
          </cell>
        </row>
        <row r="868">
          <cell r="D868">
            <v>0</v>
          </cell>
          <cell r="F868" t="str">
            <v>Pasivos Corrientes Totales</v>
          </cell>
          <cell r="G868" t="str">
            <v/>
          </cell>
          <cell r="H868" t="str">
            <v/>
          </cell>
          <cell r="I868" t="str">
            <v>II. Pasivos</v>
          </cell>
          <cell r="J868" t="str">
            <v>1. Pasivos corrientes</v>
          </cell>
          <cell r="U868" t="str">
            <v/>
          </cell>
          <cell r="AH868" t="str">
            <v>III. Pasivos de los segmentos</v>
          </cell>
        </row>
        <row r="869">
          <cell r="D869">
            <v>0</v>
          </cell>
          <cell r="F869" t="str">
            <v/>
          </cell>
          <cell r="G869" t="str">
            <v/>
          </cell>
          <cell r="H869" t="str">
            <v/>
          </cell>
          <cell r="U869" t="str">
            <v/>
          </cell>
          <cell r="AH869" t="str">
            <v/>
          </cell>
        </row>
        <row r="870">
          <cell r="D870">
            <v>0</v>
          </cell>
          <cell r="F870" t="str">
            <v>Pasivos No Corrientes</v>
          </cell>
          <cell r="G870" t="str">
            <v/>
          </cell>
          <cell r="H870" t="str">
            <v/>
          </cell>
          <cell r="U870" t="str">
            <v/>
          </cell>
          <cell r="AH870" t="str">
            <v/>
          </cell>
        </row>
        <row r="871">
          <cell r="D871" t="str">
            <v>2-2-01-01-01</v>
          </cell>
          <cell r="E871" t="str">
            <v>2-2-01-01-01</v>
          </cell>
          <cell r="F871" t="str">
            <v>Credito Banco Scotiabank Largo Plazo</v>
          </cell>
          <cell r="G871" t="str">
            <v>2-2-01-01-01  Credito Banco Scotiabank Largo Plazo</v>
          </cell>
          <cell r="H871" t="str">
            <v>Balance</v>
          </cell>
          <cell r="I871" t="str">
            <v>II. Pasivos</v>
          </cell>
          <cell r="J871" t="str">
            <v>2. Pasivos no corrientes</v>
          </cell>
          <cell r="K871" t="str">
            <v>1. Otros Pasivos Financieros, no corrientes</v>
          </cell>
          <cell r="U871" t="str">
            <v>1. Otros Pasivos Financieros, no corrientes</v>
          </cell>
          <cell r="AH871" t="str">
            <v>III. Pasivos de los segmentos</v>
          </cell>
        </row>
        <row r="872">
          <cell r="D872">
            <v>0</v>
          </cell>
          <cell r="F872" t="str">
            <v>Otros Pasivos Financieros No Corrientes</v>
          </cell>
          <cell r="G872" t="str">
            <v/>
          </cell>
          <cell r="H872" t="str">
            <v/>
          </cell>
          <cell r="U872" t="str">
            <v/>
          </cell>
          <cell r="AH872" t="str">
            <v/>
          </cell>
        </row>
        <row r="873">
          <cell r="D873">
            <v>0</v>
          </cell>
          <cell r="G873" t="str">
            <v/>
          </cell>
          <cell r="H873" t="str">
            <v/>
          </cell>
          <cell r="U873" t="str">
            <v/>
          </cell>
          <cell r="AH873" t="str">
            <v/>
          </cell>
        </row>
        <row r="874">
          <cell r="D874">
            <v>0</v>
          </cell>
          <cell r="G874" t="str">
            <v/>
          </cell>
          <cell r="H874" t="str">
            <v/>
          </cell>
          <cell r="I874" t="str">
            <v>II. Pasivos</v>
          </cell>
          <cell r="J874" t="str">
            <v>2. Pasivos no corrientes</v>
          </cell>
          <cell r="K874" t="str">
            <v>2. Otras cuentas por pagar, no corrientes</v>
          </cell>
          <cell r="U874" t="str">
            <v>2. Otras cuentas por pagar, no corrientes</v>
          </cell>
          <cell r="AH874" t="str">
            <v>III. Pasivos de los segmentos</v>
          </cell>
        </row>
        <row r="875">
          <cell r="D875">
            <v>0</v>
          </cell>
          <cell r="F875" t="str">
            <v>Pasivos No Corrientes</v>
          </cell>
          <cell r="G875" t="str">
            <v/>
          </cell>
          <cell r="H875" t="str">
            <v/>
          </cell>
          <cell r="U875" t="str">
            <v/>
          </cell>
          <cell r="AH875" t="str">
            <v/>
          </cell>
        </row>
        <row r="876">
          <cell r="D876">
            <v>0</v>
          </cell>
          <cell r="G876" t="str">
            <v/>
          </cell>
          <cell r="H876" t="str">
            <v/>
          </cell>
          <cell r="U876" t="str">
            <v/>
          </cell>
          <cell r="AH876" t="str">
            <v/>
          </cell>
        </row>
        <row r="877">
          <cell r="D877" t="str">
            <v>2-2-05-01-02</v>
          </cell>
          <cell r="E877" t="str">
            <v>2-2-05-01-02</v>
          </cell>
          <cell r="F877" t="str">
            <v>Deuda Automotores Dólares</v>
          </cell>
          <cell r="G877" t="str">
            <v>2-2-05-01-02  Deuda Automotores Dólares</v>
          </cell>
          <cell r="H877" t="str">
            <v>Balance</v>
          </cell>
          <cell r="I877" t="str">
            <v>II. Pasivos</v>
          </cell>
          <cell r="J877" t="str">
            <v>2. Pasivos no corrientes</v>
          </cell>
          <cell r="K877" t="str">
            <v>3. Cuentas por Pagar a Entidades Relacionadas, no corrientes</v>
          </cell>
          <cell r="U877" t="str">
            <v>3. Cuentas por Pagar a Entidades Relacionadas, no corrientes</v>
          </cell>
          <cell r="AG877" t="str">
            <v xml:space="preserve"> </v>
          </cell>
          <cell r="AH877" t="str">
            <v>III. Pasivos de los segmentos</v>
          </cell>
        </row>
        <row r="878">
          <cell r="D878" t="str">
            <v>2-2-05-01-03</v>
          </cell>
          <cell r="E878" t="str">
            <v>2-2-05-01-03</v>
          </cell>
          <cell r="F878" t="str">
            <v>Deuda Automotores Uf</v>
          </cell>
          <cell r="G878" t="str">
            <v>2-2-05-01-03  Deuda Automotores Uf</v>
          </cell>
          <cell r="H878" t="str">
            <v>Balance</v>
          </cell>
          <cell r="I878" t="str">
            <v>II. Pasivos</v>
          </cell>
          <cell r="J878" t="str">
            <v>2. Pasivos no corrientes</v>
          </cell>
          <cell r="K878" t="str">
            <v>3. Cuentas por Pagar a Entidades Relacionadas, no corrientes</v>
          </cell>
          <cell r="U878" t="str">
            <v>3. Cuentas por Pagar a Entidades Relacionadas, no corrientes</v>
          </cell>
          <cell r="AG878" t="str">
            <v xml:space="preserve"> </v>
          </cell>
          <cell r="AH878" t="str">
            <v>III. Pasivos de los segmentos</v>
          </cell>
        </row>
        <row r="879">
          <cell r="D879" t="str">
            <v>2-2-05-01-04</v>
          </cell>
          <cell r="E879" t="str">
            <v>2-2-05-01-04</v>
          </cell>
          <cell r="F879" t="str">
            <v>Deuda Automotores Pesos</v>
          </cell>
          <cell r="G879" t="str">
            <v>2-2-05-01-04  Deuda Automotores Pesos</v>
          </cell>
          <cell r="H879" t="str">
            <v>Balance</v>
          </cell>
          <cell r="I879" t="str">
            <v>II. Pasivos</v>
          </cell>
          <cell r="J879" t="str">
            <v>2. Pasivos no corrientes</v>
          </cell>
          <cell r="K879" t="str">
            <v>3. Cuentas por Pagar a Entidades Relacionadas, no corrientes</v>
          </cell>
          <cell r="U879" t="str">
            <v>3. Cuentas por Pagar a Entidades Relacionadas, no corrientes</v>
          </cell>
          <cell r="AG879" t="str">
            <v xml:space="preserve"> </v>
          </cell>
          <cell r="AH879" t="str">
            <v>III. Pasivos de los segmentos</v>
          </cell>
        </row>
        <row r="880">
          <cell r="D880">
            <v>0</v>
          </cell>
          <cell r="G880" t="str">
            <v/>
          </cell>
          <cell r="H880" t="str">
            <v>Balance</v>
          </cell>
          <cell r="I880" t="str">
            <v>II. Pasivos</v>
          </cell>
          <cell r="J880" t="str">
            <v>2. Pasivos no corrientes</v>
          </cell>
          <cell r="K880" t="str">
            <v>3. Cuentas por Pagar a Entidades Relacionadas, no corrientes</v>
          </cell>
          <cell r="U880" t="str">
            <v>3. Cuentas por Pagar a Entidades Relacionadas, no corrientes</v>
          </cell>
          <cell r="AG880" t="str">
            <v xml:space="preserve"> </v>
          </cell>
          <cell r="AH880" t="str">
            <v>III. Pasivos de los segmentos</v>
          </cell>
        </row>
        <row r="881">
          <cell r="D881">
            <v>0</v>
          </cell>
          <cell r="G881" t="str">
            <v/>
          </cell>
          <cell r="H881" t="str">
            <v>Balance</v>
          </cell>
          <cell r="I881" t="str">
            <v>II. Pasivos</v>
          </cell>
          <cell r="J881" t="str">
            <v>2. Pasivos no corrientes</v>
          </cell>
          <cell r="K881" t="str">
            <v>3. Cuentas por Pagar a Entidades Relacionadas, no corrientes</v>
          </cell>
          <cell r="U881" t="str">
            <v>3. Cuentas por Pagar a Entidades Relacionadas, no corrientes</v>
          </cell>
          <cell r="AG881" t="str">
            <v xml:space="preserve"> </v>
          </cell>
          <cell r="AH881" t="str">
            <v>III. Pasivos de los segmentos</v>
          </cell>
        </row>
        <row r="882">
          <cell r="D882">
            <v>0</v>
          </cell>
          <cell r="F882" t="str">
            <v>Cuentas Por Pagar A Entidades Relaconadas, No Corrientes</v>
          </cell>
          <cell r="G882" t="str">
            <v/>
          </cell>
          <cell r="H882" t="str">
            <v/>
          </cell>
          <cell r="U882" t="str">
            <v/>
          </cell>
          <cell r="AH882" t="str">
            <v/>
          </cell>
        </row>
        <row r="883">
          <cell r="D883">
            <v>0</v>
          </cell>
          <cell r="G883" t="str">
            <v/>
          </cell>
          <cell r="H883" t="str">
            <v/>
          </cell>
          <cell r="U883" t="str">
            <v/>
          </cell>
          <cell r="AH883" t="str">
            <v/>
          </cell>
        </row>
        <row r="884">
          <cell r="D884" t="str">
            <v>2-2-06-01-02</v>
          </cell>
          <cell r="E884" t="str">
            <v>2-2-06-01-02</v>
          </cell>
          <cell r="F884" t="str">
            <v>Provision Gran Revisión Automotores</v>
          </cell>
          <cell r="G884" t="str">
            <v>2-2-06-01-02  Provision Gran Revisión Automotores</v>
          </cell>
          <cell r="H884" t="str">
            <v>Balance</v>
          </cell>
          <cell r="I884" t="str">
            <v>II. Pasivos</v>
          </cell>
          <cell r="J884" t="str">
            <v>2. Pasivos no corrientes</v>
          </cell>
          <cell r="K884" t="str">
            <v>4. Otras Provisiones, no corrientes</v>
          </cell>
          <cell r="U884" t="str">
            <v>4. Otras Provisiones, no corrientes</v>
          </cell>
          <cell r="AH884" t="str">
            <v>III. Pasivos de los segmentos</v>
          </cell>
        </row>
        <row r="885">
          <cell r="D885" t="str">
            <v>2-2-06-01-99</v>
          </cell>
          <cell r="E885" t="str">
            <v>2-2-06-01-99</v>
          </cell>
          <cell r="F885" t="str">
            <v>Provisiones varias LP</v>
          </cell>
          <cell r="G885" t="str">
            <v>2-2-06-01-99  Provisiones varias LP</v>
          </cell>
          <cell r="H885" t="str">
            <v>Balance</v>
          </cell>
          <cell r="I885" t="str">
            <v>II. Pasivos</v>
          </cell>
          <cell r="J885" t="str">
            <v>2. Pasivos no corrientes</v>
          </cell>
          <cell r="K885" t="str">
            <v>4. Otras Provisiones, no corrientes</v>
          </cell>
          <cell r="U885" t="str">
            <v>4. Otras Provisiones, no corrientes</v>
          </cell>
          <cell r="AH885" t="str">
            <v>III. Pasivos de los segmentos</v>
          </cell>
        </row>
        <row r="886">
          <cell r="D886">
            <v>0</v>
          </cell>
          <cell r="G886" t="str">
            <v/>
          </cell>
          <cell r="H886" t="str">
            <v>Balance</v>
          </cell>
          <cell r="I886" t="str">
            <v>II. Pasivos</v>
          </cell>
          <cell r="J886" t="str">
            <v>2. Pasivos no corrientes</v>
          </cell>
          <cell r="K886" t="str">
            <v>4. Otras Provisiones, no corrientes</v>
          </cell>
          <cell r="U886" t="str">
            <v>4. Otras Provisiones, no corrientes</v>
          </cell>
          <cell r="AH886" t="str">
            <v>III. Pasivos de los segmentos</v>
          </cell>
        </row>
        <row r="887">
          <cell r="D887">
            <v>0</v>
          </cell>
          <cell r="G887" t="str">
            <v/>
          </cell>
          <cell r="H887" t="str">
            <v>Balance</v>
          </cell>
          <cell r="I887" t="str">
            <v>II. Pasivos</v>
          </cell>
          <cell r="J887" t="str">
            <v>2. Pasivos no corrientes</v>
          </cell>
          <cell r="K887" t="str">
            <v>4. Otras Provisiones, no corrientes</v>
          </cell>
          <cell r="U887" t="str">
            <v>4. Otras Provisiones, no corrientes</v>
          </cell>
          <cell r="AH887" t="str">
            <v>III. Pasivos de los segmentos</v>
          </cell>
        </row>
        <row r="888">
          <cell r="D888">
            <v>0</v>
          </cell>
          <cell r="F888" t="str">
            <v>Otras Provisiones A Largo Plazo</v>
          </cell>
          <cell r="G888" t="str">
            <v/>
          </cell>
          <cell r="H888" t="str">
            <v/>
          </cell>
          <cell r="U888" t="str">
            <v/>
          </cell>
          <cell r="AH888" t="str">
            <v/>
          </cell>
        </row>
        <row r="889">
          <cell r="D889">
            <v>0</v>
          </cell>
          <cell r="U889" t="str">
            <v/>
          </cell>
        </row>
        <row r="890">
          <cell r="D890">
            <v>0</v>
          </cell>
          <cell r="U890" t="str">
            <v/>
          </cell>
        </row>
        <row r="891">
          <cell r="D891">
            <v>0</v>
          </cell>
          <cell r="F891" t="str">
            <v/>
          </cell>
          <cell r="G891" t="str">
            <v/>
          </cell>
          <cell r="H891" t="str">
            <v/>
          </cell>
          <cell r="I891" t="str">
            <v>II. Pasivos</v>
          </cell>
          <cell r="J891" t="str">
            <v>2. Pasivos no corrientes</v>
          </cell>
          <cell r="K891" t="str">
            <v>5. Pasivo Por Impuestos Diferidos</v>
          </cell>
          <cell r="U891" t="str">
            <v>5. Pasivo Por Impuestos Diferidos</v>
          </cell>
          <cell r="AH891" t="str">
            <v>III. Pasivos de los segmentos</v>
          </cell>
        </row>
        <row r="892">
          <cell r="D892">
            <v>0</v>
          </cell>
          <cell r="F892" t="str">
            <v>Pasivo Por Impuestos Diferidos</v>
          </cell>
          <cell r="G892" t="str">
            <v/>
          </cell>
          <cell r="H892" t="str">
            <v/>
          </cell>
          <cell r="U892" t="str">
            <v/>
          </cell>
          <cell r="AH892" t="str">
            <v/>
          </cell>
        </row>
        <row r="893">
          <cell r="D893">
            <v>0</v>
          </cell>
          <cell r="U893" t="str">
            <v/>
          </cell>
        </row>
        <row r="894">
          <cell r="D894">
            <v>0</v>
          </cell>
          <cell r="G894" t="str">
            <v/>
          </cell>
          <cell r="H894" t="str">
            <v/>
          </cell>
          <cell r="U894" t="str">
            <v/>
          </cell>
          <cell r="AH894" t="str">
            <v/>
          </cell>
        </row>
        <row r="895">
          <cell r="D895">
            <v>0</v>
          </cell>
          <cell r="G895" t="str">
            <v/>
          </cell>
          <cell r="H895" t="str">
            <v/>
          </cell>
          <cell r="I895" t="str">
            <v>II. Pasivos</v>
          </cell>
          <cell r="J895" t="str">
            <v>2. Pasivos no corrientes</v>
          </cell>
          <cell r="K895" t="str">
            <v>6. Provisiones por Beneficios a los Empleados, no corrientes</v>
          </cell>
          <cell r="U895" t="str">
            <v>6. Provisiones por Beneficios a los Empleados, no corrientes</v>
          </cell>
          <cell r="AG895" t="str">
            <v xml:space="preserve"> </v>
          </cell>
          <cell r="AH895" t="str">
            <v>III. Pasivos de los segmentos</v>
          </cell>
        </row>
        <row r="896">
          <cell r="D896">
            <v>0</v>
          </cell>
          <cell r="F896" t="str">
            <v>Provisiones No Corrientes Por Beneficios A Los Empleados</v>
          </cell>
          <cell r="G896" t="str">
            <v/>
          </cell>
          <cell r="H896" t="str">
            <v/>
          </cell>
          <cell r="U896" t="str">
            <v/>
          </cell>
          <cell r="AH896" t="str">
            <v/>
          </cell>
        </row>
        <row r="897">
          <cell r="D897">
            <v>0</v>
          </cell>
          <cell r="F897" t="str">
            <v/>
          </cell>
          <cell r="G897" t="str">
            <v/>
          </cell>
          <cell r="H897" t="str">
            <v/>
          </cell>
          <cell r="U897" t="str">
            <v/>
          </cell>
          <cell r="AH897" t="str">
            <v/>
          </cell>
        </row>
        <row r="898">
          <cell r="D898">
            <v>0</v>
          </cell>
          <cell r="F898" t="str">
            <v/>
          </cell>
          <cell r="G898" t="str">
            <v/>
          </cell>
          <cell r="H898" t="str">
            <v/>
          </cell>
          <cell r="U898" t="str">
            <v/>
          </cell>
          <cell r="AH898" t="str">
            <v/>
          </cell>
        </row>
        <row r="899">
          <cell r="D899">
            <v>0</v>
          </cell>
          <cell r="F899" t="str">
            <v/>
          </cell>
          <cell r="G899" t="str">
            <v/>
          </cell>
          <cell r="H899" t="str">
            <v/>
          </cell>
          <cell r="I899" t="str">
            <v>II. Pasivos</v>
          </cell>
          <cell r="J899" t="str">
            <v>2. Pasivos no corrientes</v>
          </cell>
          <cell r="K899" t="str">
            <v>5. Pasivo Por Impuestos Diferidos</v>
          </cell>
          <cell r="U899" t="str">
            <v>5. Pasivo Por Impuestos Diferidos</v>
          </cell>
          <cell r="AH899" t="str">
            <v>III. Pasivos de los segmentos</v>
          </cell>
        </row>
        <row r="900">
          <cell r="D900">
            <v>0</v>
          </cell>
          <cell r="F900" t="str">
            <v>Pasivo Por Impuestos Diferidos</v>
          </cell>
          <cell r="G900" t="str">
            <v/>
          </cell>
          <cell r="H900" t="str">
            <v/>
          </cell>
          <cell r="U900" t="str">
            <v/>
          </cell>
          <cell r="AH900" t="str">
            <v/>
          </cell>
        </row>
        <row r="901">
          <cell r="D901">
            <v>0</v>
          </cell>
          <cell r="F901" t="str">
            <v/>
          </cell>
          <cell r="G901" t="str">
            <v/>
          </cell>
          <cell r="H901" t="str">
            <v/>
          </cell>
          <cell r="U901" t="str">
            <v/>
          </cell>
          <cell r="AH901" t="str">
            <v/>
          </cell>
        </row>
        <row r="902">
          <cell r="D902" t="str">
            <v>1-3-99-01-02</v>
          </cell>
          <cell r="E902" t="str">
            <v>1-3-99-01-02</v>
          </cell>
          <cell r="F902" t="str">
            <v>Intereses No Devengados Iva Diferido Aut</v>
          </cell>
          <cell r="G902" t="str">
            <v>1-3-99-01-02  Intereses No Devengados Iva Diferido Aut</v>
          </cell>
          <cell r="H902" t="str">
            <v>Balance</v>
          </cell>
          <cell r="I902" t="str">
            <v>II. Pasivos</v>
          </cell>
          <cell r="J902" t="str">
            <v>2. Pasivos no corrientes</v>
          </cell>
          <cell r="K902" t="str">
            <v>7. Otros pasivos no financieros, no corrientes</v>
          </cell>
          <cell r="U902" t="str">
            <v>7. Otros pasivos no financieros, no corrientes</v>
          </cell>
          <cell r="AH902" t="str">
            <v>III. Pasivos de los segmentos</v>
          </cell>
        </row>
        <row r="903">
          <cell r="D903" t="str">
            <v>2-2-99-01-01</v>
          </cell>
          <cell r="E903" t="str">
            <v>2-2-99-01-01</v>
          </cell>
          <cell r="F903" t="str">
            <v>Iva Diferido Lp</v>
          </cell>
          <cell r="G903" t="str">
            <v>2-2-99-01-01  Iva Diferido Lp</v>
          </cell>
          <cell r="H903" t="str">
            <v>Balance</v>
          </cell>
          <cell r="I903" t="str">
            <v>II. Pasivos</v>
          </cell>
          <cell r="J903" t="str">
            <v>2. Pasivos no corrientes</v>
          </cell>
          <cell r="K903" t="str">
            <v>7. Otros pasivos no financieros, no corrientes</v>
          </cell>
          <cell r="U903" t="str">
            <v>7. Otros pasivos no financieros, no corrientes</v>
          </cell>
          <cell r="AH903" t="str">
            <v>III. Pasivos de los segmentos</v>
          </cell>
        </row>
        <row r="904">
          <cell r="D904" t="str">
            <v>2-2-99-01-02</v>
          </cell>
          <cell r="E904" t="str">
            <v>2-2-99-01-02</v>
          </cell>
          <cell r="F904" t="str">
            <v>Ingresos Anticipados Largo Plazo</v>
          </cell>
          <cell r="G904" t="str">
            <v>2-2-99-01-02  Ingresos Anticipados Largo Plazo</v>
          </cell>
          <cell r="H904" t="str">
            <v>Balance</v>
          </cell>
          <cell r="I904" t="str">
            <v>II. Pasivos</v>
          </cell>
          <cell r="J904" t="str">
            <v>2. Pasivos no corrientes</v>
          </cell>
          <cell r="K904" t="str">
            <v>7. Otros pasivos no financieros, no corrientes</v>
          </cell>
          <cell r="U904" t="str">
            <v>7. Otros pasivos no financieros, no corrientes</v>
          </cell>
          <cell r="AH904" t="str">
            <v>III. Pasivos de los segmentos</v>
          </cell>
        </row>
        <row r="905">
          <cell r="D905">
            <v>0</v>
          </cell>
          <cell r="G905" t="str">
            <v/>
          </cell>
          <cell r="H905" t="str">
            <v>Balance</v>
          </cell>
          <cell r="I905" t="str">
            <v>II. Pasivos</v>
          </cell>
          <cell r="J905" t="str">
            <v>2. Pasivos no corrientes</v>
          </cell>
          <cell r="K905" t="str">
            <v>7. Otros pasivos no financieros, no corrientes</v>
          </cell>
          <cell r="U905" t="str">
            <v>7. Otros pasivos no financieros, no corrientes</v>
          </cell>
          <cell r="AH905" t="str">
            <v>III. Pasivos de los segmentos</v>
          </cell>
        </row>
        <row r="906">
          <cell r="D906">
            <v>0</v>
          </cell>
          <cell r="F906" t="str">
            <v>Otros Pasivos No Financieros No Corrientes</v>
          </cell>
          <cell r="G906" t="str">
            <v/>
          </cell>
          <cell r="H906" t="str">
            <v/>
          </cell>
          <cell r="U906" t="str">
            <v/>
          </cell>
          <cell r="AH906" t="str">
            <v/>
          </cell>
        </row>
        <row r="907">
          <cell r="D907">
            <v>0</v>
          </cell>
          <cell r="F907" t="str">
            <v/>
          </cell>
          <cell r="G907" t="str">
            <v/>
          </cell>
          <cell r="H907" t="str">
            <v/>
          </cell>
          <cell r="U907" t="str">
            <v/>
          </cell>
          <cell r="AH907" t="str">
            <v/>
          </cell>
        </row>
        <row r="908">
          <cell r="D908">
            <v>0</v>
          </cell>
          <cell r="F908" t="str">
            <v>Total De Pasivos No Corrientes</v>
          </cell>
          <cell r="G908" t="str">
            <v/>
          </cell>
          <cell r="H908" t="str">
            <v/>
          </cell>
          <cell r="I908" t="str">
            <v>II. Pasivos</v>
          </cell>
          <cell r="J908" t="str">
            <v>2. Pasivos no corrientes</v>
          </cell>
          <cell r="U908" t="str">
            <v/>
          </cell>
          <cell r="AH908" t="str">
            <v>III. Pasivos de los segmentos</v>
          </cell>
        </row>
        <row r="909">
          <cell r="D909">
            <v>0</v>
          </cell>
          <cell r="F909" t="str">
            <v/>
          </cell>
          <cell r="G909" t="str">
            <v/>
          </cell>
          <cell r="H909" t="str">
            <v/>
          </cell>
          <cell r="U909" t="str">
            <v/>
          </cell>
          <cell r="AH909" t="str">
            <v/>
          </cell>
        </row>
        <row r="910">
          <cell r="D910">
            <v>0</v>
          </cell>
          <cell r="F910" t="str">
            <v>Total De Activos</v>
          </cell>
          <cell r="G910" t="str">
            <v/>
          </cell>
          <cell r="H910" t="str">
            <v/>
          </cell>
          <cell r="I910" t="str">
            <v>II. Pasivos</v>
          </cell>
          <cell r="J910" t="str">
            <v>2. Pasivos no corrientes</v>
          </cell>
          <cell r="U910" t="str">
            <v/>
          </cell>
          <cell r="AH910" t="str">
            <v>III. Pasivos de los segmentos</v>
          </cell>
        </row>
        <row r="911">
          <cell r="D911">
            <v>0</v>
          </cell>
          <cell r="G911" t="str">
            <v/>
          </cell>
          <cell r="U911" t="str">
            <v/>
          </cell>
          <cell r="AH911" t="str">
            <v/>
          </cell>
        </row>
        <row r="912">
          <cell r="D912">
            <v>0</v>
          </cell>
          <cell r="G912" t="str">
            <v/>
          </cell>
          <cell r="U912" t="str">
            <v/>
          </cell>
          <cell r="AH912" t="str">
            <v/>
          </cell>
        </row>
        <row r="913">
          <cell r="D913">
            <v>0</v>
          </cell>
          <cell r="F913" t="str">
            <v>Interés minoritario</v>
          </cell>
          <cell r="G913" t="str">
            <v/>
          </cell>
          <cell r="U913" t="str">
            <v/>
          </cell>
          <cell r="AH913" t="str">
            <v/>
          </cell>
        </row>
        <row r="914">
          <cell r="D914" t="str">
            <v>2-4-01-01-99</v>
          </cell>
          <cell r="E914" t="str">
            <v>2-4-01-01-99</v>
          </cell>
          <cell r="F914" t="str">
            <v>Interés minoritario</v>
          </cell>
          <cell r="G914" t="str">
            <v>2-4-01-01-99  Interés minoritario</v>
          </cell>
          <cell r="H914" t="str">
            <v>Balance</v>
          </cell>
          <cell r="I914" t="str">
            <v>II. Pasivos</v>
          </cell>
          <cell r="J914" t="str">
            <v>4. Interés Minoritario</v>
          </cell>
          <cell r="K914" t="str">
            <v>1. Participaciones no controladoras</v>
          </cell>
          <cell r="U914" t="str">
            <v>1. Participaciones no controladoras</v>
          </cell>
          <cell r="AH914" t="str">
            <v>III. Pasivos de los segmentos</v>
          </cell>
        </row>
        <row r="915">
          <cell r="D915">
            <v>0</v>
          </cell>
          <cell r="G915" t="str">
            <v/>
          </cell>
          <cell r="U915" t="str">
            <v/>
          </cell>
          <cell r="AH915" t="str">
            <v/>
          </cell>
        </row>
        <row r="916">
          <cell r="D916">
            <v>0</v>
          </cell>
          <cell r="F916" t="str">
            <v/>
          </cell>
          <cell r="G916" t="str">
            <v/>
          </cell>
          <cell r="H916" t="str">
            <v/>
          </cell>
          <cell r="U916" t="str">
            <v/>
          </cell>
          <cell r="AH916" t="str">
            <v/>
          </cell>
        </row>
        <row r="917">
          <cell r="D917">
            <v>0</v>
          </cell>
          <cell r="F917" t="str">
            <v>Patrimonio</v>
          </cell>
          <cell r="G917" t="str">
            <v/>
          </cell>
          <cell r="H917" t="str">
            <v/>
          </cell>
          <cell r="U917" t="str">
            <v/>
          </cell>
          <cell r="AH917" t="str">
            <v/>
          </cell>
        </row>
        <row r="918">
          <cell r="D918">
            <v>0</v>
          </cell>
          <cell r="F918" t="str">
            <v/>
          </cell>
          <cell r="G918" t="str">
            <v/>
          </cell>
          <cell r="H918" t="str">
            <v/>
          </cell>
          <cell r="U918" t="str">
            <v/>
          </cell>
          <cell r="AH918" t="str">
            <v/>
          </cell>
        </row>
        <row r="919">
          <cell r="D919" t="str">
            <v>2-3-01-01-01</v>
          </cell>
          <cell r="E919" t="str">
            <v>2-3-01-01-01</v>
          </cell>
          <cell r="F919" t="str">
            <v>Capital</v>
          </cell>
          <cell r="G919" t="str">
            <v>2-3-01-01-01  Capital</v>
          </cell>
          <cell r="H919" t="str">
            <v>Balance</v>
          </cell>
          <cell r="I919" t="str">
            <v>II. Pasivos</v>
          </cell>
          <cell r="J919" t="str">
            <v>3. Patrimonio</v>
          </cell>
          <cell r="K919" t="str">
            <v>1. Capital Emitido</v>
          </cell>
          <cell r="L919" t="str">
            <v>Patrimonio atribuible a los Socias de la contrroladora</v>
          </cell>
          <cell r="U919" t="str">
            <v>1. Capital Emitido</v>
          </cell>
          <cell r="AG919" t="str">
            <v>Capital Emitido</v>
          </cell>
          <cell r="AH919" t="str">
            <v>III. Pasivos de los segmentos</v>
          </cell>
        </row>
        <row r="920">
          <cell r="D920">
            <v>0</v>
          </cell>
          <cell r="F920" t="str">
            <v>Capital Emitido</v>
          </cell>
          <cell r="G920" t="str">
            <v/>
          </cell>
          <cell r="H920" t="str">
            <v/>
          </cell>
          <cell r="AH920" t="str">
            <v/>
          </cell>
        </row>
        <row r="921">
          <cell r="D921">
            <v>0</v>
          </cell>
          <cell r="F921" t="str">
            <v/>
          </cell>
          <cell r="G921" t="str">
            <v/>
          </cell>
          <cell r="H921" t="str">
            <v/>
          </cell>
          <cell r="AH921" t="str">
            <v/>
          </cell>
        </row>
        <row r="922">
          <cell r="D922" t="str">
            <v>2-3-01-01-07</v>
          </cell>
          <cell r="E922" t="str">
            <v>2-3-01-01-07</v>
          </cell>
          <cell r="F922" t="str">
            <v>Perdidas Acumuladas ( Menos )</v>
          </cell>
          <cell r="G922" t="str">
            <v>2-3-01-01-07  Perdidas Acumuladas ( Menos )</v>
          </cell>
          <cell r="H922" t="str">
            <v>Balance</v>
          </cell>
          <cell r="I922" t="str">
            <v>II. Pasivos</v>
          </cell>
          <cell r="J922" t="str">
            <v>3. Patrimonio</v>
          </cell>
          <cell r="K922" t="str">
            <v>2. Ganancias (Pérdidas) Acumuladas</v>
          </cell>
          <cell r="L922" t="str">
            <v>Patrimonio atribuible a los Socias de la contrroladora</v>
          </cell>
          <cell r="U922" t="str">
            <v>6. Otras Reservas</v>
          </cell>
          <cell r="AG922" t="str">
            <v>Ganacias (Pérdidas) Acum.</v>
          </cell>
          <cell r="AH922" t="str">
            <v>III. Pasivos de los segmentos</v>
          </cell>
        </row>
        <row r="923">
          <cell r="D923" t="str">
            <v>2-3-01-01-99</v>
          </cell>
          <cell r="E923" t="str">
            <v>2-3-01-01-99</v>
          </cell>
          <cell r="F923" t="str">
            <v>Utilidad (Pérdida) del Ejercicio</v>
          </cell>
          <cell r="G923" t="str">
            <v>2-3-01-01-99  Utilidad (Pérdida) del Ejercicio</v>
          </cell>
          <cell r="H923" t="str">
            <v>Balance</v>
          </cell>
          <cell r="I923" t="str">
            <v>II. Pasivos</v>
          </cell>
          <cell r="J923" t="str">
            <v>3. Patrimonio</v>
          </cell>
          <cell r="K923" t="str">
            <v>2. Ganancias (Pérdidas) Acumuladas</v>
          </cell>
          <cell r="L923" t="str">
            <v>Patrimonio atribuible a los Socias de la contrroladora</v>
          </cell>
          <cell r="U923" t="str">
            <v>2. Ganancias (Pérdidas) del Ejercicio</v>
          </cell>
          <cell r="AG923" t="str">
            <v>Ganacias (Pérdidas) Acum.</v>
          </cell>
          <cell r="AH923" t="str">
            <v>III. Pasivos de los segmentos</v>
          </cell>
        </row>
        <row r="924">
          <cell r="D924" t="str">
            <v>2-3-01-01-03</v>
          </cell>
          <cell r="E924" t="str">
            <v>2-3-01-01-03</v>
          </cell>
          <cell r="F924" t="str">
            <v>Sobreprecio en venta de acciones</v>
          </cell>
          <cell r="G924" t="str">
            <v>2-3-01-01-03  Sobreprecio en venta de acciones</v>
          </cell>
          <cell r="H924" t="str">
            <v>Balance</v>
          </cell>
          <cell r="I924" t="str">
            <v>II. Pasivos</v>
          </cell>
          <cell r="J924" t="str">
            <v>3. Patrimonio</v>
          </cell>
          <cell r="K924" t="str">
            <v>2. Ganancias (Pérdidas) Acumuladas</v>
          </cell>
          <cell r="L924" t="str">
            <v>Patrimonio atribuible a los Socias de la contrroladora</v>
          </cell>
          <cell r="U924" t="str">
            <v>6. Otras Reservas</v>
          </cell>
          <cell r="AG924" t="str">
            <v>Otras Reservas</v>
          </cell>
          <cell r="AH924" t="str">
            <v>III. Pasivos de los segmentos</v>
          </cell>
        </row>
        <row r="925">
          <cell r="D925">
            <v>0</v>
          </cell>
          <cell r="F925" t="str">
            <v/>
          </cell>
          <cell r="G925" t="str">
            <v/>
          </cell>
          <cell r="H925" t="str">
            <v/>
          </cell>
          <cell r="U925" t="str">
            <v/>
          </cell>
          <cell r="AH925" t="str">
            <v/>
          </cell>
        </row>
        <row r="926">
          <cell r="D926">
            <v>0</v>
          </cell>
          <cell r="F926" t="str">
            <v/>
          </cell>
          <cell r="G926" t="str">
            <v/>
          </cell>
          <cell r="H926" t="str">
            <v/>
          </cell>
          <cell r="U926" t="str">
            <v/>
          </cell>
          <cell r="AH926" t="str">
            <v/>
          </cell>
        </row>
        <row r="927">
          <cell r="D927" t="str">
            <v>2-3-01-01-04</v>
          </cell>
          <cell r="E927" t="str">
            <v>2-3-01-01-04</v>
          </cell>
          <cell r="F927" t="str">
            <v>Otras Reservas ( Niif Otros)</v>
          </cell>
          <cell r="G927" t="str">
            <v>2-3-01-01-04  Otras Reservas ( Niif Otros)</v>
          </cell>
          <cell r="H927" t="str">
            <v>Balance</v>
          </cell>
          <cell r="I927" t="str">
            <v>II. Pasivos</v>
          </cell>
          <cell r="J927" t="str">
            <v>3. Patrimonio</v>
          </cell>
          <cell r="K927" t="str">
            <v>6. Otras Reservas</v>
          </cell>
          <cell r="L927" t="str">
            <v>Patrimonio atribuible a los Socios de la controladora</v>
          </cell>
          <cell r="U927" t="str">
            <v>6. Otras Reservas</v>
          </cell>
          <cell r="AG927" t="str">
            <v>Otras Reservas</v>
          </cell>
          <cell r="AH927" t="str">
            <v>III. Pasivos de los segmentos</v>
          </cell>
        </row>
        <row r="928">
          <cell r="D928" t="str">
            <v>2-3-01-01-05</v>
          </cell>
          <cell r="E928" t="str">
            <v>2-3-01-01-05</v>
          </cell>
          <cell r="F928" t="str">
            <v>Otras Reservas ( Niif Activo Fijo )</v>
          </cell>
          <cell r="G928" t="str">
            <v>2-3-01-01-05  Otras Reservas ( Niif Activo Fijo )</v>
          </cell>
          <cell r="H928" t="str">
            <v>Balance</v>
          </cell>
          <cell r="I928" t="str">
            <v>II. Pasivos</v>
          </cell>
          <cell r="J928" t="str">
            <v>3. Patrimonio</v>
          </cell>
          <cell r="K928" t="str">
            <v>6. Otras Reservas</v>
          </cell>
          <cell r="L928" t="str">
            <v>Patrimonio atribuible a los Socios de la controladora</v>
          </cell>
          <cell r="U928" t="str">
            <v>6. Otras Reservas</v>
          </cell>
          <cell r="AG928" t="str">
            <v>Otras Reservas</v>
          </cell>
          <cell r="AH928" t="str">
            <v>III. Pasivos de los segmentos</v>
          </cell>
        </row>
        <row r="929">
          <cell r="D929">
            <v>0</v>
          </cell>
          <cell r="G929" t="str">
            <v/>
          </cell>
          <cell r="H929" t="str">
            <v>Balance</v>
          </cell>
          <cell r="I929" t="str">
            <v>II. Pasivos</v>
          </cell>
          <cell r="J929" t="str">
            <v>3. Patrimonio</v>
          </cell>
          <cell r="K929" t="str">
            <v>6. Otras Reservas</v>
          </cell>
          <cell r="L929" t="str">
            <v>Patrimonio atribuible a los Socios de la controladora</v>
          </cell>
          <cell r="U929" t="str">
            <v>6. Otras Reservas</v>
          </cell>
          <cell r="AG929" t="str">
            <v>Otras Reservas</v>
          </cell>
          <cell r="AH929" t="str">
            <v>III. Pasivos de los segmentos</v>
          </cell>
        </row>
        <row r="930">
          <cell r="D930">
            <v>0</v>
          </cell>
          <cell r="F930" t="str">
            <v/>
          </cell>
          <cell r="G930" t="str">
            <v/>
          </cell>
          <cell r="H930" t="str">
            <v/>
          </cell>
          <cell r="U930" t="str">
            <v/>
          </cell>
          <cell r="AH930" t="str">
            <v/>
          </cell>
        </row>
        <row r="931">
          <cell r="D931">
            <v>0</v>
          </cell>
          <cell r="F931" t="str">
            <v>Total Otras Reservas</v>
          </cell>
          <cell r="G931" t="str">
            <v/>
          </cell>
          <cell r="H931" t="str">
            <v/>
          </cell>
          <cell r="U931" t="str">
            <v/>
          </cell>
          <cell r="AH931" t="str">
            <v/>
          </cell>
        </row>
        <row r="932">
          <cell r="D932">
            <v>0</v>
          </cell>
          <cell r="F932" t="str">
            <v>Patrimonio Atribuible A Los Propietarios De La Controladora</v>
          </cell>
          <cell r="G932" t="str">
            <v/>
          </cell>
          <cell r="H932" t="str">
            <v/>
          </cell>
          <cell r="U932" t="str">
            <v/>
          </cell>
          <cell r="AG932" t="str">
            <v>Patri. Controladora</v>
          </cell>
          <cell r="AH932" t="str">
            <v/>
          </cell>
        </row>
        <row r="933">
          <cell r="D933">
            <v>0</v>
          </cell>
          <cell r="F933" t="str">
            <v/>
          </cell>
          <cell r="G933" t="str">
            <v/>
          </cell>
          <cell r="H933" t="str">
            <v/>
          </cell>
          <cell r="U933" t="str">
            <v/>
          </cell>
          <cell r="AH933" t="str">
            <v/>
          </cell>
        </row>
        <row r="934">
          <cell r="D934">
            <v>0</v>
          </cell>
          <cell r="F934" t="str">
            <v>Participaciones No Controladas</v>
          </cell>
          <cell r="G934" t="str">
            <v/>
          </cell>
          <cell r="H934" t="str">
            <v/>
          </cell>
          <cell r="I934" t="str">
            <v>II. Pasivos</v>
          </cell>
          <cell r="J934" t="str">
            <v>3. Patrimonio</v>
          </cell>
          <cell r="K934" t="str">
            <v>4. Participaciones no controladas</v>
          </cell>
          <cell r="L934" t="str">
            <v>Otras participaciones</v>
          </cell>
          <cell r="U934" t="str">
            <v>1. Patrimonio - sin resultado del ejercicio</v>
          </cell>
          <cell r="AG934" t="str">
            <v>Particip. No Controladas</v>
          </cell>
          <cell r="AH934" t="str">
            <v>III. Pasivos de los segmentos</v>
          </cell>
        </row>
        <row r="935">
          <cell r="D935">
            <v>0</v>
          </cell>
          <cell r="F935" t="str">
            <v/>
          </cell>
          <cell r="G935" t="str">
            <v/>
          </cell>
          <cell r="H935" t="str">
            <v/>
          </cell>
          <cell r="U935" t="str">
            <v/>
          </cell>
          <cell r="AH935" t="str">
            <v/>
          </cell>
        </row>
        <row r="936">
          <cell r="D936">
            <v>0</v>
          </cell>
          <cell r="F936" t="str">
            <v>Patrimonio Total</v>
          </cell>
          <cell r="G936" t="str">
            <v/>
          </cell>
          <cell r="H936" t="str">
            <v/>
          </cell>
          <cell r="U936" t="str">
            <v/>
          </cell>
          <cell r="AH936" t="str">
            <v/>
          </cell>
        </row>
        <row r="937">
          <cell r="D937">
            <v>0</v>
          </cell>
          <cell r="F937" t="str">
            <v>Total De Patrimonio Y Pasivos</v>
          </cell>
          <cell r="G937" t="str">
            <v/>
          </cell>
          <cell r="H937" t="str">
            <v/>
          </cell>
          <cell r="U937" t="str">
            <v/>
          </cell>
          <cell r="AH937" t="str">
            <v/>
          </cell>
        </row>
        <row r="938">
          <cell r="D938">
            <v>0</v>
          </cell>
        </row>
        <row r="939">
          <cell r="D939">
            <v>0</v>
          </cell>
          <cell r="F939" t="str">
            <v>Activos</v>
          </cell>
          <cell r="G939" t="str">
            <v/>
          </cell>
          <cell r="H939" t="str">
            <v/>
          </cell>
        </row>
        <row r="940">
          <cell r="D940">
            <v>0</v>
          </cell>
          <cell r="F940" t="str">
            <v>Activos Corrientes</v>
          </cell>
          <cell r="G940" t="str">
            <v/>
          </cell>
          <cell r="H940" t="str">
            <v/>
          </cell>
        </row>
        <row r="941">
          <cell r="D941">
            <v>0</v>
          </cell>
          <cell r="F941" t="str">
            <v>.</v>
          </cell>
          <cell r="G941" t="str">
            <v/>
          </cell>
          <cell r="H941" t="str">
            <v/>
          </cell>
        </row>
        <row r="942">
          <cell r="D942">
            <v>0</v>
          </cell>
          <cell r="F942" t="str">
            <v>.</v>
          </cell>
          <cell r="G942" t="str">
            <v/>
          </cell>
          <cell r="H942" t="str">
            <v/>
          </cell>
        </row>
        <row r="943">
          <cell r="D943" t="str">
            <v>1101101</v>
          </cell>
          <cell r="E943" t="str">
            <v>1101101</v>
          </cell>
          <cell r="F943" t="str">
            <v>Caja</v>
          </cell>
          <cell r="G943" t="str">
            <v>1101101  Caja</v>
          </cell>
          <cell r="H943" t="str">
            <v>Balance</v>
          </cell>
          <cell r="I943" t="str">
            <v>I. Activos</v>
          </cell>
          <cell r="J943" t="str">
            <v>1. Activos corrientes</v>
          </cell>
          <cell r="K943" t="str">
            <v>1. Efectivo y Equivalentes al Efectivo</v>
          </cell>
          <cell r="L943" t="str">
            <v>A. corrtes. distintos de A. para su disposición clasif. para venta o distrib. a propiet.</v>
          </cell>
          <cell r="U943" t="str">
            <v>1. Efectivo y Equivalentes al Efectivo</v>
          </cell>
          <cell r="AG943" t="str">
            <v>Caja Bancos</v>
          </cell>
          <cell r="AH943" t="str">
            <v>I. Activos de los segmentos</v>
          </cell>
        </row>
        <row r="944">
          <cell r="D944" t="str">
            <v>1101102</v>
          </cell>
          <cell r="E944" t="str">
            <v>1101102</v>
          </cell>
          <cell r="F944" t="str">
            <v>Fonda Fijo</v>
          </cell>
          <cell r="G944" t="str">
            <v>1101102  Fonda Fijo</v>
          </cell>
          <cell r="H944" t="str">
            <v>Balance</v>
          </cell>
          <cell r="I944" t="str">
            <v>I. Activos</v>
          </cell>
          <cell r="J944" t="str">
            <v>1. Activos corrientes</v>
          </cell>
          <cell r="K944" t="str">
            <v>1. Efectivo y Equivalentes al Efectivo</v>
          </cell>
          <cell r="L944" t="str">
            <v>A. corrtes. distintos de A. para su disposición clasif. para venta o distrib. a propiet.</v>
          </cell>
          <cell r="U944" t="str">
            <v>1. Efectivo y Equivalentes al Efectivo</v>
          </cell>
          <cell r="AG944" t="str">
            <v>Caja Bancos</v>
          </cell>
          <cell r="AH944" t="str">
            <v>I. Activos de los segmentos</v>
          </cell>
        </row>
        <row r="945">
          <cell r="D945" t="str">
            <v>1101103</v>
          </cell>
          <cell r="E945" t="str">
            <v>1101103</v>
          </cell>
          <cell r="F945" t="str">
            <v>Banco de Chile 00678-09</v>
          </cell>
          <cell r="G945" t="str">
            <v>1101103  Banco de Chile 00678-09</v>
          </cell>
          <cell r="H945" t="str">
            <v>Balance</v>
          </cell>
          <cell r="I945" t="str">
            <v>I. Activos</v>
          </cell>
          <cell r="J945" t="str">
            <v>1. Activos corrientes</v>
          </cell>
          <cell r="K945" t="str">
            <v>1. Efectivo y Equivalentes al Efectivo</v>
          </cell>
          <cell r="L945" t="str">
            <v>A. corrtes. distintos de A. para su disposición clasif. para venta o distrib. a propiet.</v>
          </cell>
          <cell r="U945" t="str">
            <v>1. Efectivo y Equivalentes al Efectivo</v>
          </cell>
          <cell r="AG945" t="str">
            <v>Caja Bancos</v>
          </cell>
          <cell r="AH945" t="str">
            <v>I. Activos de los segmentos</v>
          </cell>
        </row>
        <row r="946">
          <cell r="D946" t="str">
            <v>1101104</v>
          </cell>
          <cell r="E946" t="str">
            <v>1101104</v>
          </cell>
          <cell r="F946" t="str">
            <v>Banco de Chile 01025-08</v>
          </cell>
          <cell r="G946" t="str">
            <v>1101104  Banco de Chile 01025-08</v>
          </cell>
          <cell r="H946" t="str">
            <v>Balance</v>
          </cell>
          <cell r="I946" t="str">
            <v>I. Activos</v>
          </cell>
          <cell r="J946" t="str">
            <v>1. Activos corrientes</v>
          </cell>
          <cell r="K946" t="str">
            <v>1. Efectivo y Equivalentes al Efectivo</v>
          </cell>
          <cell r="L946" t="str">
            <v>A. corrtes. distintos de A. para su disposición clasif. para venta o distrib. a propiet.</v>
          </cell>
          <cell r="U946" t="str">
            <v>1. Efectivo y Equivalentes al Efectivo</v>
          </cell>
          <cell r="AG946" t="str">
            <v>Caja Bancos</v>
          </cell>
          <cell r="AH946" t="str">
            <v>I. Activos de los segmentos</v>
          </cell>
        </row>
        <row r="947">
          <cell r="D947" t="str">
            <v>1101105</v>
          </cell>
          <cell r="E947" t="str">
            <v>1101105</v>
          </cell>
          <cell r="F947" t="str">
            <v>Banco de Chile 03650-05</v>
          </cell>
          <cell r="G947" t="str">
            <v>1101105  Banco de Chile 03650-05</v>
          </cell>
          <cell r="H947" t="str">
            <v>Balance</v>
          </cell>
          <cell r="I947" t="str">
            <v>I. Activos</v>
          </cell>
          <cell r="J947" t="str">
            <v>1. Activos corrientes</v>
          </cell>
          <cell r="K947" t="str">
            <v>1. Efectivo y Equivalentes al Efectivo</v>
          </cell>
          <cell r="L947" t="str">
            <v>A. corrtes. distintos de A. para su disposición clasif. para venta o distrib. a propiet.</v>
          </cell>
          <cell r="U947" t="str">
            <v>1. Efectivo y Equivalentes al Efectivo</v>
          </cell>
          <cell r="AG947" t="str">
            <v>Caja Bancos</v>
          </cell>
          <cell r="AH947" t="str">
            <v>I. Activos de los segmentos</v>
          </cell>
        </row>
        <row r="948">
          <cell r="D948" t="str">
            <v>1101106</v>
          </cell>
          <cell r="E948" t="str">
            <v>1101106</v>
          </cell>
          <cell r="F948" t="str">
            <v>Banco santandersantiago</v>
          </cell>
          <cell r="G948" t="str">
            <v>1101106  Banco santandersantiago</v>
          </cell>
          <cell r="H948" t="str">
            <v>Balance</v>
          </cell>
          <cell r="I948" t="str">
            <v>I. Activos</v>
          </cell>
          <cell r="J948" t="str">
            <v>1. Activos corrientes</v>
          </cell>
          <cell r="K948" t="str">
            <v>1. Efectivo y Equivalentes al Efectivo</v>
          </cell>
          <cell r="L948" t="str">
            <v>A. corrtes. distintos de A. para su disposición clasif. para venta o distrib. a propiet.</v>
          </cell>
          <cell r="U948" t="str">
            <v>1. Efectivo y Equivalentes al Efectivo</v>
          </cell>
          <cell r="AG948" t="str">
            <v>Caja Bancos</v>
          </cell>
          <cell r="AH948" t="str">
            <v>I. Activos de los segmentos</v>
          </cell>
        </row>
        <row r="949">
          <cell r="D949" t="str">
            <v>1102102</v>
          </cell>
          <cell r="E949" t="str">
            <v>1102102</v>
          </cell>
          <cell r="F949" t="str">
            <v>Fondos Mutuos</v>
          </cell>
          <cell r="G949" t="str">
            <v>1102102  Fondos Mutuos</v>
          </cell>
          <cell r="H949" t="str">
            <v>Balance</v>
          </cell>
          <cell r="I949" t="str">
            <v>I. Activos</v>
          </cell>
          <cell r="J949" t="str">
            <v>1. Activos corrientes</v>
          </cell>
          <cell r="K949" t="str">
            <v>1. Efectivo y Equivalentes al Efectivo</v>
          </cell>
          <cell r="L949" t="str">
            <v>A. corrtes. distintos de A. para su disposición clasif. para venta o distrib. a propiet.</v>
          </cell>
          <cell r="U949" t="str">
            <v>1. Efectivo y Equivalentes al Efectivo</v>
          </cell>
          <cell r="AG949" t="str">
            <v>Cuotas de fondos mutuos</v>
          </cell>
          <cell r="AH949" t="str">
            <v>I. Activos de los segmentos</v>
          </cell>
        </row>
        <row r="950">
          <cell r="D950" t="str">
            <v>1106104</v>
          </cell>
          <cell r="E950" t="str">
            <v>1106104</v>
          </cell>
          <cell r="F950" t="str">
            <v>Fondos por Rendir</v>
          </cell>
          <cell r="G950" t="str">
            <v>1106104  Fondos por Rendir</v>
          </cell>
          <cell r="H950" t="str">
            <v>Balance</v>
          </cell>
          <cell r="I950" t="str">
            <v>I. Activos</v>
          </cell>
          <cell r="J950" t="str">
            <v>1. Activos corrientes</v>
          </cell>
          <cell r="K950" t="str">
            <v>1. Efectivo y Equivalentes al Efectivo</v>
          </cell>
          <cell r="L950" t="str">
            <v>A. corrtes. distintos de A. para su disposición clasif. para venta o distrib. a propiet.</v>
          </cell>
          <cell r="U950" t="str">
            <v>1. Efectivo y Equivalentes al Efectivo</v>
          </cell>
          <cell r="AG950" t="str">
            <v>Caja Bancos</v>
          </cell>
          <cell r="AH950" t="str">
            <v>I. Activos de los segmentos</v>
          </cell>
        </row>
        <row r="951">
          <cell r="D951" t="str">
            <v>1102101</v>
          </cell>
          <cell r="E951" t="str">
            <v>1102101</v>
          </cell>
          <cell r="F951" t="str">
            <v>Depósito a Plazo M/N</v>
          </cell>
          <cell r="G951" t="str">
            <v>1102101  Depósito a Plazo M/N</v>
          </cell>
          <cell r="H951" t="str">
            <v>Balance</v>
          </cell>
          <cell r="I951" t="str">
            <v>I. Activos</v>
          </cell>
          <cell r="J951" t="str">
            <v>1. Activos corrientes</v>
          </cell>
          <cell r="K951" t="str">
            <v>1. Efectivo y Equivalentes al Efectivo</v>
          </cell>
          <cell r="L951" t="str">
            <v>A. corrtes. distintos de A. para su disposición clasif. para venta o distrib. a propiet.</v>
          </cell>
          <cell r="U951" t="str">
            <v>1. Efectivo y Equivalentes al Efectivo</v>
          </cell>
          <cell r="AH951" t="str">
            <v>I. Activos de los segmentos</v>
          </cell>
        </row>
        <row r="952">
          <cell r="D952">
            <v>0</v>
          </cell>
          <cell r="G952" t="str">
            <v/>
          </cell>
          <cell r="H952" t="str">
            <v>Balance</v>
          </cell>
          <cell r="I952" t="str">
            <v>I. Activos</v>
          </cell>
          <cell r="J952" t="str">
            <v>1. Activos corrientes</v>
          </cell>
          <cell r="K952" t="str">
            <v>1. Efectivo y Equivalentes al Efectivo</v>
          </cell>
          <cell r="L952" t="str">
            <v>A. corrtes. distintos de A. para su disposición clasif. para venta o distrib. a propiet.</v>
          </cell>
          <cell r="U952" t="str">
            <v>1. Efectivo y Equivalentes al Efectivo</v>
          </cell>
          <cell r="AH952" t="str">
            <v>I. Activos de los segmentos</v>
          </cell>
        </row>
        <row r="953">
          <cell r="D953">
            <v>0</v>
          </cell>
          <cell r="G953" t="str">
            <v/>
          </cell>
          <cell r="H953" t="str">
            <v>Balance</v>
          </cell>
          <cell r="I953" t="str">
            <v>I. Activos</v>
          </cell>
          <cell r="J953" t="str">
            <v>1. Activos corrientes</v>
          </cell>
          <cell r="K953" t="str">
            <v>1. Efectivo y Equivalentes al Efectivo</v>
          </cell>
          <cell r="L953" t="str">
            <v>A. corrtes. distintos de A. para su disposición clasif. para venta o distrib. a propiet.</v>
          </cell>
          <cell r="U953" t="str">
            <v>1. Efectivo y Equivalentes al Efectivo</v>
          </cell>
          <cell r="AH953" t="str">
            <v>I. Activos de los segmentos</v>
          </cell>
        </row>
        <row r="954">
          <cell r="D954">
            <v>0</v>
          </cell>
          <cell r="F954" t="str">
            <v>Efectivo Y Equivalentes Al Efectivo</v>
          </cell>
          <cell r="G954" t="str">
            <v/>
          </cell>
          <cell r="H954" t="str">
            <v/>
          </cell>
          <cell r="U954" t="str">
            <v/>
          </cell>
          <cell r="AH954" t="str">
            <v/>
          </cell>
        </row>
        <row r="955">
          <cell r="D955">
            <v>0</v>
          </cell>
          <cell r="G955" t="str">
            <v/>
          </cell>
          <cell r="H955" t="str">
            <v/>
          </cell>
          <cell r="U955" t="str">
            <v/>
          </cell>
          <cell r="AH955" t="str">
            <v/>
          </cell>
        </row>
        <row r="956">
          <cell r="D956">
            <v>0</v>
          </cell>
          <cell r="G956" t="str">
            <v/>
          </cell>
          <cell r="H956" t="str">
            <v>Balance</v>
          </cell>
          <cell r="I956" t="str">
            <v>I. Activos</v>
          </cell>
          <cell r="J956" t="str">
            <v>1. Activos corrientes</v>
          </cell>
          <cell r="K956" t="str">
            <v>2. Otros Activos Financieros, corrientes</v>
          </cell>
          <cell r="L956" t="str">
            <v>A. corrtes. distintos de A. para su disposición clasif. para venta o distrib. a propiet.</v>
          </cell>
          <cell r="U956" t="str">
            <v>2. Otros Activos Financieros, corrientes</v>
          </cell>
          <cell r="AH956" t="str">
            <v>I. Activos de los segmentos</v>
          </cell>
        </row>
        <row r="957">
          <cell r="D957">
            <v>0</v>
          </cell>
          <cell r="G957" t="str">
            <v/>
          </cell>
          <cell r="H957" t="str">
            <v>Balance</v>
          </cell>
          <cell r="I957" t="str">
            <v>I. Activos</v>
          </cell>
          <cell r="J957" t="str">
            <v>1. Activos corrientes</v>
          </cell>
          <cell r="K957" t="str">
            <v>2. Otros Activos Financieros, corrientes</v>
          </cell>
          <cell r="L957" t="str">
            <v>A. corrtes. distintos de A. para su disposición clasif. para venta o distrib. a propiet.</v>
          </cell>
          <cell r="U957" t="str">
            <v>2. Otros Activos Financieros, corrientes</v>
          </cell>
          <cell r="AH957" t="str">
            <v>I. Activos de los segmentos</v>
          </cell>
        </row>
        <row r="958">
          <cell r="D958">
            <v>0</v>
          </cell>
          <cell r="G958" t="str">
            <v/>
          </cell>
          <cell r="H958" t="str">
            <v>Balance</v>
          </cell>
          <cell r="I958" t="str">
            <v>I. Activos</v>
          </cell>
          <cell r="J958" t="str">
            <v>1. Activos corrientes</v>
          </cell>
          <cell r="K958" t="str">
            <v>2. Otros Activos Financieros, corrientes</v>
          </cell>
          <cell r="L958" t="str">
            <v>A. corrtes. distintos de A. para su disposición clasif. para venta o distrib. a propiet.</v>
          </cell>
          <cell r="U958" t="str">
            <v>2. Otros Activos Financieros, corrientes</v>
          </cell>
          <cell r="AH958" t="str">
            <v>I. Activos de los segmentos</v>
          </cell>
        </row>
        <row r="959">
          <cell r="D959">
            <v>0</v>
          </cell>
          <cell r="G959" t="str">
            <v/>
          </cell>
          <cell r="H959" t="str">
            <v>Balance</v>
          </cell>
          <cell r="I959" t="str">
            <v>I. Activos</v>
          </cell>
          <cell r="J959" t="str">
            <v>1. Activos corrientes</v>
          </cell>
          <cell r="K959" t="str">
            <v>2. Otros Activos Financieros, corrientes</v>
          </cell>
          <cell r="L959" t="str">
            <v>A. corrtes. distintos de A. para su disposición clasif. para venta o distrib. a propiet.</v>
          </cell>
          <cell r="U959" t="str">
            <v>2. Otros Activos Financieros, corrientes</v>
          </cell>
          <cell r="AH959" t="str">
            <v>I. Activos de los segmentos</v>
          </cell>
        </row>
        <row r="960">
          <cell r="D960">
            <v>0</v>
          </cell>
          <cell r="G960" t="str">
            <v/>
          </cell>
          <cell r="H960" t="str">
            <v>Balance</v>
          </cell>
          <cell r="I960" t="str">
            <v>I. Activos</v>
          </cell>
          <cell r="J960" t="str">
            <v>1. Activos corrientes</v>
          </cell>
          <cell r="K960" t="str">
            <v>2. Otros Activos Financieros, corrientes</v>
          </cell>
          <cell r="L960" t="str">
            <v>A. corrtes. distintos de A. para su disposición clasif. para venta o distrib. a propiet.</v>
          </cell>
          <cell r="U960" t="str">
            <v>2. Otros Activos Financieros, corrientes</v>
          </cell>
          <cell r="AH960" t="str">
            <v>I. Activos de los segmentos</v>
          </cell>
        </row>
        <row r="961">
          <cell r="D961">
            <v>0</v>
          </cell>
          <cell r="F961" t="str">
            <v>Otros Activos Financieros Corrientes</v>
          </cell>
          <cell r="G961" t="str">
            <v/>
          </cell>
          <cell r="H961" t="str">
            <v/>
          </cell>
          <cell r="U961" t="str">
            <v/>
          </cell>
          <cell r="AH961" t="str">
            <v/>
          </cell>
        </row>
        <row r="962">
          <cell r="D962">
            <v>0</v>
          </cell>
          <cell r="G962" t="str">
            <v/>
          </cell>
          <cell r="H962" t="str">
            <v/>
          </cell>
          <cell r="U962" t="str">
            <v/>
          </cell>
          <cell r="AH962" t="str">
            <v/>
          </cell>
        </row>
        <row r="963">
          <cell r="D963" t="str">
            <v>1105101</v>
          </cell>
          <cell r="E963" t="str">
            <v>1105101</v>
          </cell>
          <cell r="F963" t="str">
            <v>Cheques por Cobrar</v>
          </cell>
          <cell r="G963" t="str">
            <v>1105101  Cheques por Cobrar</v>
          </cell>
          <cell r="H963" t="str">
            <v>Balance</v>
          </cell>
          <cell r="I963" t="str">
            <v>I. Activos</v>
          </cell>
          <cell r="J963" t="str">
            <v>1. Activos corrientes</v>
          </cell>
          <cell r="K963" t="str">
            <v>3. Otros Activos No Financieros, corrientes</v>
          </cell>
          <cell r="L963" t="str">
            <v>A. corrtes. distintos de A. para su disposición clasif. para venta o distrib. a propiet.</v>
          </cell>
          <cell r="U963" t="str">
            <v>3. Otros Activos No Financieros, corrientes</v>
          </cell>
          <cell r="AH963" t="str">
            <v>I. Activos de los segmentos</v>
          </cell>
        </row>
        <row r="964">
          <cell r="D964" t="str">
            <v>1105103</v>
          </cell>
          <cell r="E964" t="str">
            <v>1105103</v>
          </cell>
          <cell r="F964" t="str">
            <v>Cheques en Garantía</v>
          </cell>
          <cell r="G964" t="str">
            <v>1105103  Cheques en Garantía</v>
          </cell>
          <cell r="H964" t="str">
            <v>Balance</v>
          </cell>
          <cell r="I964" t="str">
            <v>I. Activos</v>
          </cell>
          <cell r="J964" t="str">
            <v>1. Activos corrientes</v>
          </cell>
          <cell r="K964" t="str">
            <v>3. Otros Activos No Financieros, corrientes</v>
          </cell>
          <cell r="L964" t="str">
            <v>A. corrtes. distintos de A. para su disposición clasif. para venta o distrib. a propiet.</v>
          </cell>
          <cell r="U964" t="str">
            <v>3. Otros Activos No Financieros, corrientes</v>
          </cell>
          <cell r="AH964" t="str">
            <v>I. Activos de los segmentos</v>
          </cell>
        </row>
        <row r="965">
          <cell r="D965" t="str">
            <v>1105104</v>
          </cell>
          <cell r="E965" t="str">
            <v>1105104</v>
          </cell>
          <cell r="F965" t="str">
            <v>Cheques Protestados</v>
          </cell>
          <cell r="G965" t="str">
            <v>1105104  Cheques Protestados</v>
          </cell>
          <cell r="H965" t="str">
            <v>Balance</v>
          </cell>
          <cell r="I965" t="str">
            <v>I. Activos</v>
          </cell>
          <cell r="J965" t="str">
            <v>1. Activos corrientes</v>
          </cell>
          <cell r="K965" t="str">
            <v>3. Otros Activos No Financieros, corrientes</v>
          </cell>
          <cell r="L965" t="str">
            <v>A. corrtes. distintos de A. para su disposición clasif. para venta o distrib. a propiet.</v>
          </cell>
          <cell r="U965" t="str">
            <v>3. Otros Activos No Financieros, corrientes</v>
          </cell>
          <cell r="AH965" t="str">
            <v>I. Activos de los segmentos</v>
          </cell>
        </row>
        <row r="966">
          <cell r="D966" t="str">
            <v>1105105</v>
          </cell>
          <cell r="E966" t="str">
            <v>1105105</v>
          </cell>
          <cell r="F966" t="str">
            <v>Cheques Devueltos</v>
          </cell>
          <cell r="G966" t="str">
            <v>1105105  Cheques Devueltos</v>
          </cell>
          <cell r="H966" t="str">
            <v>Balance</v>
          </cell>
          <cell r="I966" t="str">
            <v>I. Activos</v>
          </cell>
          <cell r="J966" t="str">
            <v>1. Activos corrientes</v>
          </cell>
          <cell r="K966" t="str">
            <v>3. Otros Activos No Financieros, corrientes</v>
          </cell>
          <cell r="L966" t="str">
            <v>A. corrtes. distintos de A. para su disposición clasif. para venta o distrib. a propiet.</v>
          </cell>
          <cell r="U966" t="str">
            <v>3. Otros Activos No Financieros, corrientes</v>
          </cell>
          <cell r="AH966" t="str">
            <v>I. Activos de los segmentos</v>
          </cell>
        </row>
        <row r="967">
          <cell r="D967" t="str">
            <v>1105106</v>
          </cell>
          <cell r="E967" t="str">
            <v>1105106</v>
          </cell>
          <cell r="F967" t="str">
            <v>Cheque por Identificar</v>
          </cell>
          <cell r="G967" t="str">
            <v>1105106  Cheque por Identificar</v>
          </cell>
          <cell r="H967" t="str">
            <v>Balance</v>
          </cell>
          <cell r="I967" t="str">
            <v>I. Activos</v>
          </cell>
          <cell r="J967" t="str">
            <v>1. Activos corrientes</v>
          </cell>
          <cell r="K967" t="str">
            <v>3. Otros Activos No Financieros, corrientes</v>
          </cell>
          <cell r="L967" t="str">
            <v>A. corrtes. distintos de A. para su disposición clasif. para venta o distrib. a propiet.</v>
          </cell>
          <cell r="U967" t="str">
            <v>3. Otros Activos No Financieros, corrientes</v>
          </cell>
          <cell r="AH967" t="str">
            <v>I. Activos de los segmentos</v>
          </cell>
        </row>
        <row r="968">
          <cell r="D968" t="str">
            <v>1105107</v>
          </cell>
          <cell r="E968" t="str">
            <v>1105107</v>
          </cell>
          <cell r="F968" t="str">
            <v>Deudores del Personal</v>
          </cell>
          <cell r="G968" t="str">
            <v>1105107  Deudores del Personal</v>
          </cell>
          <cell r="H968" t="str">
            <v>Balance</v>
          </cell>
          <cell r="I968" t="str">
            <v>I. Activos</v>
          </cell>
          <cell r="J968" t="str">
            <v>1. Activos corrientes</v>
          </cell>
          <cell r="K968" t="str">
            <v>3. Otros Activos No Financieros, corrientes</v>
          </cell>
          <cell r="L968" t="str">
            <v>A. corrtes. distintos de A. para su disposición clasif. para venta o distrib. a propiet.</v>
          </cell>
          <cell r="U968" t="str">
            <v>3. Otros Activos No Financieros, corrientes</v>
          </cell>
          <cell r="AH968" t="str">
            <v>I. Activos de los segmentos</v>
          </cell>
        </row>
        <row r="969">
          <cell r="D969" t="str">
            <v>1106102</v>
          </cell>
          <cell r="E969" t="str">
            <v>1106102</v>
          </cell>
          <cell r="F969" t="str">
            <v>Anticipo de Sueldos</v>
          </cell>
          <cell r="G969" t="str">
            <v>1106102  Anticipo de Sueldos</v>
          </cell>
          <cell r="H969" t="str">
            <v>Balance</v>
          </cell>
          <cell r="I969" t="str">
            <v>I. Activos</v>
          </cell>
          <cell r="J969" t="str">
            <v>1. Activos corrientes</v>
          </cell>
          <cell r="K969" t="str">
            <v>3. Otros Activos No Financieros, corrientes</v>
          </cell>
          <cell r="L969" t="str">
            <v>A. corrtes. distintos de A. para su disposición clasif. para venta o distrib. a propiet.</v>
          </cell>
          <cell r="U969" t="str">
            <v>3. Otros Activos No Financieros, corrientes</v>
          </cell>
          <cell r="AH969" t="str">
            <v>I. Activos de los segmentos</v>
          </cell>
        </row>
        <row r="970">
          <cell r="D970" t="str">
            <v>1106103</v>
          </cell>
          <cell r="E970" t="str">
            <v>1106103</v>
          </cell>
          <cell r="F970" t="str">
            <v>Préstamos al Personal</v>
          </cell>
          <cell r="G970" t="str">
            <v>1106103  Préstamos al Personal</v>
          </cell>
          <cell r="H970" t="str">
            <v>Balance</v>
          </cell>
          <cell r="I970" t="str">
            <v>I. Activos</v>
          </cell>
          <cell r="J970" t="str">
            <v>1. Activos corrientes</v>
          </cell>
          <cell r="K970" t="str">
            <v>3. Otros Activos No Financieros, corrientes</v>
          </cell>
          <cell r="L970" t="str">
            <v>A. corrtes. distintos de A. para su disposición clasif. para venta o distrib. a propiet.</v>
          </cell>
          <cell r="U970" t="str">
            <v>3. Otros Activos No Financieros, corrientes</v>
          </cell>
          <cell r="AH970" t="str">
            <v>I. Activos de los segmentos</v>
          </cell>
        </row>
        <row r="971">
          <cell r="D971" t="str">
            <v>1106105</v>
          </cell>
          <cell r="E971" t="str">
            <v>1106105</v>
          </cell>
          <cell r="F971" t="str">
            <v>Anticipo de Honorarios</v>
          </cell>
          <cell r="G971" t="str">
            <v>1106105  Anticipo de Honorarios</v>
          </cell>
          <cell r="H971" t="str">
            <v>Balance</v>
          </cell>
          <cell r="I971" t="str">
            <v>I. Activos</v>
          </cell>
          <cell r="J971" t="str">
            <v>1. Activos corrientes</v>
          </cell>
          <cell r="K971" t="str">
            <v>3. Otros Activos No Financieros, corrientes</v>
          </cell>
          <cell r="L971" t="str">
            <v>A. corrtes. distintos de A. para su disposición clasif. para venta o distrib. a propiet.</v>
          </cell>
          <cell r="U971" t="str">
            <v>3. Otros Activos No Financieros, corrientes</v>
          </cell>
          <cell r="AH971" t="str">
            <v>I. Activos de los segmentos</v>
          </cell>
        </row>
        <row r="972">
          <cell r="D972">
            <v>0</v>
          </cell>
          <cell r="G972" t="str">
            <v/>
          </cell>
          <cell r="H972" t="str">
            <v>Balance</v>
          </cell>
          <cell r="I972" t="str">
            <v>I. Activos</v>
          </cell>
          <cell r="J972" t="str">
            <v>1. Activos corrientes</v>
          </cell>
          <cell r="K972" t="str">
            <v>3. Otros Activos No Financieros, corrientes</v>
          </cell>
          <cell r="L972" t="str">
            <v>A. corrtes. distintos de A. para su disposición clasif. para venta o distrib. a propiet.</v>
          </cell>
          <cell r="U972" t="str">
            <v>3. Otros Activos No Financieros, corrientes</v>
          </cell>
          <cell r="AH972" t="str">
            <v>I. Activos de los segmentos</v>
          </cell>
        </row>
        <row r="973">
          <cell r="D973">
            <v>0</v>
          </cell>
          <cell r="G973" t="str">
            <v/>
          </cell>
          <cell r="H973" t="str">
            <v>Balance</v>
          </cell>
          <cell r="I973" t="str">
            <v>I. Activos</v>
          </cell>
          <cell r="J973" t="str">
            <v>1. Activos corrientes</v>
          </cell>
          <cell r="K973" t="str">
            <v>3. Otros Activos No Financieros, corrientes</v>
          </cell>
          <cell r="L973" t="str">
            <v>A. corrtes. distintos de A. para su disposición clasif. para venta o distrib. a propiet.</v>
          </cell>
          <cell r="U973" t="str">
            <v>3. Otros Activos No Financieros, corrientes</v>
          </cell>
          <cell r="AH973" t="str">
            <v>I. Activos de los segmentos</v>
          </cell>
        </row>
        <row r="974">
          <cell r="D974">
            <v>0</v>
          </cell>
          <cell r="G974" t="str">
            <v/>
          </cell>
          <cell r="H974" t="str">
            <v>Balance</v>
          </cell>
          <cell r="I974" t="str">
            <v>I. Activos</v>
          </cell>
          <cell r="J974" t="str">
            <v>1. Activos corrientes</v>
          </cell>
          <cell r="K974" t="str">
            <v>3. Otros Activos No Financieros, corrientes</v>
          </cell>
          <cell r="L974" t="str">
            <v>A. corrtes. distintos de A. para su disposición clasif. para venta o distrib. a propiet.</v>
          </cell>
          <cell r="U974" t="str">
            <v>3. Otros Activos No Financieros, corrientes</v>
          </cell>
          <cell r="AH974" t="str">
            <v>I. Activos de los segmentos</v>
          </cell>
        </row>
        <row r="975">
          <cell r="D975">
            <v>0</v>
          </cell>
          <cell r="F975" t="str">
            <v>Otros Activos No Financieros, Corrientes</v>
          </cell>
          <cell r="G975" t="str">
            <v/>
          </cell>
          <cell r="H975" t="str">
            <v/>
          </cell>
          <cell r="U975" t="str">
            <v/>
          </cell>
          <cell r="AH975" t="str">
            <v/>
          </cell>
        </row>
        <row r="976">
          <cell r="D976">
            <v>0</v>
          </cell>
          <cell r="G976" t="str">
            <v/>
          </cell>
          <cell r="H976" t="str">
            <v/>
          </cell>
          <cell r="U976" t="str">
            <v/>
          </cell>
          <cell r="AH976" t="str">
            <v/>
          </cell>
        </row>
        <row r="977">
          <cell r="D977" t="str">
            <v>1103101</v>
          </cell>
          <cell r="E977" t="str">
            <v>1103101</v>
          </cell>
          <cell r="F977" t="str">
            <v>Deudores por Arriendo</v>
          </cell>
          <cell r="G977" t="str">
            <v>1103101  Deudores por Arriendo</v>
          </cell>
          <cell r="H977" t="str">
            <v>Balance</v>
          </cell>
          <cell r="I977" t="str">
            <v>I. Activos</v>
          </cell>
          <cell r="J977" t="str">
            <v>1. Activos corrientes</v>
          </cell>
          <cell r="K977" t="str">
            <v>4. Deudores Comerciales y otras cuentas por cobrar, corrientes</v>
          </cell>
          <cell r="L977" t="str">
            <v>A. corrtes. distintos de A. para su disposición clasif. para venta o distrib. a propiet.</v>
          </cell>
          <cell r="U977" t="str">
            <v>4. Deudores Comerciales y otras cuentas por cobrar, corrientes</v>
          </cell>
          <cell r="AG977" t="str">
            <v xml:space="preserve"> </v>
          </cell>
          <cell r="AH977" t="str">
            <v>I. Activos de los segmentos</v>
          </cell>
        </row>
        <row r="978">
          <cell r="D978" t="str">
            <v>1104101</v>
          </cell>
          <cell r="E978" t="str">
            <v>1104101</v>
          </cell>
          <cell r="F978" t="str">
            <v>Deudores por Arriendos</v>
          </cell>
          <cell r="G978" t="str">
            <v>1104101  Deudores por Arriendos</v>
          </cell>
          <cell r="H978" t="str">
            <v>Balance</v>
          </cell>
          <cell r="I978" t="str">
            <v>I. Activos</v>
          </cell>
          <cell r="J978" t="str">
            <v>1. Activos corrientes</v>
          </cell>
          <cell r="K978" t="str">
            <v>4. Deudores Comerciales y otras cuentas por cobrar, corrientes</v>
          </cell>
          <cell r="L978" t="str">
            <v>A. corrtes. distintos de A. para su disposición clasif. para venta o distrib. a propiet.</v>
          </cell>
          <cell r="U978" t="str">
            <v>4. Deudores Comerciales y otras cuentas por cobrar, corrientes</v>
          </cell>
          <cell r="AG978" t="str">
            <v xml:space="preserve"> </v>
          </cell>
          <cell r="AH978" t="str">
            <v>I. Activos de los segmentos</v>
          </cell>
        </row>
        <row r="979">
          <cell r="D979" t="str">
            <v>1104102</v>
          </cell>
          <cell r="E979" t="str">
            <v>1104102</v>
          </cell>
          <cell r="F979" t="str">
            <v>Deudores por Venta de Inmuebles</v>
          </cell>
          <cell r="G979" t="str">
            <v>1104102  Deudores por Venta de Inmuebles</v>
          </cell>
          <cell r="H979" t="str">
            <v>Balance</v>
          </cell>
          <cell r="I979" t="str">
            <v>I. Activos</v>
          </cell>
          <cell r="J979" t="str">
            <v>1. Activos corrientes</v>
          </cell>
          <cell r="K979" t="str">
            <v>4. Deudores Comerciales y otras cuentas por cobrar, corrientes</v>
          </cell>
          <cell r="L979" t="str">
            <v>A. corrtes. distintos de A. para su disposición clasif. para venta o distrib. a propiet.</v>
          </cell>
          <cell r="U979" t="str">
            <v>4. Deudores Comerciales y otras cuentas por cobrar, corrientes</v>
          </cell>
          <cell r="AG979" t="str">
            <v xml:space="preserve"> </v>
          </cell>
          <cell r="AH979" t="str">
            <v>I. Activos de los segmentos</v>
          </cell>
        </row>
        <row r="980">
          <cell r="D980" t="str">
            <v>1104103</v>
          </cell>
          <cell r="E980" t="str">
            <v>1104103</v>
          </cell>
          <cell r="F980" t="str">
            <v>Deudores por Comisiones</v>
          </cell>
          <cell r="G980" t="str">
            <v>1104103  Deudores por Comisiones</v>
          </cell>
          <cell r="H980" t="str">
            <v>Balance</v>
          </cell>
          <cell r="I980" t="str">
            <v>I. Activos</v>
          </cell>
          <cell r="J980" t="str">
            <v>1. Activos corrientes</v>
          </cell>
          <cell r="K980" t="str">
            <v>4. Deudores Comerciales y otras cuentas por cobrar, corrientes</v>
          </cell>
          <cell r="L980" t="str">
            <v>A. corrtes. distintos de A. para su disposición clasif. para venta o distrib. a propiet.</v>
          </cell>
          <cell r="U980" t="str">
            <v>4. Deudores Comerciales y otras cuentas por cobrar, corrientes</v>
          </cell>
          <cell r="AG980" t="str">
            <v xml:space="preserve"> </v>
          </cell>
          <cell r="AH980" t="str">
            <v>I. Activos de los segmentos</v>
          </cell>
        </row>
        <row r="981">
          <cell r="D981" t="str">
            <v>1104104</v>
          </cell>
          <cell r="E981" t="str">
            <v>1104104</v>
          </cell>
          <cell r="F981" t="str">
            <v>Deudores por Venta de Bases</v>
          </cell>
          <cell r="G981" t="str">
            <v>1104104  Deudores por Venta de Bases</v>
          </cell>
          <cell r="H981" t="str">
            <v>Balance</v>
          </cell>
          <cell r="I981" t="str">
            <v>I. Activos</v>
          </cell>
          <cell r="J981" t="str">
            <v>1. Activos corrientes</v>
          </cell>
          <cell r="K981" t="str">
            <v>4. Deudores Comerciales y otras cuentas por cobrar, corrientes</v>
          </cell>
          <cell r="L981" t="str">
            <v>A. corrtes. distintos de A. para su disposición clasif. para venta o distrib. a propiet.</v>
          </cell>
          <cell r="U981" t="str">
            <v>4. Deudores Comerciales y otras cuentas por cobrar, corrientes</v>
          </cell>
          <cell r="AG981" t="str">
            <v xml:space="preserve"> </v>
          </cell>
          <cell r="AH981" t="str">
            <v>I. Activos de los segmentos</v>
          </cell>
        </row>
        <row r="982">
          <cell r="D982" t="str">
            <v>1104105</v>
          </cell>
          <cell r="E982" t="str">
            <v>1104105</v>
          </cell>
          <cell r="F982" t="str">
            <v>Provisión Deudores Incobrables</v>
          </cell>
          <cell r="G982" t="str">
            <v>1104105  Provisión Deudores Incobrables</v>
          </cell>
          <cell r="H982" t="str">
            <v>Balance</v>
          </cell>
          <cell r="I982" t="str">
            <v>I. Activos</v>
          </cell>
          <cell r="J982" t="str">
            <v>1. Activos corrientes</v>
          </cell>
          <cell r="K982" t="str">
            <v>4. Deudores Comerciales y otras cuentas por cobrar, corrientes</v>
          </cell>
          <cell r="L982" t="str">
            <v>A. corrtes. distintos de A. para su disposición clasif. para venta o distrib. a propiet.</v>
          </cell>
          <cell r="U982" t="str">
            <v>4. Deudores Comerciales y otras cuentas por cobrar, corrientes</v>
          </cell>
          <cell r="AG982" t="str">
            <v xml:space="preserve"> </v>
          </cell>
          <cell r="AH982" t="str">
            <v>I. Activos de los segmentos</v>
          </cell>
        </row>
        <row r="983">
          <cell r="D983" t="str">
            <v>1104106</v>
          </cell>
          <cell r="E983" t="str">
            <v>1104106</v>
          </cell>
          <cell r="F983" t="str">
            <v>Provisión de Comisiones</v>
          </cell>
          <cell r="G983" t="str">
            <v>1104106  Provisión de Comisiones</v>
          </cell>
          <cell r="H983" t="str">
            <v>Balance</v>
          </cell>
          <cell r="I983" t="str">
            <v>I. Activos</v>
          </cell>
          <cell r="J983" t="str">
            <v>1. Activos corrientes</v>
          </cell>
          <cell r="K983" t="str">
            <v>4. Deudores Comerciales y otras cuentas por cobrar, corrientes</v>
          </cell>
          <cell r="L983" t="str">
            <v>A. corrtes. distintos de A. para su disposición clasif. para venta o distrib. a propiet.</v>
          </cell>
          <cell r="U983" t="str">
            <v>4. Deudores Comerciales y otras cuentas por cobrar, corrientes</v>
          </cell>
          <cell r="AG983" t="str">
            <v xml:space="preserve"> </v>
          </cell>
          <cell r="AH983" t="str">
            <v>I. Activos de los segmentos</v>
          </cell>
        </row>
        <row r="984">
          <cell r="D984" t="str">
            <v>1104107</v>
          </cell>
          <cell r="E984" t="str">
            <v>1104107</v>
          </cell>
          <cell r="F984" t="str">
            <v>Deudores por Expropriaciones</v>
          </cell>
          <cell r="G984" t="str">
            <v>1104107  Deudores por Expropriaciones</v>
          </cell>
          <cell r="H984" t="str">
            <v>Balance</v>
          </cell>
          <cell r="I984" t="str">
            <v>I. Activos</v>
          </cell>
          <cell r="J984" t="str">
            <v>1. Activos corrientes</v>
          </cell>
          <cell r="K984" t="str">
            <v>4. Deudores Comerciales y otras cuentas por cobrar, corrientes</v>
          </cell>
          <cell r="L984" t="str">
            <v>A. corrtes. distintos de A. para su disposición clasif. para venta o distrib. a propiet.</v>
          </cell>
          <cell r="U984" t="str">
            <v>4. Deudores Comerciales y otras cuentas por cobrar, corrientes</v>
          </cell>
          <cell r="AG984" t="str">
            <v xml:space="preserve"> </v>
          </cell>
          <cell r="AH984" t="str">
            <v>I. Activos de los segmentos</v>
          </cell>
        </row>
        <row r="985">
          <cell r="D985" t="str">
            <v>1104108</v>
          </cell>
          <cell r="E985" t="str">
            <v>1104108</v>
          </cell>
          <cell r="F985" t="str">
            <v>Provisión de Arriendos por Facturar</v>
          </cell>
          <cell r="G985" t="str">
            <v>1104108  Provisión de Arriendos por Facturar</v>
          </cell>
          <cell r="H985" t="str">
            <v>Balance</v>
          </cell>
          <cell r="I985" t="str">
            <v>I. Activos</v>
          </cell>
          <cell r="J985" t="str">
            <v>1. Activos corrientes</v>
          </cell>
          <cell r="K985" t="str">
            <v>4. Deudores Comerciales y otras cuentas por cobrar, corrientes</v>
          </cell>
          <cell r="L985" t="str">
            <v>A. corrtes. distintos de A. para su disposición clasif. para venta o distrib. a propiet.</v>
          </cell>
          <cell r="U985" t="str">
            <v>4. Deudores Comerciales y otras cuentas por cobrar, corrientes</v>
          </cell>
          <cell r="AG985" t="str">
            <v xml:space="preserve"> </v>
          </cell>
          <cell r="AH985" t="str">
            <v>I. Activos de los segmentos</v>
          </cell>
        </row>
        <row r="986">
          <cell r="D986" t="str">
            <v>1104109</v>
          </cell>
          <cell r="E986" t="str">
            <v>1104109</v>
          </cell>
          <cell r="F986" t="str">
            <v>Deudores por Planos</v>
          </cell>
          <cell r="G986" t="str">
            <v>1104109  Deudores por Planos</v>
          </cell>
          <cell r="H986" t="str">
            <v>Balance</v>
          </cell>
          <cell r="I986" t="str">
            <v>I. Activos</v>
          </cell>
          <cell r="J986" t="str">
            <v>1. Activos corrientes</v>
          </cell>
          <cell r="K986" t="str">
            <v>4. Deudores Comerciales y otras cuentas por cobrar, corrientes</v>
          </cell>
          <cell r="L986" t="str">
            <v>A. corrtes. distintos de A. para su disposición clasif. para venta o distrib. a propiet.</v>
          </cell>
          <cell r="U986" t="str">
            <v>4. Deudores Comerciales y otras cuentas por cobrar, corrientes</v>
          </cell>
          <cell r="AG986" t="str">
            <v xml:space="preserve"> </v>
          </cell>
          <cell r="AH986" t="str">
            <v>I. Activos de los segmentos</v>
          </cell>
        </row>
        <row r="987">
          <cell r="D987" t="str">
            <v>1104110</v>
          </cell>
          <cell r="E987" t="str">
            <v>1104110</v>
          </cell>
          <cell r="F987" t="str">
            <v>Boletas por Arriendo</v>
          </cell>
          <cell r="G987" t="str">
            <v>1104110  Boletas por Arriendo</v>
          </cell>
          <cell r="H987" t="str">
            <v>Balance</v>
          </cell>
          <cell r="I987" t="str">
            <v>I. Activos</v>
          </cell>
          <cell r="J987" t="str">
            <v>1. Activos corrientes</v>
          </cell>
          <cell r="K987" t="str">
            <v>4. Deudores Comerciales y otras cuentas por cobrar, corrientes</v>
          </cell>
          <cell r="L987" t="str">
            <v>A. corrtes. distintos de A. para su disposición clasif. para venta o distrib. a propiet.</v>
          </cell>
          <cell r="U987" t="str">
            <v>4. Deudores Comerciales y otras cuentas por cobrar, corrientes</v>
          </cell>
          <cell r="AG987" t="str">
            <v xml:space="preserve"> </v>
          </cell>
          <cell r="AH987" t="str">
            <v>I. Activos de los segmentos</v>
          </cell>
        </row>
        <row r="988">
          <cell r="D988" t="str">
            <v>1104111</v>
          </cell>
          <cell r="E988" t="str">
            <v>1104111</v>
          </cell>
          <cell r="F988" t="str">
            <v>Deudores en Cob, Judicial</v>
          </cell>
          <cell r="G988" t="str">
            <v>1104111  Deudores en Cob, Judicial</v>
          </cell>
          <cell r="H988" t="str">
            <v>Balance</v>
          </cell>
          <cell r="I988" t="str">
            <v>I. Activos</v>
          </cell>
          <cell r="J988" t="str">
            <v>1. Activos corrientes</v>
          </cell>
          <cell r="K988" t="str">
            <v>4. Deudores Comerciales y otras cuentas por cobrar, corrientes</v>
          </cell>
          <cell r="L988" t="str">
            <v>A. corrtes. distintos de A. para su disposición clasif. para venta o distrib. a propiet.</v>
          </cell>
          <cell r="U988" t="str">
            <v>4. Deudores Comerciales y otras cuentas por cobrar, corrientes</v>
          </cell>
          <cell r="AG988" t="str">
            <v xml:space="preserve"> </v>
          </cell>
          <cell r="AH988" t="str">
            <v>I. Activos de los segmentos</v>
          </cell>
        </row>
        <row r="989">
          <cell r="D989" t="str">
            <v>1104112</v>
          </cell>
          <cell r="E989" t="str">
            <v>1104112</v>
          </cell>
          <cell r="F989" t="str">
            <v>Deudores por Gastos de Recup(Fact)</v>
          </cell>
          <cell r="G989" t="str">
            <v>1104112  Deudores por Gastos de Recup(Fact)</v>
          </cell>
          <cell r="H989" t="str">
            <v>Balance</v>
          </cell>
          <cell r="I989" t="str">
            <v>I. Activos</v>
          </cell>
          <cell r="J989" t="str">
            <v>1. Activos corrientes</v>
          </cell>
          <cell r="K989" t="str">
            <v>4. Deudores Comerciales y otras cuentas por cobrar, corrientes</v>
          </cell>
          <cell r="L989" t="str">
            <v>A. corrtes. distintos de A. para su disposición clasif. para venta o distrib. a propiet.</v>
          </cell>
          <cell r="U989" t="str">
            <v>4. Deudores Comerciales y otras cuentas por cobrar, corrientes</v>
          </cell>
          <cell r="AG989" t="str">
            <v xml:space="preserve"> </v>
          </cell>
          <cell r="AH989" t="str">
            <v>I. Activos de los segmentos</v>
          </cell>
        </row>
        <row r="990">
          <cell r="D990" t="str">
            <v>1104113</v>
          </cell>
          <cell r="E990" t="str">
            <v>1104113</v>
          </cell>
          <cell r="F990" t="str">
            <v>Provisión D.Incobrab.CH.por Cobrar</v>
          </cell>
          <cell r="G990" t="str">
            <v>1104113  Provisión D.Incobrab.CH.por Cobrar</v>
          </cell>
          <cell r="H990" t="str">
            <v>Balance</v>
          </cell>
          <cell r="I990" t="str">
            <v>I. Activos</v>
          </cell>
          <cell r="J990" t="str">
            <v>1. Activos corrientes</v>
          </cell>
          <cell r="K990" t="str">
            <v>4. Deudores Comerciales y otras cuentas por cobrar, corrientes</v>
          </cell>
          <cell r="L990" t="str">
            <v>A. corrtes. distintos de A. para su disposición clasif. para venta o distrib. a propiet.</v>
          </cell>
          <cell r="U990" t="str">
            <v>4. Deudores Comerciales y otras cuentas por cobrar, corrientes</v>
          </cell>
          <cell r="AG990" t="str">
            <v xml:space="preserve"> </v>
          </cell>
          <cell r="AH990" t="str">
            <v>I. Activos de los segmentos</v>
          </cell>
        </row>
        <row r="991">
          <cell r="D991" t="str">
            <v>1105102</v>
          </cell>
          <cell r="E991" t="str">
            <v>1105102</v>
          </cell>
          <cell r="F991" t="str">
            <v>Provisión Deudores Incobrables CH por Cobrar</v>
          </cell>
          <cell r="G991" t="str">
            <v>1105102  Provisión Deudores Incobrables CH por Cobrar</v>
          </cell>
          <cell r="H991" t="str">
            <v>Balance</v>
          </cell>
          <cell r="I991" t="str">
            <v>I. Activos</v>
          </cell>
          <cell r="J991" t="str">
            <v>1. Activos corrientes</v>
          </cell>
          <cell r="K991" t="str">
            <v>4. Deudores Comerciales y otras cuentas por cobrar, corrientes</v>
          </cell>
          <cell r="L991" t="str">
            <v>A. corrtes. distintos de A. para su disposición clasif. para venta o distrib. a propiet.</v>
          </cell>
          <cell r="U991" t="str">
            <v>4. Deudores Comerciales y otras cuentas por cobrar, corrientes</v>
          </cell>
          <cell r="AG991" t="str">
            <v xml:space="preserve"> </v>
          </cell>
          <cell r="AH991" t="str">
            <v>I. Activos de los segmentos</v>
          </cell>
        </row>
        <row r="992">
          <cell r="D992" t="str">
            <v>1106106</v>
          </cell>
          <cell r="E992" t="str">
            <v>1106106</v>
          </cell>
          <cell r="F992" t="str">
            <v>Anticipo a Proveedores</v>
          </cell>
          <cell r="G992" t="str">
            <v>1106106  Anticipo a Proveedores</v>
          </cell>
          <cell r="H992" t="str">
            <v>Balance</v>
          </cell>
          <cell r="I992" t="str">
            <v>I. Activos</v>
          </cell>
          <cell r="J992" t="str">
            <v>1. Activos corrientes</v>
          </cell>
          <cell r="K992" t="str">
            <v>4. Deudores Comerciales y otras cuentas por cobrar, corrientes</v>
          </cell>
          <cell r="L992" t="str">
            <v>A. corrtes. distintos de A. para su disposición clasif. para venta o distrib. a propiet.</v>
          </cell>
          <cell r="U992" t="str">
            <v>4. Deudores Comerciales y otras cuentas por cobrar, corrientes</v>
          </cell>
          <cell r="AG992" t="str">
            <v xml:space="preserve"> </v>
          </cell>
          <cell r="AH992" t="str">
            <v>I. Activos de los segmentos</v>
          </cell>
        </row>
        <row r="993">
          <cell r="D993" t="str">
            <v>1106107</v>
          </cell>
          <cell r="E993" t="str">
            <v>1106107</v>
          </cell>
          <cell r="F993" t="str">
            <v>Deudas por Recuperar de Gastos</v>
          </cell>
          <cell r="G993" t="str">
            <v>1106107  Deudas por Recuperar de Gastos</v>
          </cell>
          <cell r="H993" t="str">
            <v>Balance</v>
          </cell>
          <cell r="I993" t="str">
            <v>I. Activos</v>
          </cell>
          <cell r="J993" t="str">
            <v>1. Activos corrientes</v>
          </cell>
          <cell r="K993" t="str">
            <v>4. Deudores Comerciales y otras cuentas por cobrar, corrientes</v>
          </cell>
          <cell r="L993" t="str">
            <v>A. corrtes. distintos de A. para su disposición clasif. para venta o distrib. a propiet.</v>
          </cell>
          <cell r="U993" t="str">
            <v>4. Deudores Comerciales y otras cuentas por cobrar, corrientes</v>
          </cell>
          <cell r="AG993" t="str">
            <v xml:space="preserve"> </v>
          </cell>
          <cell r="AH993" t="str">
            <v>I. Activos de los segmentos</v>
          </cell>
        </row>
        <row r="994">
          <cell r="D994" t="str">
            <v>1107101</v>
          </cell>
          <cell r="E994" t="str">
            <v>1107101</v>
          </cell>
          <cell r="F994" t="str">
            <v>Otros Deudores Varios</v>
          </cell>
          <cell r="G994" t="str">
            <v>1107101  Otros Deudores Varios</v>
          </cell>
          <cell r="H994" t="str">
            <v>Balance</v>
          </cell>
          <cell r="I994" t="str">
            <v>I. Activos</v>
          </cell>
          <cell r="J994" t="str">
            <v>1. Activos corrientes</v>
          </cell>
          <cell r="K994" t="str">
            <v>4. Deudores Comerciales y otras cuentas por cobrar, corrientes</v>
          </cell>
          <cell r="L994" t="str">
            <v>A. corrtes. distintos de A. para su disposición clasif. para venta o distrib. a propiet.</v>
          </cell>
          <cell r="U994" t="str">
            <v>4. Deudores Comerciales y otras cuentas por cobrar, corrientes</v>
          </cell>
          <cell r="AG994" t="str">
            <v xml:space="preserve"> </v>
          </cell>
          <cell r="AH994" t="str">
            <v>I. Activos de los segmentos</v>
          </cell>
        </row>
        <row r="995">
          <cell r="D995" t="str">
            <v>1107102</v>
          </cell>
          <cell r="E995" t="str">
            <v>1107102</v>
          </cell>
          <cell r="F995" t="str">
            <v>Otras Cuentas por Cobrar</v>
          </cell>
          <cell r="G995" t="str">
            <v>1107102  Otras Cuentas por Cobrar</v>
          </cell>
          <cell r="H995" t="str">
            <v>Balance</v>
          </cell>
          <cell r="I995" t="str">
            <v>I. Activos</v>
          </cell>
          <cell r="J995" t="str">
            <v>1. Activos corrientes</v>
          </cell>
          <cell r="K995" t="str">
            <v>4. Deudores Comerciales y otras cuentas por cobrar, corrientes</v>
          </cell>
          <cell r="L995" t="str">
            <v>A. corrtes. distintos de A. para su disposición clasif. para venta o distrib. a propiet.</v>
          </cell>
          <cell r="U995" t="str">
            <v>4. Deudores Comerciales y otras cuentas por cobrar, corrientes</v>
          </cell>
          <cell r="AG995" t="str">
            <v xml:space="preserve"> </v>
          </cell>
          <cell r="AH995" t="str">
            <v>I. Activos de los segmentos</v>
          </cell>
        </row>
        <row r="996">
          <cell r="D996" t="str">
            <v>1109101</v>
          </cell>
          <cell r="E996" t="str">
            <v>1109101</v>
          </cell>
          <cell r="F996" t="str">
            <v>IVA Crédito Fiscal</v>
          </cell>
          <cell r="G996" t="str">
            <v>1109101  IVA Crédito Fiscal</v>
          </cell>
          <cell r="H996" t="str">
            <v>Balance</v>
          </cell>
          <cell r="I996" t="str">
            <v>I. Activos</v>
          </cell>
          <cell r="J996" t="str">
            <v>1. Activos corrientes</v>
          </cell>
          <cell r="K996" t="str">
            <v>4. Deudores Comerciales y otras cuentas por cobrar, corrientes</v>
          </cell>
          <cell r="L996" t="str">
            <v>A. corrtes. distintos de A. para su disposición clasif. para venta o distrib. a propiet.</v>
          </cell>
          <cell r="U996" t="str">
            <v>4. Deudores Comerciales y otras cuentas por cobrar, corrientes</v>
          </cell>
          <cell r="AG996" t="str">
            <v xml:space="preserve"> </v>
          </cell>
          <cell r="AH996" t="str">
            <v>I. Activos de los segmentos</v>
          </cell>
        </row>
        <row r="997">
          <cell r="D997" t="str">
            <v>1109103</v>
          </cell>
          <cell r="E997" t="str">
            <v>1109103</v>
          </cell>
          <cell r="F997" t="str">
            <v>Otros Impuestos por Recuperar</v>
          </cell>
          <cell r="G997" t="str">
            <v>1109103  Otros Impuestos por Recuperar</v>
          </cell>
          <cell r="H997" t="str">
            <v>Balance</v>
          </cell>
          <cell r="I997" t="str">
            <v>I. Activos</v>
          </cell>
          <cell r="J997" t="str">
            <v>1. Activos corrientes</v>
          </cell>
          <cell r="K997" t="str">
            <v>4. Deudores Comerciales y otras cuentas por cobrar, corrientes</v>
          </cell>
          <cell r="L997" t="str">
            <v>A. corrtes. distintos de A. para su disposición clasif. para venta o distrib. a propiet.</v>
          </cell>
          <cell r="U997" t="str">
            <v>4. Deudores Comerciales y otras cuentas por cobrar, corrientes</v>
          </cell>
          <cell r="AG997" t="str">
            <v xml:space="preserve"> </v>
          </cell>
          <cell r="AH997" t="str">
            <v>I. Activos de los segmentos</v>
          </cell>
        </row>
        <row r="998">
          <cell r="D998" t="str">
            <v>1109104</v>
          </cell>
          <cell r="E998" t="str">
            <v>1109104</v>
          </cell>
          <cell r="F998" t="str">
            <v>Otros impuestos por recuperar</v>
          </cell>
          <cell r="G998" t="str">
            <v>1109104  Otros impuestos por recuperar</v>
          </cell>
          <cell r="H998" t="str">
            <v>Balance</v>
          </cell>
          <cell r="I998" t="str">
            <v>I. Activos</v>
          </cell>
          <cell r="J998" t="str">
            <v>1. Activos corrientes</v>
          </cell>
          <cell r="K998" t="str">
            <v>4. Deudores Comerciales y otras cuentas por cobrar, corrientes</v>
          </cell>
          <cell r="L998" t="str">
            <v>A. corrtes. distintos de A. para su disposición clasif. para venta o distrib. a propiet.</v>
          </cell>
          <cell r="U998" t="str">
            <v>4. Deudores Comerciales y otras cuentas por cobrar, corrientes</v>
          </cell>
          <cell r="AG998" t="str">
            <v xml:space="preserve"> </v>
          </cell>
          <cell r="AH998" t="str">
            <v>I. Activos de los segmentos</v>
          </cell>
        </row>
        <row r="999">
          <cell r="D999" t="str">
            <v>1109105</v>
          </cell>
          <cell r="E999" t="str">
            <v>1109105</v>
          </cell>
          <cell r="F999" t="str">
            <v>Sence</v>
          </cell>
          <cell r="G999" t="str">
            <v>1109105  Sence</v>
          </cell>
          <cell r="H999" t="str">
            <v>Balance</v>
          </cell>
          <cell r="I999" t="str">
            <v>I. Activos</v>
          </cell>
          <cell r="J999" t="str">
            <v>1. Activos corrientes</v>
          </cell>
          <cell r="K999" t="str">
            <v>4. Deudores Comerciales y otras cuentas por cobrar, corrientes</v>
          </cell>
          <cell r="L999" t="str">
            <v>A. corrtes. distintos de A. para su disposición clasif. para venta o distrib. a propiet.</v>
          </cell>
          <cell r="U999" t="str">
            <v>4. Deudores Comerciales y otras cuentas por cobrar, corrientes</v>
          </cell>
          <cell r="AG999" t="str">
            <v xml:space="preserve"> </v>
          </cell>
          <cell r="AH999" t="str">
            <v>I. Activos de los segmentos</v>
          </cell>
        </row>
        <row r="1000">
          <cell r="D1000">
            <v>0</v>
          </cell>
          <cell r="G1000" t="str">
            <v/>
          </cell>
          <cell r="H1000" t="str">
            <v>Balance</v>
          </cell>
          <cell r="I1000" t="str">
            <v>I. Activos</v>
          </cell>
          <cell r="J1000" t="str">
            <v>1. Activos corrientes</v>
          </cell>
          <cell r="K1000" t="str">
            <v>4. Deudores Comerciales y otras cuentas por cobrar, corrientes</v>
          </cell>
          <cell r="L1000" t="str">
            <v>A. corrtes. distintos de A. para su disposición clasif. para venta o distrib. a propiet.</v>
          </cell>
          <cell r="U1000" t="str">
            <v>4. Deudores Comerciales y otras cuentas por cobrar, corrientes</v>
          </cell>
          <cell r="AG1000" t="str">
            <v xml:space="preserve"> </v>
          </cell>
          <cell r="AH1000" t="str">
            <v>I. Activos de los segmentos</v>
          </cell>
        </row>
        <row r="1001">
          <cell r="D1001">
            <v>0</v>
          </cell>
          <cell r="F1001" t="str">
            <v>Deudores Comerciales Y Otras Cuentas Por Cobrar Corrientes</v>
          </cell>
          <cell r="G1001" t="str">
            <v/>
          </cell>
          <cell r="H1001" t="str">
            <v/>
          </cell>
          <cell r="U1001" t="str">
            <v/>
          </cell>
          <cell r="AH1001" t="str">
            <v/>
          </cell>
        </row>
        <row r="1002">
          <cell r="D1002">
            <v>0</v>
          </cell>
          <cell r="G1002" t="str">
            <v/>
          </cell>
          <cell r="H1002" t="str">
            <v/>
          </cell>
          <cell r="U1002" t="str">
            <v/>
          </cell>
          <cell r="AH1002" t="str">
            <v/>
          </cell>
        </row>
        <row r="1003">
          <cell r="D1003" t="str">
            <v>1107103</v>
          </cell>
          <cell r="E1003" t="str">
            <v>1107103</v>
          </cell>
          <cell r="F1003" t="str">
            <v>Dctos. Y Ctas. por Cobrar EE.RR.</v>
          </cell>
          <cell r="G1003" t="str">
            <v>1107103  Dctos. Y Ctas. por Cobrar EE.RR.</v>
          </cell>
          <cell r="H1003" t="str">
            <v>Balance</v>
          </cell>
          <cell r="I1003" t="str">
            <v>I. Activos</v>
          </cell>
          <cell r="J1003" t="str">
            <v>1. Activos corrientes</v>
          </cell>
          <cell r="K1003" t="str">
            <v>5. Cuentas por Cobrar a Entidades Relacionadas, corrientes</v>
          </cell>
          <cell r="L1003" t="str">
            <v>A. corrtes. distintos de A. para su disposición clasif. para venta o distrib. a propiet.</v>
          </cell>
          <cell r="U1003" t="str">
            <v>5. Cuentas por Cobrar a Entidades Relacionadas, corrientes</v>
          </cell>
          <cell r="AG1003" t="str">
            <v xml:space="preserve"> </v>
          </cell>
          <cell r="AH1003" t="str">
            <v>I. Activos de los segmentos</v>
          </cell>
        </row>
        <row r="1004">
          <cell r="D1004" t="str">
            <v>1104114</v>
          </cell>
          <cell r="E1004" t="str">
            <v>1104114</v>
          </cell>
          <cell r="F1004" t="str">
            <v>Deudores cta cte mercantil EFE</v>
          </cell>
          <cell r="G1004" t="str">
            <v>1104114  Deudores cta cte mercantil EFE</v>
          </cell>
          <cell r="H1004" t="str">
            <v>Balance</v>
          </cell>
          <cell r="I1004" t="str">
            <v>I. Activos</v>
          </cell>
          <cell r="J1004" t="str">
            <v>1. Activos corrientes</v>
          </cell>
          <cell r="K1004" t="str">
            <v>5. Cuentas por Cobrar a Entidades Relacionadas, corrientes</v>
          </cell>
          <cell r="L1004" t="str">
            <v>A. corrtes. distintos de A. para su disposición clasif. para venta o distrib. a propiet.</v>
          </cell>
          <cell r="U1004" t="str">
            <v>5. Cuentas por Cobrar a Entidades Relacionadas, corrientes</v>
          </cell>
          <cell r="AG1004" t="str">
            <v xml:space="preserve"> </v>
          </cell>
          <cell r="AH1004" t="str">
            <v>I. Activos de los segmentos</v>
          </cell>
        </row>
        <row r="1005">
          <cell r="D1005" t="str">
            <v>1106110</v>
          </cell>
          <cell r="E1005" t="str">
            <v>1106110</v>
          </cell>
          <cell r="F1005" t="str">
            <v>Deudas por Recup. EFE Cta 2</v>
          </cell>
          <cell r="G1005" t="str">
            <v>1106110  Deudas por Recup. EFE Cta 2</v>
          </cell>
          <cell r="H1005" t="str">
            <v>Balance</v>
          </cell>
          <cell r="I1005" t="str">
            <v>I. Activos</v>
          </cell>
          <cell r="J1005" t="str">
            <v>1. Activos corrientes</v>
          </cell>
          <cell r="K1005" t="str">
            <v>5. Cuentas por Cobrar a Entidades Relacionadas, corrientes</v>
          </cell>
          <cell r="L1005" t="str">
            <v>A. corrtes. distintos de A. para su disposición clasif. para venta o distrib. a propiet.</v>
          </cell>
          <cell r="U1005" t="str">
            <v>5. Cuentas por Cobrar a Entidades Relacionadas, corrientes</v>
          </cell>
          <cell r="AG1005" t="str">
            <v xml:space="preserve"> </v>
          </cell>
          <cell r="AH1005" t="str">
            <v>I. Activos de los segmentos</v>
          </cell>
        </row>
        <row r="1006">
          <cell r="D1006" t="str">
            <v>1107106</v>
          </cell>
          <cell r="E1006" t="str">
            <v>1107106</v>
          </cell>
          <cell r="F1006" t="str">
            <v>Deudas por Recup.EFE Cta2</v>
          </cell>
          <cell r="G1006" t="str">
            <v>1107106  Deudas por Recup.EFE Cta2</v>
          </cell>
          <cell r="H1006" t="str">
            <v>Balance</v>
          </cell>
          <cell r="I1006" t="str">
            <v>I. Activos</v>
          </cell>
          <cell r="J1006" t="str">
            <v>1. Activos corrientes</v>
          </cell>
          <cell r="K1006" t="str">
            <v>5. Cuentas por Cobrar a Entidades Relacionadas, corrientes</v>
          </cell>
          <cell r="L1006" t="str">
            <v>A. corrtes. distintos de A. para su disposición clasif. para venta o distrib. a propiet.</v>
          </cell>
          <cell r="U1006" t="str">
            <v>5. Cuentas por Cobrar a Entidades Relacionadas, corrientes</v>
          </cell>
          <cell r="AG1006" t="str">
            <v xml:space="preserve"> </v>
          </cell>
          <cell r="AH1006" t="str">
            <v>I. Activos de los segmentos</v>
          </cell>
        </row>
        <row r="1007">
          <cell r="D1007">
            <v>0</v>
          </cell>
          <cell r="G1007" t="str">
            <v/>
          </cell>
          <cell r="H1007" t="str">
            <v>Balance</v>
          </cell>
          <cell r="I1007" t="str">
            <v>I. Activos</v>
          </cell>
          <cell r="J1007" t="str">
            <v>1. Activos corrientes</v>
          </cell>
          <cell r="K1007" t="str">
            <v>5. Cuentas por Cobrar a Entidades Relacionadas, corrientes</v>
          </cell>
          <cell r="L1007" t="str">
            <v>A. corrtes. distintos de A. para su disposición clasif. para venta o distrib. a propiet.</v>
          </cell>
          <cell r="U1007" t="str">
            <v>5. Cuentas por Cobrar a Entidades Relacionadas, corrientes</v>
          </cell>
          <cell r="AG1007" t="str">
            <v xml:space="preserve"> </v>
          </cell>
          <cell r="AH1007" t="str">
            <v>I. Activos de los segmentos</v>
          </cell>
        </row>
        <row r="1008">
          <cell r="D1008">
            <v>0</v>
          </cell>
          <cell r="G1008" t="str">
            <v/>
          </cell>
          <cell r="H1008" t="str">
            <v>Balance</v>
          </cell>
          <cell r="I1008" t="str">
            <v>I. Activos</v>
          </cell>
          <cell r="J1008" t="str">
            <v>1. Activos corrientes</v>
          </cell>
          <cell r="K1008" t="str">
            <v>5. Cuentas por Cobrar a Entidades Relacionadas, corrientes</v>
          </cell>
          <cell r="L1008" t="str">
            <v>A. corrtes. distintos de A. para su disposición clasif. para venta o distrib. a propiet.</v>
          </cell>
          <cell r="U1008" t="str">
            <v>5. Cuentas por Cobrar a Entidades Relacionadas, corrientes</v>
          </cell>
          <cell r="AG1008" t="str">
            <v xml:space="preserve"> </v>
          </cell>
          <cell r="AH1008" t="str">
            <v>I. Activos de los segmentos</v>
          </cell>
        </row>
        <row r="1009">
          <cell r="D1009">
            <v>0</v>
          </cell>
          <cell r="G1009" t="str">
            <v/>
          </cell>
          <cell r="H1009" t="str">
            <v>Balance</v>
          </cell>
          <cell r="I1009" t="str">
            <v>I. Activos</v>
          </cell>
          <cell r="J1009" t="str">
            <v>1. Activos corrientes</v>
          </cell>
          <cell r="K1009" t="str">
            <v>5. Cuentas por Cobrar a Entidades Relacionadas, corrientes</v>
          </cell>
          <cell r="L1009" t="str">
            <v>A. corrtes. distintos de A. para su disposición clasif. para venta o distrib. a propiet.</v>
          </cell>
          <cell r="U1009" t="str">
            <v>5. Cuentas por Cobrar a Entidades Relacionadas, corrientes</v>
          </cell>
          <cell r="AG1009" t="str">
            <v xml:space="preserve"> </v>
          </cell>
          <cell r="AH1009" t="str">
            <v>I. Activos de los segmentos</v>
          </cell>
        </row>
        <row r="1010">
          <cell r="D1010">
            <v>0</v>
          </cell>
          <cell r="F1010" t="str">
            <v>Ctas. Por Cobrar A Entidades Relacionadas, Corrientes</v>
          </cell>
          <cell r="G1010" t="str">
            <v/>
          </cell>
          <cell r="H1010" t="str">
            <v/>
          </cell>
          <cell r="U1010" t="str">
            <v/>
          </cell>
          <cell r="AH1010" t="str">
            <v/>
          </cell>
        </row>
        <row r="1011">
          <cell r="D1011">
            <v>0</v>
          </cell>
          <cell r="F1011" t="str">
            <v/>
          </cell>
          <cell r="G1011" t="str">
            <v/>
          </cell>
          <cell r="H1011" t="str">
            <v/>
          </cell>
          <cell r="U1011" t="str">
            <v/>
          </cell>
          <cell r="AH1011" t="str">
            <v/>
          </cell>
        </row>
        <row r="1012">
          <cell r="D1012" t="str">
            <v>1107104</v>
          </cell>
          <cell r="E1012" t="str">
            <v>1107104</v>
          </cell>
          <cell r="F1012" t="str">
            <v>Existencias Terrenos C/plazo</v>
          </cell>
          <cell r="G1012" t="str">
            <v>1107104  Existencias Terrenos C/plazo</v>
          </cell>
          <cell r="H1012" t="str">
            <v>Balance</v>
          </cell>
          <cell r="I1012" t="str">
            <v>I. Activos</v>
          </cell>
          <cell r="J1012" t="str">
            <v>1. Activos corrientes</v>
          </cell>
          <cell r="K1012" t="str">
            <v>6. Inventarios</v>
          </cell>
          <cell r="U1012" t="str">
            <v>6. Inventarios</v>
          </cell>
          <cell r="AG1012" t="str">
            <v>Inventarios</v>
          </cell>
          <cell r="AH1012" t="str">
            <v>I. Activos de los segmentos</v>
          </cell>
        </row>
        <row r="1013">
          <cell r="D1013">
            <v>0</v>
          </cell>
          <cell r="G1013" t="str">
            <v/>
          </cell>
          <cell r="H1013" t="str">
            <v>Balance</v>
          </cell>
          <cell r="I1013" t="str">
            <v>I. Activos</v>
          </cell>
          <cell r="J1013" t="str">
            <v>1. Activos corrientes</v>
          </cell>
          <cell r="K1013" t="str">
            <v>6. Inventarios</v>
          </cell>
          <cell r="U1013" t="str">
            <v>6. Inventarios</v>
          </cell>
          <cell r="AG1013" t="str">
            <v>Inventarios</v>
          </cell>
          <cell r="AH1013" t="str">
            <v>I. Activos de los segmentos</v>
          </cell>
        </row>
        <row r="1014">
          <cell r="D1014">
            <v>0</v>
          </cell>
          <cell r="G1014" t="str">
            <v/>
          </cell>
          <cell r="H1014" t="str">
            <v>Balance</v>
          </cell>
          <cell r="I1014" t="str">
            <v>I. Activos</v>
          </cell>
          <cell r="J1014" t="str">
            <v>1. Activos corrientes</v>
          </cell>
          <cell r="K1014" t="str">
            <v>6. Inventarios</v>
          </cell>
          <cell r="U1014" t="str">
            <v>6. Inventarios</v>
          </cell>
          <cell r="AG1014" t="str">
            <v>Inventarios</v>
          </cell>
          <cell r="AH1014" t="str">
            <v>I. Activos de los segmentos</v>
          </cell>
        </row>
        <row r="1015">
          <cell r="D1015">
            <v>0</v>
          </cell>
          <cell r="F1015" t="str">
            <v>Inventarios</v>
          </cell>
          <cell r="G1015" t="str">
            <v/>
          </cell>
          <cell r="H1015" t="str">
            <v/>
          </cell>
          <cell r="U1015" t="str">
            <v/>
          </cell>
          <cell r="AH1015" t="str">
            <v/>
          </cell>
        </row>
        <row r="1016">
          <cell r="D1016">
            <v>0</v>
          </cell>
          <cell r="F1016" t="str">
            <v/>
          </cell>
          <cell r="G1016" t="str">
            <v/>
          </cell>
          <cell r="H1016" t="str">
            <v/>
          </cell>
          <cell r="I1016" t="str">
            <v>I. Activos</v>
          </cell>
          <cell r="J1016" t="str">
            <v>1. Activos corrientes</v>
          </cell>
          <cell r="K1016" t="str">
            <v>7. Activos biológicos, corrientes</v>
          </cell>
          <cell r="U1016" t="str">
            <v>7. Activos biológicos, corrientes</v>
          </cell>
          <cell r="AH1016" t="str">
            <v>I. Activos de los segmentos</v>
          </cell>
        </row>
        <row r="1017">
          <cell r="D1017">
            <v>0</v>
          </cell>
          <cell r="F1017" t="str">
            <v>Activos Biológicos Corrientes</v>
          </cell>
          <cell r="G1017" t="str">
            <v/>
          </cell>
          <cell r="H1017" t="str">
            <v/>
          </cell>
          <cell r="U1017" t="str">
            <v/>
          </cell>
          <cell r="AH1017" t="str">
            <v/>
          </cell>
        </row>
        <row r="1018">
          <cell r="D1018">
            <v>0</v>
          </cell>
          <cell r="F1018" t="str">
            <v/>
          </cell>
          <cell r="G1018" t="str">
            <v/>
          </cell>
          <cell r="H1018" t="str">
            <v/>
          </cell>
          <cell r="U1018" t="str">
            <v/>
          </cell>
          <cell r="AH1018" t="str">
            <v/>
          </cell>
        </row>
        <row r="1019">
          <cell r="D1019" t="str">
            <v>1109102</v>
          </cell>
          <cell r="E1019" t="str">
            <v>1109102</v>
          </cell>
          <cell r="F1019" t="str">
            <v>Pagos Provionales Mensuales</v>
          </cell>
          <cell r="G1019" t="str">
            <v>1109102  Pagos Provionales Mensuales</v>
          </cell>
          <cell r="H1019" t="str">
            <v>Balance</v>
          </cell>
          <cell r="I1019" t="str">
            <v>I. Activos</v>
          </cell>
          <cell r="J1019" t="str">
            <v>1. Activos corrientes</v>
          </cell>
          <cell r="K1019" t="str">
            <v>8. Activos por Impuestos, corrientes</v>
          </cell>
          <cell r="L1019" t="str">
            <v>A. corrtes. distintos de A. para su disposición clasif. para venta o distrib. a propiet.</v>
          </cell>
          <cell r="U1019" t="str">
            <v>8. Activos por Impuestos, corrientes</v>
          </cell>
          <cell r="AH1019" t="str">
            <v>I. Activos de los segmentos</v>
          </cell>
        </row>
        <row r="1020">
          <cell r="D1020" t="str">
            <v>1109105</v>
          </cell>
          <cell r="E1020" t="str">
            <v>1109105</v>
          </cell>
          <cell r="F1020" t="str">
            <v>Sence</v>
          </cell>
          <cell r="G1020" t="str">
            <v>1109105  Sence</v>
          </cell>
          <cell r="H1020" t="str">
            <v>Balance</v>
          </cell>
          <cell r="I1020" t="str">
            <v>I. Activos</v>
          </cell>
          <cell r="J1020" t="str">
            <v>1. Activos corrientes</v>
          </cell>
          <cell r="K1020" t="str">
            <v>8. Activos por Impuestos, corrientes</v>
          </cell>
          <cell r="L1020" t="str">
            <v>A. corrtes. distintos de A. para su disposición clasif. para venta o distrib. a propiet.</v>
          </cell>
          <cell r="U1020" t="str">
            <v>8. Activos por Impuestos, corrientes</v>
          </cell>
          <cell r="AH1020" t="str">
            <v>I. Activos de los segmentos</v>
          </cell>
        </row>
        <row r="1021">
          <cell r="D1021">
            <v>0</v>
          </cell>
          <cell r="G1021" t="str">
            <v/>
          </cell>
          <cell r="H1021" t="str">
            <v>Balance</v>
          </cell>
          <cell r="I1021" t="str">
            <v>I. Activos</v>
          </cell>
          <cell r="J1021" t="str">
            <v>1. Activos corrientes</v>
          </cell>
          <cell r="K1021" t="str">
            <v>8. Activos por Impuestos, corrientes</v>
          </cell>
          <cell r="L1021" t="str">
            <v>A. corrtes. distintos de A. para su disposición clasif. para venta o distrib. a propiet.</v>
          </cell>
          <cell r="U1021" t="str">
            <v>8. Activos por Impuestos, corrientes</v>
          </cell>
          <cell r="AH1021" t="str">
            <v>I. Activos de los segmentos</v>
          </cell>
        </row>
        <row r="1022">
          <cell r="D1022">
            <v>0</v>
          </cell>
          <cell r="G1022" t="str">
            <v/>
          </cell>
          <cell r="H1022" t="str">
            <v>Balance</v>
          </cell>
          <cell r="I1022" t="str">
            <v>I. Activos</v>
          </cell>
          <cell r="J1022" t="str">
            <v>1. Activos corrientes</v>
          </cell>
          <cell r="K1022" t="str">
            <v>8. Activos por Impuestos, corrientes</v>
          </cell>
          <cell r="L1022" t="str">
            <v>A. corrtes. distintos de A. para su disposición clasif. para venta o distrib. a propiet.</v>
          </cell>
          <cell r="U1022" t="str">
            <v>8. Activos por Impuestos, corrientes</v>
          </cell>
          <cell r="AH1022" t="str">
            <v>I. Activos de los segmentos</v>
          </cell>
        </row>
        <row r="1023">
          <cell r="D1023">
            <v>0</v>
          </cell>
          <cell r="G1023" t="str">
            <v/>
          </cell>
          <cell r="H1023" t="str">
            <v>Balance</v>
          </cell>
          <cell r="I1023" t="str">
            <v>I. Activos</v>
          </cell>
          <cell r="J1023" t="str">
            <v>1. Activos corrientes</v>
          </cell>
          <cell r="K1023" t="str">
            <v>8. Activos por Impuestos, corrientes</v>
          </cell>
          <cell r="L1023" t="str">
            <v>A. corrtes. distintos de A. para su disposición clasif. para venta o distrib. a propiet.</v>
          </cell>
          <cell r="U1023" t="str">
            <v>8. Activos por Impuestos, corrientes</v>
          </cell>
          <cell r="AH1023" t="str">
            <v>I. Activos de los segmentos</v>
          </cell>
        </row>
        <row r="1024">
          <cell r="D1024" t="str">
            <v>1111101</v>
          </cell>
          <cell r="E1024" t="str">
            <v>1111101</v>
          </cell>
          <cell r="F1024" t="str">
            <v>Impuestos Diferidos C/plazo</v>
          </cell>
          <cell r="G1024" t="str">
            <v>1111101  Impuestos Diferidos C/plazo</v>
          </cell>
          <cell r="H1024" t="str">
            <v>Balance</v>
          </cell>
          <cell r="I1024" t="str">
            <v>I. Activos</v>
          </cell>
          <cell r="J1024" t="str">
            <v>1. Activos corrientes</v>
          </cell>
          <cell r="K1024" t="str">
            <v>8. Activos por Impuestos, corrientes</v>
          </cell>
          <cell r="L1024" t="str">
            <v>Act. corrtes. distintos de Act. para su disposición clasif. para venta o distrib. a propiet.</v>
          </cell>
          <cell r="U1024" t="str">
            <v>8. Activos por Impuestos, corrientes</v>
          </cell>
          <cell r="AH1024" t="str">
            <v>I. Activos de los segmentos</v>
          </cell>
        </row>
        <row r="1025">
          <cell r="D1025">
            <v>0</v>
          </cell>
          <cell r="G1025" t="str">
            <v/>
          </cell>
          <cell r="H1025" t="str">
            <v>Balance</v>
          </cell>
          <cell r="I1025" t="str">
            <v>I. Activos</v>
          </cell>
          <cell r="J1025" t="str">
            <v>1. Activos corrientes</v>
          </cell>
          <cell r="K1025" t="str">
            <v>8. Activos por Impuestos, corrientes</v>
          </cell>
          <cell r="L1025" t="str">
            <v>Act. corrtes. distintos de Act. para su disposición clasif. para venta o distrib. a propiet.</v>
          </cell>
          <cell r="U1025" t="str">
            <v>8. Activos por Impuestos, corrientes</v>
          </cell>
          <cell r="AH1025" t="str">
            <v>I. Activos de los segmentos</v>
          </cell>
        </row>
        <row r="1026">
          <cell r="D1026">
            <v>0</v>
          </cell>
          <cell r="G1026" t="str">
            <v/>
          </cell>
          <cell r="H1026" t="str">
            <v>Balance</v>
          </cell>
          <cell r="I1026" t="str">
            <v>I. Activos</v>
          </cell>
          <cell r="J1026" t="str">
            <v>1. Activos corrientes</v>
          </cell>
          <cell r="K1026" t="str">
            <v>8. Activos por Impuestos, corrientes</v>
          </cell>
          <cell r="L1026" t="str">
            <v>Act. corrtes. distintos de Act. para su disposición clasif. para venta o distrib. a propiet.</v>
          </cell>
          <cell r="U1026" t="str">
            <v>8. Activos por Impuestos, corrientes</v>
          </cell>
          <cell r="AH1026" t="str">
            <v>I. Activos de los segmentos</v>
          </cell>
        </row>
        <row r="1027">
          <cell r="D1027">
            <v>0</v>
          </cell>
          <cell r="F1027" t="str">
            <v>Activos Por Impuestos Corrientes</v>
          </cell>
          <cell r="G1027" t="str">
            <v/>
          </cell>
          <cell r="H1027" t="str">
            <v/>
          </cell>
          <cell r="U1027" t="str">
            <v/>
          </cell>
          <cell r="AH1027" t="str">
            <v/>
          </cell>
        </row>
        <row r="1028">
          <cell r="D1028">
            <v>0</v>
          </cell>
          <cell r="F1028" t="str">
            <v/>
          </cell>
          <cell r="G1028" t="str">
            <v/>
          </cell>
          <cell r="H1028" t="str">
            <v/>
          </cell>
          <cell r="U1028" t="str">
            <v/>
          </cell>
          <cell r="AH1028" t="str">
            <v/>
          </cell>
        </row>
        <row r="1029">
          <cell r="D1029">
            <v>0</v>
          </cell>
          <cell r="F1029" t="str">
            <v>Total De Activos Corrientes Distintos De Los Activos O Grupos De Activos Para Su Disposición Clasificados Como Mantenidos Para La Venta O Como Mantenidos Para Distribuir A Los Propietarios</v>
          </cell>
          <cell r="G1029" t="str">
            <v/>
          </cell>
          <cell r="H1029" t="str">
            <v/>
          </cell>
          <cell r="U1029" t="str">
            <v/>
          </cell>
          <cell r="AH1029" t="str">
            <v/>
          </cell>
        </row>
        <row r="1030">
          <cell r="D1030">
            <v>0</v>
          </cell>
          <cell r="F1030" t="str">
            <v/>
          </cell>
          <cell r="G1030" t="str">
            <v/>
          </cell>
          <cell r="H1030" t="str">
            <v/>
          </cell>
          <cell r="U1030" t="str">
            <v/>
          </cell>
          <cell r="AH1030" t="str">
            <v/>
          </cell>
        </row>
        <row r="1031">
          <cell r="D1031">
            <v>0</v>
          </cell>
          <cell r="F1031" t="str">
            <v/>
          </cell>
          <cell r="G1031" t="str">
            <v/>
          </cell>
          <cell r="H1031" t="str">
            <v/>
          </cell>
          <cell r="U1031" t="str">
            <v/>
          </cell>
          <cell r="AH1031" t="str">
            <v/>
          </cell>
        </row>
        <row r="1032">
          <cell r="D1032">
            <v>0</v>
          </cell>
          <cell r="F1032" t="str">
            <v/>
          </cell>
          <cell r="G1032" t="str">
            <v/>
          </cell>
          <cell r="H1032" t="str">
            <v/>
          </cell>
          <cell r="I1032" t="str">
            <v>I. Activos</v>
          </cell>
          <cell r="J1032" t="str">
            <v>1. Activos corrientes</v>
          </cell>
          <cell r="K1032" t="str">
            <v xml:space="preserve">9. Activos, no corrientes o Grupos de Activos para su Disposición Clasificados como Mantenidos para la Venta </v>
          </cell>
          <cell r="L1032" t="str">
            <v>Activos No Corrientes o Grupos de Activos para su Disposición Clasificados como Mantenidos para la Venta o como Mantenidos para Distribuir a los Propietarios</v>
          </cell>
          <cell r="U1032" t="str">
            <v xml:space="preserve">9. Activos, no corrientes o Grupos de Activos para su Disposición Clasificados como Mantenidos para la Venta </v>
          </cell>
          <cell r="AH1032" t="str">
            <v>I. Activos de los segmentos</v>
          </cell>
        </row>
        <row r="1033">
          <cell r="D1033">
            <v>0</v>
          </cell>
          <cell r="F1033" t="str">
            <v xml:space="preserve">Activos No Corrientes O Grupos De Activos Para Su Disposición Clasificados Como Mantenidos Para La Venta </v>
          </cell>
          <cell r="G1033" t="str">
            <v/>
          </cell>
          <cell r="H1033" t="str">
            <v/>
          </cell>
          <cell r="U1033" t="str">
            <v/>
          </cell>
          <cell r="AH1033" t="str">
            <v/>
          </cell>
        </row>
        <row r="1034">
          <cell r="D1034">
            <v>0</v>
          </cell>
          <cell r="F1034" t="str">
            <v/>
          </cell>
          <cell r="G1034" t="str">
            <v/>
          </cell>
          <cell r="H1034" t="str">
            <v/>
          </cell>
          <cell r="U1034" t="str">
            <v/>
          </cell>
          <cell r="AH1034" t="str">
            <v/>
          </cell>
        </row>
        <row r="1035">
          <cell r="D1035">
            <v>0</v>
          </cell>
          <cell r="F1035" t="str">
            <v/>
          </cell>
          <cell r="G1035" t="str">
            <v/>
          </cell>
          <cell r="H1035" t="str">
            <v/>
          </cell>
          <cell r="I1035" t="str">
            <v>I. Activos</v>
          </cell>
          <cell r="J1035" t="str">
            <v>1. Activos corrientes</v>
          </cell>
          <cell r="K1035" t="str">
            <v>10. Activos, no corrientes o Grupos de Activos para su Disposición Clasificados como Mantenidos para Distribuir a los Propietarios</v>
          </cell>
          <cell r="L1035" t="str">
            <v>Activos No Corrientes o Grupos de Activos para su Disposición Clasificados como Mantenidos para la Venta o como Mantenidos para Distribuir a los Propietarios</v>
          </cell>
          <cell r="U1035" t="str">
            <v>10. Activos, no corrientes o Grupos de Activos para su Disposición Clasificados como Mantenidos para Distribuir a los Propietarios</v>
          </cell>
          <cell r="AH1035" t="str">
            <v>I. Activos de los segmentos</v>
          </cell>
        </row>
        <row r="1036">
          <cell r="D1036">
            <v>0</v>
          </cell>
          <cell r="F1036" t="str">
            <v>Activos No Corrientes O Grupos De Activos Para Su Disposición Clasificados Como Mantenidos Para Distribuir A Los Propietarios</v>
          </cell>
          <cell r="G1036" t="str">
            <v/>
          </cell>
          <cell r="H1036" t="str">
            <v/>
          </cell>
          <cell r="U1036" t="str">
            <v/>
          </cell>
          <cell r="AH1036" t="str">
            <v/>
          </cell>
        </row>
        <row r="1037">
          <cell r="D1037">
            <v>0</v>
          </cell>
          <cell r="F1037" t="str">
            <v/>
          </cell>
          <cell r="G1037" t="str">
            <v/>
          </cell>
          <cell r="H1037" t="str">
            <v/>
          </cell>
          <cell r="U1037" t="str">
            <v/>
          </cell>
          <cell r="AH1037" t="str">
            <v/>
          </cell>
        </row>
        <row r="1038">
          <cell r="D1038">
            <v>0</v>
          </cell>
          <cell r="F1038" t="str">
            <v/>
          </cell>
          <cell r="G1038" t="str">
            <v/>
          </cell>
          <cell r="H1038" t="str">
            <v/>
          </cell>
          <cell r="L1038" t="str">
            <v>Activos No Corrientes o Grupos de Activos para su Disposición Clasificados como Mantenidos para la Venta o como Mantenidos para Distribuir a los Propietarios</v>
          </cell>
          <cell r="U1038" t="str">
            <v/>
          </cell>
          <cell r="AH1038" t="str">
            <v>I. Activos de los segmentos</v>
          </cell>
        </row>
        <row r="1039">
          <cell r="D1039">
            <v>0</v>
          </cell>
          <cell r="F1039" t="str">
            <v>Activos No Corrientes O Grupos De Activos Para Su Disposición Clasificados Como Mantenidos Para La Venta O Como Mantenidos Para Distribuir A Los Propietarios</v>
          </cell>
          <cell r="G1039" t="str">
            <v/>
          </cell>
          <cell r="H1039" t="str">
            <v/>
          </cell>
          <cell r="U1039" t="str">
            <v/>
          </cell>
          <cell r="AH1039" t="str">
            <v/>
          </cell>
        </row>
        <row r="1040">
          <cell r="D1040">
            <v>0</v>
          </cell>
          <cell r="F1040" t="str">
            <v/>
          </cell>
          <cell r="G1040" t="str">
            <v/>
          </cell>
          <cell r="H1040" t="str">
            <v/>
          </cell>
          <cell r="U1040" t="str">
            <v/>
          </cell>
          <cell r="AH1040" t="str">
            <v/>
          </cell>
        </row>
        <row r="1041">
          <cell r="D1041">
            <v>0</v>
          </cell>
          <cell r="F1041" t="str">
            <v>Activos Corrientes Totales</v>
          </cell>
          <cell r="G1041" t="str">
            <v/>
          </cell>
          <cell r="H1041" t="str">
            <v/>
          </cell>
          <cell r="U1041" t="str">
            <v/>
          </cell>
          <cell r="AH1041" t="str">
            <v/>
          </cell>
        </row>
        <row r="1042">
          <cell r="D1042">
            <v>0</v>
          </cell>
          <cell r="G1042" t="str">
            <v/>
          </cell>
          <cell r="H1042" t="str">
            <v/>
          </cell>
          <cell r="U1042" t="str">
            <v/>
          </cell>
          <cell r="AH1042" t="str">
            <v/>
          </cell>
        </row>
        <row r="1043">
          <cell r="D1043">
            <v>0</v>
          </cell>
          <cell r="G1043" t="str">
            <v/>
          </cell>
          <cell r="H1043" t="str">
            <v/>
          </cell>
          <cell r="U1043" t="str">
            <v/>
          </cell>
          <cell r="AH1043" t="str">
            <v/>
          </cell>
        </row>
        <row r="1044">
          <cell r="D1044">
            <v>0</v>
          </cell>
          <cell r="F1044" t="str">
            <v>Activos No Corrientes</v>
          </cell>
          <cell r="G1044" t="str">
            <v/>
          </cell>
          <cell r="H1044" t="str">
            <v/>
          </cell>
          <cell r="U1044" t="str">
            <v/>
          </cell>
          <cell r="AH1044" t="str">
            <v/>
          </cell>
        </row>
        <row r="1045">
          <cell r="D1045">
            <v>0</v>
          </cell>
          <cell r="G1045" t="str">
            <v/>
          </cell>
          <cell r="H1045" t="str">
            <v/>
          </cell>
          <cell r="I1045" t="str">
            <v>I. Activos</v>
          </cell>
          <cell r="J1045" t="str">
            <v>2. Activos no corrientes</v>
          </cell>
          <cell r="K1045" t="str">
            <v>1. Otros Activos Financieros, no corrientes</v>
          </cell>
          <cell r="U1045" t="str">
            <v>1. Otros Activos Financieros, no corrientes</v>
          </cell>
          <cell r="AH1045" t="str">
            <v>I. Activos de los segmentos</v>
          </cell>
        </row>
        <row r="1046">
          <cell r="D1046">
            <v>0</v>
          </cell>
          <cell r="F1046" t="str">
            <v>Otros Activos Financieros No Corrientes</v>
          </cell>
          <cell r="G1046" t="str">
            <v/>
          </cell>
          <cell r="H1046" t="str">
            <v/>
          </cell>
          <cell r="U1046" t="str">
            <v/>
          </cell>
          <cell r="AH1046" t="str">
            <v>I. Activos de los segmentos</v>
          </cell>
        </row>
        <row r="1047">
          <cell r="D1047">
            <v>0</v>
          </cell>
          <cell r="G1047" t="str">
            <v/>
          </cell>
          <cell r="H1047" t="str">
            <v/>
          </cell>
          <cell r="U1047" t="str">
            <v/>
          </cell>
          <cell r="AH1047" t="str">
            <v/>
          </cell>
        </row>
        <row r="1048">
          <cell r="D1048">
            <v>0</v>
          </cell>
          <cell r="U1048" t="str">
            <v/>
          </cell>
          <cell r="AH1048" t="str">
            <v>I. Activos de los segmentos</v>
          </cell>
        </row>
        <row r="1049">
          <cell r="D1049">
            <v>0</v>
          </cell>
          <cell r="U1049" t="str">
            <v/>
          </cell>
          <cell r="AH1049" t="str">
            <v>I. Activos de los segmentos</v>
          </cell>
        </row>
        <row r="1050">
          <cell r="D1050">
            <v>0</v>
          </cell>
          <cell r="U1050" t="str">
            <v/>
          </cell>
          <cell r="AH1050" t="str">
            <v>I. Activos de los segmentos</v>
          </cell>
        </row>
        <row r="1051">
          <cell r="D1051">
            <v>0</v>
          </cell>
          <cell r="G1051" t="str">
            <v/>
          </cell>
          <cell r="H1051" t="str">
            <v>Balance</v>
          </cell>
          <cell r="I1051" t="str">
            <v>I. Activos</v>
          </cell>
          <cell r="J1051" t="str">
            <v>2. Activos no corrientes</v>
          </cell>
          <cell r="K1051" t="str">
            <v>2. Otros Activos No Financieros, no corrientes</v>
          </cell>
          <cell r="U1051" t="str">
            <v>2. Otros Activos No Financieros, no corrientes</v>
          </cell>
          <cell r="AH1051" t="str">
            <v>I. Activos de los segmentos</v>
          </cell>
        </row>
        <row r="1052">
          <cell r="D1052">
            <v>0</v>
          </cell>
          <cell r="F1052" t="str">
            <v>Otros Activos No Financieros No Corrientes</v>
          </cell>
          <cell r="G1052" t="str">
            <v/>
          </cell>
          <cell r="H1052" t="str">
            <v/>
          </cell>
          <cell r="U1052" t="str">
            <v/>
          </cell>
          <cell r="AH1052" t="str">
            <v/>
          </cell>
        </row>
        <row r="1053">
          <cell r="D1053">
            <v>0</v>
          </cell>
          <cell r="G1053" t="str">
            <v/>
          </cell>
          <cell r="H1053" t="str">
            <v/>
          </cell>
          <cell r="U1053" t="str">
            <v/>
          </cell>
          <cell r="AH1053" t="str">
            <v/>
          </cell>
        </row>
        <row r="1054">
          <cell r="D1054" t="str">
            <v>1310007</v>
          </cell>
          <cell r="E1054" t="str">
            <v>1310007</v>
          </cell>
          <cell r="F1054" t="str">
            <v>Garantía de Arriendo de Oficinas</v>
          </cell>
          <cell r="G1054" t="str">
            <v>1310007  Garantía de Arriendo de Oficinas</v>
          </cell>
          <cell r="H1054" t="str">
            <v>Balance</v>
          </cell>
          <cell r="I1054" t="str">
            <v>I. Activos</v>
          </cell>
          <cell r="J1054" t="str">
            <v>2. Activos no corrientes</v>
          </cell>
          <cell r="K1054" t="str">
            <v>3. Derechos por Cobrar, no corrientes</v>
          </cell>
          <cell r="U1054" t="str">
            <v>3. Derechos por Cobrar, no corrientes</v>
          </cell>
          <cell r="AH1054" t="str">
            <v>I. Activos de los segmentos</v>
          </cell>
        </row>
        <row r="1055">
          <cell r="D1055" t="str">
            <v>1110105</v>
          </cell>
          <cell r="E1055" t="str">
            <v>1110105</v>
          </cell>
          <cell r="F1055" t="str">
            <v>Seguros Anticipados</v>
          </cell>
          <cell r="G1055" t="str">
            <v>1110105  Seguros Anticipados</v>
          </cell>
          <cell r="H1055" t="str">
            <v>Balance</v>
          </cell>
          <cell r="I1055" t="str">
            <v>I. Activos</v>
          </cell>
          <cell r="J1055" t="str">
            <v>2. Activos no corrientes</v>
          </cell>
          <cell r="K1055" t="str">
            <v>3. Derechos por Cobrar, no corrientes</v>
          </cell>
          <cell r="U1055" t="str">
            <v>3. Derechos por Cobrar, no corrientes</v>
          </cell>
          <cell r="AH1055" t="str">
            <v>I. Activos de los segmentos</v>
          </cell>
        </row>
        <row r="1056">
          <cell r="D1056" t="str">
            <v>1110106</v>
          </cell>
          <cell r="E1056" t="str">
            <v>1110106</v>
          </cell>
          <cell r="F1056" t="str">
            <v>Arriendos pagados por anticipado</v>
          </cell>
          <cell r="G1056" t="str">
            <v>1110106  Arriendos pagados por anticipado</v>
          </cell>
          <cell r="H1056" t="str">
            <v>Balance</v>
          </cell>
          <cell r="I1056" t="str">
            <v>I. Activos</v>
          </cell>
          <cell r="J1056" t="str">
            <v>2. Activos no corrientes</v>
          </cell>
          <cell r="K1056" t="str">
            <v>3. Derechos por Cobrar, no corrientes</v>
          </cell>
          <cell r="U1056" t="str">
            <v>3. Derechos por Cobrar, no corrientes</v>
          </cell>
          <cell r="AH1056" t="str">
            <v>I. Activos de los segmentos</v>
          </cell>
        </row>
        <row r="1057">
          <cell r="D1057">
            <v>0</v>
          </cell>
          <cell r="G1057" t="str">
            <v/>
          </cell>
          <cell r="H1057" t="str">
            <v>Balance</v>
          </cell>
          <cell r="I1057" t="str">
            <v>I. Activos</v>
          </cell>
          <cell r="J1057" t="str">
            <v>2. Activos no corrientes</v>
          </cell>
          <cell r="K1057" t="str">
            <v>3. Derechos por Cobrar, no corrientes</v>
          </cell>
          <cell r="U1057" t="str">
            <v>3. Derechos por Cobrar, no corrientes</v>
          </cell>
          <cell r="AH1057" t="str">
            <v>I. Activos de los segmentos</v>
          </cell>
        </row>
        <row r="1058">
          <cell r="D1058">
            <v>0</v>
          </cell>
          <cell r="G1058" t="str">
            <v/>
          </cell>
          <cell r="H1058" t="str">
            <v>Balance</v>
          </cell>
          <cell r="I1058" t="str">
            <v>I. Activos</v>
          </cell>
          <cell r="J1058" t="str">
            <v>2. Activos no corrientes</v>
          </cell>
          <cell r="K1058" t="str">
            <v>3. Derechos por Cobrar, no corrientes</v>
          </cell>
          <cell r="U1058" t="str">
            <v>3. Derechos por Cobrar, no corrientes</v>
          </cell>
          <cell r="AH1058" t="str">
            <v>I. Activos de los segmentos</v>
          </cell>
        </row>
        <row r="1059">
          <cell r="D1059">
            <v>0</v>
          </cell>
          <cell r="F1059" t="str">
            <v>Derechos por Cobrar No Corrientes</v>
          </cell>
          <cell r="G1059" t="str">
            <v/>
          </cell>
          <cell r="H1059" t="str">
            <v/>
          </cell>
          <cell r="U1059" t="str">
            <v/>
          </cell>
          <cell r="AH1059" t="str">
            <v/>
          </cell>
        </row>
        <row r="1060">
          <cell r="D1060">
            <v>0</v>
          </cell>
          <cell r="G1060" t="str">
            <v/>
          </cell>
          <cell r="H1060" t="str">
            <v/>
          </cell>
          <cell r="U1060" t="str">
            <v/>
          </cell>
          <cell r="AH1060" t="str">
            <v/>
          </cell>
        </row>
        <row r="1061">
          <cell r="D1061" t="str">
            <v>1304101</v>
          </cell>
          <cell r="E1061" t="str">
            <v>1304101</v>
          </cell>
          <cell r="F1061" t="str">
            <v>Dctos. Y Ctas. por Cobrar EE.RR.</v>
          </cell>
          <cell r="G1061" t="str">
            <v>1304101  Dctos. Y Ctas. por Cobrar EE.RR.</v>
          </cell>
          <cell r="H1061" t="str">
            <v>Balance</v>
          </cell>
          <cell r="I1061" t="str">
            <v>I. Activos</v>
          </cell>
          <cell r="J1061" t="str">
            <v>2. Activos no corrientes</v>
          </cell>
          <cell r="K1061" t="str">
            <v>4. Cuentas por Cobrar a Entidades Relacionadas, no corrientes</v>
          </cell>
          <cell r="U1061" t="str">
            <v>4. Cuentas por Cobrar a Entidades Relacionadas, no corrientes</v>
          </cell>
          <cell r="AH1061" t="str">
            <v>I. Activos de los segmentos</v>
          </cell>
        </row>
        <row r="1062">
          <cell r="D1062" t="str">
            <v>1305101</v>
          </cell>
          <cell r="E1062" t="str">
            <v>1305101</v>
          </cell>
          <cell r="F1062" t="str">
            <v>Cientas por Cobrar a EFE L/plazo</v>
          </cell>
          <cell r="G1062" t="str">
            <v>1305101  Cientas por Cobrar a EFE L/plazo</v>
          </cell>
          <cell r="H1062" t="str">
            <v>Balance</v>
          </cell>
          <cell r="I1062" t="str">
            <v>I. Activos</v>
          </cell>
          <cell r="J1062" t="str">
            <v>2. Activos no corrientes</v>
          </cell>
          <cell r="K1062" t="str">
            <v>4. Cuentas por Cobrar a Entidades Relacionadas, no corrientes</v>
          </cell>
          <cell r="U1062" t="str">
            <v>4. Cuentas por Cobrar a Entidades Relacionadas, no corrientes</v>
          </cell>
          <cell r="AH1062" t="str">
            <v>I. Activos de los segmentos</v>
          </cell>
        </row>
        <row r="1063">
          <cell r="D1063" t="str">
            <v>1305102</v>
          </cell>
          <cell r="E1063" t="str">
            <v>1305102</v>
          </cell>
          <cell r="F1063" t="str">
            <v>Cta Cte. Ferrosalud L/plazo</v>
          </cell>
          <cell r="G1063" t="str">
            <v>1305102  Cta Cte. Ferrosalud L/plazo</v>
          </cell>
          <cell r="H1063" t="str">
            <v>Balance</v>
          </cell>
          <cell r="I1063" t="str">
            <v>I. Activos</v>
          </cell>
          <cell r="J1063" t="str">
            <v>2. Activos no corrientes</v>
          </cell>
          <cell r="K1063" t="str">
            <v>4. Cuentas por Cobrar a Entidades Relacionadas, no corrientes</v>
          </cell>
          <cell r="U1063" t="str">
            <v>4. Cuentas por Cobrar a Entidades Relacionadas, no corrientes</v>
          </cell>
          <cell r="AH1063" t="str">
            <v>I. Activos de los segmentos</v>
          </cell>
        </row>
        <row r="1064">
          <cell r="D1064" t="str">
            <v>1301001</v>
          </cell>
          <cell r="E1064" t="str">
            <v>1301001</v>
          </cell>
          <cell r="F1064" t="str">
            <v>Inversion en EE.RR Serpacif</v>
          </cell>
          <cell r="G1064" t="str">
            <v>1301001  Inversion en EE.RR Serpacif</v>
          </cell>
          <cell r="H1064" t="str">
            <v>Balance</v>
          </cell>
          <cell r="I1064" t="str">
            <v>I. Activos</v>
          </cell>
          <cell r="J1064" t="str">
            <v>2. Activos no corrientes</v>
          </cell>
          <cell r="K1064" t="str">
            <v>4. Cuentas por Cobrar a Entidades Relacionadas, no corrientes</v>
          </cell>
          <cell r="U1064" t="str">
            <v>4. Cuentas por Cobrar a Entidades Relacionadas, no corrientes</v>
          </cell>
          <cell r="AH1064" t="str">
            <v>I. Activos de los segmentos</v>
          </cell>
        </row>
        <row r="1065">
          <cell r="D1065" t="str">
            <v>1306002</v>
          </cell>
          <cell r="E1065" t="str">
            <v>1306002</v>
          </cell>
          <cell r="F1065" t="str">
            <v>Cuentas por cobrar a EFE L/P</v>
          </cell>
          <cell r="G1065" t="str">
            <v>1306002  Cuentas por cobrar a EFE L/P</v>
          </cell>
          <cell r="H1065" t="str">
            <v>Balance</v>
          </cell>
          <cell r="I1065" t="str">
            <v>I. Activos</v>
          </cell>
          <cell r="J1065" t="str">
            <v>2. Activos no corrientes</v>
          </cell>
          <cell r="K1065" t="str">
            <v>4. Cuentas por Cobrar a Entidades Relacionadas, no corrientes</v>
          </cell>
          <cell r="U1065" t="str">
            <v>4. Cuentas por Cobrar a Entidades Relacionadas, no corrientes</v>
          </cell>
          <cell r="AH1065" t="str">
            <v>I. Activos de los segmentos</v>
          </cell>
        </row>
        <row r="1066">
          <cell r="D1066" t="str">
            <v>1306005</v>
          </cell>
          <cell r="E1066" t="str">
            <v>1306005</v>
          </cell>
          <cell r="F1066" t="str">
            <v>Cte Cte Mercantil EFE</v>
          </cell>
          <cell r="G1066" t="str">
            <v>1306005  Cte Cte Mercantil EFE</v>
          </cell>
          <cell r="H1066" t="str">
            <v>Balance</v>
          </cell>
          <cell r="I1066" t="str">
            <v>I. Activos</v>
          </cell>
          <cell r="J1066" t="str">
            <v>2. Activos no corrientes</v>
          </cell>
          <cell r="K1066" t="str">
            <v>4. Cuentas por Cobrar a Entidades Relacionadas, no corrientes</v>
          </cell>
          <cell r="U1066" t="str">
            <v>4. Cuentas por Cobrar a Entidades Relacionadas, no corrientes</v>
          </cell>
          <cell r="AH1066" t="str">
            <v>I. Activos de los segmentos</v>
          </cell>
        </row>
        <row r="1067">
          <cell r="D1067">
            <v>0</v>
          </cell>
          <cell r="G1067" t="str">
            <v/>
          </cell>
          <cell r="U1067" t="str">
            <v/>
          </cell>
        </row>
        <row r="1068">
          <cell r="D1068">
            <v>0</v>
          </cell>
          <cell r="F1068" t="str">
            <v>Cuentas Por Cobrar A Entidades Relacionadas, No Corriente</v>
          </cell>
          <cell r="G1068" t="str">
            <v/>
          </cell>
          <cell r="H1068" t="str">
            <v/>
          </cell>
          <cell r="U1068" t="str">
            <v/>
          </cell>
          <cell r="AH1068" t="str">
            <v/>
          </cell>
        </row>
        <row r="1069">
          <cell r="D1069">
            <v>0</v>
          </cell>
          <cell r="G1069" t="str">
            <v/>
          </cell>
          <cell r="H1069" t="str">
            <v/>
          </cell>
          <cell r="U1069" t="str">
            <v/>
          </cell>
          <cell r="AH1069" t="str">
            <v/>
          </cell>
        </row>
        <row r="1070">
          <cell r="D1070" t="str">
            <v>1302101</v>
          </cell>
          <cell r="E1070" t="str">
            <v>1302101</v>
          </cell>
          <cell r="F1070" t="str">
            <v>Inversión en EERR</v>
          </cell>
          <cell r="G1070" t="str">
            <v>1302101  Inversión en EERR</v>
          </cell>
          <cell r="H1070" t="str">
            <v>Balance</v>
          </cell>
          <cell r="I1070" t="str">
            <v>I. Activos</v>
          </cell>
          <cell r="J1070" t="str">
            <v>2. Activos no corrientes</v>
          </cell>
          <cell r="K1070" t="str">
            <v>5. Inversiones contabilizadas utilizando el método de la participación</v>
          </cell>
          <cell r="U1070" t="str">
            <v>5. Inversiones contabilizadas utilizando el método de la participación</v>
          </cell>
          <cell r="AH1070" t="str">
            <v>II. Importe en asociadas y negocios conjuntos contab. bajo el método de participación</v>
          </cell>
        </row>
        <row r="1071">
          <cell r="D1071">
            <v>0</v>
          </cell>
          <cell r="G1071" t="str">
            <v/>
          </cell>
          <cell r="H1071" t="str">
            <v>Balance</v>
          </cell>
          <cell r="I1071" t="str">
            <v>I. Activos</v>
          </cell>
          <cell r="J1071" t="str">
            <v>2. Activos no corrientes</v>
          </cell>
          <cell r="K1071" t="str">
            <v>5. Inversiones contabilizadas utilizando el método de la participación</v>
          </cell>
          <cell r="U1071" t="str">
            <v>5. Inversiones contabilizadas utilizando el método de la participación</v>
          </cell>
          <cell r="AH1071" t="str">
            <v>II. Importe en asociadas y negocios conjuntos contab. bajo el método de participación</v>
          </cell>
        </row>
        <row r="1072">
          <cell r="D1072">
            <v>0</v>
          </cell>
          <cell r="G1072" t="str">
            <v/>
          </cell>
          <cell r="H1072" t="str">
            <v>Balance</v>
          </cell>
          <cell r="I1072" t="str">
            <v>I. Activos</v>
          </cell>
          <cell r="J1072" t="str">
            <v>2. Activos no corrientes</v>
          </cell>
          <cell r="K1072" t="str">
            <v>5. Inversiones contabilizadas utilizando el método de la participación</v>
          </cell>
          <cell r="U1072" t="str">
            <v>5. Inversiones contabilizadas utilizando el método de la participación</v>
          </cell>
          <cell r="AH1072" t="str">
            <v>II. Importe en asociadas y negocios conjuntos contab. bajo el método de participación</v>
          </cell>
        </row>
        <row r="1073">
          <cell r="D1073">
            <v>0</v>
          </cell>
          <cell r="G1073" t="str">
            <v/>
          </cell>
          <cell r="H1073" t="str">
            <v>Balance</v>
          </cell>
          <cell r="I1073" t="str">
            <v>I. Activos</v>
          </cell>
          <cell r="J1073" t="str">
            <v>2. Activos no corrientes</v>
          </cell>
          <cell r="K1073" t="str">
            <v>5. Inversiones contabilizadas utilizando el método de la participación</v>
          </cell>
          <cell r="U1073" t="str">
            <v>5. Inversiones contabilizadas utilizando el método de la participación</v>
          </cell>
          <cell r="AH1073" t="str">
            <v>II. Importe en asociadas y negocios conjuntos contab. bajo el método de participación</v>
          </cell>
        </row>
        <row r="1074">
          <cell r="D1074">
            <v>0</v>
          </cell>
          <cell r="F1074" t="str">
            <v>Inversiones contabilizadas utilizando el método de la Participación</v>
          </cell>
          <cell r="G1074" t="str">
            <v/>
          </cell>
          <cell r="H1074" t="str">
            <v/>
          </cell>
        </row>
        <row r="1075">
          <cell r="D1075">
            <v>0</v>
          </cell>
          <cell r="G1075" t="str">
            <v/>
          </cell>
          <cell r="H1075" t="str">
            <v/>
          </cell>
        </row>
        <row r="1076">
          <cell r="D1076" t="str">
            <v>1109109</v>
          </cell>
          <cell r="E1076" t="str">
            <v>1109109</v>
          </cell>
          <cell r="F1076" t="str">
            <v>Software en Desarrollo</v>
          </cell>
          <cell r="G1076" t="str">
            <v>1109109  Software en Desarrollo</v>
          </cell>
          <cell r="H1076" t="str">
            <v>Balance</v>
          </cell>
          <cell r="I1076" t="str">
            <v>I. Activos</v>
          </cell>
          <cell r="J1076" t="str">
            <v>2. Activos no corrientes</v>
          </cell>
          <cell r="K1076" t="str">
            <v>6. Activos intangibles distintos de la plusvalía</v>
          </cell>
          <cell r="U1076" t="str">
            <v>6. Activos intangibles distintos de la plusvalía</v>
          </cell>
          <cell r="AH1076" t="str">
            <v>I. Activos de los segmentos</v>
          </cell>
        </row>
        <row r="1077">
          <cell r="D1077" t="str">
            <v>1109110</v>
          </cell>
          <cell r="E1077" t="str">
            <v>1109110</v>
          </cell>
          <cell r="F1077" t="str">
            <v xml:space="preserve">Software </v>
          </cell>
          <cell r="G1077" t="str">
            <v xml:space="preserve">1109110  Software </v>
          </cell>
          <cell r="H1077" t="str">
            <v>Balance</v>
          </cell>
          <cell r="I1077" t="str">
            <v>I. Activos</v>
          </cell>
          <cell r="J1077" t="str">
            <v>2. Activos no corrientes</v>
          </cell>
          <cell r="K1077" t="str">
            <v>6. Activos intangibles distintos de la plusvalía</v>
          </cell>
          <cell r="U1077" t="str">
            <v>6. Activos intangibles distintos de la plusvalía</v>
          </cell>
          <cell r="AH1077" t="str">
            <v>I. Activos de los segmentos</v>
          </cell>
        </row>
        <row r="1078">
          <cell r="D1078" t="str">
            <v>1109111</v>
          </cell>
          <cell r="E1078" t="str">
            <v>1109111</v>
          </cell>
          <cell r="F1078" t="str">
            <v>Amortización Acumulada Software</v>
          </cell>
          <cell r="G1078" t="str">
            <v>1109111  Amortización Acumulada Software</v>
          </cell>
          <cell r="H1078" t="str">
            <v>Balance</v>
          </cell>
          <cell r="I1078" t="str">
            <v>I. Activos</v>
          </cell>
          <cell r="J1078" t="str">
            <v>2. Activos no corrientes</v>
          </cell>
          <cell r="K1078" t="str">
            <v>6. Activos intangibles distintos de la plusvalía</v>
          </cell>
          <cell r="U1078" t="str">
            <v>7.Amortización Act. Int. distintos de la plusvalía</v>
          </cell>
          <cell r="AH1078" t="str">
            <v>I. Activos de los segmentos</v>
          </cell>
        </row>
        <row r="1079">
          <cell r="D1079" t="str">
            <v>1110103</v>
          </cell>
          <cell r="E1079" t="str">
            <v>1110103</v>
          </cell>
          <cell r="F1079" t="str">
            <v>Software</v>
          </cell>
          <cell r="G1079" t="str">
            <v>1110103  Software</v>
          </cell>
          <cell r="H1079" t="str">
            <v>Balance</v>
          </cell>
          <cell r="I1079" t="str">
            <v>I. Activos</v>
          </cell>
          <cell r="J1079" t="str">
            <v>2. Activos no corrientes</v>
          </cell>
          <cell r="K1079" t="str">
            <v>6. Activos intangibles distintos de la plusvalía</v>
          </cell>
          <cell r="U1079" t="str">
            <v>7.Amortización Act. Int. distintos de la plusvalía</v>
          </cell>
          <cell r="AH1079" t="str">
            <v>I. Activos de los segmentos</v>
          </cell>
        </row>
        <row r="1080">
          <cell r="D1080" t="str">
            <v>1110104</v>
          </cell>
          <cell r="E1080" t="str">
            <v>1110104</v>
          </cell>
          <cell r="F1080" t="str">
            <v>Amortización  Acumul. Software</v>
          </cell>
          <cell r="G1080" t="str">
            <v>1110104  Amortización  Acumul. Software</v>
          </cell>
          <cell r="H1080" t="str">
            <v>Balance</v>
          </cell>
          <cell r="I1080" t="str">
            <v>I. Activos</v>
          </cell>
          <cell r="J1080" t="str">
            <v>2. Activos no corrientes</v>
          </cell>
          <cell r="K1080" t="str">
            <v>6. Activos intangibles distintos de la plusvalía</v>
          </cell>
          <cell r="U1080" t="str">
            <v>7.Amortización Act. Int. distintos de la plusvalía</v>
          </cell>
          <cell r="AH1080" t="str">
            <v>I. Activos de los segmentos</v>
          </cell>
        </row>
        <row r="1081">
          <cell r="D1081">
            <v>0</v>
          </cell>
          <cell r="G1081" t="str">
            <v/>
          </cell>
          <cell r="H1081" t="str">
            <v>Balance</v>
          </cell>
          <cell r="I1081" t="str">
            <v>I. Activos</v>
          </cell>
          <cell r="J1081" t="str">
            <v>2. Activos no corrientes</v>
          </cell>
          <cell r="K1081" t="str">
            <v>6. Activos intangibles distintos de la plusvalía</v>
          </cell>
          <cell r="U1081" t="str">
            <v>7.Amortización Act. Int. distintos de la plusvalía</v>
          </cell>
          <cell r="AH1081" t="str">
            <v>I. Activos de los segmentos</v>
          </cell>
        </row>
        <row r="1082">
          <cell r="D1082">
            <v>0</v>
          </cell>
          <cell r="G1082" t="str">
            <v/>
          </cell>
          <cell r="H1082" t="str">
            <v>Balance</v>
          </cell>
          <cell r="I1082" t="str">
            <v>I. Activos</v>
          </cell>
          <cell r="J1082" t="str">
            <v>2. Activos no corrientes</v>
          </cell>
          <cell r="K1082" t="str">
            <v>6. Activos intangibles distintos de la plusvalía</v>
          </cell>
          <cell r="U1082" t="str">
            <v>7.Amortización Act. Int. distintos de la plusvalía</v>
          </cell>
          <cell r="AH1082" t="str">
            <v>I. Activos de los segmentos</v>
          </cell>
        </row>
        <row r="1083">
          <cell r="D1083">
            <v>0</v>
          </cell>
          <cell r="F1083" t="str">
            <v>Activos Intangibles Distintos De La Plusvalía</v>
          </cell>
          <cell r="G1083" t="str">
            <v/>
          </cell>
          <cell r="H1083" t="str">
            <v/>
          </cell>
          <cell r="AH1083" t="str">
            <v/>
          </cell>
        </row>
        <row r="1084">
          <cell r="D1084">
            <v>0</v>
          </cell>
          <cell r="G1084" t="str">
            <v/>
          </cell>
          <cell r="H1084" t="str">
            <v/>
          </cell>
          <cell r="AH1084" t="str">
            <v/>
          </cell>
        </row>
        <row r="1085">
          <cell r="D1085">
            <v>0</v>
          </cell>
          <cell r="F1085" t="str">
            <v/>
          </cell>
          <cell r="G1085" t="str">
            <v/>
          </cell>
          <cell r="H1085" t="str">
            <v/>
          </cell>
          <cell r="I1085" t="str">
            <v>I. Activos</v>
          </cell>
          <cell r="J1085" t="str">
            <v>2. Activos no corrientes</v>
          </cell>
          <cell r="K1085" t="str">
            <v>7. Plusvalía</v>
          </cell>
          <cell r="U1085" t="str">
            <v>8. Plusvalía</v>
          </cell>
          <cell r="AH1085" t="str">
            <v>I. Activos de los segmentos</v>
          </cell>
        </row>
        <row r="1086">
          <cell r="D1086">
            <v>0</v>
          </cell>
          <cell r="F1086" t="str">
            <v>Plusvalía</v>
          </cell>
          <cell r="G1086" t="str">
            <v/>
          </cell>
          <cell r="H1086" t="str">
            <v/>
          </cell>
          <cell r="AH1086" t="str">
            <v/>
          </cell>
        </row>
        <row r="1087">
          <cell r="D1087">
            <v>0</v>
          </cell>
          <cell r="F1087" t="str">
            <v/>
          </cell>
          <cell r="G1087" t="str">
            <v/>
          </cell>
          <cell r="H1087" t="str">
            <v/>
          </cell>
          <cell r="AH1087" t="str">
            <v/>
          </cell>
        </row>
        <row r="1088">
          <cell r="D1088" t="str">
            <v>1203001</v>
          </cell>
          <cell r="E1088" t="str">
            <v>1203001</v>
          </cell>
          <cell r="F1088" t="str">
            <v>Máquinas y Equipos</v>
          </cell>
          <cell r="G1088" t="str">
            <v>1203001  Máquinas y Equipos</v>
          </cell>
          <cell r="H1088" t="str">
            <v>Balance</v>
          </cell>
          <cell r="I1088" t="str">
            <v>I. Activos</v>
          </cell>
          <cell r="J1088" t="str">
            <v>2. Activos no corrientes</v>
          </cell>
          <cell r="K1088" t="str">
            <v>8. Propiedades, Planta y Equipo</v>
          </cell>
          <cell r="U1088" t="str">
            <v>9. Propiedades, Planta y Equipo</v>
          </cell>
          <cell r="AH1088" t="str">
            <v>I. Activos de los segmentos</v>
          </cell>
        </row>
        <row r="1089">
          <cell r="D1089" t="str">
            <v>1203002</v>
          </cell>
          <cell r="E1089" t="str">
            <v>1203002</v>
          </cell>
          <cell r="F1089" t="str">
            <v>Muebles y Utiles</v>
          </cell>
          <cell r="G1089" t="str">
            <v>1203002  Muebles y Utiles</v>
          </cell>
          <cell r="H1089" t="str">
            <v>Balance</v>
          </cell>
          <cell r="I1089" t="str">
            <v>I. Activos</v>
          </cell>
          <cell r="J1089" t="str">
            <v>2. Activos no corrientes</v>
          </cell>
          <cell r="K1089" t="str">
            <v>8. Propiedades, Planta y Equipo</v>
          </cell>
          <cell r="U1089" t="str">
            <v>9. Propiedades, Planta y Equipo</v>
          </cell>
          <cell r="AH1089" t="str">
            <v>I. Activos de los segmentos</v>
          </cell>
        </row>
        <row r="1090">
          <cell r="D1090" t="str">
            <v>1203003</v>
          </cell>
          <cell r="E1090" t="str">
            <v>1203003</v>
          </cell>
          <cell r="F1090" t="str">
            <v>Remodelaciones</v>
          </cell>
          <cell r="G1090" t="str">
            <v>1203003  Remodelaciones</v>
          </cell>
          <cell r="H1090" t="str">
            <v>Balance</v>
          </cell>
          <cell r="I1090" t="str">
            <v>I. Activos</v>
          </cell>
          <cell r="J1090" t="str">
            <v>2. Activos no corrientes</v>
          </cell>
          <cell r="K1090" t="str">
            <v>8. Propiedades, Planta y Equipo</v>
          </cell>
          <cell r="U1090" t="str">
            <v>9. Propiedades, Planta y Equipo</v>
          </cell>
          <cell r="AH1090" t="str">
            <v>I. Activos de los segmentos</v>
          </cell>
        </row>
        <row r="1091">
          <cell r="D1091" t="str">
            <v>1203004</v>
          </cell>
          <cell r="E1091" t="str">
            <v>1203004</v>
          </cell>
          <cell r="F1091" t="str">
            <v>Remodelación Borja Oficina 60</v>
          </cell>
          <cell r="G1091" t="str">
            <v>1203004  Remodelación Borja Oficina 60</v>
          </cell>
          <cell r="H1091" t="str">
            <v>Balance</v>
          </cell>
          <cell r="I1091" t="str">
            <v>I. Activos</v>
          </cell>
          <cell r="J1091" t="str">
            <v>2. Activos no corrientes</v>
          </cell>
          <cell r="K1091" t="str">
            <v>8. Propiedades, Planta y Equipo</v>
          </cell>
          <cell r="U1091" t="str">
            <v>9. Propiedades, Planta y Equipo</v>
          </cell>
          <cell r="AH1091" t="str">
            <v>I. Activos de los segmentos</v>
          </cell>
        </row>
        <row r="1092">
          <cell r="D1092" t="str">
            <v>1204001</v>
          </cell>
          <cell r="E1092" t="str">
            <v>1204001</v>
          </cell>
          <cell r="F1092" t="str">
            <v>Muebles y útiles</v>
          </cell>
          <cell r="G1092" t="str">
            <v>1204001  Muebles y útiles</v>
          </cell>
          <cell r="H1092" t="str">
            <v>Balance</v>
          </cell>
          <cell r="I1092" t="str">
            <v>I. Activos</v>
          </cell>
          <cell r="J1092" t="str">
            <v>2. Activos no corrientes</v>
          </cell>
          <cell r="K1092" t="str">
            <v>8. Propiedades, Planta y Equipo</v>
          </cell>
          <cell r="U1092" t="str">
            <v>9. Propiedades, Planta y Equipo</v>
          </cell>
          <cell r="AH1092" t="str">
            <v>I. Activos de los segmentos</v>
          </cell>
        </row>
        <row r="1093">
          <cell r="D1093" t="str">
            <v>1204004</v>
          </cell>
          <cell r="E1093" t="str">
            <v>1204004</v>
          </cell>
          <cell r="F1093" t="str">
            <v>Cambio de Oficina</v>
          </cell>
          <cell r="G1093" t="str">
            <v>1204004  Cambio de Oficina</v>
          </cell>
          <cell r="H1093" t="str">
            <v>Balance</v>
          </cell>
          <cell r="I1093" t="str">
            <v>I. Activos</v>
          </cell>
          <cell r="J1093" t="str">
            <v>2. Activos no corrientes</v>
          </cell>
          <cell r="K1093" t="str">
            <v>8. Propiedades, Planta y Equipo</v>
          </cell>
          <cell r="U1093" t="str">
            <v>9. Propiedades, Planta y Equipo</v>
          </cell>
          <cell r="AH1093" t="str">
            <v>I. Activos de los segmentos</v>
          </cell>
        </row>
        <row r="1094">
          <cell r="D1094" t="str">
            <v>1204005</v>
          </cell>
          <cell r="E1094" t="str">
            <v>1204005</v>
          </cell>
          <cell r="F1094" t="str">
            <v>Otros Activos Fijos</v>
          </cell>
          <cell r="G1094" t="str">
            <v>1204005  Otros Activos Fijos</v>
          </cell>
          <cell r="H1094" t="str">
            <v>Balance</v>
          </cell>
          <cell r="I1094" t="str">
            <v>I. Activos</v>
          </cell>
          <cell r="J1094" t="str">
            <v>2. Activos no corrientes</v>
          </cell>
          <cell r="K1094" t="str">
            <v>8. Propiedades, Planta y Equipo</v>
          </cell>
          <cell r="U1094" t="str">
            <v>9. Propiedades, Planta y Equipo</v>
          </cell>
          <cell r="AH1094" t="str">
            <v>I. Activos de los segmentos</v>
          </cell>
        </row>
        <row r="1095">
          <cell r="D1095" t="str">
            <v>1206001</v>
          </cell>
          <cell r="E1095" t="str">
            <v>1206001</v>
          </cell>
          <cell r="F1095" t="str">
            <v>Depreciación Acumulada Activo fijo</v>
          </cell>
          <cell r="G1095" t="str">
            <v>1206001  Depreciación Acumulada Activo fijo</v>
          </cell>
          <cell r="H1095" t="str">
            <v>Balance</v>
          </cell>
          <cell r="I1095" t="str">
            <v>I. Activos</v>
          </cell>
          <cell r="J1095" t="str">
            <v>2. Activos no corrientes</v>
          </cell>
          <cell r="K1095" t="str">
            <v>8. Propiedades, Planta y Equipo</v>
          </cell>
          <cell r="U1095" t="str">
            <v>10. Depreciación</v>
          </cell>
          <cell r="AH1095" t="str">
            <v>I. Activos de los segmentos</v>
          </cell>
        </row>
        <row r="1096">
          <cell r="D1096">
            <v>0</v>
          </cell>
          <cell r="G1096" t="str">
            <v/>
          </cell>
          <cell r="H1096" t="str">
            <v>Balance</v>
          </cell>
          <cell r="I1096" t="str">
            <v>I. Activos</v>
          </cell>
          <cell r="J1096" t="str">
            <v>2. Activos no corrientes</v>
          </cell>
          <cell r="K1096" t="str">
            <v>8. Propiedades, Planta y Equipo</v>
          </cell>
          <cell r="U1096" t="str">
            <v>10. Depreciación</v>
          </cell>
          <cell r="AH1096" t="str">
            <v>I. Activos de los segmentos</v>
          </cell>
        </row>
        <row r="1097">
          <cell r="D1097">
            <v>0</v>
          </cell>
          <cell r="G1097" t="str">
            <v/>
          </cell>
          <cell r="H1097" t="str">
            <v>Balance</v>
          </cell>
          <cell r="I1097" t="str">
            <v>I. Activos</v>
          </cell>
          <cell r="J1097" t="str">
            <v>2. Activos no corrientes</v>
          </cell>
          <cell r="K1097" t="str">
            <v>8. Propiedades, Planta y Equipo</v>
          </cell>
          <cell r="U1097" t="str">
            <v>10. Depreciación</v>
          </cell>
          <cell r="AH1097" t="str">
            <v>I. Activos de los segmentos</v>
          </cell>
        </row>
        <row r="1098">
          <cell r="D1098">
            <v>0</v>
          </cell>
          <cell r="G1098" t="str">
            <v/>
          </cell>
          <cell r="H1098" t="str">
            <v>Balance</v>
          </cell>
          <cell r="I1098" t="str">
            <v>I. Activos</v>
          </cell>
          <cell r="J1098" t="str">
            <v>2. Activos no corrientes</v>
          </cell>
          <cell r="K1098" t="str">
            <v>8. Propiedades, Planta y Equipo</v>
          </cell>
          <cell r="U1098" t="str">
            <v>10. Depreciación</v>
          </cell>
          <cell r="AH1098" t="str">
            <v>I. Activos de los segmentos</v>
          </cell>
        </row>
        <row r="1099">
          <cell r="D1099">
            <v>0</v>
          </cell>
          <cell r="F1099" t="str">
            <v>Propiedades, Planta Y Equipo</v>
          </cell>
          <cell r="G1099" t="str">
            <v/>
          </cell>
          <cell r="H1099" t="str">
            <v/>
          </cell>
          <cell r="AH1099" t="str">
            <v/>
          </cell>
        </row>
        <row r="1100">
          <cell r="D1100">
            <v>0</v>
          </cell>
          <cell r="G1100" t="str">
            <v/>
          </cell>
          <cell r="H1100" t="str">
            <v/>
          </cell>
          <cell r="AH1100" t="str">
            <v/>
          </cell>
        </row>
        <row r="1101">
          <cell r="D1101">
            <v>0</v>
          </cell>
          <cell r="G1101" t="str">
            <v/>
          </cell>
          <cell r="H1101" t="str">
            <v/>
          </cell>
          <cell r="I1101" t="str">
            <v>I. Activos</v>
          </cell>
          <cell r="J1101" t="str">
            <v>2. Activos no corrientes</v>
          </cell>
          <cell r="K1101" t="str">
            <v>9. Activos biológicos, no corrientes</v>
          </cell>
          <cell r="U1101" t="str">
            <v>11. Activos biológicos, no corrientes</v>
          </cell>
          <cell r="AH1101" t="str">
            <v>I. Activos de los segmentos</v>
          </cell>
        </row>
        <row r="1102">
          <cell r="D1102">
            <v>0</v>
          </cell>
          <cell r="F1102" t="str">
            <v>Activos Biológicos, No Corrientes</v>
          </cell>
          <cell r="G1102" t="str">
            <v/>
          </cell>
          <cell r="H1102" t="str">
            <v/>
          </cell>
          <cell r="U1102" t="str">
            <v/>
          </cell>
          <cell r="AH1102" t="str">
            <v/>
          </cell>
        </row>
        <row r="1103">
          <cell r="D1103">
            <v>0</v>
          </cell>
          <cell r="F1103" t="str">
            <v/>
          </cell>
          <cell r="G1103" t="str">
            <v/>
          </cell>
          <cell r="H1103" t="str">
            <v/>
          </cell>
          <cell r="U1103" t="str">
            <v/>
          </cell>
          <cell r="AH1103" t="str">
            <v/>
          </cell>
        </row>
        <row r="1104">
          <cell r="D1104" t="str">
            <v>1308101</v>
          </cell>
          <cell r="E1104" t="str">
            <v>1308101</v>
          </cell>
          <cell r="F1104" t="str">
            <v>Existencias Terrenos L/plazo</v>
          </cell>
          <cell r="G1104" t="str">
            <v>1308101  Existencias Terrenos L/plazo</v>
          </cell>
          <cell r="H1104" t="str">
            <v>Balance</v>
          </cell>
          <cell r="I1104" t="str">
            <v>I. Activos</v>
          </cell>
          <cell r="J1104" t="str">
            <v>2. Activos no corrientes</v>
          </cell>
          <cell r="K1104" t="str">
            <v>10. Propiedad de inversión</v>
          </cell>
          <cell r="U1104" t="str">
            <v>12. Propiedad de inversión</v>
          </cell>
          <cell r="AH1104" t="str">
            <v>I. Activos de los segmentos</v>
          </cell>
        </row>
        <row r="1105">
          <cell r="D1105" t="str">
            <v>1308102</v>
          </cell>
          <cell r="E1105" t="str">
            <v>1308102</v>
          </cell>
          <cell r="F1105" t="str">
            <v>Existencias Bien Raiz L/plazo</v>
          </cell>
          <cell r="G1105" t="str">
            <v>1308102  Existencias Bien Raiz L/plazo</v>
          </cell>
          <cell r="H1105" t="str">
            <v>Balance</v>
          </cell>
          <cell r="I1105" t="str">
            <v>I. Activos</v>
          </cell>
          <cell r="J1105" t="str">
            <v>2. Activos no corrientes</v>
          </cell>
          <cell r="K1105" t="str">
            <v>10. Propiedad de inversión</v>
          </cell>
          <cell r="U1105" t="str">
            <v>12. Propiedad de inversión</v>
          </cell>
          <cell r="AH1105" t="str">
            <v>I. Activos de los segmentos</v>
          </cell>
        </row>
        <row r="1106">
          <cell r="D1106" t="str">
            <v>1310001</v>
          </cell>
          <cell r="E1106" t="str">
            <v>1310001</v>
          </cell>
          <cell r="F1106" t="str">
            <v>Existencias Terrenos L/P</v>
          </cell>
          <cell r="G1106" t="str">
            <v>1310001  Existencias Terrenos L/P</v>
          </cell>
          <cell r="H1106" t="str">
            <v>Balance</v>
          </cell>
          <cell r="I1106" t="str">
            <v>I. Activos</v>
          </cell>
          <cell r="J1106" t="str">
            <v>2. Activos no corrientes</v>
          </cell>
          <cell r="K1106" t="str">
            <v>10. Propiedad de inversión</v>
          </cell>
          <cell r="U1106" t="str">
            <v>12. Propiedad de inversión</v>
          </cell>
          <cell r="AH1106" t="str">
            <v>I. Activos de los segmentos</v>
          </cell>
        </row>
        <row r="1107">
          <cell r="D1107" t="str">
            <v>1310002</v>
          </cell>
          <cell r="E1107" t="str">
            <v>1310002</v>
          </cell>
          <cell r="F1107" t="str">
            <v>Existencia Bien Raiz EP</v>
          </cell>
          <cell r="G1107" t="str">
            <v>1310002  Existencia Bien Raiz EP</v>
          </cell>
          <cell r="H1107" t="str">
            <v>Balance</v>
          </cell>
          <cell r="I1107" t="str">
            <v>I. Activos</v>
          </cell>
          <cell r="J1107" t="str">
            <v>2. Activos no corrientes</v>
          </cell>
          <cell r="K1107" t="str">
            <v>10. Propiedad de inversión</v>
          </cell>
          <cell r="U1107" t="str">
            <v>12. Propiedad de inversión</v>
          </cell>
          <cell r="AH1107" t="str">
            <v>I. Activos de los segmentos</v>
          </cell>
        </row>
        <row r="1108">
          <cell r="D1108" t="str">
            <v>1310003</v>
          </cell>
          <cell r="E1108" t="str">
            <v>1310003</v>
          </cell>
          <cell r="F1108" t="str">
            <v>Proyectos</v>
          </cell>
          <cell r="G1108" t="str">
            <v>1310003  Proyectos</v>
          </cell>
          <cell r="H1108" t="str">
            <v>Balance</v>
          </cell>
          <cell r="I1108" t="str">
            <v>I. Activos</v>
          </cell>
          <cell r="J1108" t="str">
            <v>2. Activos no corrientes</v>
          </cell>
          <cell r="K1108" t="str">
            <v>10. Propiedad de inversión</v>
          </cell>
          <cell r="U1108" t="str">
            <v>12. Propiedad de inversión</v>
          </cell>
          <cell r="AH1108" t="str">
            <v>I. Activos de los segmentos</v>
          </cell>
        </row>
        <row r="1109">
          <cell r="D1109" t="str">
            <v>1310004</v>
          </cell>
          <cell r="E1109" t="str">
            <v>1310004</v>
          </cell>
          <cell r="F1109" t="str">
            <v>Garantía de Arriendos</v>
          </cell>
          <cell r="G1109" t="str">
            <v>1310004  Garantía de Arriendos</v>
          </cell>
          <cell r="H1109" t="str">
            <v>Balance</v>
          </cell>
          <cell r="I1109" t="str">
            <v>I. Activos</v>
          </cell>
          <cell r="J1109" t="str">
            <v>2. Activos no corrientes</v>
          </cell>
          <cell r="K1109" t="str">
            <v>10. Propiedad de inversión</v>
          </cell>
          <cell r="U1109" t="str">
            <v>12. Propiedad de inversión</v>
          </cell>
          <cell r="AH1109" t="str">
            <v>I. Activos de los segmentos</v>
          </cell>
        </row>
        <row r="1110">
          <cell r="D1110" t="str">
            <v>1310009</v>
          </cell>
          <cell r="E1110" t="str">
            <v>1310009</v>
          </cell>
          <cell r="F1110" t="str">
            <v>Otros Activos de Uso Publico</v>
          </cell>
          <cell r="G1110" t="str">
            <v>1310009  Otros Activos de Uso Publico</v>
          </cell>
          <cell r="H1110" t="str">
            <v>Balance</v>
          </cell>
          <cell r="I1110" t="str">
            <v>I. Activos</v>
          </cell>
          <cell r="J1110" t="str">
            <v>2. Activos no corrientes</v>
          </cell>
          <cell r="K1110" t="str">
            <v>10. Propiedad de inversión</v>
          </cell>
          <cell r="U1110" t="str">
            <v>12. Propiedad de inversión</v>
          </cell>
          <cell r="AH1110" t="str">
            <v>I. Activos de los segmentos</v>
          </cell>
        </row>
        <row r="1111">
          <cell r="D1111" t="str">
            <v>1310010</v>
          </cell>
          <cell r="E1111" t="str">
            <v>1310010</v>
          </cell>
          <cell r="F1111" t="str">
            <v>Prov.por Bs de Uso Público</v>
          </cell>
          <cell r="G1111" t="str">
            <v>1310010  Prov.por Bs de Uso Público</v>
          </cell>
          <cell r="H1111" t="str">
            <v>Balance</v>
          </cell>
          <cell r="I1111" t="str">
            <v>I. Activos</v>
          </cell>
          <cell r="J1111" t="str">
            <v>2. Activos no corrientes</v>
          </cell>
          <cell r="K1111" t="str">
            <v>10. Propiedad de inversión</v>
          </cell>
          <cell r="U1111" t="str">
            <v>12. Propiedad de inversión</v>
          </cell>
          <cell r="AH1111" t="str">
            <v>I. Activos de los segmentos</v>
          </cell>
        </row>
        <row r="1112">
          <cell r="D1112" t="str">
            <v>1303101</v>
          </cell>
          <cell r="E1112" t="str">
            <v>1303101</v>
          </cell>
          <cell r="F1112" t="str">
            <v>Menor Valor de Mercado</v>
          </cell>
          <cell r="G1112" t="str">
            <v>1303101  Menor Valor de Mercado</v>
          </cell>
          <cell r="H1112" t="str">
            <v>Balance</v>
          </cell>
          <cell r="I1112" t="str">
            <v>I. Activos</v>
          </cell>
          <cell r="J1112" t="str">
            <v>2. Activos no corrientes</v>
          </cell>
          <cell r="K1112" t="str">
            <v>10. Propiedad de inversión</v>
          </cell>
          <cell r="U1112" t="str">
            <v>12. Propiedad de inversión</v>
          </cell>
          <cell r="AH1112" t="str">
            <v>I. Activos de los segmentos</v>
          </cell>
        </row>
        <row r="1113">
          <cell r="D1113" t="str">
            <v>1206002</v>
          </cell>
          <cell r="E1113" t="str">
            <v>1206002</v>
          </cell>
          <cell r="F1113" t="str">
            <v>Depreciación Acumulada Existencias</v>
          </cell>
          <cell r="G1113" t="str">
            <v>1206002  Depreciación Acumulada Existencias</v>
          </cell>
          <cell r="H1113" t="str">
            <v>Balance</v>
          </cell>
          <cell r="I1113" t="str">
            <v>I. Activos</v>
          </cell>
          <cell r="J1113" t="str">
            <v>2. Activos no corrientes</v>
          </cell>
          <cell r="K1113" t="str">
            <v>10. Propiedad de inversión</v>
          </cell>
          <cell r="U1113" t="str">
            <v>12. Propiedad de inversión</v>
          </cell>
          <cell r="AH1113" t="str">
            <v>I. Activos de los segmentos</v>
          </cell>
        </row>
        <row r="1114">
          <cell r="D1114">
            <v>0</v>
          </cell>
          <cell r="F1114" t="str">
            <v/>
          </cell>
          <cell r="G1114" t="str">
            <v/>
          </cell>
          <cell r="H1114" t="str">
            <v>Balance</v>
          </cell>
          <cell r="I1114" t="str">
            <v>I. Activos</v>
          </cell>
          <cell r="J1114" t="str">
            <v>2. Activos no corrientes</v>
          </cell>
          <cell r="K1114" t="str">
            <v>10. Propiedad de inversión</v>
          </cell>
          <cell r="U1114" t="str">
            <v>12. Propiedad de inversión</v>
          </cell>
          <cell r="AH1114" t="str">
            <v>I. Activos de los segmentos</v>
          </cell>
        </row>
        <row r="1115">
          <cell r="D1115">
            <v>0</v>
          </cell>
          <cell r="F1115" t="str">
            <v>Propiedad De Inversión</v>
          </cell>
          <cell r="G1115" t="str">
            <v/>
          </cell>
          <cell r="H1115" t="str">
            <v/>
          </cell>
          <cell r="U1115" t="str">
            <v/>
          </cell>
          <cell r="AH1115" t="str">
            <v/>
          </cell>
        </row>
        <row r="1116">
          <cell r="D1116">
            <v>0</v>
          </cell>
          <cell r="F1116" t="str">
            <v/>
          </cell>
          <cell r="G1116" t="str">
            <v/>
          </cell>
          <cell r="H1116" t="str">
            <v/>
          </cell>
          <cell r="U1116" t="str">
            <v/>
          </cell>
          <cell r="AH1116" t="str">
            <v/>
          </cell>
        </row>
        <row r="1117">
          <cell r="D1117" t="str">
            <v>1307001</v>
          </cell>
          <cell r="E1117" t="str">
            <v>1307001</v>
          </cell>
          <cell r="F1117" t="str">
            <v>Impuestos Diferidos L/plazo</v>
          </cell>
          <cell r="G1117" t="str">
            <v>1307001  Impuestos Diferidos L/plazo</v>
          </cell>
          <cell r="H1117" t="str">
            <v>Balance</v>
          </cell>
          <cell r="I1117" t="str">
            <v>I. Activos</v>
          </cell>
          <cell r="J1117" t="str">
            <v>2. Activos no corrientes</v>
          </cell>
          <cell r="K1117" t="str">
            <v>11. Activos por impuestos diferidos</v>
          </cell>
          <cell r="U1117" t="str">
            <v>13. Activos por impuestos diferidos</v>
          </cell>
          <cell r="AH1117" t="str">
            <v>I. Activos de los segmentos</v>
          </cell>
        </row>
        <row r="1118">
          <cell r="D1118">
            <v>0</v>
          </cell>
          <cell r="G1118" t="str">
            <v/>
          </cell>
          <cell r="H1118" t="str">
            <v>Balance</v>
          </cell>
          <cell r="I1118" t="str">
            <v>I. Activos</v>
          </cell>
          <cell r="J1118" t="str">
            <v>2. Activos no corrientes</v>
          </cell>
          <cell r="K1118" t="str">
            <v>11. Activos por impuestos diferidos</v>
          </cell>
          <cell r="U1118" t="str">
            <v>13. Activos por impuestos diferidos</v>
          </cell>
          <cell r="AH1118" t="str">
            <v>I. Activos de los segmentos</v>
          </cell>
        </row>
        <row r="1119">
          <cell r="D1119">
            <v>0</v>
          </cell>
          <cell r="G1119" t="str">
            <v/>
          </cell>
          <cell r="H1119" t="str">
            <v>Balance</v>
          </cell>
          <cell r="I1119" t="str">
            <v>I. Activos</v>
          </cell>
          <cell r="J1119" t="str">
            <v>2. Activos no corrientes</v>
          </cell>
          <cell r="K1119" t="str">
            <v>11. Activos por impuestos diferidos</v>
          </cell>
          <cell r="U1119" t="str">
            <v>13. Activos por impuestos diferidos</v>
          </cell>
          <cell r="AH1119" t="str">
            <v>I. Activos de los segmentos</v>
          </cell>
        </row>
        <row r="1120">
          <cell r="D1120">
            <v>0</v>
          </cell>
          <cell r="G1120" t="str">
            <v/>
          </cell>
          <cell r="H1120" t="str">
            <v>Balance</v>
          </cell>
          <cell r="I1120" t="str">
            <v>I. Activos</v>
          </cell>
          <cell r="J1120" t="str">
            <v>2. Activos no corrientes</v>
          </cell>
          <cell r="K1120" t="str">
            <v>11. Activos por impuestos diferidos</v>
          </cell>
          <cell r="U1120" t="str">
            <v>13. Activos por impuestos diferidos</v>
          </cell>
          <cell r="AH1120" t="str">
            <v>I. Activos de los segmentos</v>
          </cell>
        </row>
        <row r="1121">
          <cell r="D1121">
            <v>0</v>
          </cell>
          <cell r="F1121" t="str">
            <v>Activos Por Impuestos Diferidos</v>
          </cell>
          <cell r="G1121" t="str">
            <v/>
          </cell>
          <cell r="H1121" t="str">
            <v/>
          </cell>
          <cell r="U1121" t="str">
            <v/>
          </cell>
          <cell r="AH1121" t="str">
            <v/>
          </cell>
        </row>
        <row r="1122">
          <cell r="D1122">
            <v>0</v>
          </cell>
          <cell r="F1122" t="str">
            <v/>
          </cell>
          <cell r="G1122" t="str">
            <v/>
          </cell>
          <cell r="H1122" t="str">
            <v/>
          </cell>
          <cell r="U1122" t="str">
            <v/>
          </cell>
          <cell r="AH1122" t="str">
            <v/>
          </cell>
        </row>
        <row r="1123">
          <cell r="D1123">
            <v>0</v>
          </cell>
          <cell r="F1123" t="str">
            <v>Total De Activos No Corrientes</v>
          </cell>
          <cell r="G1123" t="str">
            <v/>
          </cell>
          <cell r="H1123" t="str">
            <v/>
          </cell>
          <cell r="U1123" t="str">
            <v/>
          </cell>
          <cell r="AH1123" t="str">
            <v/>
          </cell>
        </row>
        <row r="1124">
          <cell r="D1124">
            <v>0</v>
          </cell>
          <cell r="F1124" t="str">
            <v/>
          </cell>
          <cell r="G1124" t="str">
            <v/>
          </cell>
          <cell r="H1124" t="str">
            <v/>
          </cell>
          <cell r="U1124" t="str">
            <v/>
          </cell>
          <cell r="AH1124" t="str">
            <v/>
          </cell>
        </row>
        <row r="1125">
          <cell r="D1125">
            <v>0</v>
          </cell>
          <cell r="F1125" t="str">
            <v>Total De Activos</v>
          </cell>
          <cell r="G1125" t="str">
            <v/>
          </cell>
          <cell r="H1125" t="str">
            <v/>
          </cell>
          <cell r="I1125" t="str">
            <v>I. Activos</v>
          </cell>
          <cell r="U1125" t="str">
            <v/>
          </cell>
          <cell r="AH1125" t="str">
            <v>I. Activos de los segmentos</v>
          </cell>
        </row>
        <row r="1126">
          <cell r="D1126">
            <v>0</v>
          </cell>
          <cell r="G1126" t="str">
            <v/>
          </cell>
          <cell r="H1126" t="str">
            <v/>
          </cell>
          <cell r="U1126" t="str">
            <v/>
          </cell>
          <cell r="AH1126" t="str">
            <v/>
          </cell>
        </row>
        <row r="1127">
          <cell r="D1127">
            <v>0</v>
          </cell>
          <cell r="G1127" t="str">
            <v/>
          </cell>
          <cell r="H1127" t="str">
            <v/>
          </cell>
          <cell r="U1127" t="str">
            <v/>
          </cell>
          <cell r="AH1127" t="str">
            <v/>
          </cell>
        </row>
        <row r="1128">
          <cell r="D1128">
            <v>0</v>
          </cell>
          <cell r="G1128" t="str">
            <v/>
          </cell>
          <cell r="H1128" t="str">
            <v/>
          </cell>
          <cell r="U1128" t="str">
            <v/>
          </cell>
          <cell r="AH1128" t="str">
            <v/>
          </cell>
        </row>
        <row r="1129">
          <cell r="D1129">
            <v>0</v>
          </cell>
          <cell r="F1129" t="str">
            <v>Patrimonio Y Pasivos</v>
          </cell>
          <cell r="G1129" t="str">
            <v/>
          </cell>
          <cell r="H1129" t="str">
            <v/>
          </cell>
          <cell r="U1129" t="str">
            <v/>
          </cell>
          <cell r="AH1129" t="str">
            <v/>
          </cell>
        </row>
        <row r="1130">
          <cell r="D1130">
            <v>0</v>
          </cell>
          <cell r="F1130" t="str">
            <v>Pasivos</v>
          </cell>
          <cell r="G1130" t="str">
            <v/>
          </cell>
          <cell r="H1130" t="str">
            <v/>
          </cell>
          <cell r="U1130" t="str">
            <v/>
          </cell>
          <cell r="AH1130" t="str">
            <v/>
          </cell>
        </row>
        <row r="1131">
          <cell r="D1131">
            <v>0</v>
          </cell>
          <cell r="F1131" t="str">
            <v>Pasivos Corrientes</v>
          </cell>
          <cell r="G1131" t="str">
            <v/>
          </cell>
          <cell r="H1131" t="str">
            <v/>
          </cell>
          <cell r="U1131" t="str">
            <v/>
          </cell>
          <cell r="AH1131" t="str">
            <v/>
          </cell>
        </row>
        <row r="1132">
          <cell r="D1132">
            <v>0</v>
          </cell>
          <cell r="F1132" t="str">
            <v>.</v>
          </cell>
          <cell r="G1132" t="str">
            <v/>
          </cell>
          <cell r="H1132" t="str">
            <v/>
          </cell>
          <cell r="U1132" t="str">
            <v/>
          </cell>
          <cell r="AH1132" t="str">
            <v/>
          </cell>
        </row>
        <row r="1133">
          <cell r="D1133">
            <v>0</v>
          </cell>
          <cell r="F1133" t="str">
            <v>Intereses Por Devengar Por Préstamo</v>
          </cell>
          <cell r="G1133" t="str">
            <v/>
          </cell>
          <cell r="H1133" t="str">
            <v>Balance</v>
          </cell>
          <cell r="I1133" t="str">
            <v>II. Pasivos</v>
          </cell>
          <cell r="J1133" t="str">
            <v>1. Pasivos corrientes</v>
          </cell>
          <cell r="K1133" t="str">
            <v>1. Otros Pasivos Financieros, corrientes</v>
          </cell>
          <cell r="U1133" t="str">
            <v>1. Otros Pasivos Financieros, corrientes</v>
          </cell>
          <cell r="AH1133" t="str">
            <v>III. Pasivos de los segmentos</v>
          </cell>
        </row>
        <row r="1134">
          <cell r="D1134">
            <v>0</v>
          </cell>
          <cell r="F1134" t="str">
            <v>Int. Por Devengar Ptmo. Banc. Lp-Porcion Cp</v>
          </cell>
          <cell r="G1134" t="str">
            <v/>
          </cell>
          <cell r="H1134" t="str">
            <v>Balance</v>
          </cell>
          <cell r="I1134" t="str">
            <v>II. Pasivos</v>
          </cell>
          <cell r="J1134" t="str">
            <v>1. Pasivos corrientes</v>
          </cell>
          <cell r="K1134" t="str">
            <v>1. Otros Pasivos Financieros, corrientes</v>
          </cell>
          <cell r="U1134" t="str">
            <v>1. Otros Pasivos Financieros, corrientes</v>
          </cell>
          <cell r="AH1134" t="str">
            <v>III. Pasivos de los segmentos</v>
          </cell>
        </row>
        <row r="1135">
          <cell r="D1135">
            <v>0</v>
          </cell>
          <cell r="G1135" t="str">
            <v/>
          </cell>
          <cell r="H1135" t="str">
            <v>Balance</v>
          </cell>
          <cell r="I1135" t="str">
            <v>II. Pasivos</v>
          </cell>
          <cell r="J1135" t="str">
            <v>1. Pasivos corrientes</v>
          </cell>
          <cell r="K1135" t="str">
            <v>1. Otros Pasivos Financieros, corrientes</v>
          </cell>
          <cell r="U1135" t="str">
            <v>1. Otros Pasivos Financieros, corrientes</v>
          </cell>
          <cell r="AH1135" t="str">
            <v>III. Pasivos de los segmentos</v>
          </cell>
        </row>
        <row r="1136">
          <cell r="D1136">
            <v>0</v>
          </cell>
          <cell r="F1136" t="str">
            <v>Otros Pasivos Financieros Corrientes</v>
          </cell>
          <cell r="G1136" t="str">
            <v/>
          </cell>
          <cell r="H1136" t="str">
            <v/>
          </cell>
          <cell r="U1136" t="str">
            <v/>
          </cell>
          <cell r="AH1136" t="str">
            <v/>
          </cell>
        </row>
        <row r="1137">
          <cell r="D1137">
            <v>0</v>
          </cell>
          <cell r="G1137" t="str">
            <v/>
          </cell>
          <cell r="H1137" t="str">
            <v/>
          </cell>
          <cell r="U1137" t="str">
            <v/>
          </cell>
          <cell r="AH1137" t="str">
            <v/>
          </cell>
        </row>
        <row r="1138">
          <cell r="D1138" t="str">
            <v>2105001</v>
          </cell>
          <cell r="E1138" t="str">
            <v>2105001</v>
          </cell>
          <cell r="F1138" t="str">
            <v>Dividendos por Pagar</v>
          </cell>
          <cell r="G1138" t="str">
            <v>2105001  Dividendos por Pagar</v>
          </cell>
          <cell r="H1138" t="str">
            <v>Balance</v>
          </cell>
          <cell r="I1138" t="str">
            <v>II. Pasivos</v>
          </cell>
          <cell r="J1138" t="str">
            <v>1. Pasivos corrientes</v>
          </cell>
          <cell r="K1138" t="str">
            <v>2. Cuentas comerciales y otras cuentas por pagar, corrientes</v>
          </cell>
          <cell r="U1138" t="str">
            <v>2. Cuentas comerciales y otras cuentas por pagar, corrientes</v>
          </cell>
          <cell r="AH1138" t="str">
            <v>III. Pasivos de los segmentos</v>
          </cell>
        </row>
        <row r="1139">
          <cell r="D1139" t="str">
            <v>2106001</v>
          </cell>
          <cell r="E1139" t="str">
            <v>2106001</v>
          </cell>
          <cell r="F1139" t="str">
            <v>Facturas por Pagar Nacionales</v>
          </cell>
          <cell r="G1139" t="str">
            <v>2106001  Facturas por Pagar Nacionales</v>
          </cell>
          <cell r="H1139" t="str">
            <v>Balance</v>
          </cell>
          <cell r="I1139" t="str">
            <v>II. Pasivos</v>
          </cell>
          <cell r="J1139" t="str">
            <v>1. Pasivos corrientes</v>
          </cell>
          <cell r="K1139" t="str">
            <v>2. Cuentas comerciales y otras cuentas por pagar, corrientes</v>
          </cell>
          <cell r="U1139" t="str">
            <v>2. Cuentas comerciales y otras cuentas por pagar, corrientes</v>
          </cell>
          <cell r="AH1139" t="str">
            <v>III. Pasivos de los segmentos</v>
          </cell>
        </row>
        <row r="1140">
          <cell r="D1140" t="str">
            <v>2107001</v>
          </cell>
          <cell r="E1140" t="str">
            <v>2107001</v>
          </cell>
          <cell r="F1140" t="str">
            <v>Cheques caducados</v>
          </cell>
          <cell r="G1140" t="str">
            <v>2107001  Cheques caducados</v>
          </cell>
          <cell r="H1140" t="str">
            <v>Balance</v>
          </cell>
          <cell r="I1140" t="str">
            <v>II. Pasivos</v>
          </cell>
          <cell r="J1140" t="str">
            <v>1. Pasivos corrientes</v>
          </cell>
          <cell r="K1140" t="str">
            <v>2. Cuentas comerciales y otras cuentas por pagar, corrientes</v>
          </cell>
          <cell r="U1140" t="str">
            <v>2. Cuentas comerciales y otras cuentas por pagar, corrientes</v>
          </cell>
          <cell r="AH1140" t="str">
            <v>III. Pasivos de los segmentos</v>
          </cell>
        </row>
        <row r="1141">
          <cell r="D1141" t="str">
            <v>2108002</v>
          </cell>
          <cell r="E1141" t="str">
            <v>2108002</v>
          </cell>
          <cell r="F1141" t="str">
            <v>Honorarios por Pagar</v>
          </cell>
          <cell r="G1141" t="str">
            <v>2108002  Honorarios por Pagar</v>
          </cell>
          <cell r="H1141" t="str">
            <v>Balance</v>
          </cell>
          <cell r="I1141" t="str">
            <v>II. Pasivos</v>
          </cell>
          <cell r="J1141" t="str">
            <v>1. Pasivos corrientes</v>
          </cell>
          <cell r="K1141" t="str">
            <v>2. Cuentas comerciales y otras cuentas por pagar, corrientes</v>
          </cell>
          <cell r="U1141" t="str">
            <v>2. Cuentas comerciales y otras cuentas por pagar, corrientes</v>
          </cell>
          <cell r="AH1141" t="str">
            <v>III. Pasivos de los segmentos</v>
          </cell>
        </row>
        <row r="1142">
          <cell r="D1142" t="str">
            <v>2108003</v>
          </cell>
          <cell r="E1142" t="str">
            <v>2108003</v>
          </cell>
          <cell r="F1142" t="str">
            <v>Remuneraciones por Pagar</v>
          </cell>
          <cell r="G1142" t="str">
            <v>2108003  Remuneraciones por Pagar</v>
          </cell>
          <cell r="H1142" t="str">
            <v>Balance</v>
          </cell>
          <cell r="I1142" t="str">
            <v>II. Pasivos</v>
          </cell>
          <cell r="J1142" t="str">
            <v>1. Pasivos corrientes</v>
          </cell>
          <cell r="K1142" t="str">
            <v>2. Cuentas comerciales y otras cuentas por pagar, corrientes</v>
          </cell>
          <cell r="U1142" t="str">
            <v>2. Cuentas comerciales y otras cuentas por pagar, corrientes</v>
          </cell>
          <cell r="AH1142" t="str">
            <v>III. Pasivos de los segmentos</v>
          </cell>
        </row>
        <row r="1143">
          <cell r="D1143" t="str">
            <v>2108004</v>
          </cell>
          <cell r="E1143" t="str">
            <v>2108004</v>
          </cell>
          <cell r="F1143" t="str">
            <v>depositos por identificar</v>
          </cell>
          <cell r="G1143" t="str">
            <v>2108004  depositos por identificar</v>
          </cell>
          <cell r="H1143" t="str">
            <v>Balance</v>
          </cell>
          <cell r="I1143" t="str">
            <v>II. Pasivos</v>
          </cell>
          <cell r="J1143" t="str">
            <v>1. Pasivos corrientes</v>
          </cell>
          <cell r="K1143" t="str">
            <v>2. Cuentas comerciales y otras cuentas por pagar, corrientes</v>
          </cell>
          <cell r="U1143" t="str">
            <v>2. Cuentas comerciales y otras cuentas por pagar, corrientes</v>
          </cell>
          <cell r="AH1143" t="str">
            <v>III. Pasivos de los segmentos</v>
          </cell>
        </row>
        <row r="1144">
          <cell r="D1144" t="str">
            <v>2108005</v>
          </cell>
          <cell r="E1144" t="str">
            <v>2108005</v>
          </cell>
          <cell r="F1144" t="str">
            <v>Finiquito por Pagar</v>
          </cell>
          <cell r="G1144" t="str">
            <v>2108005  Finiquito por Pagar</v>
          </cell>
          <cell r="H1144" t="str">
            <v>Balance</v>
          </cell>
          <cell r="I1144" t="str">
            <v>II. Pasivos</v>
          </cell>
          <cell r="J1144" t="str">
            <v>1. Pasivos corrientes</v>
          </cell>
          <cell r="K1144" t="str">
            <v>2. Cuentas comerciales y otras cuentas por pagar, corrientes</v>
          </cell>
          <cell r="U1144" t="str">
            <v>2. Cuentas comerciales y otras cuentas por pagar, corrientes</v>
          </cell>
          <cell r="AH1144" t="str">
            <v>III. Pasivos de los segmentos</v>
          </cell>
        </row>
        <row r="1145">
          <cell r="D1145" t="str">
            <v>2113001</v>
          </cell>
          <cell r="E1145" t="str">
            <v>2113001</v>
          </cell>
          <cell r="F1145" t="str">
            <v>Anticipo de Clientes</v>
          </cell>
          <cell r="G1145" t="str">
            <v>2113001  Anticipo de Clientes</v>
          </cell>
          <cell r="H1145" t="str">
            <v>Balance</v>
          </cell>
          <cell r="I1145" t="str">
            <v>II. Pasivos</v>
          </cell>
          <cell r="J1145" t="str">
            <v>1. Pasivos corrientes</v>
          </cell>
          <cell r="K1145" t="str">
            <v>2. Cuentas comerciales y otras cuentas por pagar, corrientes</v>
          </cell>
          <cell r="U1145" t="str">
            <v>2. Cuentas comerciales y otras cuentas por pagar, corrientes</v>
          </cell>
          <cell r="AH1145" t="str">
            <v>III. Pasivos de los segmentos</v>
          </cell>
        </row>
        <row r="1146">
          <cell r="D1146" t="str">
            <v>2113002</v>
          </cell>
          <cell r="E1146" t="str">
            <v>2113002</v>
          </cell>
          <cell r="F1146" t="str">
            <v>Anticipos</v>
          </cell>
          <cell r="G1146" t="str">
            <v>2113002  Anticipos</v>
          </cell>
          <cell r="H1146" t="str">
            <v>Balance</v>
          </cell>
          <cell r="I1146" t="str">
            <v>II. Pasivos</v>
          </cell>
          <cell r="J1146" t="str">
            <v>1. Pasivos corrientes</v>
          </cell>
          <cell r="K1146" t="str">
            <v>2. Cuentas comerciales y otras cuentas por pagar, corrientes</v>
          </cell>
          <cell r="U1146" t="str">
            <v>2. Cuentas comerciales y otras cuentas por pagar, corrientes</v>
          </cell>
          <cell r="AH1146" t="str">
            <v>III. Pasivos de los segmentos</v>
          </cell>
        </row>
        <row r="1147">
          <cell r="D1147" t="str">
            <v>2113003</v>
          </cell>
          <cell r="E1147" t="str">
            <v>2113003</v>
          </cell>
          <cell r="F1147" t="str">
            <v>Anticipo venta de casas empresa</v>
          </cell>
          <cell r="G1147" t="str">
            <v>2113003  Anticipo venta de casas empresa</v>
          </cell>
          <cell r="H1147" t="str">
            <v>Balance</v>
          </cell>
          <cell r="I1147" t="str">
            <v>II. Pasivos</v>
          </cell>
          <cell r="J1147" t="str">
            <v>1. Pasivos corrientes</v>
          </cell>
          <cell r="K1147" t="str">
            <v>2. Cuentas comerciales y otras cuentas por pagar, corrientes</v>
          </cell>
          <cell r="U1147" t="str">
            <v>2. Cuentas comerciales y otras cuentas por pagar, corrientes</v>
          </cell>
          <cell r="AH1147" t="str">
            <v>III. Pasivos de los segmentos</v>
          </cell>
        </row>
        <row r="1148">
          <cell r="D1148" t="str">
            <v>2113004</v>
          </cell>
          <cell r="E1148" t="str">
            <v>2113004</v>
          </cell>
          <cell r="F1148" t="str">
            <v>Anticipo venta de recinto</v>
          </cell>
          <cell r="G1148" t="str">
            <v>2113004  Anticipo venta de recinto</v>
          </cell>
          <cell r="H1148" t="str">
            <v>Balance</v>
          </cell>
          <cell r="I1148" t="str">
            <v>II. Pasivos</v>
          </cell>
          <cell r="J1148" t="str">
            <v>1. Pasivos corrientes</v>
          </cell>
          <cell r="K1148" t="str">
            <v>2. Cuentas comerciales y otras cuentas por pagar, corrientes</v>
          </cell>
          <cell r="U1148" t="str">
            <v>2. Cuentas comerciales y otras cuentas por pagar, corrientes</v>
          </cell>
          <cell r="AH1148" t="str">
            <v>III. Pasivos de los segmentos</v>
          </cell>
        </row>
        <row r="1149">
          <cell r="D1149" t="str">
            <v>2113005</v>
          </cell>
          <cell r="E1149" t="str">
            <v>2113005</v>
          </cell>
          <cell r="F1149" t="str">
            <v>Fondos Recibidos en Administración</v>
          </cell>
          <cell r="G1149" t="str">
            <v>2113005  Fondos Recibidos en Administración</v>
          </cell>
          <cell r="H1149" t="str">
            <v>Balance</v>
          </cell>
          <cell r="I1149" t="str">
            <v>II. Pasivos</v>
          </cell>
          <cell r="J1149" t="str">
            <v>1. Pasivos corrientes</v>
          </cell>
          <cell r="K1149" t="str">
            <v>2. Cuentas comerciales y otras cuentas por pagar, corrientes</v>
          </cell>
          <cell r="U1149" t="str">
            <v>2. Cuentas comerciales y otras cuentas por pagar, corrientes</v>
          </cell>
          <cell r="AH1149" t="str">
            <v>III. Pasivos de los segmentos</v>
          </cell>
        </row>
        <row r="1150">
          <cell r="D1150" t="str">
            <v>2111001</v>
          </cell>
          <cell r="E1150" t="str">
            <v>2111001</v>
          </cell>
          <cell r="F1150" t="str">
            <v>IVA Débito Fiscal</v>
          </cell>
          <cell r="G1150" t="str">
            <v>2111001  IVA Débito Fiscal</v>
          </cell>
          <cell r="H1150" t="str">
            <v>Balance</v>
          </cell>
          <cell r="I1150" t="str">
            <v>II. Pasivos</v>
          </cell>
          <cell r="J1150" t="str">
            <v>1. Pasivos corrientes</v>
          </cell>
          <cell r="K1150" t="str">
            <v>2. Cuentas comerciales y otras cuentas por pagar, corrientes</v>
          </cell>
          <cell r="U1150" t="str">
            <v>2. Cuentas comerciales y otras cuentas por pagar, corrientes</v>
          </cell>
          <cell r="AH1150" t="str">
            <v>III. Pasivos de los segmentos</v>
          </cell>
        </row>
        <row r="1151">
          <cell r="D1151" t="str">
            <v>2111002</v>
          </cell>
          <cell r="E1151" t="str">
            <v>2111002</v>
          </cell>
          <cell r="F1151" t="str">
            <v>Impuesto Unico</v>
          </cell>
          <cell r="G1151" t="str">
            <v>2111002  Impuesto Unico</v>
          </cell>
          <cell r="H1151" t="str">
            <v>Balance</v>
          </cell>
          <cell r="I1151" t="str">
            <v>II. Pasivos</v>
          </cell>
          <cell r="J1151" t="str">
            <v>1. Pasivos corrientes</v>
          </cell>
          <cell r="K1151" t="str">
            <v>2. Cuentas comerciales y otras cuentas por pagar, corrientes</v>
          </cell>
          <cell r="U1151" t="str">
            <v>2. Cuentas comerciales y otras cuentas por pagar, corrientes</v>
          </cell>
          <cell r="AH1151" t="str">
            <v>III. Pasivos de los segmentos</v>
          </cell>
        </row>
        <row r="1152">
          <cell r="D1152" t="str">
            <v>2111004</v>
          </cell>
          <cell r="E1152" t="str">
            <v>2111004</v>
          </cell>
          <cell r="F1152" t="str">
            <v>Retención Segunda categoría</v>
          </cell>
          <cell r="G1152" t="str">
            <v>2111004  Retención Segunda categoría</v>
          </cell>
          <cell r="H1152" t="str">
            <v>Balance</v>
          </cell>
          <cell r="I1152" t="str">
            <v>II. Pasivos</v>
          </cell>
          <cell r="J1152" t="str">
            <v>1. Pasivos corrientes</v>
          </cell>
          <cell r="K1152" t="str">
            <v>2. Cuentas comerciales y otras cuentas por pagar, corrientes</v>
          </cell>
          <cell r="U1152" t="str">
            <v>2. Cuentas comerciales y otras cuentas por pagar, corrientes</v>
          </cell>
          <cell r="AH1152" t="str">
            <v>III. Pasivos de los segmentos</v>
          </cell>
        </row>
        <row r="1153">
          <cell r="D1153" t="str">
            <v>2111005</v>
          </cell>
          <cell r="E1153" t="str">
            <v>2111005</v>
          </cell>
          <cell r="F1153" t="str">
            <v>Impto. Segunda Categoría Directores</v>
          </cell>
          <cell r="G1153" t="str">
            <v>2111005  Impto. Segunda Categoría Directores</v>
          </cell>
          <cell r="H1153" t="str">
            <v>Balance</v>
          </cell>
          <cell r="I1153" t="str">
            <v>II. Pasivos</v>
          </cell>
          <cell r="J1153" t="str">
            <v>1. Pasivos corrientes</v>
          </cell>
          <cell r="K1153" t="str">
            <v>2. Cuentas comerciales y otras cuentas por pagar, corrientes</v>
          </cell>
          <cell r="U1153" t="str">
            <v>2. Cuentas comerciales y otras cuentas por pagar, corrientes</v>
          </cell>
          <cell r="AH1153" t="str">
            <v>III. Pasivos de los segmentos</v>
          </cell>
        </row>
        <row r="1154">
          <cell r="D1154">
            <v>0</v>
          </cell>
          <cell r="G1154" t="str">
            <v/>
          </cell>
          <cell r="H1154" t="str">
            <v>Balance</v>
          </cell>
          <cell r="I1154" t="str">
            <v>II. Pasivos</v>
          </cell>
          <cell r="J1154" t="str">
            <v>1. Pasivos corrientes</v>
          </cell>
          <cell r="K1154" t="str">
            <v>2. Cuentas comerciales y otras cuentas por pagar, corrientes</v>
          </cell>
          <cell r="U1154" t="str">
            <v>2. Cuentas comerciales y otras cuentas por pagar, corrientes</v>
          </cell>
          <cell r="AH1154" t="str">
            <v>III. Pasivos de los segmentos</v>
          </cell>
        </row>
        <row r="1155">
          <cell r="D1155">
            <v>0</v>
          </cell>
          <cell r="G1155" t="str">
            <v/>
          </cell>
          <cell r="H1155" t="str">
            <v>Balance</v>
          </cell>
          <cell r="I1155" t="str">
            <v>II. Pasivos</v>
          </cell>
          <cell r="J1155" t="str">
            <v>1. Pasivos corrientes</v>
          </cell>
          <cell r="K1155" t="str">
            <v>2. Cuentas comerciales y otras cuentas por pagar, corrientes</v>
          </cell>
          <cell r="U1155" t="str">
            <v>2. Cuentas comerciales y otras cuentas por pagar, corrientes</v>
          </cell>
          <cell r="AH1155" t="str">
            <v>III. Pasivos de los segmentos</v>
          </cell>
        </row>
        <row r="1156">
          <cell r="D1156">
            <v>0</v>
          </cell>
          <cell r="F1156" t="str">
            <v>Cuentas por Pagar Comerciales y Otras Cuentas por Pagar</v>
          </cell>
          <cell r="G1156" t="str">
            <v/>
          </cell>
          <cell r="H1156" t="str">
            <v/>
          </cell>
          <cell r="U1156" t="str">
            <v/>
          </cell>
          <cell r="AH1156" t="str">
            <v/>
          </cell>
        </row>
        <row r="1157">
          <cell r="D1157">
            <v>0</v>
          </cell>
          <cell r="F1157" t="str">
            <v/>
          </cell>
          <cell r="G1157" t="str">
            <v/>
          </cell>
          <cell r="H1157" t="str">
            <v/>
          </cell>
          <cell r="U1157" t="str">
            <v/>
          </cell>
          <cell r="AH1157" t="str">
            <v/>
          </cell>
        </row>
        <row r="1158">
          <cell r="D1158" t="str">
            <v>2109002</v>
          </cell>
          <cell r="E1158" t="str">
            <v>2109002</v>
          </cell>
          <cell r="F1158" t="str">
            <v>Cuentas por Pagar a EFE</v>
          </cell>
          <cell r="G1158" t="str">
            <v>2109002  Cuentas por Pagar a EFE</v>
          </cell>
          <cell r="H1158" t="str">
            <v>Balance</v>
          </cell>
          <cell r="I1158" t="str">
            <v>II. Pasivos</v>
          </cell>
          <cell r="J1158" t="str">
            <v>1. Pasivos corrientes</v>
          </cell>
          <cell r="K1158" t="str">
            <v>3. Cuentas por Pagar a Entidades Relacionadas, corrientes</v>
          </cell>
          <cell r="U1158" t="str">
            <v>3. Cuentas por Pagar a Entidades Relacionadas, corrientes</v>
          </cell>
          <cell r="AH1158" t="str">
            <v>III. Pasivos de los segmentos</v>
          </cell>
        </row>
        <row r="1159">
          <cell r="D1159" t="str">
            <v>2109003</v>
          </cell>
          <cell r="E1159" t="str">
            <v>2109003</v>
          </cell>
          <cell r="F1159" t="str">
            <v>Cta . Cte. EFE</v>
          </cell>
          <cell r="G1159" t="str">
            <v>2109003  Cta . Cte. EFE</v>
          </cell>
          <cell r="H1159" t="str">
            <v>Balance</v>
          </cell>
          <cell r="I1159" t="str">
            <v>II. Pasivos</v>
          </cell>
          <cell r="J1159" t="str">
            <v>1. Pasivos corrientes</v>
          </cell>
          <cell r="K1159" t="str">
            <v>3. Cuentas por Pagar a Entidades Relacionadas, corrientes</v>
          </cell>
          <cell r="U1159" t="str">
            <v>3. Cuentas por Pagar a Entidades Relacionadas, corrientes</v>
          </cell>
          <cell r="AH1159" t="str">
            <v>III. Pasivos de los segmentos</v>
          </cell>
        </row>
        <row r="1160">
          <cell r="D1160" t="str">
            <v>2109004</v>
          </cell>
          <cell r="E1160" t="str">
            <v>2109004</v>
          </cell>
          <cell r="F1160" t="str">
            <v>Cta. Cte. ITF</v>
          </cell>
          <cell r="G1160" t="str">
            <v>2109004  Cta. Cte. ITF</v>
          </cell>
          <cell r="H1160" t="str">
            <v>Balance</v>
          </cell>
          <cell r="I1160" t="str">
            <v>II. Pasivos</v>
          </cell>
          <cell r="J1160" t="str">
            <v>1. Pasivos corrientes</v>
          </cell>
          <cell r="K1160" t="str">
            <v>3. Cuentas por Pagar a Entidades Relacionadas, corrientes</v>
          </cell>
          <cell r="U1160" t="str">
            <v>3. Cuentas por Pagar a Entidades Relacionadas, corrientes</v>
          </cell>
          <cell r="AH1160" t="str">
            <v>III. Pasivos de los segmentos</v>
          </cell>
        </row>
        <row r="1161">
          <cell r="D1161" t="str">
            <v>2109005</v>
          </cell>
          <cell r="E1161" t="str">
            <v>2109005</v>
          </cell>
          <cell r="F1161" t="str">
            <v>Cta. Cte. Ferrosalud</v>
          </cell>
          <cell r="G1161" t="str">
            <v>2109005  Cta. Cte. Ferrosalud</v>
          </cell>
          <cell r="H1161" t="str">
            <v>Balance</v>
          </cell>
          <cell r="I1161" t="str">
            <v>II. Pasivos</v>
          </cell>
          <cell r="J1161" t="str">
            <v>1. Pasivos corrientes</v>
          </cell>
          <cell r="K1161" t="str">
            <v>3. Cuentas por Pagar a Entidades Relacionadas, corrientes</v>
          </cell>
          <cell r="U1161" t="str">
            <v>3. Cuentas por Pagar a Entidades Relacionadas, corrientes</v>
          </cell>
          <cell r="AH1161" t="str">
            <v>III. Pasivos de los segmentos</v>
          </cell>
        </row>
        <row r="1162">
          <cell r="D1162" t="str">
            <v>2109006</v>
          </cell>
          <cell r="E1162" t="str">
            <v>2109006</v>
          </cell>
          <cell r="F1162" t="str">
            <v>Fondos por Rendir s EFE</v>
          </cell>
          <cell r="G1162" t="str">
            <v>2109006  Fondos por Rendir s EFE</v>
          </cell>
          <cell r="H1162" t="str">
            <v>Balance</v>
          </cell>
          <cell r="I1162" t="str">
            <v>II. Pasivos</v>
          </cell>
          <cell r="J1162" t="str">
            <v>1. Pasivos corrientes</v>
          </cell>
          <cell r="K1162" t="str">
            <v>3. Cuentas por Pagar a Entidades Relacionadas, corrientes</v>
          </cell>
          <cell r="U1162" t="str">
            <v>3. Cuentas por Pagar a Entidades Relacionadas, corrientes</v>
          </cell>
          <cell r="AH1162" t="str">
            <v>III. Pasivos de los segmentos</v>
          </cell>
        </row>
        <row r="1163">
          <cell r="D1163">
            <v>0</v>
          </cell>
          <cell r="G1163" t="str">
            <v/>
          </cell>
          <cell r="H1163" t="str">
            <v>Balance</v>
          </cell>
          <cell r="I1163" t="str">
            <v>II. Pasivos</v>
          </cell>
          <cell r="J1163" t="str">
            <v>1. Pasivos corrientes</v>
          </cell>
          <cell r="K1163" t="str">
            <v>3. Cuentas por Pagar a Entidades Relacionadas, corrientes</v>
          </cell>
          <cell r="U1163" t="str">
            <v>3. Cuentas por Pagar a Entidades Relacionadas, corrientes</v>
          </cell>
          <cell r="AH1163" t="str">
            <v>III. Pasivos de los segmentos</v>
          </cell>
        </row>
        <row r="1164">
          <cell r="D1164">
            <v>0</v>
          </cell>
          <cell r="F1164" t="str">
            <v>Cuentas por Pagar a Entidades Relacionadas, Corrientes</v>
          </cell>
          <cell r="G1164" t="str">
            <v/>
          </cell>
          <cell r="H1164" t="str">
            <v/>
          </cell>
          <cell r="U1164" t="str">
            <v/>
          </cell>
          <cell r="AH1164" t="str">
            <v/>
          </cell>
        </row>
        <row r="1165">
          <cell r="D1165">
            <v>0</v>
          </cell>
          <cell r="F1165" t="str">
            <v/>
          </cell>
          <cell r="G1165" t="str">
            <v/>
          </cell>
          <cell r="H1165" t="str">
            <v/>
          </cell>
          <cell r="U1165" t="str">
            <v/>
          </cell>
          <cell r="AH1165" t="str">
            <v/>
          </cell>
        </row>
        <row r="1166">
          <cell r="D1166" t="str">
            <v>2110002</v>
          </cell>
          <cell r="E1166" t="str">
            <v>2110002</v>
          </cell>
          <cell r="F1166" t="str">
            <v>Provisiones Varias</v>
          </cell>
          <cell r="G1166" t="str">
            <v>2110002  Provisiones Varias</v>
          </cell>
          <cell r="H1166" t="str">
            <v>Balance</v>
          </cell>
          <cell r="I1166" t="str">
            <v>II. Pasivos</v>
          </cell>
          <cell r="J1166" t="str">
            <v>1. Pasivos corrientes</v>
          </cell>
          <cell r="K1166" t="str">
            <v>4. Otras Provisiones, corrientes</v>
          </cell>
          <cell r="U1166" t="str">
            <v>4. Otras Provisiones, corrientes</v>
          </cell>
          <cell r="AH1166" t="str">
            <v>III. Pasivos de los segmentos</v>
          </cell>
        </row>
        <row r="1167">
          <cell r="D1167" t="str">
            <v>2110003</v>
          </cell>
          <cell r="E1167" t="str">
            <v>2110003</v>
          </cell>
          <cell r="F1167" t="str">
            <v>Provisión Bono de Prod.Gerencia</v>
          </cell>
          <cell r="G1167" t="str">
            <v>2110003  Provisión Bono de Prod.Gerencia</v>
          </cell>
          <cell r="H1167" t="str">
            <v>Balance</v>
          </cell>
          <cell r="I1167" t="str">
            <v>II. Pasivos</v>
          </cell>
          <cell r="J1167" t="str">
            <v>1. Pasivos corrientes</v>
          </cell>
          <cell r="K1167" t="str">
            <v>4. Otras Provisiones, corrientes</v>
          </cell>
          <cell r="U1167" t="str">
            <v>4. Otras Provisiones, corrientes</v>
          </cell>
          <cell r="AH1167" t="str">
            <v>III. Pasivos de los segmentos</v>
          </cell>
        </row>
        <row r="1168">
          <cell r="D1168" t="str">
            <v>2110004</v>
          </cell>
          <cell r="E1168" t="str">
            <v>2110004</v>
          </cell>
          <cell r="F1168" t="str">
            <v>Provisión Cierre Bce ( Facturas - Otros )</v>
          </cell>
          <cell r="G1168" t="str">
            <v>2110004  Provisión Cierre Bce ( Facturas - Otros )</v>
          </cell>
          <cell r="H1168" t="str">
            <v>Balance</v>
          </cell>
          <cell r="I1168" t="str">
            <v>II. Pasivos</v>
          </cell>
          <cell r="J1168" t="str">
            <v>1. Pasivos corrientes</v>
          </cell>
          <cell r="K1168" t="str">
            <v>4. Otras Provisiones, corrientes</v>
          </cell>
          <cell r="U1168" t="str">
            <v>4. Otras Provisiones, corrientes</v>
          </cell>
          <cell r="AH1168" t="str">
            <v>III. Pasivos de los segmentos</v>
          </cell>
        </row>
        <row r="1169">
          <cell r="D1169">
            <v>0</v>
          </cell>
          <cell r="G1169" t="str">
            <v/>
          </cell>
          <cell r="H1169" t="str">
            <v>Balance</v>
          </cell>
          <cell r="I1169" t="str">
            <v>II. Pasivos</v>
          </cell>
          <cell r="J1169" t="str">
            <v>1. Pasivos corrientes</v>
          </cell>
          <cell r="K1169" t="str">
            <v>4. Otras Provisiones, corrientes</v>
          </cell>
          <cell r="U1169" t="str">
            <v>4. Otras Provisiones, corrientes</v>
          </cell>
          <cell r="AH1169" t="str">
            <v>III. Pasivos de los segmentos</v>
          </cell>
        </row>
        <row r="1170">
          <cell r="D1170">
            <v>0</v>
          </cell>
          <cell r="G1170" t="str">
            <v/>
          </cell>
          <cell r="H1170" t="str">
            <v>Balance</v>
          </cell>
          <cell r="I1170" t="str">
            <v>II. Pasivos</v>
          </cell>
          <cell r="J1170" t="str">
            <v>1. Pasivos corrientes</v>
          </cell>
          <cell r="K1170" t="str">
            <v>4. Otras Provisiones, corrientes</v>
          </cell>
          <cell r="U1170" t="str">
            <v>4. Otras Provisiones, corrientes</v>
          </cell>
          <cell r="AH1170" t="str">
            <v>III. Pasivos de los segmentos</v>
          </cell>
        </row>
        <row r="1171">
          <cell r="D1171">
            <v>0</v>
          </cell>
          <cell r="G1171" t="str">
            <v/>
          </cell>
          <cell r="H1171" t="str">
            <v>Balance</v>
          </cell>
          <cell r="I1171" t="str">
            <v>II. Pasivos</v>
          </cell>
          <cell r="J1171" t="str">
            <v>1. Pasivos corrientes</v>
          </cell>
          <cell r="K1171" t="str">
            <v>4. Otras Provisiones, corrientes</v>
          </cell>
          <cell r="U1171" t="str">
            <v>4. Otras Provisiones, corrientes</v>
          </cell>
          <cell r="AH1171" t="str">
            <v>III. Pasivos de los segmentos</v>
          </cell>
        </row>
        <row r="1172">
          <cell r="D1172">
            <v>0</v>
          </cell>
          <cell r="F1172" t="str">
            <v>Otras Provisones A Corto Plazo</v>
          </cell>
          <cell r="G1172" t="str">
            <v/>
          </cell>
          <cell r="H1172" t="str">
            <v/>
          </cell>
          <cell r="U1172" t="str">
            <v/>
          </cell>
          <cell r="AH1172" t="str">
            <v/>
          </cell>
        </row>
        <row r="1173">
          <cell r="D1173">
            <v>0</v>
          </cell>
          <cell r="F1173" t="str">
            <v/>
          </cell>
          <cell r="G1173" t="str">
            <v/>
          </cell>
          <cell r="H1173" t="str">
            <v/>
          </cell>
          <cell r="U1173" t="str">
            <v/>
          </cell>
          <cell r="AH1173" t="str">
            <v/>
          </cell>
        </row>
        <row r="1174">
          <cell r="D1174" t="str">
            <v>2111003</v>
          </cell>
          <cell r="E1174" t="str">
            <v>2111003</v>
          </cell>
          <cell r="F1174" t="str">
            <v>PPM por Pagar</v>
          </cell>
          <cell r="G1174" t="str">
            <v>2111003  PPM por Pagar</v>
          </cell>
          <cell r="H1174" t="str">
            <v>Balance</v>
          </cell>
          <cell r="I1174" t="str">
            <v>II. Pasivos</v>
          </cell>
          <cell r="J1174" t="str">
            <v>1. Pasivos corrientes</v>
          </cell>
          <cell r="K1174" t="str">
            <v>5. Pasivos por Impuestos, corrientes</v>
          </cell>
          <cell r="U1174" t="str">
            <v>5. Pasivos por Impuestos, corrientes</v>
          </cell>
          <cell r="AH1174" t="str">
            <v>III. Pasivos de los segmentos</v>
          </cell>
        </row>
        <row r="1175">
          <cell r="D1175">
            <v>0</v>
          </cell>
          <cell r="G1175" t="str">
            <v/>
          </cell>
          <cell r="H1175" t="str">
            <v>Balance</v>
          </cell>
          <cell r="I1175" t="str">
            <v>II. Pasivos</v>
          </cell>
          <cell r="J1175" t="str">
            <v>1. Pasivos corrientes</v>
          </cell>
          <cell r="K1175" t="str">
            <v>5. Pasivos por Impuestos, corrientes</v>
          </cell>
          <cell r="U1175" t="str">
            <v>5. Pasivos por Impuestos, corrientes</v>
          </cell>
          <cell r="AH1175" t="str">
            <v>III. Pasivos de los segmentos</v>
          </cell>
        </row>
        <row r="1176">
          <cell r="D1176">
            <v>0</v>
          </cell>
          <cell r="G1176" t="str">
            <v/>
          </cell>
          <cell r="H1176" t="str">
            <v>Balance</v>
          </cell>
          <cell r="I1176" t="str">
            <v>II. Pasivos</v>
          </cell>
          <cell r="J1176" t="str">
            <v>1. Pasivos corrientes</v>
          </cell>
          <cell r="K1176" t="str">
            <v>5. Pasivos por Impuestos, corrientes</v>
          </cell>
          <cell r="U1176" t="str">
            <v>5. Pasivos por Impuestos, corrientes</v>
          </cell>
          <cell r="AH1176" t="str">
            <v>III. Pasivos de los segmentos</v>
          </cell>
        </row>
        <row r="1177">
          <cell r="D1177">
            <v>0</v>
          </cell>
          <cell r="G1177" t="str">
            <v/>
          </cell>
          <cell r="H1177" t="str">
            <v>Balance</v>
          </cell>
          <cell r="I1177" t="str">
            <v>II. Pasivos</v>
          </cell>
          <cell r="J1177" t="str">
            <v>1. Pasivos corrientes</v>
          </cell>
          <cell r="K1177" t="str">
            <v>5. Pasivos por Impuestos, corrientes</v>
          </cell>
          <cell r="U1177" t="str">
            <v>5. Pasivos por Impuestos, corrientes</v>
          </cell>
          <cell r="AH1177" t="str">
            <v>III. Pasivos de los segmentos</v>
          </cell>
        </row>
        <row r="1178">
          <cell r="D1178">
            <v>0</v>
          </cell>
          <cell r="G1178" t="str">
            <v/>
          </cell>
          <cell r="H1178" t="str">
            <v>Balance</v>
          </cell>
          <cell r="I1178" t="str">
            <v>II. Pasivos</v>
          </cell>
          <cell r="J1178" t="str">
            <v>1. Pasivos corrientes</v>
          </cell>
          <cell r="K1178" t="str">
            <v>5. Pasivos por Impuestos, corrientes</v>
          </cell>
          <cell r="U1178" t="str">
            <v>5. Pasivos por Impuestos, corrientes</v>
          </cell>
          <cell r="AH1178" t="str">
            <v>III. Pasivos de los segmentos</v>
          </cell>
        </row>
        <row r="1179">
          <cell r="D1179">
            <v>0</v>
          </cell>
          <cell r="G1179" t="str">
            <v/>
          </cell>
          <cell r="H1179" t="str">
            <v>Balance</v>
          </cell>
          <cell r="I1179" t="str">
            <v>II. Pasivos</v>
          </cell>
          <cell r="J1179" t="str">
            <v>1. Pasivos corrientes</v>
          </cell>
          <cell r="K1179" t="str">
            <v>5. Pasivos por Impuestos, corrientes</v>
          </cell>
          <cell r="U1179" t="str">
            <v>5. Pasivos por Impuestos, corrientes</v>
          </cell>
          <cell r="AH1179" t="str">
            <v>III. Pasivos de los segmentos</v>
          </cell>
        </row>
        <row r="1180">
          <cell r="D1180">
            <v>0</v>
          </cell>
          <cell r="G1180" t="str">
            <v/>
          </cell>
          <cell r="H1180" t="str">
            <v>Balance</v>
          </cell>
          <cell r="I1180" t="str">
            <v>II. Pasivos</v>
          </cell>
          <cell r="J1180" t="str">
            <v>1. Pasivos corrientes</v>
          </cell>
          <cell r="K1180" t="str">
            <v>5. Pasivos por Impuestos, corrientes</v>
          </cell>
          <cell r="U1180" t="str">
            <v>5. Pasivos por Impuestos, corrientes</v>
          </cell>
          <cell r="AH1180" t="str">
            <v>III. Pasivos de los segmentos</v>
          </cell>
        </row>
        <row r="1181">
          <cell r="D1181">
            <v>0</v>
          </cell>
          <cell r="F1181" t="str">
            <v>Pasivos por Impuestos Corrientes</v>
          </cell>
          <cell r="G1181" t="str">
            <v/>
          </cell>
          <cell r="H1181" t="str">
            <v/>
          </cell>
          <cell r="U1181" t="str">
            <v/>
          </cell>
          <cell r="AH1181" t="str">
            <v/>
          </cell>
        </row>
        <row r="1182">
          <cell r="D1182">
            <v>0</v>
          </cell>
          <cell r="F1182" t="str">
            <v/>
          </cell>
          <cell r="G1182" t="str">
            <v/>
          </cell>
          <cell r="H1182" t="str">
            <v/>
          </cell>
          <cell r="U1182" t="str">
            <v/>
          </cell>
          <cell r="AH1182" t="str">
            <v/>
          </cell>
        </row>
        <row r="1183">
          <cell r="D1183" t="str">
            <v>2110001</v>
          </cell>
          <cell r="E1183" t="str">
            <v>2110001</v>
          </cell>
          <cell r="F1183" t="str">
            <v>Provisión de Vacaciones</v>
          </cell>
          <cell r="G1183" t="str">
            <v>2110001  Provisión de Vacaciones</v>
          </cell>
          <cell r="H1183" t="str">
            <v>Balance</v>
          </cell>
          <cell r="I1183" t="str">
            <v>II. Pasivos</v>
          </cell>
          <cell r="J1183" t="str">
            <v>1. Pasivos corrientes</v>
          </cell>
          <cell r="K1183" t="str">
            <v>6. Provisiones por beneficios a los empleados, corrientes</v>
          </cell>
          <cell r="U1183" t="str">
            <v>6. Provisiones por beneficios a los empleados, corrientes</v>
          </cell>
          <cell r="AH1183" t="str">
            <v>III. Pasivos de los segmentos</v>
          </cell>
        </row>
        <row r="1184">
          <cell r="D1184" t="str">
            <v>2110003</v>
          </cell>
          <cell r="E1184" t="str">
            <v>2110003</v>
          </cell>
          <cell r="F1184" t="str">
            <v>Provisión Bono de Prod.Gerencia</v>
          </cell>
          <cell r="G1184" t="str">
            <v>2110003  Provisión Bono de Prod.Gerencia</v>
          </cell>
          <cell r="H1184" t="str">
            <v>Balance</v>
          </cell>
          <cell r="I1184" t="str">
            <v>II. Pasivos</v>
          </cell>
          <cell r="J1184" t="str">
            <v>1. Pasivos corrientes</v>
          </cell>
          <cell r="K1184" t="str">
            <v>6. Provisiones por beneficios a los empleados, corrientes</v>
          </cell>
          <cell r="U1184" t="str">
            <v>6. Provisiones por beneficios a los empleados, corrientes</v>
          </cell>
          <cell r="AH1184" t="str">
            <v>III. Pasivos de los segmentos</v>
          </cell>
        </row>
        <row r="1185">
          <cell r="D1185">
            <v>0</v>
          </cell>
          <cell r="F1185" t="str">
            <v>Prov. Indem. Años De Servicios Todo Evento Cp</v>
          </cell>
          <cell r="G1185" t="str">
            <v/>
          </cell>
          <cell r="H1185" t="str">
            <v>Balance</v>
          </cell>
          <cell r="I1185" t="str">
            <v>II. Pasivos</v>
          </cell>
          <cell r="J1185" t="str">
            <v>1. Pasivos corrientes</v>
          </cell>
          <cell r="K1185" t="str">
            <v>6. Provisiones por beneficios a los empleados, corrientes</v>
          </cell>
          <cell r="U1185" t="str">
            <v>6. Provisiones por beneficios a los empleados, corrientes</v>
          </cell>
          <cell r="AH1185" t="str">
            <v>III. Pasivos de los segmentos</v>
          </cell>
        </row>
        <row r="1186">
          <cell r="D1186">
            <v>0</v>
          </cell>
          <cell r="G1186" t="str">
            <v/>
          </cell>
          <cell r="H1186" t="str">
            <v>Balance</v>
          </cell>
          <cell r="I1186" t="str">
            <v>II. Pasivos</v>
          </cell>
          <cell r="J1186" t="str">
            <v>1. Pasivos corrientes</v>
          </cell>
          <cell r="K1186" t="str">
            <v>6. Provisiones por beneficios a los empleados, corrientes</v>
          </cell>
          <cell r="U1186" t="str">
            <v>6. Provisiones por beneficios a los empleados, corrientes</v>
          </cell>
          <cell r="AH1186" t="str">
            <v>III. Pasivos de los segmentos</v>
          </cell>
        </row>
        <row r="1187">
          <cell r="D1187">
            <v>0</v>
          </cell>
          <cell r="F1187" t="str">
            <v>Provisiones Corrientes Por Beneficios a Los Empleados</v>
          </cell>
          <cell r="G1187" t="str">
            <v/>
          </cell>
          <cell r="H1187" t="str">
            <v/>
          </cell>
          <cell r="U1187" t="str">
            <v/>
          </cell>
          <cell r="AH1187" t="str">
            <v/>
          </cell>
        </row>
        <row r="1188">
          <cell r="D1188">
            <v>0</v>
          </cell>
          <cell r="F1188" t="str">
            <v/>
          </cell>
          <cell r="G1188" t="str">
            <v/>
          </cell>
          <cell r="H1188" t="str">
            <v/>
          </cell>
          <cell r="U1188" t="str">
            <v/>
          </cell>
          <cell r="AH1188" t="str">
            <v/>
          </cell>
        </row>
        <row r="1189">
          <cell r="D1189" t="str">
            <v>2111010</v>
          </cell>
          <cell r="E1189" t="str">
            <v>2111010</v>
          </cell>
          <cell r="F1189" t="str">
            <v>AFP</v>
          </cell>
          <cell r="G1189" t="str">
            <v>2111010  AFP</v>
          </cell>
          <cell r="H1189" t="str">
            <v>Balance</v>
          </cell>
          <cell r="I1189" t="str">
            <v>II. Pasivos</v>
          </cell>
          <cell r="J1189" t="str">
            <v>1. Pasivos corrientes</v>
          </cell>
          <cell r="K1189" t="str">
            <v>7. Otros Pasivos No Financieros, corrientes</v>
          </cell>
          <cell r="U1189" t="str">
            <v>7. Otros Pasivos No Financieros, corrientes</v>
          </cell>
          <cell r="AH1189" t="str">
            <v>III. Pasivos de los segmentos</v>
          </cell>
        </row>
        <row r="1190">
          <cell r="D1190" t="str">
            <v>2111011</v>
          </cell>
          <cell r="E1190" t="str">
            <v>2111011</v>
          </cell>
          <cell r="F1190" t="str">
            <v>ISAPRES</v>
          </cell>
          <cell r="G1190" t="str">
            <v>2111011  ISAPRES</v>
          </cell>
          <cell r="H1190" t="str">
            <v>Balance</v>
          </cell>
          <cell r="I1190" t="str">
            <v>II. Pasivos</v>
          </cell>
          <cell r="J1190" t="str">
            <v>1. Pasivos corrientes</v>
          </cell>
          <cell r="K1190" t="str">
            <v>7. Otros Pasivos No Financieros, corrientes</v>
          </cell>
          <cell r="U1190" t="str">
            <v>7. Otros Pasivos No Financieros, corrientes</v>
          </cell>
          <cell r="AH1190" t="str">
            <v>III. Pasivos de los segmentos</v>
          </cell>
        </row>
        <row r="1191">
          <cell r="D1191" t="str">
            <v>2111012</v>
          </cell>
          <cell r="E1191" t="str">
            <v>2111012</v>
          </cell>
          <cell r="F1191" t="str">
            <v>Otras Previsiones</v>
          </cell>
          <cell r="G1191" t="str">
            <v>2111012  Otras Previsiones</v>
          </cell>
          <cell r="H1191" t="str">
            <v>Balance</v>
          </cell>
          <cell r="I1191" t="str">
            <v>II. Pasivos</v>
          </cell>
          <cell r="J1191" t="str">
            <v>1. Pasivos corrientes</v>
          </cell>
          <cell r="K1191" t="str">
            <v>7. Otros Pasivos No Financieros, corrientes</v>
          </cell>
          <cell r="U1191" t="str">
            <v>7. Otros Pasivos No Financieros, corrientes</v>
          </cell>
          <cell r="AH1191" t="str">
            <v>III. Pasivos de los segmentos</v>
          </cell>
        </row>
        <row r="1192">
          <cell r="D1192">
            <v>0</v>
          </cell>
          <cell r="G1192" t="str">
            <v/>
          </cell>
          <cell r="H1192" t="str">
            <v>Balance</v>
          </cell>
          <cell r="I1192" t="str">
            <v>II. Pasivos</v>
          </cell>
          <cell r="J1192" t="str">
            <v>1. Pasivos corrientes</v>
          </cell>
          <cell r="K1192" t="str">
            <v>7. Otros Pasivos No Financieros, corrientes</v>
          </cell>
          <cell r="U1192" t="str">
            <v>7. Otros Pasivos No Financieros, corrientes</v>
          </cell>
          <cell r="AH1192" t="str">
            <v>III. Pasivos de los segmentos</v>
          </cell>
        </row>
        <row r="1193">
          <cell r="D1193">
            <v>0</v>
          </cell>
          <cell r="G1193" t="str">
            <v/>
          </cell>
          <cell r="H1193" t="str">
            <v>Balance</v>
          </cell>
          <cell r="I1193" t="str">
            <v>II. Pasivos</v>
          </cell>
          <cell r="J1193" t="str">
            <v>1. Pasivos corrientes</v>
          </cell>
          <cell r="K1193" t="str">
            <v>7. Otros Pasivos No Financieros, corrientes</v>
          </cell>
          <cell r="U1193" t="str">
            <v>7. Otros Pasivos No Financieros, corrientes</v>
          </cell>
          <cell r="AH1193" t="str">
            <v>III. Pasivos de los segmentos</v>
          </cell>
        </row>
        <row r="1194">
          <cell r="D1194">
            <v>0</v>
          </cell>
          <cell r="F1194" t="str">
            <v>Otros Pasivos No Financieros Corrientes</v>
          </cell>
          <cell r="G1194" t="str">
            <v/>
          </cell>
          <cell r="H1194" t="str">
            <v/>
          </cell>
          <cell r="U1194" t="str">
            <v/>
          </cell>
          <cell r="AH1194" t="str">
            <v/>
          </cell>
        </row>
        <row r="1195">
          <cell r="D1195">
            <v>0</v>
          </cell>
          <cell r="F1195" t="str">
            <v/>
          </cell>
          <cell r="G1195" t="str">
            <v/>
          </cell>
          <cell r="H1195" t="str">
            <v/>
          </cell>
          <cell r="U1195" t="str">
            <v/>
          </cell>
          <cell r="AH1195" t="str">
            <v/>
          </cell>
        </row>
        <row r="1196">
          <cell r="D1196">
            <v>0</v>
          </cell>
          <cell r="F1196" t="str">
            <v>Total De Pasivos Corrientes Distintos De Los Pasivos Incluidos En Grupos De Activos Para Su Disposición Clasificados Como Mantenidos Para La Venta</v>
          </cell>
          <cell r="G1196" t="str">
            <v/>
          </cell>
          <cell r="H1196" t="str">
            <v/>
          </cell>
          <cell r="I1196" t="str">
            <v>II. Pasivos</v>
          </cell>
          <cell r="J1196" t="str">
            <v>1. Pasivos corrientes</v>
          </cell>
          <cell r="U1196" t="str">
            <v/>
          </cell>
          <cell r="AH1196" t="str">
            <v>III. Pasivos de los segmentos</v>
          </cell>
        </row>
        <row r="1197">
          <cell r="D1197">
            <v>0</v>
          </cell>
          <cell r="F1197" t="str">
            <v/>
          </cell>
          <cell r="G1197" t="str">
            <v/>
          </cell>
          <cell r="H1197" t="str">
            <v/>
          </cell>
          <cell r="U1197" t="str">
            <v/>
          </cell>
          <cell r="AH1197" t="str">
            <v/>
          </cell>
        </row>
        <row r="1198">
          <cell r="D1198">
            <v>0</v>
          </cell>
          <cell r="F1198" t="str">
            <v>Pasivos Incluidos En Grupos De Activos Para Su Disposición Clasificados Como Mantenidos Para La Venta</v>
          </cell>
          <cell r="G1198" t="str">
            <v/>
          </cell>
          <cell r="H1198" t="str">
            <v/>
          </cell>
          <cell r="I1198" t="str">
            <v>II. Pasivos</v>
          </cell>
          <cell r="J1198" t="str">
            <v>1. Pasivos corrientes</v>
          </cell>
          <cell r="U1198" t="str">
            <v/>
          </cell>
          <cell r="AH1198" t="str">
            <v>III. Pasivos de los segmentos</v>
          </cell>
        </row>
        <row r="1199">
          <cell r="D1199">
            <v>0</v>
          </cell>
          <cell r="F1199" t="str">
            <v/>
          </cell>
          <cell r="G1199" t="str">
            <v/>
          </cell>
          <cell r="H1199" t="str">
            <v/>
          </cell>
          <cell r="U1199" t="str">
            <v/>
          </cell>
          <cell r="AH1199" t="str">
            <v/>
          </cell>
        </row>
        <row r="1200">
          <cell r="D1200">
            <v>0</v>
          </cell>
          <cell r="F1200" t="str">
            <v>Pasivos Corrientes Totales</v>
          </cell>
          <cell r="G1200" t="str">
            <v/>
          </cell>
          <cell r="H1200" t="str">
            <v/>
          </cell>
          <cell r="I1200" t="str">
            <v>II. Pasivos</v>
          </cell>
          <cell r="J1200" t="str">
            <v>1. Pasivos corrientes</v>
          </cell>
          <cell r="U1200" t="str">
            <v/>
          </cell>
          <cell r="AH1200" t="str">
            <v>III. Pasivos de los segmentos</v>
          </cell>
        </row>
        <row r="1201">
          <cell r="D1201">
            <v>0</v>
          </cell>
          <cell r="F1201" t="str">
            <v/>
          </cell>
          <cell r="G1201" t="str">
            <v/>
          </cell>
          <cell r="H1201" t="str">
            <v/>
          </cell>
          <cell r="U1201" t="str">
            <v/>
          </cell>
          <cell r="AH1201" t="str">
            <v/>
          </cell>
        </row>
        <row r="1202">
          <cell r="D1202">
            <v>0</v>
          </cell>
          <cell r="F1202" t="str">
            <v>Pasivos No Corrientes</v>
          </cell>
          <cell r="G1202" t="str">
            <v/>
          </cell>
          <cell r="H1202" t="str">
            <v/>
          </cell>
          <cell r="U1202" t="str">
            <v/>
          </cell>
          <cell r="AH1202" t="str">
            <v/>
          </cell>
        </row>
        <row r="1203">
          <cell r="D1203">
            <v>0</v>
          </cell>
          <cell r="G1203" t="str">
            <v/>
          </cell>
          <cell r="H1203" t="str">
            <v>Balance</v>
          </cell>
          <cell r="I1203" t="str">
            <v>II. Pasivos</v>
          </cell>
          <cell r="J1203" t="str">
            <v>2. Pasivos no corrientes</v>
          </cell>
          <cell r="K1203" t="str">
            <v>1. Otros Pasivos Financieros, no corrientes</v>
          </cell>
          <cell r="U1203" t="str">
            <v>1. Otros Pasivos Financieros, no corrientes</v>
          </cell>
          <cell r="AH1203" t="str">
            <v>III. Pasivos de los segmentos</v>
          </cell>
        </row>
        <row r="1204">
          <cell r="D1204">
            <v>0</v>
          </cell>
          <cell r="G1204" t="str">
            <v/>
          </cell>
          <cell r="H1204" t="str">
            <v>Balance</v>
          </cell>
          <cell r="I1204" t="str">
            <v>II. Pasivos</v>
          </cell>
          <cell r="J1204" t="str">
            <v>2. Pasivos no corrientes</v>
          </cell>
          <cell r="K1204" t="str">
            <v>1. Otros Pasivos Financieros, no corrientes</v>
          </cell>
          <cell r="U1204" t="str">
            <v>1. Otros Pasivos Financieros, no corrientes</v>
          </cell>
          <cell r="AH1204" t="str">
            <v>III. Pasivos de los segmentos</v>
          </cell>
        </row>
        <row r="1205">
          <cell r="D1205">
            <v>0</v>
          </cell>
          <cell r="F1205" t="str">
            <v>Otros Pasivos Financieros No Corrientes</v>
          </cell>
          <cell r="G1205" t="str">
            <v/>
          </cell>
          <cell r="H1205" t="str">
            <v/>
          </cell>
          <cell r="U1205" t="str">
            <v/>
          </cell>
          <cell r="AH1205" t="str">
            <v/>
          </cell>
        </row>
        <row r="1206">
          <cell r="D1206">
            <v>0</v>
          </cell>
          <cell r="G1206" t="str">
            <v/>
          </cell>
          <cell r="H1206" t="str">
            <v/>
          </cell>
          <cell r="U1206" t="str">
            <v/>
          </cell>
          <cell r="AH1206" t="str">
            <v/>
          </cell>
        </row>
        <row r="1207">
          <cell r="D1207" t="str">
            <v>2110005</v>
          </cell>
          <cell r="E1207" t="str">
            <v>2110005</v>
          </cell>
          <cell r="F1207" t="str">
            <v>Prov. Patrimonio Negativo Inve EERR</v>
          </cell>
          <cell r="G1207" t="str">
            <v>2110005  Prov. Patrimonio Negativo Inve EERR</v>
          </cell>
          <cell r="H1207" t="str">
            <v>Balance</v>
          </cell>
          <cell r="I1207" t="str">
            <v>II. Pasivos</v>
          </cell>
          <cell r="J1207" t="str">
            <v>2. Pasivos no corrientes</v>
          </cell>
          <cell r="K1207" t="str">
            <v>2. Otras cuentas por pagar, no corrientes</v>
          </cell>
          <cell r="U1207" t="str">
            <v>2. Otras cuentas por pagar, no corrientes</v>
          </cell>
          <cell r="AH1207" t="str">
            <v>III. Pasivos de los segmentos</v>
          </cell>
        </row>
        <row r="1208">
          <cell r="D1208">
            <v>0</v>
          </cell>
          <cell r="G1208" t="str">
            <v/>
          </cell>
          <cell r="H1208" t="str">
            <v>Balance</v>
          </cell>
          <cell r="I1208" t="str">
            <v>II. Pasivos</v>
          </cell>
          <cell r="J1208" t="str">
            <v>2. Pasivos no corrientes</v>
          </cell>
          <cell r="K1208" t="str">
            <v>2. Otras cuentas por pagar, no corrientes</v>
          </cell>
          <cell r="U1208" t="str">
            <v>2. Otras cuentas por pagar, no corrientes</v>
          </cell>
          <cell r="AH1208" t="str">
            <v>III. Pasivos de los segmentos</v>
          </cell>
        </row>
        <row r="1209">
          <cell r="D1209">
            <v>0</v>
          </cell>
          <cell r="G1209" t="str">
            <v/>
          </cell>
          <cell r="U1209" t="str">
            <v/>
          </cell>
          <cell r="AH1209" t="str">
            <v/>
          </cell>
        </row>
        <row r="1210">
          <cell r="D1210">
            <v>0</v>
          </cell>
          <cell r="F1210" t="str">
            <v>Pasivos No Corrientes</v>
          </cell>
          <cell r="G1210" t="str">
            <v/>
          </cell>
          <cell r="H1210" t="str">
            <v/>
          </cell>
          <cell r="U1210" t="str">
            <v/>
          </cell>
          <cell r="AH1210" t="str">
            <v/>
          </cell>
        </row>
        <row r="1211">
          <cell r="D1211">
            <v>0</v>
          </cell>
          <cell r="G1211" t="str">
            <v/>
          </cell>
          <cell r="H1211" t="str">
            <v/>
          </cell>
          <cell r="U1211" t="str">
            <v/>
          </cell>
          <cell r="AH1211" t="str">
            <v/>
          </cell>
        </row>
        <row r="1212">
          <cell r="D1212">
            <v>0</v>
          </cell>
          <cell r="G1212" t="str">
            <v/>
          </cell>
          <cell r="H1212" t="str">
            <v/>
          </cell>
          <cell r="I1212" t="str">
            <v>II. Pasivos</v>
          </cell>
          <cell r="J1212" t="str">
            <v>2. Pasivos no corrientes</v>
          </cell>
          <cell r="K1212" t="str">
            <v>3. Cuentas por Pagar a Entidades Relacionadas, no corrientes</v>
          </cell>
          <cell r="U1212" t="str">
            <v>3. Cuentas por Pagar a Entidades Relacionadas, no corrientes</v>
          </cell>
          <cell r="AH1212" t="str">
            <v>III. Pasivos de los segmentos</v>
          </cell>
        </row>
        <row r="1213">
          <cell r="D1213" t="str">
            <v>2209004</v>
          </cell>
          <cell r="E1213" t="str">
            <v>2209004</v>
          </cell>
          <cell r="F1213" t="str">
            <v>Cta. Cte. ITF L.P.</v>
          </cell>
          <cell r="G1213" t="str">
            <v>2209004  Cta. Cte. ITF L.P.</v>
          </cell>
          <cell r="H1213" t="str">
            <v>Balance</v>
          </cell>
          <cell r="I1213" t="str">
            <v>II. Pasivos</v>
          </cell>
          <cell r="J1213" t="str">
            <v>2. Pasivos no corrientes</v>
          </cell>
          <cell r="K1213" t="str">
            <v>3. Cuentas por Pagar a Entidades Relacionadas, no corrientes</v>
          </cell>
          <cell r="U1213" t="str">
            <v>3. Cuentas por Pagar a Entidades Relacionadas, no corrientes</v>
          </cell>
          <cell r="AH1213" t="str">
            <v>III. Pasivos de los segmentos</v>
          </cell>
        </row>
        <row r="1214">
          <cell r="D1214">
            <v>0</v>
          </cell>
          <cell r="G1214" t="str">
            <v/>
          </cell>
          <cell r="U1214" t="str">
            <v/>
          </cell>
          <cell r="AH1214" t="str">
            <v/>
          </cell>
        </row>
        <row r="1215">
          <cell r="D1215">
            <v>0</v>
          </cell>
          <cell r="F1215" t="str">
            <v>Cuentas por Pagar a Entidades Relaconadas, No Corrientes</v>
          </cell>
          <cell r="G1215" t="str">
            <v/>
          </cell>
          <cell r="H1215" t="str">
            <v/>
          </cell>
          <cell r="U1215" t="str">
            <v/>
          </cell>
          <cell r="AH1215" t="str">
            <v/>
          </cell>
        </row>
        <row r="1216">
          <cell r="D1216">
            <v>0</v>
          </cell>
          <cell r="G1216" t="str">
            <v/>
          </cell>
          <cell r="H1216" t="str">
            <v/>
          </cell>
          <cell r="U1216" t="str">
            <v/>
          </cell>
          <cell r="AH1216" t="str">
            <v/>
          </cell>
        </row>
        <row r="1217">
          <cell r="D1217">
            <v>0</v>
          </cell>
          <cell r="G1217" t="str">
            <v/>
          </cell>
          <cell r="H1217" t="str">
            <v>Balance</v>
          </cell>
          <cell r="I1217" t="str">
            <v>II. Pasivos</v>
          </cell>
          <cell r="J1217" t="str">
            <v>2. Pasivos no corrientes</v>
          </cell>
          <cell r="K1217" t="str">
            <v>4. Otras Provisiones, no corrientes</v>
          </cell>
          <cell r="U1217" t="str">
            <v>4. Otras Provisiones, no corrientes</v>
          </cell>
          <cell r="AH1217" t="str">
            <v>III. Pasivos de los segmentos</v>
          </cell>
        </row>
        <row r="1218">
          <cell r="D1218">
            <v>0</v>
          </cell>
          <cell r="G1218" t="str">
            <v/>
          </cell>
          <cell r="H1218" t="str">
            <v>Balance</v>
          </cell>
          <cell r="I1218" t="str">
            <v>II. Pasivos</v>
          </cell>
          <cell r="J1218" t="str">
            <v>2. Pasivos no corrientes</v>
          </cell>
          <cell r="K1218" t="str">
            <v>4. Otras Provisiones, no corrientes</v>
          </cell>
          <cell r="U1218" t="str">
            <v>4. Otras Provisiones, no corrientes</v>
          </cell>
          <cell r="AH1218" t="str">
            <v>III. Pasivos de los segmentos</v>
          </cell>
        </row>
        <row r="1219">
          <cell r="D1219">
            <v>0</v>
          </cell>
          <cell r="F1219" t="str">
            <v>Otras Provisiones a Largo Plazo</v>
          </cell>
          <cell r="G1219" t="str">
            <v/>
          </cell>
          <cell r="H1219" t="str">
            <v/>
          </cell>
          <cell r="U1219" t="str">
            <v/>
          </cell>
          <cell r="AH1219" t="str">
            <v/>
          </cell>
        </row>
        <row r="1220">
          <cell r="D1220">
            <v>0</v>
          </cell>
          <cell r="G1220" t="str">
            <v/>
          </cell>
          <cell r="H1220" t="str">
            <v/>
          </cell>
          <cell r="U1220" t="str">
            <v/>
          </cell>
          <cell r="AH1220" t="str">
            <v/>
          </cell>
        </row>
        <row r="1221">
          <cell r="D1221" t="str">
            <v>2209090</v>
          </cell>
          <cell r="E1221" t="str">
            <v>2209090</v>
          </cell>
          <cell r="F1221" t="str">
            <v>Pasivo por impuestos diferidos</v>
          </cell>
          <cell r="G1221" t="str">
            <v>2209090  Pasivo por impuestos diferidos</v>
          </cell>
          <cell r="H1221" t="str">
            <v>Balance</v>
          </cell>
          <cell r="I1221" t="str">
            <v>II. Pasivos</v>
          </cell>
          <cell r="J1221" t="str">
            <v>2. Pasivos no corrientes</v>
          </cell>
          <cell r="K1221" t="str">
            <v>5. Pasivo Por Impuestos Diferidos</v>
          </cell>
          <cell r="U1221" t="str">
            <v>5. Pasivo Por Impuestos Diferidos</v>
          </cell>
          <cell r="AH1221" t="str">
            <v>III. Pasivos de los segmentos</v>
          </cell>
        </row>
        <row r="1222">
          <cell r="D1222">
            <v>0</v>
          </cell>
          <cell r="F1222" t="str">
            <v>Pasivo Por Impuestos Diferidos</v>
          </cell>
          <cell r="G1222" t="str">
            <v/>
          </cell>
          <cell r="H1222" t="str">
            <v/>
          </cell>
          <cell r="U1222" t="str">
            <v/>
          </cell>
        </row>
        <row r="1223">
          <cell r="D1223">
            <v>0</v>
          </cell>
          <cell r="G1223" t="str">
            <v/>
          </cell>
          <cell r="U1223" t="str">
            <v/>
          </cell>
        </row>
        <row r="1224">
          <cell r="D1224">
            <v>0</v>
          </cell>
          <cell r="G1224" t="str">
            <v/>
          </cell>
          <cell r="H1224" t="str">
            <v>Balance</v>
          </cell>
          <cell r="I1224" t="str">
            <v>II. Pasivos</v>
          </cell>
          <cell r="J1224" t="str">
            <v>2. Pasivos no corrientes</v>
          </cell>
          <cell r="K1224" t="str">
            <v>6. Provisiones por Beneficios a los Empleados, no corrientes</v>
          </cell>
          <cell r="U1224" t="str">
            <v>6. Provisiones por Beneficios a los Empleados, no corrientes</v>
          </cell>
          <cell r="AH1224" t="str">
            <v>III. Pasivos de los segmentos</v>
          </cell>
        </row>
        <row r="1225">
          <cell r="D1225">
            <v>0</v>
          </cell>
          <cell r="F1225" t="str">
            <v>Provisiones No Corrientes Por Beneficios a Los Empleados</v>
          </cell>
          <cell r="G1225" t="str">
            <v/>
          </cell>
          <cell r="H1225" t="str">
            <v/>
          </cell>
          <cell r="U1225" t="str">
            <v/>
          </cell>
          <cell r="AH1225" t="str">
            <v/>
          </cell>
        </row>
        <row r="1226">
          <cell r="D1226">
            <v>0</v>
          </cell>
          <cell r="F1226" t="str">
            <v/>
          </cell>
          <cell r="G1226" t="str">
            <v/>
          </cell>
          <cell r="H1226" t="str">
            <v/>
          </cell>
          <cell r="U1226" t="str">
            <v/>
          </cell>
          <cell r="AH1226" t="str">
            <v/>
          </cell>
        </row>
        <row r="1227">
          <cell r="D1227" t="str">
            <v>2115001</v>
          </cell>
          <cell r="E1227" t="str">
            <v>2115001</v>
          </cell>
          <cell r="F1227" t="str">
            <v>Garantía por Venta de Terrenos</v>
          </cell>
          <cell r="G1227" t="str">
            <v>2115001  Garantía por Venta de Terrenos</v>
          </cell>
          <cell r="H1227" t="str">
            <v>Balance</v>
          </cell>
          <cell r="I1227" t="str">
            <v>II. Pasivos</v>
          </cell>
          <cell r="J1227" t="str">
            <v>2. Pasivos no corrientes</v>
          </cell>
          <cell r="K1227" t="str">
            <v>7. Otros pasivos no financieros, no corrientes</v>
          </cell>
          <cell r="U1227" t="str">
            <v>7. Otros pasivos no financieros, no corrientes</v>
          </cell>
          <cell r="AH1227" t="str">
            <v>III. Pasivos de los segmentos</v>
          </cell>
        </row>
        <row r="1228">
          <cell r="D1228" t="str">
            <v>2208001</v>
          </cell>
          <cell r="E1228" t="str">
            <v>2208001</v>
          </cell>
          <cell r="F1228" t="str">
            <v>Garantía Arriendo L/plazo</v>
          </cell>
          <cell r="G1228" t="str">
            <v>2208001  Garantía Arriendo L/plazo</v>
          </cell>
          <cell r="H1228" t="str">
            <v>Balance</v>
          </cell>
          <cell r="I1228" t="str">
            <v>II. Pasivos</v>
          </cell>
          <cell r="J1228" t="str">
            <v>2. Pasivos no corrientes</v>
          </cell>
          <cell r="K1228" t="str">
            <v>7. Otros pasivos no financieros, no corrientes</v>
          </cell>
          <cell r="U1228" t="str">
            <v>7. Otros pasivos no financieros, no corrientes</v>
          </cell>
          <cell r="AH1228" t="str">
            <v>III. Pasivos de los segmentos</v>
          </cell>
        </row>
        <row r="1229">
          <cell r="D1229" t="str">
            <v>2208004</v>
          </cell>
          <cell r="E1229" t="str">
            <v>2208004</v>
          </cell>
          <cell r="F1229" t="str">
            <v>Garantía Subarrendamiento</v>
          </cell>
          <cell r="G1229" t="str">
            <v>2208004  Garantía Subarrendamiento</v>
          </cell>
          <cell r="H1229" t="str">
            <v>Balance</v>
          </cell>
          <cell r="I1229" t="str">
            <v>II. Pasivos</v>
          </cell>
          <cell r="J1229" t="str">
            <v>2. Pasivos no corrientes</v>
          </cell>
          <cell r="K1229" t="str">
            <v>7. Otros pasivos no financieros, no corrientes</v>
          </cell>
          <cell r="U1229" t="str">
            <v>7. Otros pasivos no financieros, no corrientes</v>
          </cell>
          <cell r="AH1229" t="str">
            <v>III. Pasivos de los segmentos</v>
          </cell>
        </row>
        <row r="1230">
          <cell r="D1230">
            <v>0</v>
          </cell>
          <cell r="G1230" t="str">
            <v/>
          </cell>
          <cell r="H1230" t="str">
            <v>Balance</v>
          </cell>
          <cell r="I1230" t="str">
            <v>II. Pasivos</v>
          </cell>
          <cell r="J1230" t="str">
            <v>2. Pasivos no corrientes</v>
          </cell>
          <cell r="K1230" t="str">
            <v>7. Otros pasivos no financieros, no corrientes</v>
          </cell>
          <cell r="U1230" t="str">
            <v>7. Otros pasivos no financieros, no corrientes</v>
          </cell>
          <cell r="AH1230" t="str">
            <v>III. Pasivos de los segmentos</v>
          </cell>
        </row>
        <row r="1231">
          <cell r="D1231">
            <v>0</v>
          </cell>
          <cell r="G1231" t="str">
            <v/>
          </cell>
          <cell r="H1231" t="str">
            <v>Balance</v>
          </cell>
          <cell r="I1231" t="str">
            <v>II. Pasivos</v>
          </cell>
          <cell r="J1231" t="str">
            <v>2. Pasivos no corrientes</v>
          </cell>
          <cell r="K1231" t="str">
            <v>7. Otros pasivos no financieros, no corrientes</v>
          </cell>
          <cell r="U1231" t="str">
            <v>7. Otros pasivos no financieros, no corrientes</v>
          </cell>
          <cell r="AH1231" t="str">
            <v>III. Pasivos de los segmentos</v>
          </cell>
        </row>
        <row r="1232">
          <cell r="D1232">
            <v>0</v>
          </cell>
          <cell r="F1232" t="str">
            <v>Otros Pasivos No Financieros No Corrientes</v>
          </cell>
          <cell r="G1232" t="str">
            <v/>
          </cell>
          <cell r="H1232" t="str">
            <v/>
          </cell>
          <cell r="U1232" t="str">
            <v/>
          </cell>
          <cell r="AH1232" t="str">
            <v/>
          </cell>
        </row>
        <row r="1233">
          <cell r="D1233">
            <v>0</v>
          </cell>
          <cell r="F1233" t="str">
            <v/>
          </cell>
          <cell r="G1233" t="str">
            <v/>
          </cell>
          <cell r="H1233" t="str">
            <v/>
          </cell>
          <cell r="U1233" t="str">
            <v/>
          </cell>
          <cell r="AH1233" t="str">
            <v/>
          </cell>
        </row>
        <row r="1234">
          <cell r="D1234">
            <v>0</v>
          </cell>
          <cell r="F1234" t="str">
            <v>Total De Pasivos No Corrientes</v>
          </cell>
          <cell r="G1234" t="str">
            <v/>
          </cell>
          <cell r="H1234" t="str">
            <v/>
          </cell>
          <cell r="I1234" t="str">
            <v>II. Pasivos</v>
          </cell>
          <cell r="J1234" t="str">
            <v>2. Pasivos no corrientes</v>
          </cell>
          <cell r="U1234" t="str">
            <v/>
          </cell>
          <cell r="AH1234" t="str">
            <v>III. Pasivos de los segmentos</v>
          </cell>
        </row>
        <row r="1235">
          <cell r="D1235">
            <v>0</v>
          </cell>
          <cell r="F1235" t="str">
            <v/>
          </cell>
          <cell r="G1235" t="str">
            <v/>
          </cell>
          <cell r="H1235" t="str">
            <v/>
          </cell>
          <cell r="U1235" t="str">
            <v/>
          </cell>
          <cell r="AH1235" t="str">
            <v/>
          </cell>
        </row>
        <row r="1236">
          <cell r="D1236">
            <v>0</v>
          </cell>
          <cell r="F1236" t="str">
            <v>Total De Activos</v>
          </cell>
          <cell r="G1236" t="str">
            <v/>
          </cell>
          <cell r="H1236" t="str">
            <v/>
          </cell>
          <cell r="I1236" t="str">
            <v>II. Pasivos</v>
          </cell>
          <cell r="J1236" t="str">
            <v>2. Pasivos no corrientes</v>
          </cell>
          <cell r="U1236" t="str">
            <v/>
          </cell>
          <cell r="AH1236" t="str">
            <v>III. Pasivos de los segmentos</v>
          </cell>
        </row>
        <row r="1237">
          <cell r="D1237">
            <v>0</v>
          </cell>
          <cell r="F1237" t="str">
            <v/>
          </cell>
          <cell r="G1237" t="str">
            <v/>
          </cell>
          <cell r="H1237" t="str">
            <v/>
          </cell>
          <cell r="U1237" t="str">
            <v/>
          </cell>
          <cell r="AH1237" t="str">
            <v/>
          </cell>
        </row>
        <row r="1238">
          <cell r="D1238">
            <v>0</v>
          </cell>
          <cell r="G1238" t="str">
            <v/>
          </cell>
          <cell r="U1238" t="str">
            <v/>
          </cell>
          <cell r="AH1238" t="str">
            <v/>
          </cell>
        </row>
        <row r="1239">
          <cell r="D1239">
            <v>0</v>
          </cell>
          <cell r="F1239" t="str">
            <v>Interés minoritario</v>
          </cell>
          <cell r="G1239" t="str">
            <v/>
          </cell>
          <cell r="U1239" t="str">
            <v/>
          </cell>
          <cell r="AH1239" t="str">
            <v/>
          </cell>
        </row>
        <row r="1240">
          <cell r="D1240">
            <v>0</v>
          </cell>
          <cell r="F1240" t="str">
            <v>Interés minoritario</v>
          </cell>
          <cell r="G1240" t="str">
            <v/>
          </cell>
          <cell r="H1240" t="str">
            <v>Balance</v>
          </cell>
          <cell r="I1240" t="str">
            <v>II. Pasivos</v>
          </cell>
          <cell r="J1240" t="str">
            <v>4. Interés Minoritario</v>
          </cell>
          <cell r="K1240" t="str">
            <v>1. Participaciones no controladoras</v>
          </cell>
          <cell r="U1240" t="str">
            <v>1. Participaciones no controladoras</v>
          </cell>
          <cell r="AH1240" t="str">
            <v>III. Pasivos de los segmentos</v>
          </cell>
        </row>
        <row r="1241">
          <cell r="D1241">
            <v>0</v>
          </cell>
          <cell r="G1241" t="str">
            <v/>
          </cell>
          <cell r="U1241" t="str">
            <v/>
          </cell>
          <cell r="AH1241" t="str">
            <v/>
          </cell>
        </row>
        <row r="1242">
          <cell r="D1242">
            <v>0</v>
          </cell>
          <cell r="G1242" t="str">
            <v/>
          </cell>
          <cell r="U1242" t="str">
            <v/>
          </cell>
          <cell r="AH1242" t="str">
            <v/>
          </cell>
        </row>
        <row r="1243">
          <cell r="D1243">
            <v>0</v>
          </cell>
          <cell r="G1243" t="str">
            <v/>
          </cell>
          <cell r="U1243" t="str">
            <v/>
          </cell>
          <cell r="AH1243" t="str">
            <v/>
          </cell>
        </row>
        <row r="1244">
          <cell r="D1244">
            <v>0</v>
          </cell>
          <cell r="F1244" t="str">
            <v>Patrimonio</v>
          </cell>
          <cell r="G1244" t="str">
            <v/>
          </cell>
          <cell r="H1244" t="str">
            <v/>
          </cell>
          <cell r="U1244" t="str">
            <v/>
          </cell>
          <cell r="AH1244" t="str">
            <v/>
          </cell>
        </row>
        <row r="1245">
          <cell r="D1245">
            <v>0</v>
          </cell>
          <cell r="F1245" t="str">
            <v/>
          </cell>
          <cell r="G1245" t="str">
            <v/>
          </cell>
          <cell r="H1245" t="str">
            <v/>
          </cell>
          <cell r="U1245" t="str">
            <v/>
          </cell>
          <cell r="AH1245" t="str">
            <v/>
          </cell>
        </row>
        <row r="1246">
          <cell r="D1246" t="str">
            <v>2401101</v>
          </cell>
          <cell r="E1246" t="str">
            <v>2401101</v>
          </cell>
          <cell r="F1246" t="str">
            <v>Capital</v>
          </cell>
          <cell r="G1246" t="str">
            <v>2401101  Capital</v>
          </cell>
          <cell r="H1246" t="str">
            <v>Balance</v>
          </cell>
          <cell r="I1246" t="str">
            <v>II. Pasivos</v>
          </cell>
          <cell r="J1246" t="str">
            <v>3. Patrimonio</v>
          </cell>
          <cell r="K1246" t="str">
            <v>1. Capital Emitido</v>
          </cell>
          <cell r="L1246" t="str">
            <v>Patrimonio atribuible a los Socias de la contrroladora</v>
          </cell>
          <cell r="U1246" t="str">
            <v>1. Capital Emitido</v>
          </cell>
          <cell r="AG1246" t="str">
            <v>Capital Emitido</v>
          </cell>
          <cell r="AH1246" t="str">
            <v>III. Pasivos de los segmentos</v>
          </cell>
        </row>
        <row r="1247">
          <cell r="D1247">
            <v>0</v>
          </cell>
          <cell r="F1247" t="str">
            <v>Capital Emitido</v>
          </cell>
          <cell r="G1247" t="str">
            <v/>
          </cell>
          <cell r="H1247" t="str">
            <v/>
          </cell>
          <cell r="U1247" t="str">
            <v/>
          </cell>
          <cell r="AH1247" t="str">
            <v/>
          </cell>
        </row>
        <row r="1248">
          <cell r="D1248">
            <v>0</v>
          </cell>
          <cell r="F1248" t="str">
            <v/>
          </cell>
          <cell r="G1248" t="str">
            <v/>
          </cell>
          <cell r="H1248" t="str">
            <v/>
          </cell>
          <cell r="U1248" t="str">
            <v/>
          </cell>
          <cell r="AH1248" t="str">
            <v/>
          </cell>
        </row>
        <row r="1249">
          <cell r="D1249" t="str">
            <v>2405102</v>
          </cell>
          <cell r="E1249" t="str">
            <v>2405102</v>
          </cell>
          <cell r="F1249" t="str">
            <v>Pérdidas acumuladas</v>
          </cell>
          <cell r="G1249" t="str">
            <v>2405102  Pérdidas acumuladas</v>
          </cell>
          <cell r="H1249" t="str">
            <v>Balance</v>
          </cell>
          <cell r="I1249" t="str">
            <v>II. Pasivos</v>
          </cell>
          <cell r="J1249" t="str">
            <v>3. Patrimonio</v>
          </cell>
          <cell r="K1249" t="str">
            <v>2. Ganancias (Pérdidas) Acumuladas</v>
          </cell>
          <cell r="L1249" t="str">
            <v>Patrimonio atribuible a los Socias de la contrroladora</v>
          </cell>
          <cell r="U1249" t="str">
            <v>6. Otras Reservas</v>
          </cell>
          <cell r="AG1249" t="str">
            <v>Ganacias (Pérdidas) Acum.</v>
          </cell>
          <cell r="AH1249" t="str">
            <v>III. Pasivos de los segmentos</v>
          </cell>
        </row>
        <row r="1250">
          <cell r="D1250" t="str">
            <v>2405101</v>
          </cell>
          <cell r="E1250" t="str">
            <v>2405101</v>
          </cell>
          <cell r="F1250" t="str">
            <v>Utilidad(Pérdida)Ejercicio</v>
          </cell>
          <cell r="G1250" t="str">
            <v>2405101  Utilidad(Pérdida)Ejercicio</v>
          </cell>
          <cell r="H1250" t="str">
            <v>Balance</v>
          </cell>
          <cell r="I1250" t="str">
            <v>II. Pasivos</v>
          </cell>
          <cell r="J1250" t="str">
            <v>3. Patrimonio</v>
          </cell>
          <cell r="K1250" t="str">
            <v>2. Ganancias (Pérdidas) Acumuladas</v>
          </cell>
          <cell r="L1250" t="str">
            <v>Patrimonio atribuible a los Socias de la contrroladora</v>
          </cell>
          <cell r="U1250" t="str">
            <v>2. Ganancias (Pérdidas) del Ejercicio</v>
          </cell>
          <cell r="AG1250" t="str">
            <v>Ganacias (Pérdidas) Acum.</v>
          </cell>
          <cell r="AH1250" t="str">
            <v>III. Pasivos de los segmentos</v>
          </cell>
        </row>
        <row r="1251">
          <cell r="D1251" t="str">
            <v>2405103</v>
          </cell>
          <cell r="E1251" t="str">
            <v>2405103</v>
          </cell>
          <cell r="F1251" t="str">
            <v>Utilidad (Pérdida) del Ejercicio</v>
          </cell>
          <cell r="G1251" t="str">
            <v>2405103  Utilidad (Pérdida) del Ejercicio</v>
          </cell>
          <cell r="H1251" t="str">
            <v>Balance</v>
          </cell>
          <cell r="I1251" t="str">
            <v>II. Pasivos</v>
          </cell>
          <cell r="J1251" t="str">
            <v>3. Patrimonio</v>
          </cell>
          <cell r="K1251" t="str">
            <v>2. Ganancias (Pérdidas) Acumuladas</v>
          </cell>
          <cell r="L1251" t="str">
            <v>Patrimonio atribuible a los Socias de la contrroladora</v>
          </cell>
          <cell r="U1251" t="str">
            <v>2. Ganancias (Pérdidas) del Ejercicio</v>
          </cell>
          <cell r="AG1251" t="str">
            <v>Ganacias (Pérdidas) Acum.</v>
          </cell>
          <cell r="AH1251" t="str">
            <v>III. Pasivos de los segmentos</v>
          </cell>
        </row>
        <row r="1252">
          <cell r="D1252">
            <v>0</v>
          </cell>
          <cell r="F1252" t="str">
            <v>Ganacias (Pérdidas) Acumuladas</v>
          </cell>
          <cell r="G1252" t="str">
            <v/>
          </cell>
          <cell r="H1252" t="str">
            <v/>
          </cell>
          <cell r="U1252" t="str">
            <v/>
          </cell>
          <cell r="AH1252" t="str">
            <v/>
          </cell>
        </row>
        <row r="1253">
          <cell r="D1253">
            <v>0</v>
          </cell>
          <cell r="F1253" t="str">
            <v/>
          </cell>
          <cell r="G1253" t="str">
            <v/>
          </cell>
          <cell r="H1253" t="str">
            <v/>
          </cell>
          <cell r="U1253" t="str">
            <v/>
          </cell>
          <cell r="AH1253" t="str">
            <v/>
          </cell>
        </row>
        <row r="1254">
          <cell r="D1254">
            <v>0</v>
          </cell>
          <cell r="F1254" t="str">
            <v/>
          </cell>
          <cell r="G1254" t="str">
            <v/>
          </cell>
          <cell r="H1254" t="str">
            <v/>
          </cell>
          <cell r="U1254" t="str">
            <v/>
          </cell>
          <cell r="AH1254" t="str">
            <v/>
          </cell>
        </row>
        <row r="1255">
          <cell r="D1255" t="str">
            <v>2404101</v>
          </cell>
          <cell r="E1255" t="str">
            <v>2404101</v>
          </cell>
          <cell r="F1255" t="str">
            <v>Reservas Acumuladas</v>
          </cell>
          <cell r="G1255" t="str">
            <v>2404101  Reservas Acumuladas</v>
          </cell>
          <cell r="H1255" t="str">
            <v>Balance</v>
          </cell>
          <cell r="I1255" t="str">
            <v>II. Pasivos</v>
          </cell>
          <cell r="J1255" t="str">
            <v>3. Patrimonio</v>
          </cell>
          <cell r="K1255" t="str">
            <v>6. Otras Reservas</v>
          </cell>
          <cell r="L1255" t="str">
            <v>Patrimonio atribuible a los Socios de la controladora</v>
          </cell>
          <cell r="U1255" t="str">
            <v>6. Otras Reservas</v>
          </cell>
          <cell r="AG1255" t="str">
            <v>Otras Reservas</v>
          </cell>
          <cell r="AH1255" t="str">
            <v>III. Pasivos de los segmentos</v>
          </cell>
        </row>
        <row r="1256">
          <cell r="D1256">
            <v>0</v>
          </cell>
          <cell r="F1256" t="str">
            <v>Reserva Por  Bienes Del Activo Fijo</v>
          </cell>
          <cell r="G1256" t="str">
            <v/>
          </cell>
          <cell r="H1256" t="str">
            <v>Balance</v>
          </cell>
          <cell r="I1256" t="str">
            <v>II. Pasivos</v>
          </cell>
          <cell r="J1256" t="str">
            <v>3. Patrimonio</v>
          </cell>
          <cell r="K1256" t="str">
            <v>6. Otras Reservas</v>
          </cell>
          <cell r="L1256" t="str">
            <v>Patrimonio atribuible a los Socios de la controladora</v>
          </cell>
          <cell r="U1256" t="str">
            <v>6. Otras Reservas</v>
          </cell>
          <cell r="AG1256" t="str">
            <v>Otras Reservas</v>
          </cell>
          <cell r="AH1256" t="str">
            <v>III. Pasivos de los segmentos</v>
          </cell>
        </row>
        <row r="1257">
          <cell r="D1257">
            <v>0</v>
          </cell>
          <cell r="F1257" t="str">
            <v>Reserva De Retasación Técnicas  Año 1987</v>
          </cell>
          <cell r="G1257" t="str">
            <v/>
          </cell>
          <cell r="H1257" t="str">
            <v>Balance</v>
          </cell>
          <cell r="I1257" t="str">
            <v>II. Pasivos</v>
          </cell>
          <cell r="J1257" t="str">
            <v>3. Patrimonio</v>
          </cell>
          <cell r="K1257" t="str">
            <v>6. Otras Reservas</v>
          </cell>
          <cell r="L1257" t="str">
            <v>Patrimonio atribuible a los Socios de la controladora</v>
          </cell>
          <cell r="U1257" t="str">
            <v>6. Otras Reservas</v>
          </cell>
          <cell r="AG1257" t="str">
            <v>Otras Reservas</v>
          </cell>
          <cell r="AH1257" t="str">
            <v>III. Pasivos de los segmentos</v>
          </cell>
        </row>
        <row r="1258">
          <cell r="D1258">
            <v>0</v>
          </cell>
          <cell r="F1258" t="str">
            <v>Reserva De Retasación Técnica Año 1993</v>
          </cell>
          <cell r="G1258" t="str">
            <v/>
          </cell>
          <cell r="H1258" t="str">
            <v>Balance</v>
          </cell>
          <cell r="I1258" t="str">
            <v>II. Pasivos</v>
          </cell>
          <cell r="J1258" t="str">
            <v>3. Patrimonio</v>
          </cell>
          <cell r="K1258" t="str">
            <v>6. Otras Reservas</v>
          </cell>
          <cell r="L1258" t="str">
            <v>Patrimonio atribuible a los Socios de la controladora</v>
          </cell>
          <cell r="U1258" t="str">
            <v>6. Otras Reservas</v>
          </cell>
          <cell r="AG1258" t="str">
            <v>Otras Reservas</v>
          </cell>
          <cell r="AH1258" t="str">
            <v>III. Pasivos de los segmentos</v>
          </cell>
        </row>
        <row r="1259">
          <cell r="D1259">
            <v>0</v>
          </cell>
          <cell r="F1259" t="str">
            <v>Reserva Por Diferencia De Material</v>
          </cell>
          <cell r="G1259" t="str">
            <v/>
          </cell>
          <cell r="H1259" t="str">
            <v>Balance</v>
          </cell>
          <cell r="I1259" t="str">
            <v>II. Pasivos</v>
          </cell>
          <cell r="J1259" t="str">
            <v>3. Patrimonio</v>
          </cell>
          <cell r="K1259" t="str">
            <v>6. Otras Reservas</v>
          </cell>
          <cell r="L1259" t="str">
            <v>Patrimonio atribuible a los Socios de la controladora</v>
          </cell>
          <cell r="U1259" t="str">
            <v>6. Otras Reservas</v>
          </cell>
          <cell r="AG1259" t="str">
            <v>Otras Reservas</v>
          </cell>
          <cell r="AH1259" t="str">
            <v>III. Pasivos de los segmentos</v>
          </cell>
        </row>
        <row r="1260">
          <cell r="D1260">
            <v>0</v>
          </cell>
          <cell r="F1260" t="str">
            <v>Reserva Futuras Capitalizaciones</v>
          </cell>
          <cell r="G1260" t="str">
            <v/>
          </cell>
          <cell r="H1260" t="str">
            <v>Balance</v>
          </cell>
          <cell r="I1260" t="str">
            <v>II. Pasivos</v>
          </cell>
          <cell r="J1260" t="str">
            <v>3. Patrimonio</v>
          </cell>
          <cell r="K1260" t="str">
            <v>6. Otras Reservas</v>
          </cell>
          <cell r="L1260" t="str">
            <v>Patrimonio atribuible a los Socios de la controladora</v>
          </cell>
          <cell r="U1260" t="str">
            <v>6. Otras Reservas</v>
          </cell>
          <cell r="AG1260" t="str">
            <v>Otras Reservas</v>
          </cell>
          <cell r="AH1260" t="str">
            <v>III. Pasivos de los segmentos</v>
          </cell>
        </row>
        <row r="1261">
          <cell r="D1261">
            <v>0</v>
          </cell>
          <cell r="F1261" t="str">
            <v>Reserva mayor valor retasación técnica</v>
          </cell>
          <cell r="G1261" t="str">
            <v/>
          </cell>
          <cell r="H1261" t="str">
            <v>Balance</v>
          </cell>
          <cell r="I1261" t="str">
            <v>II. Pasivos</v>
          </cell>
          <cell r="J1261" t="str">
            <v>3. Patrimonio</v>
          </cell>
          <cell r="K1261" t="str">
            <v>6. Otras Reservas</v>
          </cell>
          <cell r="L1261" t="str">
            <v>Patrimonio atribuible a los Socios de la controladora</v>
          </cell>
          <cell r="U1261" t="str">
            <v>6. Otras Reservas</v>
          </cell>
          <cell r="AG1261" t="str">
            <v>Otras Reservas</v>
          </cell>
          <cell r="AH1261" t="str">
            <v>III. Pasivos de los segmentos</v>
          </cell>
        </row>
        <row r="1262">
          <cell r="D1262">
            <v>0</v>
          </cell>
          <cell r="F1262" t="str">
            <v>Reserva Futuras Capitalizac.Emp.Portuaria Arica</v>
          </cell>
          <cell r="G1262" t="str">
            <v/>
          </cell>
          <cell r="H1262" t="str">
            <v>Balance</v>
          </cell>
          <cell r="I1262" t="str">
            <v>II. Pasivos</v>
          </cell>
          <cell r="J1262" t="str">
            <v>3. Patrimonio</v>
          </cell>
          <cell r="K1262" t="str">
            <v>6. Otras Reservas</v>
          </cell>
          <cell r="L1262" t="str">
            <v>Patrimonio atribuible a los Socios de la controladora</v>
          </cell>
          <cell r="U1262" t="str">
            <v>6. Otras Reservas</v>
          </cell>
          <cell r="AG1262" t="str">
            <v>Otras Reservas</v>
          </cell>
          <cell r="AH1262" t="str">
            <v>III. Pasivos de los segmentos</v>
          </cell>
        </row>
        <row r="1263">
          <cell r="D1263" t="str">
            <v>2404191</v>
          </cell>
          <cell r="E1263" t="str">
            <v>2404191</v>
          </cell>
          <cell r="F1263" t="str">
            <v>Otras Reservas IFRS (1)</v>
          </cell>
          <cell r="G1263" t="str">
            <v>2404191  Otras Reservas IFRS (1)</v>
          </cell>
          <cell r="H1263" t="str">
            <v>Balance</v>
          </cell>
          <cell r="I1263" t="str">
            <v>II. Pasivos</v>
          </cell>
          <cell r="J1263" t="str">
            <v>3. Patrimonio</v>
          </cell>
          <cell r="K1263" t="str">
            <v>6. Otras Reservas</v>
          </cell>
          <cell r="L1263" t="str">
            <v>Patrimonio atribuible a los Socios de la controladora</v>
          </cell>
          <cell r="U1263" t="str">
            <v>6. Otras Reservas</v>
          </cell>
          <cell r="AG1263" t="str">
            <v>Otras Reservas</v>
          </cell>
          <cell r="AH1263" t="str">
            <v>III. Pasivos de los segmentos</v>
          </cell>
        </row>
        <row r="1264">
          <cell r="D1264" t="str">
            <v>2404192</v>
          </cell>
          <cell r="E1264" t="str">
            <v>2404192</v>
          </cell>
          <cell r="F1264" t="str">
            <v>Otras Reservas IFRS (2)</v>
          </cell>
          <cell r="G1264" t="str">
            <v>2404192  Otras Reservas IFRS (2)</v>
          </cell>
          <cell r="H1264" t="str">
            <v>Balance</v>
          </cell>
          <cell r="I1264" t="str">
            <v>II. Pasivos</v>
          </cell>
          <cell r="J1264" t="str">
            <v>3. Patrimonio</v>
          </cell>
          <cell r="K1264" t="str">
            <v>6. Otras Reservas</v>
          </cell>
          <cell r="L1264" t="str">
            <v>Patrimonio atribuible a los Socios de la controladora</v>
          </cell>
          <cell r="U1264" t="str">
            <v>6. Otras Reservas</v>
          </cell>
          <cell r="AG1264" t="str">
            <v>Otras Reservas</v>
          </cell>
          <cell r="AH1264" t="str">
            <v>III. Pasivos de los segmentos</v>
          </cell>
        </row>
        <row r="1265">
          <cell r="D1265">
            <v>0</v>
          </cell>
          <cell r="G1265" t="str">
            <v/>
          </cell>
          <cell r="H1265" t="str">
            <v>Balance</v>
          </cell>
          <cell r="I1265" t="str">
            <v>II. Pasivos</v>
          </cell>
          <cell r="J1265" t="str">
            <v>3. Patrimonio</v>
          </cell>
          <cell r="K1265" t="str">
            <v>6. Otras Reservas</v>
          </cell>
          <cell r="L1265" t="str">
            <v>Patrimonio atribuible a los Socios de la controladora</v>
          </cell>
          <cell r="U1265" t="str">
            <v>6. Otras Reservas</v>
          </cell>
          <cell r="AH1265" t="str">
            <v>III. Pasivos de los segmentos</v>
          </cell>
        </row>
        <row r="1266">
          <cell r="D1266">
            <v>0</v>
          </cell>
          <cell r="F1266" t="str">
            <v>Déficit acumulado período desarrollo</v>
          </cell>
          <cell r="G1266" t="str">
            <v/>
          </cell>
          <cell r="H1266" t="str">
            <v>Balance</v>
          </cell>
          <cell r="I1266" t="str">
            <v>II. Pasivos</v>
          </cell>
          <cell r="J1266" t="str">
            <v>3. Patrimonio</v>
          </cell>
          <cell r="K1266" t="str">
            <v>6. Otras Reservas</v>
          </cell>
          <cell r="L1266" t="str">
            <v>Patrimonio atribuible a los Socios de la controladora</v>
          </cell>
          <cell r="U1266" t="str">
            <v>6. Otras Reservas</v>
          </cell>
          <cell r="AG1266" t="str">
            <v>Otras Reservas</v>
          </cell>
          <cell r="AH1266" t="str">
            <v>III. Pasivos de los segmentos</v>
          </cell>
        </row>
        <row r="1267">
          <cell r="D1267" t="str">
            <v>2403101</v>
          </cell>
          <cell r="E1267" t="str">
            <v>2403101</v>
          </cell>
          <cell r="F1267" t="str">
            <v>Sobreprecio Venta De Acciones</v>
          </cell>
          <cell r="G1267" t="str">
            <v>2403101  Sobreprecio Venta De Acciones</v>
          </cell>
          <cell r="H1267" t="str">
            <v>Balance</v>
          </cell>
          <cell r="I1267" t="str">
            <v>II. Pasivos</v>
          </cell>
          <cell r="J1267" t="str">
            <v>3. Patrimonio</v>
          </cell>
          <cell r="K1267" t="str">
            <v>6. Otras Reservas</v>
          </cell>
          <cell r="L1267" t="str">
            <v>Patrimonio atribuible a los Socios de la controladora</v>
          </cell>
          <cell r="U1267" t="str">
            <v>6. Otras Reservas</v>
          </cell>
          <cell r="AG1267" t="str">
            <v>Otras Reservas</v>
          </cell>
          <cell r="AH1267" t="str">
            <v>III. Pasivos de los segmentos</v>
          </cell>
        </row>
        <row r="1268">
          <cell r="D1268">
            <v>0</v>
          </cell>
          <cell r="F1268" t="str">
            <v>Acciones Suscritas Por Cobrar</v>
          </cell>
          <cell r="G1268" t="str">
            <v/>
          </cell>
          <cell r="H1268" t="str">
            <v>Balance</v>
          </cell>
          <cell r="I1268" t="str">
            <v>II. Pasivos</v>
          </cell>
          <cell r="J1268" t="str">
            <v>3. Patrimonio</v>
          </cell>
          <cell r="K1268" t="str">
            <v>6. Otras Reservas</v>
          </cell>
          <cell r="L1268" t="str">
            <v>Patrimonio atribuible a los Socios de la controladora</v>
          </cell>
          <cell r="U1268" t="str">
            <v>6. Otras Reservas</v>
          </cell>
          <cell r="AG1268" t="str">
            <v>Otras Reservas</v>
          </cell>
          <cell r="AH1268" t="str">
            <v>III. Pasivos de los segmentos</v>
          </cell>
        </row>
        <row r="1269">
          <cell r="D1269" t="str">
            <v>2402101</v>
          </cell>
          <cell r="E1269" t="str">
            <v>2402101</v>
          </cell>
          <cell r="F1269" t="str">
            <v>Reserva Revalorización Capital</v>
          </cell>
          <cell r="G1269" t="str">
            <v>2402101  Reserva Revalorización Capital</v>
          </cell>
          <cell r="H1269" t="str">
            <v>Balance</v>
          </cell>
          <cell r="I1269" t="str">
            <v>II. Pasivos</v>
          </cell>
          <cell r="J1269" t="str">
            <v>3. Patrimonio</v>
          </cell>
          <cell r="K1269" t="str">
            <v>6. Otras Reservas</v>
          </cell>
          <cell r="L1269" t="str">
            <v>Patrimonio atribuible a los Socios de la controladora</v>
          </cell>
          <cell r="U1269" t="str">
            <v>6. Otras Reservas</v>
          </cell>
          <cell r="AG1269" t="str">
            <v>Otras Reservas</v>
          </cell>
          <cell r="AH1269" t="str">
            <v>III. Pasivos de los segmentos</v>
          </cell>
        </row>
        <row r="1270">
          <cell r="D1270">
            <v>0</v>
          </cell>
          <cell r="G1270" t="str">
            <v/>
          </cell>
          <cell r="H1270" t="str">
            <v>Balance</v>
          </cell>
          <cell r="I1270" t="str">
            <v>II. Pasivos</v>
          </cell>
          <cell r="J1270" t="str">
            <v>3. Patrimonio</v>
          </cell>
          <cell r="K1270" t="str">
            <v>6. Otras Reservas</v>
          </cell>
          <cell r="L1270" t="str">
            <v>Patrimonio atribuible a los Socios de la controladora</v>
          </cell>
          <cell r="U1270" t="str">
            <v>6. Otras Reservas</v>
          </cell>
          <cell r="AG1270" t="str">
            <v>Otras Reservas</v>
          </cell>
          <cell r="AH1270" t="str">
            <v>III. Pasivos de los segmentos</v>
          </cell>
        </row>
        <row r="1271">
          <cell r="D1271">
            <v>0</v>
          </cell>
          <cell r="F1271" t="str">
            <v/>
          </cell>
          <cell r="G1271" t="str">
            <v/>
          </cell>
          <cell r="H1271" t="str">
            <v/>
          </cell>
          <cell r="U1271" t="str">
            <v/>
          </cell>
          <cell r="AH1271" t="str">
            <v/>
          </cell>
        </row>
        <row r="1272">
          <cell r="D1272">
            <v>0</v>
          </cell>
          <cell r="F1272" t="str">
            <v>Total Otras Reservas</v>
          </cell>
          <cell r="G1272" t="str">
            <v/>
          </cell>
          <cell r="H1272" t="str">
            <v/>
          </cell>
          <cell r="U1272" t="str">
            <v/>
          </cell>
          <cell r="AH1272" t="str">
            <v/>
          </cell>
        </row>
        <row r="1273">
          <cell r="D1273">
            <v>0</v>
          </cell>
          <cell r="F1273" t="str">
            <v>Patrimonio Atribuible A Los Propietarios De La Controladora</v>
          </cell>
          <cell r="G1273" t="str">
            <v/>
          </cell>
          <cell r="H1273" t="str">
            <v/>
          </cell>
          <cell r="U1273" t="str">
            <v/>
          </cell>
          <cell r="AG1273" t="str">
            <v>Patri. Controladora</v>
          </cell>
          <cell r="AH1273" t="str">
            <v/>
          </cell>
        </row>
        <row r="1274">
          <cell r="D1274">
            <v>0</v>
          </cell>
          <cell r="F1274" t="str">
            <v/>
          </cell>
          <cell r="G1274" t="str">
            <v/>
          </cell>
          <cell r="H1274" t="str">
            <v/>
          </cell>
          <cell r="U1274" t="str">
            <v/>
          </cell>
          <cell r="AH1274" t="str">
            <v/>
          </cell>
        </row>
        <row r="1275">
          <cell r="D1275">
            <v>0</v>
          </cell>
          <cell r="F1275" t="str">
            <v>Participaciones No Controladas</v>
          </cell>
          <cell r="G1275" t="str">
            <v/>
          </cell>
          <cell r="H1275" t="str">
            <v/>
          </cell>
          <cell r="I1275" t="str">
            <v>II. Pasivos</v>
          </cell>
          <cell r="J1275" t="str">
            <v>3. Patrimonio</v>
          </cell>
          <cell r="K1275" t="str">
            <v>4. Participaciones no controladas</v>
          </cell>
          <cell r="L1275" t="str">
            <v>Otras participaciones</v>
          </cell>
          <cell r="U1275" t="str">
            <v>6. Otras Reservas</v>
          </cell>
          <cell r="AG1275" t="str">
            <v>Particip. No Controladas</v>
          </cell>
          <cell r="AH1275" t="str">
            <v>III. Pasivos de los segmentos</v>
          </cell>
        </row>
        <row r="1276">
          <cell r="D1276">
            <v>0</v>
          </cell>
          <cell r="F1276" t="str">
            <v/>
          </cell>
          <cell r="G1276" t="str">
            <v/>
          </cell>
          <cell r="H1276" t="str">
            <v/>
          </cell>
        </row>
        <row r="1277">
          <cell r="D1277">
            <v>0</v>
          </cell>
          <cell r="F1277" t="str">
            <v>Patrimonio Total</v>
          </cell>
          <cell r="G1277" t="str">
            <v/>
          </cell>
          <cell r="H1277" t="str">
            <v/>
          </cell>
        </row>
        <row r="1278">
          <cell r="D1278">
            <v>0</v>
          </cell>
          <cell r="F1278" t="str">
            <v>Total De Patrimonio Y Pasivos</v>
          </cell>
          <cell r="G1278" t="str">
            <v/>
          </cell>
          <cell r="H1278" t="str">
            <v/>
          </cell>
        </row>
        <row r="1279">
          <cell r="D1279">
            <v>0</v>
          </cell>
          <cell r="G1279" t="str">
            <v/>
          </cell>
        </row>
        <row r="1280">
          <cell r="D1280">
            <v>0</v>
          </cell>
          <cell r="G1280" t="str">
            <v/>
          </cell>
        </row>
        <row r="1281">
          <cell r="D1281">
            <v>0</v>
          </cell>
          <cell r="G1281" t="str">
            <v/>
          </cell>
          <cell r="H1281" t="str">
            <v/>
          </cell>
        </row>
        <row r="1282">
          <cell r="D1282">
            <v>0</v>
          </cell>
          <cell r="F1282" t="str">
            <v>Activos</v>
          </cell>
          <cell r="G1282" t="str">
            <v/>
          </cell>
          <cell r="H1282" t="str">
            <v/>
          </cell>
          <cell r="AH1282" t="str">
            <v/>
          </cell>
        </row>
        <row r="1283">
          <cell r="D1283">
            <v>0</v>
          </cell>
          <cell r="F1283" t="str">
            <v>Activos Corrientes</v>
          </cell>
          <cell r="G1283" t="str">
            <v/>
          </cell>
          <cell r="H1283" t="str">
            <v/>
          </cell>
          <cell r="AH1283" t="str">
            <v/>
          </cell>
        </row>
        <row r="1284">
          <cell r="D1284">
            <v>0</v>
          </cell>
          <cell r="F1284" t="str">
            <v>.</v>
          </cell>
          <cell r="G1284" t="str">
            <v/>
          </cell>
          <cell r="H1284" t="str">
            <v/>
          </cell>
          <cell r="AH1284" t="str">
            <v/>
          </cell>
        </row>
        <row r="1285">
          <cell r="D1285">
            <v>0</v>
          </cell>
          <cell r="F1285" t="str">
            <v>.</v>
          </cell>
          <cell r="G1285" t="str">
            <v/>
          </cell>
          <cell r="H1285" t="str">
            <v/>
          </cell>
          <cell r="AH1285" t="str">
            <v/>
          </cell>
        </row>
        <row r="1286">
          <cell r="D1286" t="str">
            <v>1101000000</v>
          </cell>
          <cell r="E1286" t="str">
            <v>1101000000</v>
          </cell>
          <cell r="F1286" t="str">
            <v>Caja</v>
          </cell>
          <cell r="G1286" t="str">
            <v>1101000000  Caja</v>
          </cell>
          <cell r="H1286" t="str">
            <v>Balance</v>
          </cell>
          <cell r="I1286" t="str">
            <v>I. Activos</v>
          </cell>
          <cell r="J1286" t="str">
            <v>1. Activos corrientes</v>
          </cell>
          <cell r="K1286" t="str">
            <v>1. Efectivo y Equivalentes al Efectivo</v>
          </cell>
          <cell r="L1286" t="str">
            <v>A. corrtes. distintos de A. para su disposición clasif. para venta o distrib. a propiet.</v>
          </cell>
          <cell r="U1286" t="str">
            <v>1. Efectivo y Equivalentes al Efectivo</v>
          </cell>
          <cell r="AH1286" t="str">
            <v>I. Activos de los segmentos</v>
          </cell>
        </row>
        <row r="1287">
          <cell r="D1287" t="str">
            <v>1102000000</v>
          </cell>
          <cell r="E1287" t="str">
            <v>1102000000</v>
          </cell>
          <cell r="F1287" t="str">
            <v>Banco Crédito e Inversiones</v>
          </cell>
          <cell r="G1287" t="str">
            <v>1102000000  Banco Crédito e Inversiones</v>
          </cell>
          <cell r="H1287" t="str">
            <v>Balance</v>
          </cell>
          <cell r="I1287" t="str">
            <v>I. Activos</v>
          </cell>
          <cell r="J1287" t="str">
            <v>1. Activos corrientes</v>
          </cell>
          <cell r="K1287" t="str">
            <v>1. Efectivo y Equivalentes al Efectivo</v>
          </cell>
          <cell r="L1287" t="str">
            <v>A. corrtes. distintos de A. para su disposición clasif. para venta o distrib. a propiet.</v>
          </cell>
          <cell r="U1287" t="str">
            <v>1. Efectivo y Equivalentes al Efectivo</v>
          </cell>
          <cell r="AH1287" t="str">
            <v>I. Activos de los segmentos</v>
          </cell>
        </row>
        <row r="1288">
          <cell r="D1288">
            <v>0</v>
          </cell>
          <cell r="F1288" t="str">
            <v>Efectivo Y Equivalentes Al Efectivo</v>
          </cell>
          <cell r="G1288" t="str">
            <v/>
          </cell>
          <cell r="H1288" t="str">
            <v/>
          </cell>
          <cell r="U1288" t="str">
            <v/>
          </cell>
          <cell r="AH1288" t="str">
            <v/>
          </cell>
        </row>
        <row r="1289">
          <cell r="D1289">
            <v>0</v>
          </cell>
          <cell r="G1289" t="str">
            <v/>
          </cell>
          <cell r="H1289" t="str">
            <v/>
          </cell>
          <cell r="U1289" t="str">
            <v/>
          </cell>
          <cell r="AH1289" t="str">
            <v/>
          </cell>
        </row>
        <row r="1290">
          <cell r="D1290">
            <v>0</v>
          </cell>
          <cell r="G1290" t="str">
            <v/>
          </cell>
          <cell r="H1290" t="str">
            <v/>
          </cell>
          <cell r="I1290" t="str">
            <v>I. Activos</v>
          </cell>
          <cell r="J1290" t="str">
            <v>1. Activos corrientes</v>
          </cell>
          <cell r="K1290" t="str">
            <v>2. Otros Activos Financieros, corrientes</v>
          </cell>
          <cell r="L1290" t="str">
            <v>A. corrtes. distintos de A. para su disposición clasif. para venta o distrib. a propiet.</v>
          </cell>
          <cell r="U1290" t="str">
            <v>2. Otros Activos Financieros, corrientes</v>
          </cell>
          <cell r="AH1290" t="str">
            <v>I. Activos de los segmentos</v>
          </cell>
        </row>
        <row r="1291">
          <cell r="D1291">
            <v>0</v>
          </cell>
          <cell r="F1291" t="str">
            <v>Otros Activos Financieros Corrientes</v>
          </cell>
          <cell r="G1291" t="str">
            <v/>
          </cell>
          <cell r="H1291" t="str">
            <v/>
          </cell>
          <cell r="U1291" t="str">
            <v/>
          </cell>
          <cell r="AH1291" t="str">
            <v/>
          </cell>
        </row>
        <row r="1292">
          <cell r="D1292">
            <v>0</v>
          </cell>
          <cell r="G1292" t="str">
            <v/>
          </cell>
          <cell r="H1292" t="str">
            <v/>
          </cell>
          <cell r="U1292" t="str">
            <v/>
          </cell>
          <cell r="AH1292" t="str">
            <v/>
          </cell>
        </row>
        <row r="1293">
          <cell r="D1293">
            <v>0</v>
          </cell>
          <cell r="G1293" t="str">
            <v/>
          </cell>
          <cell r="H1293" t="str">
            <v/>
          </cell>
          <cell r="I1293" t="str">
            <v>I. Activos</v>
          </cell>
          <cell r="J1293" t="str">
            <v>1. Activos corrientes</v>
          </cell>
          <cell r="K1293" t="str">
            <v>3. Otros Activos No Financieros, corrientes</v>
          </cell>
          <cell r="L1293" t="str">
            <v>A. corrtes. distintos de A. para su disposición clasif. para venta o distrib. a propiet.</v>
          </cell>
          <cell r="U1293" t="str">
            <v>3. Otros Activos No Financieros, corrientes</v>
          </cell>
          <cell r="AH1293" t="str">
            <v>I. Activos de los segmentos</v>
          </cell>
        </row>
        <row r="1294">
          <cell r="D1294">
            <v>0</v>
          </cell>
          <cell r="F1294" t="str">
            <v>Otros Activos No Financieros, Corrientes</v>
          </cell>
          <cell r="G1294" t="str">
            <v/>
          </cell>
          <cell r="H1294" t="str">
            <v/>
          </cell>
          <cell r="U1294" t="str">
            <v/>
          </cell>
          <cell r="AH1294" t="str">
            <v/>
          </cell>
        </row>
        <row r="1295">
          <cell r="D1295">
            <v>0</v>
          </cell>
          <cell r="G1295" t="str">
            <v/>
          </cell>
          <cell r="H1295" t="str">
            <v/>
          </cell>
          <cell r="U1295" t="str">
            <v/>
          </cell>
          <cell r="AH1295" t="str">
            <v/>
          </cell>
        </row>
        <row r="1296">
          <cell r="D1296" t="str">
            <v>1106000000</v>
          </cell>
          <cell r="E1296" t="str">
            <v>1106000000</v>
          </cell>
          <cell r="F1296" t="str">
            <v>Iva Crédito Fiscal</v>
          </cell>
          <cell r="G1296" t="str">
            <v>1106000000  Iva Crédito Fiscal</v>
          </cell>
          <cell r="H1296" t="str">
            <v>Balance</v>
          </cell>
          <cell r="I1296" t="str">
            <v>I. Activos</v>
          </cell>
          <cell r="J1296" t="str">
            <v>1. Activos corrientes</v>
          </cell>
          <cell r="K1296" t="str">
            <v>4. Deudores Comerciales y otras cuentas por cobrar, corrientes</v>
          </cell>
          <cell r="L1296" t="str">
            <v>A. corrtes. distintos de A. para su disposición clasif. para venta o distrib. a propiet.</v>
          </cell>
          <cell r="U1296" t="str">
            <v>4. Deudores Comerciales y otras cuentas por cobrar, corrientes</v>
          </cell>
          <cell r="AH1296" t="str">
            <v>I. Activos de los segmentos</v>
          </cell>
        </row>
        <row r="1297">
          <cell r="D1297">
            <v>0</v>
          </cell>
          <cell r="G1297" t="str">
            <v/>
          </cell>
          <cell r="H1297" t="str">
            <v>Balance</v>
          </cell>
          <cell r="I1297" t="str">
            <v>I. Activos</v>
          </cell>
          <cell r="J1297" t="str">
            <v>1. Activos corrientes</v>
          </cell>
          <cell r="K1297" t="str">
            <v>4. Deudores Comerciales y otras cuentas por cobrar, corrientes</v>
          </cell>
          <cell r="L1297" t="str">
            <v>A. corrtes. distintos de A. para su disposición clasif. para venta o distrib. a propiet.</v>
          </cell>
          <cell r="U1297" t="str">
            <v>4. Deudores Comerciales y otras cuentas por cobrar, corrientes</v>
          </cell>
          <cell r="AH1297" t="str">
            <v>I. Activos de los segmentos</v>
          </cell>
        </row>
        <row r="1298">
          <cell r="D1298">
            <v>0</v>
          </cell>
          <cell r="G1298" t="str">
            <v/>
          </cell>
          <cell r="H1298" t="str">
            <v>Balance</v>
          </cell>
          <cell r="I1298" t="str">
            <v>I. Activos</v>
          </cell>
          <cell r="J1298" t="str">
            <v>1. Activos corrientes</v>
          </cell>
          <cell r="K1298" t="str">
            <v>4. Deudores Comerciales y otras cuentas por cobrar, corrientes</v>
          </cell>
          <cell r="L1298" t="str">
            <v>A. corrtes. distintos de A. para su disposición clasif. para venta o distrib. a propiet.</v>
          </cell>
          <cell r="U1298" t="str">
            <v>4. Deudores Comerciales y otras cuentas por cobrar, corrientes</v>
          </cell>
          <cell r="AH1298" t="str">
            <v>I. Activos de los segmentos</v>
          </cell>
        </row>
        <row r="1299">
          <cell r="D1299">
            <v>0</v>
          </cell>
          <cell r="F1299" t="str">
            <v>Deudores Comerciales Y Otras Cuentas Por Cobrar Corrientes</v>
          </cell>
          <cell r="G1299" t="str">
            <v/>
          </cell>
          <cell r="H1299" t="str">
            <v/>
          </cell>
          <cell r="U1299" t="str">
            <v/>
          </cell>
          <cell r="AH1299" t="str">
            <v/>
          </cell>
        </row>
        <row r="1300">
          <cell r="D1300">
            <v>0</v>
          </cell>
          <cell r="G1300" t="str">
            <v/>
          </cell>
          <cell r="H1300" t="str">
            <v/>
          </cell>
          <cell r="U1300" t="str">
            <v/>
          </cell>
          <cell r="AH1300" t="str">
            <v/>
          </cell>
        </row>
        <row r="1301">
          <cell r="D1301">
            <v>0</v>
          </cell>
          <cell r="G1301" t="str">
            <v/>
          </cell>
          <cell r="H1301" t="str">
            <v/>
          </cell>
          <cell r="I1301" t="str">
            <v>I. Activos</v>
          </cell>
          <cell r="J1301" t="str">
            <v>1. Activos corrientes</v>
          </cell>
          <cell r="K1301" t="str">
            <v>5. Cuentas por Cobrar a Entidades Relacionadas, corrientes</v>
          </cell>
          <cell r="L1301" t="str">
            <v>A. corrtes. distintos de A. para su disposición clasif. para venta o distrib. a propiet.</v>
          </cell>
          <cell r="U1301" t="str">
            <v>5. Cuentas por Cobrar a Entidades Relacionadas, corrientes</v>
          </cell>
          <cell r="AH1301" t="str">
            <v>I. Activos de los segmentos</v>
          </cell>
        </row>
        <row r="1302">
          <cell r="D1302">
            <v>0</v>
          </cell>
          <cell r="F1302" t="str">
            <v>Ctas. Por Cobrar A Entidades Relacionadas, Corrientes</v>
          </cell>
          <cell r="G1302" t="str">
            <v/>
          </cell>
          <cell r="H1302" t="str">
            <v/>
          </cell>
          <cell r="U1302" t="str">
            <v/>
          </cell>
          <cell r="AH1302" t="str">
            <v/>
          </cell>
        </row>
        <row r="1303">
          <cell r="D1303">
            <v>0</v>
          </cell>
          <cell r="F1303" t="str">
            <v/>
          </cell>
          <cell r="G1303" t="str">
            <v/>
          </cell>
          <cell r="H1303" t="str">
            <v/>
          </cell>
          <cell r="U1303" t="str">
            <v/>
          </cell>
          <cell r="AH1303" t="str">
            <v/>
          </cell>
        </row>
        <row r="1304">
          <cell r="D1304">
            <v>0</v>
          </cell>
          <cell r="F1304" t="str">
            <v/>
          </cell>
          <cell r="G1304" t="str">
            <v/>
          </cell>
          <cell r="H1304" t="str">
            <v/>
          </cell>
          <cell r="I1304" t="str">
            <v>I. Activos</v>
          </cell>
          <cell r="J1304" t="str">
            <v>1. Activos corrientes</v>
          </cell>
          <cell r="K1304" t="str">
            <v>6. Inventarios</v>
          </cell>
          <cell r="U1304" t="str">
            <v>6. Inventarios</v>
          </cell>
          <cell r="AH1304" t="str">
            <v>I. Activos de los segmentos</v>
          </cell>
        </row>
        <row r="1305">
          <cell r="D1305">
            <v>0</v>
          </cell>
          <cell r="F1305" t="str">
            <v>Inventarios</v>
          </cell>
          <cell r="G1305" t="str">
            <v/>
          </cell>
          <cell r="H1305" t="str">
            <v/>
          </cell>
          <cell r="U1305" t="str">
            <v/>
          </cell>
          <cell r="AH1305" t="str">
            <v/>
          </cell>
        </row>
        <row r="1306">
          <cell r="D1306">
            <v>0</v>
          </cell>
          <cell r="F1306" t="str">
            <v/>
          </cell>
          <cell r="G1306" t="str">
            <v/>
          </cell>
          <cell r="H1306" t="str">
            <v/>
          </cell>
          <cell r="I1306" t="str">
            <v>I. Activos</v>
          </cell>
          <cell r="J1306" t="str">
            <v>1. Activos corrientes</v>
          </cell>
          <cell r="K1306" t="str">
            <v>7. Activos biológicos, corrientes</v>
          </cell>
          <cell r="U1306" t="str">
            <v>7. Activos biológicos, corrientes</v>
          </cell>
          <cell r="AH1306" t="str">
            <v>I. Activos de los segmentos</v>
          </cell>
        </row>
        <row r="1307">
          <cell r="D1307">
            <v>0</v>
          </cell>
          <cell r="F1307" t="str">
            <v>Activos Biológicos Corrientes</v>
          </cell>
          <cell r="G1307" t="str">
            <v/>
          </cell>
          <cell r="H1307" t="str">
            <v/>
          </cell>
          <cell r="U1307" t="str">
            <v/>
          </cell>
          <cell r="AH1307" t="str">
            <v/>
          </cell>
        </row>
        <row r="1308">
          <cell r="D1308">
            <v>0</v>
          </cell>
          <cell r="F1308" t="str">
            <v/>
          </cell>
          <cell r="G1308" t="str">
            <v/>
          </cell>
          <cell r="H1308" t="str">
            <v/>
          </cell>
          <cell r="U1308" t="str">
            <v/>
          </cell>
          <cell r="AH1308" t="str">
            <v/>
          </cell>
        </row>
        <row r="1309">
          <cell r="D1309">
            <v>0</v>
          </cell>
          <cell r="G1309" t="str">
            <v/>
          </cell>
          <cell r="H1309" t="str">
            <v>Balance</v>
          </cell>
          <cell r="I1309" t="str">
            <v>I. Activos</v>
          </cell>
          <cell r="J1309" t="str">
            <v>1. Activos corrientes</v>
          </cell>
          <cell r="K1309" t="str">
            <v>8. Activos por Impuestos, corrientes</v>
          </cell>
          <cell r="L1309" t="str">
            <v>A. corrtes. distintos de A. para su disposición clasif. para venta o distrib. a propiet.</v>
          </cell>
          <cell r="U1309" t="str">
            <v>8. Activos por Impuestos, corrientes</v>
          </cell>
          <cell r="AH1309" t="str">
            <v>I. Activos de los segmentos</v>
          </cell>
        </row>
        <row r="1310">
          <cell r="D1310">
            <v>0</v>
          </cell>
          <cell r="F1310" t="str">
            <v>Activos Por Impuestos Corrientes</v>
          </cell>
          <cell r="G1310" t="str">
            <v/>
          </cell>
          <cell r="H1310" t="str">
            <v/>
          </cell>
          <cell r="U1310" t="str">
            <v/>
          </cell>
          <cell r="AH1310" t="str">
            <v/>
          </cell>
        </row>
        <row r="1311">
          <cell r="D1311">
            <v>0</v>
          </cell>
          <cell r="F1311" t="str">
            <v/>
          </cell>
          <cell r="G1311" t="str">
            <v/>
          </cell>
          <cell r="H1311" t="str">
            <v/>
          </cell>
          <cell r="U1311" t="str">
            <v/>
          </cell>
          <cell r="AH1311" t="str">
            <v/>
          </cell>
        </row>
        <row r="1312">
          <cell r="D1312">
            <v>0</v>
          </cell>
          <cell r="F1312" t="str">
            <v>Total De Activos Corrientes Distintos De Los Activos O Grupos De Activos Para Su Disposición Clasificados Como Mantenidos Para La Venta O Como Mantenidos Para Distribuir A Los Propietarios</v>
          </cell>
          <cell r="G1312" t="str">
            <v/>
          </cell>
          <cell r="H1312" t="str">
            <v/>
          </cell>
          <cell r="U1312" t="str">
            <v/>
          </cell>
          <cell r="AH1312" t="str">
            <v/>
          </cell>
        </row>
        <row r="1313">
          <cell r="D1313">
            <v>0</v>
          </cell>
          <cell r="F1313" t="str">
            <v/>
          </cell>
          <cell r="G1313" t="str">
            <v/>
          </cell>
          <cell r="H1313" t="str">
            <v/>
          </cell>
          <cell r="U1313" t="str">
            <v/>
          </cell>
          <cell r="AH1313" t="str">
            <v/>
          </cell>
        </row>
        <row r="1314">
          <cell r="D1314">
            <v>0</v>
          </cell>
          <cell r="F1314" t="str">
            <v/>
          </cell>
          <cell r="G1314" t="str">
            <v/>
          </cell>
          <cell r="H1314" t="str">
            <v/>
          </cell>
          <cell r="U1314" t="str">
            <v/>
          </cell>
          <cell r="AH1314" t="str">
            <v/>
          </cell>
        </row>
        <row r="1315">
          <cell r="D1315">
            <v>0</v>
          </cell>
          <cell r="F1315" t="str">
            <v/>
          </cell>
          <cell r="G1315" t="str">
            <v/>
          </cell>
          <cell r="H1315" t="str">
            <v/>
          </cell>
          <cell r="I1315" t="str">
            <v>I. Activos</v>
          </cell>
          <cell r="J1315" t="str">
            <v>1. Activos corrientes</v>
          </cell>
          <cell r="K1315" t="str">
            <v xml:space="preserve">9. Activos, no corrientes o Grupos de Activos para su Disposición Clasificados como Mantenidos para la Venta </v>
          </cell>
          <cell r="L1315" t="str">
            <v>Activos No Corrientes o Grupos de Activos para su Disposición Clasificados como Mantenidos para la Venta o como Mantenidos para Distribuir a los Propietarios</v>
          </cell>
          <cell r="U1315" t="str">
            <v xml:space="preserve">9. Activos, no corrientes o Grupos de Activos para su Disposición Clasificados como Mantenidos para la Venta </v>
          </cell>
          <cell r="AH1315" t="str">
            <v>I. Activos de los segmentos</v>
          </cell>
        </row>
        <row r="1316">
          <cell r="D1316">
            <v>0</v>
          </cell>
          <cell r="F1316" t="str">
            <v xml:space="preserve">Activos No Corrientes O Grupos De Activos Para Su Disposición Clasificados Como Mantenidos Para La Venta </v>
          </cell>
          <cell r="G1316" t="str">
            <v/>
          </cell>
          <cell r="H1316" t="str">
            <v/>
          </cell>
          <cell r="U1316" t="str">
            <v/>
          </cell>
          <cell r="AH1316" t="str">
            <v/>
          </cell>
        </row>
        <row r="1317">
          <cell r="D1317">
            <v>0</v>
          </cell>
          <cell r="F1317" t="str">
            <v/>
          </cell>
          <cell r="G1317" t="str">
            <v/>
          </cell>
          <cell r="H1317" t="str">
            <v/>
          </cell>
          <cell r="U1317" t="str">
            <v/>
          </cell>
          <cell r="AH1317" t="str">
            <v/>
          </cell>
        </row>
        <row r="1318">
          <cell r="D1318">
            <v>0</v>
          </cell>
          <cell r="F1318" t="str">
            <v/>
          </cell>
          <cell r="G1318" t="str">
            <v/>
          </cell>
          <cell r="H1318" t="str">
            <v/>
          </cell>
          <cell r="I1318" t="str">
            <v>I. Activos</v>
          </cell>
          <cell r="J1318" t="str">
            <v>1. Activos corrientes</v>
          </cell>
          <cell r="K1318" t="str">
            <v>10. Activos, no corrientes o Grupos de Activos para su Disposición Clasificados como Mantenidos para Distribuir a los Propietarios</v>
          </cell>
          <cell r="L1318" t="str">
            <v>Activos No Corrientes o Grupos de Activos para su Disposición Clasificados como Mantenidos para la Venta o como Mantenidos para Distribuir a los Propietarios</v>
          </cell>
          <cell r="U1318" t="str">
            <v>10. Activos, no corrientes o Grupos de Activos para su Disposición Clasificados como Mantenidos para Distribuir a los Propietarios</v>
          </cell>
          <cell r="AH1318" t="str">
            <v>I. Activos de los segmentos</v>
          </cell>
        </row>
        <row r="1319">
          <cell r="D1319">
            <v>0</v>
          </cell>
          <cell r="F1319" t="str">
            <v>Activos No Corrientes O Grupos De Activos Para Su Disposición Clasificados Como Mantenidos Para Distribuir A Los Propietarios</v>
          </cell>
          <cell r="G1319" t="str">
            <v/>
          </cell>
          <cell r="H1319" t="str">
            <v/>
          </cell>
          <cell r="U1319" t="str">
            <v/>
          </cell>
          <cell r="AH1319" t="str">
            <v/>
          </cell>
        </row>
        <row r="1320">
          <cell r="D1320">
            <v>0</v>
          </cell>
          <cell r="F1320" t="str">
            <v/>
          </cell>
          <cell r="G1320" t="str">
            <v/>
          </cell>
          <cell r="H1320" t="str">
            <v/>
          </cell>
          <cell r="U1320" t="str">
            <v/>
          </cell>
          <cell r="AH1320" t="str">
            <v/>
          </cell>
        </row>
        <row r="1321">
          <cell r="D1321">
            <v>0</v>
          </cell>
          <cell r="F1321" t="str">
            <v/>
          </cell>
          <cell r="G1321" t="str">
            <v/>
          </cell>
          <cell r="H1321" t="str">
            <v/>
          </cell>
          <cell r="L1321" t="str">
            <v>Activos No Corrientes o Grupos de Activos para su Disposición Clasificados como Mantenidos para la Venta o como Mantenidos para Distribuir a los Propietarios</v>
          </cell>
          <cell r="U1321" t="str">
            <v/>
          </cell>
          <cell r="AH1321" t="str">
            <v>I. Activos de los segmentos</v>
          </cell>
        </row>
        <row r="1322">
          <cell r="D1322">
            <v>0</v>
          </cell>
          <cell r="F1322" t="str">
            <v>Activos No Corrientes O Grupos De Activos Para Su Disposición Clasificados Como Mantenidos Para La Venta O Como Mantenidos Para Distribuir A Los Propietarios</v>
          </cell>
          <cell r="G1322" t="str">
            <v/>
          </cell>
          <cell r="H1322" t="str">
            <v/>
          </cell>
          <cell r="U1322" t="str">
            <v/>
          </cell>
          <cell r="AH1322" t="str">
            <v/>
          </cell>
        </row>
        <row r="1323">
          <cell r="D1323">
            <v>0</v>
          </cell>
          <cell r="F1323" t="str">
            <v/>
          </cell>
          <cell r="G1323" t="str">
            <v/>
          </cell>
          <cell r="H1323" t="str">
            <v/>
          </cell>
          <cell r="U1323" t="str">
            <v/>
          </cell>
          <cell r="AH1323" t="str">
            <v/>
          </cell>
        </row>
        <row r="1324">
          <cell r="D1324">
            <v>0</v>
          </cell>
          <cell r="F1324" t="str">
            <v>Activos Corrientes Totales</v>
          </cell>
          <cell r="G1324" t="str">
            <v/>
          </cell>
          <cell r="H1324" t="str">
            <v/>
          </cell>
          <cell r="U1324" t="str">
            <v/>
          </cell>
          <cell r="AH1324" t="str">
            <v/>
          </cell>
        </row>
        <row r="1325">
          <cell r="D1325">
            <v>0</v>
          </cell>
          <cell r="F1325" t="str">
            <v/>
          </cell>
          <cell r="G1325" t="str">
            <v/>
          </cell>
          <cell r="H1325" t="str">
            <v/>
          </cell>
          <cell r="U1325" t="str">
            <v/>
          </cell>
          <cell r="AH1325" t="str">
            <v/>
          </cell>
        </row>
        <row r="1326">
          <cell r="D1326">
            <v>0</v>
          </cell>
          <cell r="F1326" t="str">
            <v/>
          </cell>
          <cell r="G1326" t="str">
            <v/>
          </cell>
          <cell r="H1326" t="str">
            <v/>
          </cell>
          <cell r="U1326" t="str">
            <v/>
          </cell>
          <cell r="AH1326" t="str">
            <v/>
          </cell>
        </row>
        <row r="1327">
          <cell r="D1327">
            <v>0</v>
          </cell>
          <cell r="F1327" t="str">
            <v>Activos No Corrientes</v>
          </cell>
          <cell r="G1327" t="str">
            <v/>
          </cell>
          <cell r="H1327" t="str">
            <v/>
          </cell>
          <cell r="U1327" t="str">
            <v/>
          </cell>
          <cell r="AH1327" t="str">
            <v/>
          </cell>
        </row>
        <row r="1328">
          <cell r="D1328">
            <v>0</v>
          </cell>
          <cell r="F1328" t="str">
            <v/>
          </cell>
          <cell r="G1328" t="str">
            <v/>
          </cell>
          <cell r="H1328" t="str">
            <v/>
          </cell>
          <cell r="U1328" t="str">
            <v/>
          </cell>
          <cell r="AH1328" t="str">
            <v/>
          </cell>
        </row>
        <row r="1329">
          <cell r="D1329">
            <v>0</v>
          </cell>
          <cell r="F1329" t="str">
            <v/>
          </cell>
          <cell r="G1329" t="str">
            <v/>
          </cell>
          <cell r="H1329" t="str">
            <v/>
          </cell>
          <cell r="I1329" t="str">
            <v>I. Activos</v>
          </cell>
          <cell r="J1329" t="str">
            <v>2. Activos no corrientes</v>
          </cell>
          <cell r="K1329" t="str">
            <v>1. Otros Activos Financieros, no corrientes</v>
          </cell>
          <cell r="U1329" t="str">
            <v>1. Otros Activos Financieros, no corrientes</v>
          </cell>
          <cell r="AH1329" t="str">
            <v>I. Activos de los segmentos</v>
          </cell>
        </row>
        <row r="1330">
          <cell r="D1330">
            <v>0</v>
          </cell>
          <cell r="F1330" t="str">
            <v>Otros Activos Financieros No Corrientes</v>
          </cell>
          <cell r="G1330" t="str">
            <v/>
          </cell>
          <cell r="H1330" t="str">
            <v/>
          </cell>
          <cell r="U1330" t="str">
            <v/>
          </cell>
          <cell r="AH1330" t="str">
            <v/>
          </cell>
        </row>
        <row r="1331">
          <cell r="D1331">
            <v>0</v>
          </cell>
          <cell r="F1331" t="str">
            <v/>
          </cell>
          <cell r="G1331" t="str">
            <v/>
          </cell>
          <cell r="H1331" t="str">
            <v/>
          </cell>
          <cell r="U1331" t="str">
            <v/>
          </cell>
          <cell r="AH1331" t="str">
            <v/>
          </cell>
        </row>
        <row r="1332">
          <cell r="D1332">
            <v>0</v>
          </cell>
          <cell r="F1332" t="str">
            <v/>
          </cell>
          <cell r="G1332" t="str">
            <v/>
          </cell>
          <cell r="H1332" t="str">
            <v/>
          </cell>
          <cell r="U1332" t="str">
            <v/>
          </cell>
          <cell r="AH1332" t="str">
            <v/>
          </cell>
        </row>
        <row r="1333">
          <cell r="D1333">
            <v>0</v>
          </cell>
          <cell r="G1333" t="str">
            <v/>
          </cell>
          <cell r="H1333" t="str">
            <v/>
          </cell>
          <cell r="I1333" t="str">
            <v>I. Activos</v>
          </cell>
          <cell r="J1333" t="str">
            <v>2. Activos no corrientes</v>
          </cell>
          <cell r="K1333" t="str">
            <v>2. Otros Activos No Financieros, no corrientes</v>
          </cell>
          <cell r="U1333" t="str">
            <v>2. Otros Activos No Financieros, no corrientes</v>
          </cell>
          <cell r="AH1333" t="str">
            <v>I. Activos de los segmentos</v>
          </cell>
        </row>
        <row r="1334">
          <cell r="D1334">
            <v>0</v>
          </cell>
          <cell r="F1334" t="str">
            <v>Otros Activos No Financieros No Corrientes</v>
          </cell>
          <cell r="G1334" t="str">
            <v/>
          </cell>
          <cell r="H1334" t="str">
            <v/>
          </cell>
          <cell r="U1334" t="str">
            <v/>
          </cell>
          <cell r="AH1334" t="str">
            <v/>
          </cell>
        </row>
        <row r="1335">
          <cell r="D1335">
            <v>0</v>
          </cell>
          <cell r="F1335" t="str">
            <v/>
          </cell>
          <cell r="G1335" t="str">
            <v/>
          </cell>
          <cell r="H1335" t="str">
            <v/>
          </cell>
          <cell r="U1335" t="str">
            <v/>
          </cell>
          <cell r="AH1335" t="str">
            <v/>
          </cell>
        </row>
        <row r="1336">
          <cell r="D1336">
            <v>0</v>
          </cell>
          <cell r="G1336" t="str">
            <v/>
          </cell>
          <cell r="H1336" t="str">
            <v/>
          </cell>
          <cell r="I1336" t="str">
            <v>I. Activos</v>
          </cell>
          <cell r="J1336" t="str">
            <v>2. Activos no corrientes</v>
          </cell>
          <cell r="K1336" t="str">
            <v>3. Derechos por Cobrar, no corrientes</v>
          </cell>
          <cell r="U1336" t="str">
            <v>3. Derechos por Cobrar, no corrientes</v>
          </cell>
          <cell r="AH1336" t="str">
            <v>I. Activos de los segmentos</v>
          </cell>
        </row>
        <row r="1337">
          <cell r="D1337">
            <v>0</v>
          </cell>
          <cell r="F1337" t="str">
            <v>Derechos Por Cobrar No Corrientes</v>
          </cell>
          <cell r="G1337" t="str">
            <v/>
          </cell>
          <cell r="H1337" t="str">
            <v/>
          </cell>
          <cell r="U1337" t="str">
            <v/>
          </cell>
          <cell r="AH1337" t="str">
            <v/>
          </cell>
        </row>
        <row r="1338">
          <cell r="D1338">
            <v>0</v>
          </cell>
          <cell r="F1338" t="str">
            <v/>
          </cell>
          <cell r="G1338" t="str">
            <v/>
          </cell>
          <cell r="H1338" t="str">
            <v/>
          </cell>
          <cell r="U1338" t="str">
            <v/>
          </cell>
          <cell r="AH1338" t="str">
            <v/>
          </cell>
        </row>
        <row r="1339">
          <cell r="D1339" t="str">
            <v>2100200200</v>
          </cell>
          <cell r="E1339" t="str">
            <v>2100200200</v>
          </cell>
          <cell r="F1339" t="str">
            <v>EFE</v>
          </cell>
          <cell r="G1339" t="str">
            <v>2100200200  EFE</v>
          </cell>
          <cell r="H1339" t="str">
            <v>Balance</v>
          </cell>
          <cell r="I1339" t="str">
            <v>I. Activos</v>
          </cell>
          <cell r="J1339" t="str">
            <v>2. Activos no corrientes</v>
          </cell>
          <cell r="K1339" t="str">
            <v>4. Cuentas por Cobrar a Entidades Relacionadas, no corrientes</v>
          </cell>
          <cell r="U1339" t="str">
            <v>4. Cuentas por Cobrar a Entidades Relacionadas, no corrientes</v>
          </cell>
          <cell r="AH1339" t="str">
            <v>I. Activos de los segmentos</v>
          </cell>
        </row>
        <row r="1340">
          <cell r="D1340">
            <v>0</v>
          </cell>
          <cell r="F1340" t="str">
            <v>Cuentas Por Cobrar A Entidades Relacionadas, No Corriente</v>
          </cell>
          <cell r="G1340" t="str">
            <v/>
          </cell>
          <cell r="H1340" t="str">
            <v/>
          </cell>
          <cell r="U1340" t="str">
            <v/>
          </cell>
          <cell r="AH1340" t="str">
            <v/>
          </cell>
        </row>
        <row r="1341">
          <cell r="D1341">
            <v>0</v>
          </cell>
          <cell r="F1341" t="str">
            <v/>
          </cell>
          <cell r="G1341" t="str">
            <v/>
          </cell>
          <cell r="H1341" t="str">
            <v/>
          </cell>
          <cell r="U1341" t="str">
            <v/>
          </cell>
          <cell r="AH1341" t="str">
            <v/>
          </cell>
        </row>
        <row r="1342">
          <cell r="D1342">
            <v>0</v>
          </cell>
          <cell r="G1342" t="str">
            <v/>
          </cell>
          <cell r="H1342" t="str">
            <v/>
          </cell>
          <cell r="I1342" t="str">
            <v>I. Activos</v>
          </cell>
          <cell r="J1342" t="str">
            <v>2. Activos no corrientes</v>
          </cell>
          <cell r="K1342" t="str">
            <v>5. Inversiones contabilizadas utilizando el método de la participación</v>
          </cell>
          <cell r="U1342" t="str">
            <v>5. Inversiones contabilizadas utilizando el método de la participación</v>
          </cell>
          <cell r="AH1342" t="str">
            <v>I. Activos de los segmentos</v>
          </cell>
        </row>
        <row r="1343">
          <cell r="D1343">
            <v>0</v>
          </cell>
          <cell r="F1343" t="str">
            <v>Inversiones Contabilizadas Utilizando El Método De La Participación</v>
          </cell>
          <cell r="G1343" t="str">
            <v/>
          </cell>
          <cell r="H1343" t="str">
            <v/>
          </cell>
          <cell r="U1343" t="str">
            <v/>
          </cell>
          <cell r="AH1343" t="str">
            <v/>
          </cell>
        </row>
        <row r="1344">
          <cell r="D1344">
            <v>0</v>
          </cell>
          <cell r="F1344" t="str">
            <v/>
          </cell>
          <cell r="G1344" t="str">
            <v/>
          </cell>
          <cell r="H1344" t="str">
            <v/>
          </cell>
          <cell r="U1344" t="str">
            <v/>
          </cell>
          <cell r="AH1344" t="str">
            <v/>
          </cell>
        </row>
        <row r="1345">
          <cell r="D1345">
            <v>0</v>
          </cell>
          <cell r="G1345" t="str">
            <v/>
          </cell>
          <cell r="H1345" t="str">
            <v/>
          </cell>
          <cell r="I1345" t="str">
            <v>I. Activos</v>
          </cell>
          <cell r="J1345" t="str">
            <v>2. Activos no corrientes</v>
          </cell>
          <cell r="K1345" t="str">
            <v>6. Activos intangibles distintos de la plusvalía</v>
          </cell>
          <cell r="U1345" t="str">
            <v>6. Activos intangibles distintos de la plusvalía</v>
          </cell>
          <cell r="AH1345" t="str">
            <v>I. Activos de los segmentos</v>
          </cell>
        </row>
        <row r="1346">
          <cell r="D1346">
            <v>0</v>
          </cell>
          <cell r="G1346" t="str">
            <v/>
          </cell>
          <cell r="H1346" t="str">
            <v/>
          </cell>
          <cell r="I1346" t="str">
            <v>I. Activos</v>
          </cell>
          <cell r="J1346" t="str">
            <v>2. Activos no corrientes</v>
          </cell>
          <cell r="K1346" t="str">
            <v>6. Activos intangibles distintos de la plusvalía</v>
          </cell>
          <cell r="U1346" t="str">
            <v>7.Amortización Act. Int. distintos de la plusvalía</v>
          </cell>
          <cell r="AH1346" t="str">
            <v>I. Activos de los segmentos</v>
          </cell>
        </row>
        <row r="1347">
          <cell r="D1347">
            <v>0</v>
          </cell>
          <cell r="F1347" t="str">
            <v>Activos Intangibles Distintos De La Plusvalía</v>
          </cell>
          <cell r="G1347" t="str">
            <v/>
          </cell>
          <cell r="H1347" t="str">
            <v/>
          </cell>
          <cell r="U1347" t="str">
            <v/>
          </cell>
          <cell r="AH1347" t="str">
            <v/>
          </cell>
        </row>
        <row r="1348">
          <cell r="D1348">
            <v>0</v>
          </cell>
          <cell r="F1348" t="str">
            <v/>
          </cell>
          <cell r="G1348" t="str">
            <v/>
          </cell>
          <cell r="H1348" t="str">
            <v/>
          </cell>
          <cell r="U1348" t="str">
            <v/>
          </cell>
          <cell r="AH1348" t="str">
            <v/>
          </cell>
        </row>
        <row r="1349">
          <cell r="D1349">
            <v>0</v>
          </cell>
          <cell r="F1349" t="str">
            <v/>
          </cell>
          <cell r="G1349" t="str">
            <v/>
          </cell>
          <cell r="H1349" t="str">
            <v/>
          </cell>
          <cell r="I1349" t="str">
            <v>I. Activos</v>
          </cell>
          <cell r="J1349" t="str">
            <v>2. Activos no corrientes</v>
          </cell>
          <cell r="K1349" t="str">
            <v>7. Plusvalía</v>
          </cell>
          <cell r="U1349" t="str">
            <v>8. Plusvalía</v>
          </cell>
          <cell r="AH1349" t="str">
            <v>I. Activos de los segmentos</v>
          </cell>
        </row>
        <row r="1350">
          <cell r="D1350">
            <v>0</v>
          </cell>
          <cell r="F1350" t="str">
            <v>Plusvalía</v>
          </cell>
          <cell r="G1350" t="str">
            <v/>
          </cell>
          <cell r="H1350" t="str">
            <v/>
          </cell>
          <cell r="U1350" t="str">
            <v/>
          </cell>
          <cell r="AH1350" t="str">
            <v/>
          </cell>
        </row>
        <row r="1351">
          <cell r="D1351">
            <v>0</v>
          </cell>
          <cell r="F1351" t="str">
            <v/>
          </cell>
          <cell r="G1351" t="str">
            <v/>
          </cell>
          <cell r="H1351" t="str">
            <v/>
          </cell>
          <cell r="U1351" t="str">
            <v/>
          </cell>
          <cell r="AH1351" t="str">
            <v/>
          </cell>
        </row>
        <row r="1352">
          <cell r="D1352">
            <v>0</v>
          </cell>
          <cell r="G1352" t="str">
            <v/>
          </cell>
          <cell r="H1352" t="str">
            <v/>
          </cell>
          <cell r="I1352" t="str">
            <v>I. Activos</v>
          </cell>
          <cell r="J1352" t="str">
            <v>2. Activos no corrientes</v>
          </cell>
          <cell r="K1352" t="str">
            <v>8. Propiedades, Planta y Equipo</v>
          </cell>
          <cell r="U1352" t="str">
            <v>9. Propiedades, Planta y Equipo</v>
          </cell>
          <cell r="AH1352" t="str">
            <v>I. Activos de los segmentos</v>
          </cell>
        </row>
        <row r="1353">
          <cell r="D1353">
            <v>0</v>
          </cell>
          <cell r="G1353" t="str">
            <v/>
          </cell>
          <cell r="H1353" t="str">
            <v/>
          </cell>
          <cell r="I1353" t="str">
            <v>I. Activos</v>
          </cell>
          <cell r="J1353" t="str">
            <v>2. Activos no corrientes</v>
          </cell>
          <cell r="K1353" t="str">
            <v>8. Propiedades, Planta y Equipo</v>
          </cell>
          <cell r="U1353" t="str">
            <v>10. Depreciación</v>
          </cell>
          <cell r="AH1353" t="str">
            <v>I. Activos de los segmentos</v>
          </cell>
        </row>
        <row r="1354">
          <cell r="D1354">
            <v>0</v>
          </cell>
          <cell r="F1354" t="str">
            <v>Propiedades, Planta Y Equipo</v>
          </cell>
          <cell r="G1354" t="str">
            <v/>
          </cell>
          <cell r="H1354" t="str">
            <v/>
          </cell>
          <cell r="U1354" t="str">
            <v/>
          </cell>
          <cell r="AH1354" t="str">
            <v/>
          </cell>
        </row>
        <row r="1355">
          <cell r="D1355">
            <v>0</v>
          </cell>
          <cell r="F1355" t="str">
            <v/>
          </cell>
          <cell r="G1355" t="str">
            <v/>
          </cell>
          <cell r="H1355" t="str">
            <v/>
          </cell>
          <cell r="U1355" t="str">
            <v/>
          </cell>
          <cell r="AH1355" t="str">
            <v/>
          </cell>
        </row>
        <row r="1356">
          <cell r="D1356">
            <v>0</v>
          </cell>
          <cell r="F1356" t="str">
            <v/>
          </cell>
          <cell r="G1356" t="str">
            <v/>
          </cell>
          <cell r="H1356" t="str">
            <v/>
          </cell>
          <cell r="I1356" t="str">
            <v>I. Activos</v>
          </cell>
          <cell r="J1356" t="str">
            <v>2. Activos no corrientes</v>
          </cell>
          <cell r="K1356" t="str">
            <v>9. Activos biológicos, no corrientes</v>
          </cell>
          <cell r="U1356" t="str">
            <v>11. Activos biológicos, no corrientes</v>
          </cell>
          <cell r="AH1356" t="str">
            <v>I. Activos de los segmentos</v>
          </cell>
        </row>
        <row r="1357">
          <cell r="D1357">
            <v>0</v>
          </cell>
          <cell r="F1357" t="str">
            <v>Activos Biológicos, No Corrientes</v>
          </cell>
          <cell r="G1357" t="str">
            <v/>
          </cell>
          <cell r="H1357" t="str">
            <v/>
          </cell>
          <cell r="U1357" t="str">
            <v/>
          </cell>
          <cell r="AH1357" t="str">
            <v/>
          </cell>
        </row>
        <row r="1358">
          <cell r="D1358">
            <v>0</v>
          </cell>
          <cell r="F1358" t="str">
            <v/>
          </cell>
          <cell r="G1358" t="str">
            <v/>
          </cell>
          <cell r="H1358" t="str">
            <v/>
          </cell>
          <cell r="U1358" t="str">
            <v/>
          </cell>
          <cell r="AH1358" t="str">
            <v/>
          </cell>
        </row>
        <row r="1359">
          <cell r="D1359">
            <v>0</v>
          </cell>
          <cell r="F1359" t="str">
            <v/>
          </cell>
          <cell r="G1359" t="str">
            <v/>
          </cell>
          <cell r="H1359" t="str">
            <v/>
          </cell>
          <cell r="I1359" t="str">
            <v>I. Activos</v>
          </cell>
          <cell r="J1359" t="str">
            <v>2. Activos no corrientes</v>
          </cell>
          <cell r="K1359" t="str">
            <v>10. Propiedad de inversión</v>
          </cell>
          <cell r="U1359" t="str">
            <v>12. Propiedad de inversión</v>
          </cell>
          <cell r="AH1359" t="str">
            <v>I. Activos de los segmentos</v>
          </cell>
        </row>
        <row r="1360">
          <cell r="D1360">
            <v>0</v>
          </cell>
          <cell r="F1360" t="str">
            <v>Propiedad De Inversión</v>
          </cell>
          <cell r="G1360" t="str">
            <v/>
          </cell>
          <cell r="H1360" t="str">
            <v/>
          </cell>
          <cell r="U1360" t="str">
            <v/>
          </cell>
          <cell r="AH1360" t="str">
            <v/>
          </cell>
        </row>
        <row r="1361">
          <cell r="D1361">
            <v>0</v>
          </cell>
          <cell r="F1361" t="str">
            <v/>
          </cell>
          <cell r="G1361" t="str">
            <v/>
          </cell>
          <cell r="H1361" t="str">
            <v/>
          </cell>
          <cell r="U1361" t="str">
            <v/>
          </cell>
          <cell r="AH1361" t="str">
            <v/>
          </cell>
        </row>
        <row r="1362">
          <cell r="D1362">
            <v>0</v>
          </cell>
          <cell r="F1362" t="str">
            <v/>
          </cell>
          <cell r="G1362" t="str">
            <v/>
          </cell>
          <cell r="H1362" t="str">
            <v/>
          </cell>
          <cell r="I1362" t="str">
            <v>I. Activos</v>
          </cell>
          <cell r="J1362" t="str">
            <v>2. Activos no corrientes</v>
          </cell>
          <cell r="K1362" t="str">
            <v>11. Activos por impuestos diferidos</v>
          </cell>
          <cell r="U1362" t="str">
            <v>13. Activos por impuestos diferidos</v>
          </cell>
          <cell r="AH1362" t="str">
            <v>I. Activos de los segmentos</v>
          </cell>
        </row>
        <row r="1363">
          <cell r="D1363">
            <v>0</v>
          </cell>
          <cell r="F1363" t="str">
            <v>Activos Por Impuestos Diferidos</v>
          </cell>
          <cell r="G1363" t="str">
            <v/>
          </cell>
          <cell r="H1363" t="str">
            <v/>
          </cell>
          <cell r="U1363" t="str">
            <v/>
          </cell>
          <cell r="AH1363" t="str">
            <v/>
          </cell>
        </row>
        <row r="1364">
          <cell r="D1364">
            <v>0</v>
          </cell>
          <cell r="F1364" t="str">
            <v/>
          </cell>
          <cell r="G1364" t="str">
            <v/>
          </cell>
          <cell r="H1364" t="str">
            <v/>
          </cell>
          <cell r="U1364" t="str">
            <v/>
          </cell>
          <cell r="AH1364" t="str">
            <v/>
          </cell>
        </row>
        <row r="1365">
          <cell r="D1365">
            <v>0</v>
          </cell>
          <cell r="F1365" t="str">
            <v>Total De Activos No Corrientes</v>
          </cell>
          <cell r="G1365" t="str">
            <v/>
          </cell>
          <cell r="H1365" t="str">
            <v/>
          </cell>
          <cell r="U1365" t="str">
            <v/>
          </cell>
          <cell r="AH1365" t="str">
            <v/>
          </cell>
        </row>
        <row r="1366">
          <cell r="D1366">
            <v>0</v>
          </cell>
          <cell r="F1366" t="str">
            <v/>
          </cell>
          <cell r="G1366" t="str">
            <v/>
          </cell>
          <cell r="H1366" t="str">
            <v/>
          </cell>
          <cell r="U1366" t="str">
            <v/>
          </cell>
          <cell r="AH1366" t="str">
            <v/>
          </cell>
        </row>
        <row r="1367">
          <cell r="D1367">
            <v>0</v>
          </cell>
          <cell r="F1367" t="str">
            <v>Total De Activos</v>
          </cell>
          <cell r="G1367" t="str">
            <v/>
          </cell>
          <cell r="H1367" t="str">
            <v/>
          </cell>
          <cell r="I1367" t="str">
            <v>I. Activos</v>
          </cell>
          <cell r="U1367" t="str">
            <v/>
          </cell>
          <cell r="AH1367" t="str">
            <v/>
          </cell>
        </row>
        <row r="1368">
          <cell r="D1368">
            <v>0</v>
          </cell>
          <cell r="G1368" t="str">
            <v/>
          </cell>
          <cell r="U1368" t="str">
            <v/>
          </cell>
          <cell r="AH1368" t="str">
            <v/>
          </cell>
        </row>
        <row r="1369">
          <cell r="D1369">
            <v>0</v>
          </cell>
          <cell r="G1369" t="str">
            <v/>
          </cell>
          <cell r="U1369" t="str">
            <v/>
          </cell>
          <cell r="AH1369" t="str">
            <v/>
          </cell>
        </row>
        <row r="1370">
          <cell r="D1370">
            <v>0</v>
          </cell>
          <cell r="F1370" t="str">
            <v>Interés minoritario</v>
          </cell>
          <cell r="G1370" t="str">
            <v/>
          </cell>
          <cell r="U1370" t="str">
            <v/>
          </cell>
          <cell r="AH1370" t="str">
            <v/>
          </cell>
        </row>
        <row r="1371">
          <cell r="D1371" t="str">
            <v>2039999999</v>
          </cell>
          <cell r="E1371" t="str">
            <v>2039999999</v>
          </cell>
          <cell r="F1371" t="str">
            <v>Interés minoritario</v>
          </cell>
          <cell r="G1371" t="str">
            <v>2039999999  Interés minoritario</v>
          </cell>
          <cell r="H1371" t="str">
            <v>Balance</v>
          </cell>
          <cell r="I1371" t="str">
            <v>II. Pasivos</v>
          </cell>
          <cell r="J1371" t="str">
            <v>4. Interés Minoritario</v>
          </cell>
          <cell r="K1371" t="str">
            <v>1. Participaciones no controladoras</v>
          </cell>
          <cell r="U1371" t="str">
            <v>1. Participaciones no controladoras</v>
          </cell>
          <cell r="AH1371" t="str">
            <v>III. Pasivos de los segmentos</v>
          </cell>
        </row>
        <row r="1372">
          <cell r="D1372">
            <v>0</v>
          </cell>
          <cell r="F1372" t="str">
            <v/>
          </cell>
          <cell r="G1372" t="str">
            <v/>
          </cell>
          <cell r="H1372" t="str">
            <v/>
          </cell>
          <cell r="U1372" t="str">
            <v/>
          </cell>
          <cell r="AH1372" t="str">
            <v/>
          </cell>
        </row>
        <row r="1373">
          <cell r="D1373">
            <v>0</v>
          </cell>
          <cell r="F1373" t="str">
            <v/>
          </cell>
          <cell r="G1373" t="str">
            <v/>
          </cell>
          <cell r="H1373" t="str">
            <v/>
          </cell>
          <cell r="U1373" t="str">
            <v/>
          </cell>
          <cell r="AH1373" t="str">
            <v/>
          </cell>
        </row>
        <row r="1374">
          <cell r="D1374">
            <v>0</v>
          </cell>
          <cell r="F1374" t="str">
            <v/>
          </cell>
          <cell r="G1374" t="str">
            <v/>
          </cell>
          <cell r="H1374" t="str">
            <v/>
          </cell>
          <cell r="U1374" t="str">
            <v/>
          </cell>
          <cell r="AH1374" t="str">
            <v/>
          </cell>
        </row>
        <row r="1375">
          <cell r="D1375">
            <v>0</v>
          </cell>
          <cell r="F1375" t="str">
            <v>Patrimonio Y Pasivos</v>
          </cell>
          <cell r="G1375" t="str">
            <v/>
          </cell>
          <cell r="H1375" t="str">
            <v/>
          </cell>
          <cell r="U1375" t="str">
            <v/>
          </cell>
          <cell r="AH1375" t="str">
            <v/>
          </cell>
        </row>
        <row r="1376">
          <cell r="D1376">
            <v>0</v>
          </cell>
          <cell r="F1376" t="str">
            <v>Pasivos</v>
          </cell>
          <cell r="G1376" t="str">
            <v/>
          </cell>
          <cell r="H1376" t="str">
            <v/>
          </cell>
          <cell r="U1376" t="str">
            <v/>
          </cell>
          <cell r="AH1376" t="str">
            <v/>
          </cell>
        </row>
        <row r="1377">
          <cell r="D1377">
            <v>0</v>
          </cell>
          <cell r="F1377" t="str">
            <v>Pasivos Corrientes</v>
          </cell>
          <cell r="G1377" t="str">
            <v/>
          </cell>
          <cell r="H1377" t="str">
            <v/>
          </cell>
          <cell r="U1377" t="str">
            <v/>
          </cell>
          <cell r="AH1377" t="str">
            <v/>
          </cell>
        </row>
        <row r="1378">
          <cell r="D1378">
            <v>0</v>
          </cell>
          <cell r="F1378" t="str">
            <v>.</v>
          </cell>
          <cell r="G1378" t="str">
            <v/>
          </cell>
          <cell r="H1378" t="str">
            <v/>
          </cell>
          <cell r="U1378" t="str">
            <v/>
          </cell>
          <cell r="AH1378" t="str">
            <v/>
          </cell>
        </row>
        <row r="1379">
          <cell r="D1379">
            <v>0</v>
          </cell>
          <cell r="G1379" t="str">
            <v/>
          </cell>
          <cell r="H1379" t="str">
            <v/>
          </cell>
          <cell r="I1379" t="str">
            <v>II. Pasivos</v>
          </cell>
          <cell r="J1379" t="str">
            <v>1. Pasivos corrientes</v>
          </cell>
          <cell r="K1379" t="str">
            <v>1. Otros Pasivos Financieros, corrientes</v>
          </cell>
          <cell r="U1379" t="str">
            <v>1. Otros Pasivos Financieros, corrientes</v>
          </cell>
          <cell r="AH1379" t="str">
            <v>III. Pasivos de los segmentos</v>
          </cell>
        </row>
        <row r="1380">
          <cell r="D1380">
            <v>0</v>
          </cell>
          <cell r="F1380" t="str">
            <v>Otros Pasivos Financieros Corrientes</v>
          </cell>
          <cell r="G1380" t="str">
            <v/>
          </cell>
          <cell r="H1380" t="str">
            <v/>
          </cell>
          <cell r="U1380" t="str">
            <v/>
          </cell>
          <cell r="AH1380" t="str">
            <v/>
          </cell>
        </row>
        <row r="1381">
          <cell r="D1381">
            <v>0</v>
          </cell>
          <cell r="G1381" t="str">
            <v/>
          </cell>
          <cell r="H1381" t="str">
            <v/>
          </cell>
          <cell r="U1381" t="str">
            <v/>
          </cell>
          <cell r="AH1381" t="str">
            <v/>
          </cell>
        </row>
        <row r="1382">
          <cell r="D1382" t="str">
            <v>2101000000</v>
          </cell>
          <cell r="E1382" t="str">
            <v>2101000000</v>
          </cell>
          <cell r="F1382" t="str">
            <v>Proveedores</v>
          </cell>
          <cell r="G1382" t="str">
            <v>2101000000  Proveedores</v>
          </cell>
          <cell r="H1382" t="str">
            <v>Balance</v>
          </cell>
          <cell r="I1382" t="str">
            <v>II. Pasivos</v>
          </cell>
          <cell r="J1382" t="str">
            <v>1. Pasivos corrientes</v>
          </cell>
          <cell r="K1382" t="str">
            <v>2. Cuentas comerciales y otras cuentas por pagar, corrientes</v>
          </cell>
          <cell r="U1382" t="str">
            <v>2. Cuentas comerciales y otras cuentas por pagar, corrientes</v>
          </cell>
          <cell r="AH1382" t="str">
            <v>III. Pasivos de los segmentos</v>
          </cell>
        </row>
        <row r="1383">
          <cell r="D1383">
            <v>0</v>
          </cell>
          <cell r="F1383" t="str">
            <v>Cuentas Por Pagar Comerciales Y Otras Cuentas Por Pagar</v>
          </cell>
          <cell r="G1383" t="str">
            <v/>
          </cell>
          <cell r="H1383" t="str">
            <v/>
          </cell>
          <cell r="U1383" t="str">
            <v/>
          </cell>
          <cell r="AH1383" t="str">
            <v/>
          </cell>
        </row>
        <row r="1384">
          <cell r="D1384">
            <v>0</v>
          </cell>
          <cell r="F1384" t="str">
            <v/>
          </cell>
          <cell r="G1384" t="str">
            <v/>
          </cell>
          <cell r="H1384" t="str">
            <v/>
          </cell>
          <cell r="U1384" t="str">
            <v/>
          </cell>
          <cell r="AH1384" t="str">
            <v/>
          </cell>
        </row>
        <row r="1385">
          <cell r="D1385" t="str">
            <v>2100200200</v>
          </cell>
          <cell r="E1385" t="str">
            <v>2100200200</v>
          </cell>
          <cell r="F1385" t="str">
            <v>EFE</v>
          </cell>
          <cell r="G1385" t="str">
            <v>2100200200  EFE</v>
          </cell>
          <cell r="H1385" t="str">
            <v>Balance</v>
          </cell>
          <cell r="I1385" t="str">
            <v>II. Pasivos</v>
          </cell>
          <cell r="J1385" t="str">
            <v>1. Pasivos corrientes</v>
          </cell>
          <cell r="K1385" t="str">
            <v>3. Cuentas por Pagar a Entidades Relacionadas, corrientes</v>
          </cell>
          <cell r="U1385" t="str">
            <v>3. Cuentas por Pagar a Entidades Relacionadas, corrientes</v>
          </cell>
          <cell r="AH1385" t="str">
            <v>III. Pasivos de los segmentos</v>
          </cell>
        </row>
        <row r="1386">
          <cell r="D1386">
            <v>0</v>
          </cell>
          <cell r="F1386" t="str">
            <v>Cuentas Por Pagar A Entidades Relacionadas, Corrientes</v>
          </cell>
          <cell r="G1386" t="str">
            <v/>
          </cell>
          <cell r="H1386" t="str">
            <v/>
          </cell>
          <cell r="U1386" t="str">
            <v/>
          </cell>
          <cell r="AH1386" t="str">
            <v/>
          </cell>
        </row>
        <row r="1387">
          <cell r="D1387">
            <v>0</v>
          </cell>
          <cell r="F1387" t="str">
            <v/>
          </cell>
          <cell r="G1387" t="str">
            <v/>
          </cell>
          <cell r="H1387" t="str">
            <v/>
          </cell>
          <cell r="U1387" t="str">
            <v/>
          </cell>
          <cell r="AH1387" t="str">
            <v/>
          </cell>
        </row>
        <row r="1388">
          <cell r="D1388">
            <v>0</v>
          </cell>
          <cell r="G1388" t="str">
            <v/>
          </cell>
          <cell r="H1388" t="str">
            <v/>
          </cell>
          <cell r="I1388" t="str">
            <v>II. Pasivos</v>
          </cell>
          <cell r="J1388" t="str">
            <v>1. Pasivos corrientes</v>
          </cell>
          <cell r="K1388" t="str">
            <v>4. Otras Provisiones, corrientes</v>
          </cell>
          <cell r="U1388" t="str">
            <v>4. Otras Provisiones, corrientes</v>
          </cell>
          <cell r="AH1388" t="str">
            <v>III. Pasivos de los segmentos</v>
          </cell>
        </row>
        <row r="1389">
          <cell r="D1389">
            <v>0</v>
          </cell>
          <cell r="F1389" t="str">
            <v>Otras Provisones A Corto Plazo</v>
          </cell>
          <cell r="G1389" t="str">
            <v/>
          </cell>
          <cell r="H1389" t="str">
            <v/>
          </cell>
          <cell r="U1389" t="str">
            <v/>
          </cell>
          <cell r="AH1389" t="str">
            <v/>
          </cell>
        </row>
        <row r="1390">
          <cell r="D1390">
            <v>0</v>
          </cell>
          <cell r="F1390" t="str">
            <v/>
          </cell>
          <cell r="G1390" t="str">
            <v/>
          </cell>
          <cell r="H1390" t="str">
            <v/>
          </cell>
          <cell r="U1390" t="str">
            <v/>
          </cell>
          <cell r="AH1390" t="str">
            <v/>
          </cell>
        </row>
        <row r="1391">
          <cell r="D1391">
            <v>0</v>
          </cell>
          <cell r="G1391" t="str">
            <v/>
          </cell>
          <cell r="H1391" t="str">
            <v/>
          </cell>
          <cell r="I1391" t="str">
            <v>II. Pasivos</v>
          </cell>
          <cell r="J1391" t="str">
            <v>1. Pasivos corrientes</v>
          </cell>
          <cell r="K1391" t="str">
            <v>5. Pasivos por Impuestos, corrientes</v>
          </cell>
          <cell r="U1391" t="str">
            <v>5. Pasivos por Impuestos, corrientes</v>
          </cell>
          <cell r="AH1391" t="str">
            <v>III. Pasivos de los segmentos</v>
          </cell>
        </row>
        <row r="1392">
          <cell r="D1392">
            <v>0</v>
          </cell>
          <cell r="F1392" t="str">
            <v>Pasivos Por Impuestos Corrientes</v>
          </cell>
          <cell r="G1392" t="str">
            <v/>
          </cell>
          <cell r="H1392" t="str">
            <v/>
          </cell>
          <cell r="U1392" t="str">
            <v/>
          </cell>
          <cell r="AH1392" t="str">
            <v/>
          </cell>
        </row>
        <row r="1393">
          <cell r="D1393">
            <v>0</v>
          </cell>
          <cell r="F1393" t="str">
            <v/>
          </cell>
          <cell r="G1393" t="str">
            <v/>
          </cell>
          <cell r="H1393" t="str">
            <v/>
          </cell>
          <cell r="U1393" t="str">
            <v/>
          </cell>
          <cell r="AH1393" t="str">
            <v/>
          </cell>
        </row>
        <row r="1394">
          <cell r="D1394">
            <v>0</v>
          </cell>
          <cell r="G1394" t="str">
            <v/>
          </cell>
          <cell r="H1394" t="str">
            <v/>
          </cell>
          <cell r="I1394" t="str">
            <v>II. Pasivos</v>
          </cell>
          <cell r="J1394" t="str">
            <v>1. Pasivos corrientes</v>
          </cell>
          <cell r="K1394" t="str">
            <v>6. Provisiones por beneficios a los empleados, corrientes</v>
          </cell>
          <cell r="U1394" t="str">
            <v>6. Provisiones por beneficios a los empleados, corrientes</v>
          </cell>
          <cell r="AH1394" t="str">
            <v>III. Pasivos de los segmentos</v>
          </cell>
        </row>
        <row r="1395">
          <cell r="D1395">
            <v>0</v>
          </cell>
          <cell r="F1395" t="str">
            <v>Provisiones Corrientes Por Beneficios A Los Empleados</v>
          </cell>
          <cell r="G1395" t="str">
            <v/>
          </cell>
          <cell r="H1395" t="str">
            <v/>
          </cell>
          <cell r="U1395" t="str">
            <v/>
          </cell>
          <cell r="AH1395" t="str">
            <v/>
          </cell>
        </row>
        <row r="1396">
          <cell r="D1396">
            <v>0</v>
          </cell>
          <cell r="F1396" t="str">
            <v/>
          </cell>
          <cell r="G1396" t="str">
            <v/>
          </cell>
          <cell r="H1396" t="str">
            <v/>
          </cell>
          <cell r="U1396" t="str">
            <v/>
          </cell>
          <cell r="AH1396" t="str">
            <v/>
          </cell>
        </row>
        <row r="1397">
          <cell r="D1397" t="str">
            <v>2109999900</v>
          </cell>
          <cell r="E1397" t="str">
            <v>2109999900</v>
          </cell>
          <cell r="F1397" t="str">
            <v>Otras cuentas por pagar Lp</v>
          </cell>
          <cell r="G1397" t="str">
            <v>2109999900  Otras cuentas por pagar Lp</v>
          </cell>
          <cell r="H1397" t="str">
            <v>Balance</v>
          </cell>
          <cell r="I1397" t="str">
            <v>II. Pasivos</v>
          </cell>
          <cell r="J1397" t="str">
            <v>1. Pasivos corrientes</v>
          </cell>
          <cell r="K1397" t="str">
            <v>7. Otros Pasivos No Financieros, corrientes</v>
          </cell>
          <cell r="U1397" t="str">
            <v>7. Otros Pasivos No Financieros, corrientes</v>
          </cell>
          <cell r="AH1397" t="str">
            <v>III. Pasivos de los segmentos</v>
          </cell>
        </row>
        <row r="1398">
          <cell r="D1398">
            <v>0</v>
          </cell>
          <cell r="F1398" t="str">
            <v>Otros Pasivos No Financieros Corrientes</v>
          </cell>
          <cell r="G1398" t="str">
            <v/>
          </cell>
          <cell r="H1398" t="str">
            <v/>
          </cell>
          <cell r="U1398" t="str">
            <v/>
          </cell>
          <cell r="AH1398" t="str">
            <v/>
          </cell>
        </row>
        <row r="1399">
          <cell r="D1399">
            <v>0</v>
          </cell>
          <cell r="F1399" t="str">
            <v/>
          </cell>
          <cell r="G1399" t="str">
            <v/>
          </cell>
          <cell r="H1399" t="str">
            <v/>
          </cell>
          <cell r="U1399" t="str">
            <v/>
          </cell>
          <cell r="AH1399" t="str">
            <v/>
          </cell>
        </row>
        <row r="1400">
          <cell r="D1400">
            <v>0</v>
          </cell>
          <cell r="F1400" t="str">
            <v>Total De Pasivos Corrientes Distintos De Los Pasivos Incluidos En Grupos De Activos Para Su Disposición Clasificados Como Mantenidos Para La Venta</v>
          </cell>
          <cell r="G1400" t="str">
            <v/>
          </cell>
          <cell r="H1400" t="str">
            <v/>
          </cell>
          <cell r="I1400" t="str">
            <v>II. Pasivos</v>
          </cell>
          <cell r="J1400" t="str">
            <v>1. Pasivos corrientes</v>
          </cell>
          <cell r="U1400" t="str">
            <v/>
          </cell>
          <cell r="AH1400" t="str">
            <v>III. Pasivos de los segmentos</v>
          </cell>
        </row>
        <row r="1401">
          <cell r="D1401">
            <v>0</v>
          </cell>
          <cell r="F1401" t="str">
            <v/>
          </cell>
          <cell r="G1401" t="str">
            <v/>
          </cell>
          <cell r="H1401" t="str">
            <v/>
          </cell>
          <cell r="U1401" t="str">
            <v/>
          </cell>
          <cell r="AH1401" t="str">
            <v/>
          </cell>
        </row>
        <row r="1402">
          <cell r="D1402">
            <v>0</v>
          </cell>
          <cell r="F1402" t="str">
            <v>Pasivos Incluidos En Grupos De Activos Para Su Disposición Clasificados Como Mantenidos Para La Venta</v>
          </cell>
          <cell r="G1402" t="str">
            <v/>
          </cell>
          <cell r="H1402" t="str">
            <v/>
          </cell>
          <cell r="I1402" t="str">
            <v>II. Pasivos</v>
          </cell>
          <cell r="J1402" t="str">
            <v>1. Pasivos corrientes</v>
          </cell>
          <cell r="U1402" t="str">
            <v/>
          </cell>
          <cell r="AH1402" t="str">
            <v>III. Pasivos de los segmentos</v>
          </cell>
        </row>
        <row r="1403">
          <cell r="D1403">
            <v>0</v>
          </cell>
          <cell r="F1403" t="str">
            <v/>
          </cell>
          <cell r="G1403" t="str">
            <v/>
          </cell>
          <cell r="H1403" t="str">
            <v/>
          </cell>
          <cell r="U1403" t="str">
            <v/>
          </cell>
          <cell r="AH1403" t="str">
            <v/>
          </cell>
        </row>
        <row r="1404">
          <cell r="D1404">
            <v>0</v>
          </cell>
          <cell r="F1404" t="str">
            <v>Pasivos Corrientes Totales</v>
          </cell>
          <cell r="G1404" t="str">
            <v/>
          </cell>
          <cell r="H1404" t="str">
            <v/>
          </cell>
          <cell r="I1404" t="str">
            <v>II. Pasivos</v>
          </cell>
          <cell r="J1404" t="str">
            <v>1. Pasivos corrientes</v>
          </cell>
          <cell r="U1404" t="str">
            <v/>
          </cell>
          <cell r="AH1404" t="str">
            <v>III. Pasivos de los segmentos</v>
          </cell>
        </row>
        <row r="1405">
          <cell r="D1405">
            <v>0</v>
          </cell>
          <cell r="F1405" t="str">
            <v/>
          </cell>
          <cell r="G1405" t="str">
            <v/>
          </cell>
          <cell r="H1405" t="str">
            <v/>
          </cell>
          <cell r="U1405" t="str">
            <v/>
          </cell>
          <cell r="AH1405" t="str">
            <v/>
          </cell>
        </row>
        <row r="1406">
          <cell r="D1406">
            <v>0</v>
          </cell>
          <cell r="F1406" t="str">
            <v>Pasivos No Corrientes</v>
          </cell>
          <cell r="G1406" t="str">
            <v/>
          </cell>
          <cell r="H1406" t="str">
            <v/>
          </cell>
          <cell r="U1406" t="str">
            <v/>
          </cell>
          <cell r="AH1406" t="str">
            <v/>
          </cell>
        </row>
        <row r="1407">
          <cell r="D1407">
            <v>0</v>
          </cell>
          <cell r="G1407" t="str">
            <v/>
          </cell>
          <cell r="H1407" t="str">
            <v/>
          </cell>
          <cell r="I1407" t="str">
            <v>II. Pasivos</v>
          </cell>
          <cell r="J1407" t="str">
            <v>2. Pasivos no corrientes</v>
          </cell>
          <cell r="K1407" t="str">
            <v>1. Otros Pasivos Financieros, no corrientes</v>
          </cell>
          <cell r="U1407" t="str">
            <v>1. Otros Pasivos Financieros, no corrientes</v>
          </cell>
          <cell r="AH1407" t="str">
            <v>III. Pasivos de los segmentos</v>
          </cell>
        </row>
        <row r="1408">
          <cell r="D1408">
            <v>0</v>
          </cell>
          <cell r="F1408" t="str">
            <v>Otros Pasivos Financieros No Corrientes</v>
          </cell>
          <cell r="G1408" t="str">
            <v/>
          </cell>
          <cell r="H1408" t="str">
            <v/>
          </cell>
          <cell r="U1408" t="str">
            <v/>
          </cell>
          <cell r="AH1408" t="str">
            <v/>
          </cell>
        </row>
        <row r="1409">
          <cell r="D1409">
            <v>0</v>
          </cell>
          <cell r="G1409" t="str">
            <v/>
          </cell>
          <cell r="H1409" t="str">
            <v/>
          </cell>
          <cell r="U1409" t="str">
            <v/>
          </cell>
          <cell r="AH1409" t="str">
            <v/>
          </cell>
        </row>
        <row r="1410">
          <cell r="D1410">
            <v>0</v>
          </cell>
          <cell r="G1410" t="str">
            <v/>
          </cell>
          <cell r="H1410" t="str">
            <v/>
          </cell>
          <cell r="I1410" t="str">
            <v>II. Pasivos</v>
          </cell>
          <cell r="J1410" t="str">
            <v>2. Pasivos no corrientes</v>
          </cell>
          <cell r="K1410" t="str">
            <v>2. Otras cuentas por pagar, no corrientes</v>
          </cell>
          <cell r="U1410" t="str">
            <v>2. Otras cuentas por pagar, no corrientes</v>
          </cell>
          <cell r="AH1410" t="str">
            <v>III. Pasivos de los segmentos</v>
          </cell>
        </row>
        <row r="1411">
          <cell r="D1411">
            <v>0</v>
          </cell>
          <cell r="F1411" t="str">
            <v>Pasivos No Corrientes</v>
          </cell>
          <cell r="G1411" t="str">
            <v/>
          </cell>
          <cell r="H1411" t="str">
            <v/>
          </cell>
          <cell r="U1411" t="str">
            <v/>
          </cell>
          <cell r="AH1411" t="str">
            <v/>
          </cell>
        </row>
        <row r="1412">
          <cell r="D1412">
            <v>0</v>
          </cell>
          <cell r="G1412" t="str">
            <v/>
          </cell>
          <cell r="H1412" t="str">
            <v/>
          </cell>
          <cell r="U1412" t="str">
            <v/>
          </cell>
          <cell r="AH1412" t="str">
            <v/>
          </cell>
        </row>
        <row r="1413">
          <cell r="D1413" t="str">
            <v>2105000000</v>
          </cell>
          <cell r="E1413" t="str">
            <v>2105000000</v>
          </cell>
          <cell r="F1413" t="str">
            <v>EFE</v>
          </cell>
          <cell r="G1413" t="str">
            <v>2105000000  EFE</v>
          </cell>
          <cell r="H1413" t="str">
            <v>Balance</v>
          </cell>
          <cell r="I1413" t="str">
            <v>II. Pasivos</v>
          </cell>
          <cell r="J1413" t="str">
            <v>2. Pasivos no corrientes</v>
          </cell>
          <cell r="K1413" t="str">
            <v>3. Cuentas por Pagar a Entidades Relacionadas, no corrientes</v>
          </cell>
          <cell r="U1413" t="str">
            <v>3. Cuentas por Pagar a Entidades Relacionadas, no corrientes</v>
          </cell>
          <cell r="AH1413" t="str">
            <v>III. Pasivos de los segmentos</v>
          </cell>
        </row>
        <row r="1414">
          <cell r="D1414">
            <v>0</v>
          </cell>
          <cell r="F1414" t="str">
            <v>Cuentas Por Pagar A Entidades Relaconadas, No Corrientes</v>
          </cell>
          <cell r="G1414" t="str">
            <v/>
          </cell>
          <cell r="H1414" t="str">
            <v/>
          </cell>
          <cell r="U1414" t="str">
            <v/>
          </cell>
          <cell r="AH1414" t="str">
            <v/>
          </cell>
        </row>
        <row r="1415">
          <cell r="D1415">
            <v>0</v>
          </cell>
          <cell r="G1415" t="str">
            <v/>
          </cell>
          <cell r="H1415" t="str">
            <v/>
          </cell>
          <cell r="U1415" t="str">
            <v/>
          </cell>
          <cell r="AH1415" t="str">
            <v/>
          </cell>
        </row>
        <row r="1416">
          <cell r="D1416">
            <v>0</v>
          </cell>
          <cell r="G1416" t="str">
            <v/>
          </cell>
          <cell r="H1416" t="str">
            <v/>
          </cell>
          <cell r="I1416" t="str">
            <v>II. Pasivos</v>
          </cell>
          <cell r="J1416" t="str">
            <v>2. Pasivos no corrientes</v>
          </cell>
          <cell r="K1416" t="str">
            <v>4. Otras Provisiones, no corrientes</v>
          </cell>
          <cell r="U1416" t="str">
            <v>4. Otras Provisiones, no corrientes</v>
          </cell>
          <cell r="AH1416" t="str">
            <v>III. Pasivos de los segmentos</v>
          </cell>
        </row>
        <row r="1417">
          <cell r="D1417">
            <v>0</v>
          </cell>
          <cell r="F1417" t="str">
            <v>Otras Provisiones A Largo Plazo</v>
          </cell>
          <cell r="G1417" t="str">
            <v/>
          </cell>
          <cell r="H1417" t="str">
            <v/>
          </cell>
          <cell r="U1417" t="str">
            <v/>
          </cell>
          <cell r="AH1417" t="str">
            <v/>
          </cell>
        </row>
        <row r="1418">
          <cell r="D1418">
            <v>0</v>
          </cell>
          <cell r="G1418" t="str">
            <v/>
          </cell>
          <cell r="H1418" t="str">
            <v/>
          </cell>
          <cell r="U1418" t="str">
            <v/>
          </cell>
          <cell r="AH1418" t="str">
            <v/>
          </cell>
        </row>
        <row r="1419">
          <cell r="D1419">
            <v>0</v>
          </cell>
          <cell r="G1419" t="str">
            <v/>
          </cell>
          <cell r="H1419" t="str">
            <v/>
          </cell>
          <cell r="U1419" t="str">
            <v/>
          </cell>
        </row>
        <row r="1420">
          <cell r="D1420">
            <v>0</v>
          </cell>
          <cell r="F1420" t="str">
            <v/>
          </cell>
          <cell r="G1420" t="str">
            <v/>
          </cell>
          <cell r="H1420" t="str">
            <v/>
          </cell>
          <cell r="I1420" t="str">
            <v>II. Pasivos</v>
          </cell>
          <cell r="J1420" t="str">
            <v>2. Pasivos no corrientes</v>
          </cell>
          <cell r="K1420" t="str">
            <v>5. Pasivo por Impuestos Diferidos</v>
          </cell>
          <cell r="U1420" t="str">
            <v>5. Pasivo Por Impuestos Diferidos</v>
          </cell>
          <cell r="AH1420" t="str">
            <v>III. Pasivos de los segmentos</v>
          </cell>
        </row>
        <row r="1421">
          <cell r="D1421">
            <v>0</v>
          </cell>
          <cell r="F1421" t="str">
            <v>Pasivo Por Impuestos Diferidos</v>
          </cell>
          <cell r="G1421" t="str">
            <v/>
          </cell>
          <cell r="H1421" t="str">
            <v/>
          </cell>
          <cell r="U1421" t="str">
            <v/>
          </cell>
          <cell r="AH1421" t="str">
            <v/>
          </cell>
        </row>
        <row r="1422">
          <cell r="D1422">
            <v>0</v>
          </cell>
          <cell r="F1422" t="str">
            <v/>
          </cell>
          <cell r="G1422" t="str">
            <v/>
          </cell>
          <cell r="H1422" t="str">
            <v/>
          </cell>
          <cell r="U1422" t="str">
            <v/>
          </cell>
          <cell r="AH1422" t="str">
            <v/>
          </cell>
        </row>
        <row r="1423">
          <cell r="D1423">
            <v>0</v>
          </cell>
          <cell r="G1423" t="str">
            <v/>
          </cell>
          <cell r="H1423" t="str">
            <v/>
          </cell>
          <cell r="I1423" t="str">
            <v>II. Pasivos</v>
          </cell>
          <cell r="J1423" t="str">
            <v>2. Pasivos no corrientes</v>
          </cell>
          <cell r="K1423" t="str">
            <v>6. Provisiones por Beneficios a los Empleados, no corrientes</v>
          </cell>
          <cell r="U1423" t="str">
            <v>6. Provisiones por Beneficios a los Empleados, no corrientes</v>
          </cell>
          <cell r="AH1423" t="str">
            <v>III. Pasivos de los segmentos</v>
          </cell>
        </row>
        <row r="1424">
          <cell r="D1424">
            <v>0</v>
          </cell>
          <cell r="F1424" t="str">
            <v>Provisiones No Corrientes Por Beneficios A Los Empleados</v>
          </cell>
          <cell r="G1424" t="str">
            <v/>
          </cell>
          <cell r="H1424" t="str">
            <v/>
          </cell>
          <cell r="U1424" t="str">
            <v/>
          </cell>
          <cell r="AH1424" t="str">
            <v/>
          </cell>
        </row>
        <row r="1425">
          <cell r="D1425">
            <v>0</v>
          </cell>
          <cell r="U1425" t="str">
            <v/>
          </cell>
        </row>
        <row r="1426">
          <cell r="D1426">
            <v>0</v>
          </cell>
          <cell r="U1426" t="str">
            <v/>
          </cell>
        </row>
        <row r="1427">
          <cell r="D1427">
            <v>0</v>
          </cell>
          <cell r="G1427" t="str">
            <v/>
          </cell>
          <cell r="H1427" t="str">
            <v>Balance</v>
          </cell>
          <cell r="I1427" t="str">
            <v>II. Pasivos</v>
          </cell>
          <cell r="J1427" t="str">
            <v>2. Pasivos no corrientes</v>
          </cell>
          <cell r="K1427" t="str">
            <v>7. Otros pasivos no financieros, no corrientes</v>
          </cell>
          <cell r="U1427" t="str">
            <v>7. Otros pasivos no financieros, no corrientes</v>
          </cell>
          <cell r="AH1427" t="str">
            <v>III. Pasivos de los segmentos</v>
          </cell>
        </row>
        <row r="1428">
          <cell r="D1428">
            <v>0</v>
          </cell>
          <cell r="F1428" t="str">
            <v>Otros Pasivos No Financieros No Corrientes</v>
          </cell>
          <cell r="G1428" t="str">
            <v/>
          </cell>
          <cell r="H1428" t="str">
            <v/>
          </cell>
          <cell r="U1428" t="str">
            <v/>
          </cell>
          <cell r="AH1428" t="str">
            <v/>
          </cell>
        </row>
        <row r="1429">
          <cell r="D1429">
            <v>0</v>
          </cell>
          <cell r="F1429" t="str">
            <v/>
          </cell>
          <cell r="G1429" t="str">
            <v/>
          </cell>
          <cell r="H1429" t="str">
            <v/>
          </cell>
          <cell r="U1429" t="str">
            <v/>
          </cell>
          <cell r="AH1429" t="str">
            <v/>
          </cell>
        </row>
        <row r="1430">
          <cell r="D1430">
            <v>0</v>
          </cell>
          <cell r="F1430" t="str">
            <v>Total De Pasivos No Corrientes</v>
          </cell>
          <cell r="G1430" t="str">
            <v/>
          </cell>
          <cell r="H1430" t="str">
            <v/>
          </cell>
          <cell r="I1430" t="str">
            <v>II. Pasivos</v>
          </cell>
          <cell r="J1430" t="str">
            <v>2. Pasivos no corrientes</v>
          </cell>
          <cell r="U1430" t="str">
            <v/>
          </cell>
          <cell r="AH1430" t="str">
            <v>III. Pasivos de los segmentos</v>
          </cell>
        </row>
        <row r="1431">
          <cell r="D1431">
            <v>0</v>
          </cell>
          <cell r="F1431" t="str">
            <v/>
          </cell>
          <cell r="G1431" t="str">
            <v/>
          </cell>
          <cell r="H1431" t="str">
            <v/>
          </cell>
          <cell r="U1431" t="str">
            <v/>
          </cell>
          <cell r="AH1431" t="str">
            <v/>
          </cell>
        </row>
        <row r="1432">
          <cell r="D1432">
            <v>0</v>
          </cell>
          <cell r="F1432" t="str">
            <v>Total De Activos</v>
          </cell>
          <cell r="G1432" t="str">
            <v/>
          </cell>
          <cell r="H1432" t="str">
            <v/>
          </cell>
          <cell r="I1432" t="str">
            <v>II. Pasivos</v>
          </cell>
          <cell r="J1432" t="str">
            <v>2. Pasivos no corrientes</v>
          </cell>
          <cell r="U1432" t="str">
            <v/>
          </cell>
          <cell r="AH1432" t="str">
            <v>III. Pasivos de los segmentos</v>
          </cell>
        </row>
        <row r="1433">
          <cell r="D1433">
            <v>0</v>
          </cell>
          <cell r="G1433" t="str">
            <v/>
          </cell>
          <cell r="U1433" t="str">
            <v/>
          </cell>
          <cell r="AH1433" t="str">
            <v/>
          </cell>
        </row>
        <row r="1434">
          <cell r="D1434">
            <v>0</v>
          </cell>
          <cell r="G1434" t="str">
            <v/>
          </cell>
          <cell r="U1434" t="str">
            <v/>
          </cell>
          <cell r="AH1434" t="str">
            <v/>
          </cell>
        </row>
        <row r="1435">
          <cell r="D1435">
            <v>0</v>
          </cell>
          <cell r="F1435" t="str">
            <v>Interés minoritario</v>
          </cell>
          <cell r="G1435" t="str">
            <v/>
          </cell>
          <cell r="U1435" t="str">
            <v/>
          </cell>
          <cell r="AH1435" t="str">
            <v/>
          </cell>
        </row>
        <row r="1436">
          <cell r="D1436" t="str">
            <v>2039999999</v>
          </cell>
          <cell r="E1436" t="str">
            <v>2039999999</v>
          </cell>
          <cell r="F1436" t="str">
            <v>Interés minoritario</v>
          </cell>
          <cell r="G1436" t="str">
            <v>2039999999  Interés minoritario</v>
          </cell>
          <cell r="H1436" t="str">
            <v>Balance</v>
          </cell>
          <cell r="I1436" t="str">
            <v>II. Pasivos</v>
          </cell>
          <cell r="J1436" t="str">
            <v>4. Interés Minoritario</v>
          </cell>
          <cell r="K1436" t="str">
            <v>1. Participaciones no controladoras</v>
          </cell>
          <cell r="U1436" t="str">
            <v>1. Participaciones no controladoras</v>
          </cell>
          <cell r="AH1436" t="str">
            <v>III. Pasivos de los segmentos</v>
          </cell>
        </row>
        <row r="1437">
          <cell r="D1437">
            <v>0</v>
          </cell>
          <cell r="G1437" t="str">
            <v/>
          </cell>
          <cell r="U1437" t="str">
            <v/>
          </cell>
          <cell r="AH1437" t="str">
            <v/>
          </cell>
        </row>
        <row r="1438">
          <cell r="D1438">
            <v>0</v>
          </cell>
          <cell r="G1438" t="str">
            <v/>
          </cell>
          <cell r="U1438" t="str">
            <v/>
          </cell>
          <cell r="AH1438" t="str">
            <v/>
          </cell>
        </row>
        <row r="1439">
          <cell r="D1439">
            <v>0</v>
          </cell>
          <cell r="F1439" t="str">
            <v/>
          </cell>
          <cell r="G1439" t="str">
            <v/>
          </cell>
          <cell r="H1439" t="str">
            <v/>
          </cell>
          <cell r="U1439" t="str">
            <v/>
          </cell>
          <cell r="AH1439" t="str">
            <v/>
          </cell>
        </row>
        <row r="1440">
          <cell r="D1440">
            <v>0</v>
          </cell>
          <cell r="F1440" t="str">
            <v>Patrimonio</v>
          </cell>
          <cell r="G1440" t="str">
            <v/>
          </cell>
          <cell r="H1440" t="str">
            <v/>
          </cell>
          <cell r="U1440" t="str">
            <v/>
          </cell>
          <cell r="AH1440" t="str">
            <v/>
          </cell>
        </row>
        <row r="1441">
          <cell r="D1441">
            <v>0</v>
          </cell>
          <cell r="F1441" t="str">
            <v/>
          </cell>
          <cell r="G1441" t="str">
            <v/>
          </cell>
          <cell r="H1441" t="str">
            <v/>
          </cell>
          <cell r="U1441" t="str">
            <v/>
          </cell>
          <cell r="AH1441" t="str">
            <v/>
          </cell>
        </row>
        <row r="1442">
          <cell r="D1442" t="str">
            <v>3101000000</v>
          </cell>
          <cell r="E1442" t="str">
            <v>3101000000</v>
          </cell>
          <cell r="F1442" t="str">
            <v>Capital</v>
          </cell>
          <cell r="G1442" t="str">
            <v>3101000000  Capital</v>
          </cell>
          <cell r="H1442" t="str">
            <v>Balance</v>
          </cell>
          <cell r="I1442" t="str">
            <v>II. Pasivos</v>
          </cell>
          <cell r="J1442" t="str">
            <v>3. Patrimonio</v>
          </cell>
          <cell r="K1442" t="str">
            <v>1. Capital Emitido</v>
          </cell>
          <cell r="L1442" t="str">
            <v>Patrimonio atribuible a los Socias de la contrroladora</v>
          </cell>
          <cell r="U1442" t="str">
            <v>1. Capital Emitido</v>
          </cell>
          <cell r="AG1442" t="str">
            <v>Capital Emitido</v>
          </cell>
          <cell r="AH1442" t="str">
            <v>III. Pasivos de los segmentos</v>
          </cell>
        </row>
        <row r="1443">
          <cell r="D1443">
            <v>0</v>
          </cell>
          <cell r="F1443" t="str">
            <v>Capital Emitido</v>
          </cell>
          <cell r="G1443" t="str">
            <v/>
          </cell>
          <cell r="H1443" t="str">
            <v/>
          </cell>
          <cell r="U1443" t="str">
            <v/>
          </cell>
          <cell r="AH1443" t="str">
            <v/>
          </cell>
        </row>
        <row r="1444">
          <cell r="D1444">
            <v>0</v>
          </cell>
          <cell r="U1444" t="str">
            <v/>
          </cell>
          <cell r="AH1444" t="str">
            <v/>
          </cell>
        </row>
        <row r="1445">
          <cell r="D1445" t="str">
            <v>3204000000</v>
          </cell>
          <cell r="E1445" t="str">
            <v>3204000000</v>
          </cell>
          <cell r="F1445" t="str">
            <v>Pérdidas acumuladas</v>
          </cell>
          <cell r="G1445" t="str">
            <v>3204000000  Pérdidas acumuladas</v>
          </cell>
          <cell r="H1445" t="str">
            <v>Balance</v>
          </cell>
          <cell r="I1445" t="str">
            <v>II. Pasivos</v>
          </cell>
          <cell r="J1445" t="str">
            <v>3. Patrimonio</v>
          </cell>
          <cell r="K1445" t="str">
            <v>2. Ganancias (Pérdidas) Acumuladas</v>
          </cell>
          <cell r="L1445" t="str">
            <v>Patrimonio atribuible a los Socias de la contrroladora</v>
          </cell>
          <cell r="U1445" t="str">
            <v>6. Otras Reservas</v>
          </cell>
          <cell r="AG1445" t="str">
            <v>Ganacias (Pérdidas) Acum.</v>
          </cell>
          <cell r="AH1445" t="str">
            <v>III. Pasivos de los segmentos</v>
          </cell>
        </row>
        <row r="1446">
          <cell r="D1446" t="str">
            <v>3202000000</v>
          </cell>
          <cell r="E1446" t="str">
            <v>3202000000</v>
          </cell>
          <cell r="F1446" t="str">
            <v>Resultado acumulado</v>
          </cell>
          <cell r="G1446" t="str">
            <v>3202000000  Resultado acumulado</v>
          </cell>
          <cell r="H1446" t="str">
            <v>Balance</v>
          </cell>
          <cell r="I1446" t="str">
            <v>II. Pasivos</v>
          </cell>
          <cell r="J1446" t="str">
            <v>3. Patrimonio</v>
          </cell>
          <cell r="K1446" t="str">
            <v>2. Ganancias (Pérdidas) Acumuladas</v>
          </cell>
          <cell r="L1446" t="str">
            <v>Patrimonio atribuible a los Socias de la contrroladora</v>
          </cell>
          <cell r="U1446" t="str">
            <v>6. Otras Reservas</v>
          </cell>
          <cell r="AG1446" t="str">
            <v>Ganacias (Pérdidas) Acum.</v>
          </cell>
          <cell r="AH1446" t="str">
            <v>III. Pasivos de los segmentos</v>
          </cell>
        </row>
        <row r="1447">
          <cell r="D1447" t="str">
            <v>3104009900</v>
          </cell>
          <cell r="E1447" t="str">
            <v>3104009900</v>
          </cell>
          <cell r="F1447" t="str">
            <v>Utilidad (Pérdida) del Ejercicio</v>
          </cell>
          <cell r="G1447" t="str">
            <v>3104009900  Utilidad (Pérdida) del Ejercicio</v>
          </cell>
          <cell r="H1447" t="str">
            <v>Balance</v>
          </cell>
          <cell r="I1447" t="str">
            <v>II. Pasivos</v>
          </cell>
          <cell r="J1447" t="str">
            <v>3. Patrimonio</v>
          </cell>
          <cell r="K1447" t="str">
            <v>2. Ganancias (Pérdidas) Acumuladas</v>
          </cell>
          <cell r="L1447" t="str">
            <v>Patrimonio atribuible a los Socias de la contrroladora</v>
          </cell>
          <cell r="U1447" t="str">
            <v>2. Ganancias (Pérdidas) del Ejercicio</v>
          </cell>
          <cell r="AG1447" t="str">
            <v>Ganacias (Pérdidas) Acum.</v>
          </cell>
          <cell r="AH1447" t="str">
            <v>III. Pasivos de los segmentos</v>
          </cell>
        </row>
        <row r="1448">
          <cell r="D1448">
            <v>0</v>
          </cell>
          <cell r="F1448" t="str">
            <v>Ganacias (Pérdidas) Acumuladas</v>
          </cell>
          <cell r="G1448" t="str">
            <v/>
          </cell>
          <cell r="H1448" t="str">
            <v/>
          </cell>
          <cell r="U1448" t="str">
            <v/>
          </cell>
          <cell r="AH1448" t="str">
            <v/>
          </cell>
        </row>
        <row r="1449">
          <cell r="D1449">
            <v>0</v>
          </cell>
          <cell r="F1449" t="str">
            <v/>
          </cell>
          <cell r="G1449" t="str">
            <v/>
          </cell>
          <cell r="H1449" t="str">
            <v/>
          </cell>
          <cell r="U1449" t="str">
            <v/>
          </cell>
          <cell r="AH1449" t="str">
            <v/>
          </cell>
        </row>
        <row r="1450">
          <cell r="D1450">
            <v>0</v>
          </cell>
          <cell r="F1450" t="str">
            <v/>
          </cell>
          <cell r="G1450" t="str">
            <v/>
          </cell>
          <cell r="H1450" t="str">
            <v/>
          </cell>
          <cell r="U1450" t="str">
            <v/>
          </cell>
          <cell r="AH1450" t="str">
            <v/>
          </cell>
        </row>
        <row r="1451">
          <cell r="D1451">
            <v>0</v>
          </cell>
          <cell r="F1451" t="str">
            <v>Reservas Acumuladas</v>
          </cell>
          <cell r="G1451" t="str">
            <v/>
          </cell>
          <cell r="H1451" t="str">
            <v>Balance</v>
          </cell>
          <cell r="I1451" t="str">
            <v>II. Pasivos</v>
          </cell>
          <cell r="J1451" t="str">
            <v>3. Patrimonio</v>
          </cell>
          <cell r="K1451" t="str">
            <v>6. Otras Reservas</v>
          </cell>
          <cell r="L1451" t="str">
            <v>Patrimonio atribuible a los Socios de la controladora</v>
          </cell>
          <cell r="U1451" t="str">
            <v>6. Otras Reservas</v>
          </cell>
          <cell r="AG1451" t="str">
            <v>Otras Reservas</v>
          </cell>
          <cell r="AH1451" t="str">
            <v>III. Pasivos de los segmentos</v>
          </cell>
        </row>
        <row r="1452">
          <cell r="D1452">
            <v>0</v>
          </cell>
          <cell r="F1452" t="str">
            <v>Reserva Por  Bienes Del Activo Fijo</v>
          </cell>
          <cell r="G1452" t="str">
            <v/>
          </cell>
          <cell r="H1452" t="str">
            <v>Balance</v>
          </cell>
          <cell r="I1452" t="str">
            <v>II. Pasivos</v>
          </cell>
          <cell r="J1452" t="str">
            <v>3. Patrimonio</v>
          </cell>
          <cell r="K1452" t="str">
            <v>6. Otras Reservas</v>
          </cell>
          <cell r="L1452" t="str">
            <v>Patrimonio atribuible a los Socios de la controladora</v>
          </cell>
          <cell r="U1452" t="str">
            <v>6. Otras Reservas</v>
          </cell>
          <cell r="AG1452" t="str">
            <v>Otras Reservas</v>
          </cell>
          <cell r="AH1452" t="str">
            <v>III. Pasivos de los segmentos</v>
          </cell>
        </row>
        <row r="1453">
          <cell r="D1453">
            <v>0</v>
          </cell>
          <cell r="F1453" t="str">
            <v>Reserva De Retasación Técnicas  Año 1987</v>
          </cell>
          <cell r="G1453" t="str">
            <v/>
          </cell>
          <cell r="H1453" t="str">
            <v>Balance</v>
          </cell>
          <cell r="I1453" t="str">
            <v>II. Pasivos</v>
          </cell>
          <cell r="J1453" t="str">
            <v>3. Patrimonio</v>
          </cell>
          <cell r="K1453" t="str">
            <v>6. Otras Reservas</v>
          </cell>
          <cell r="L1453" t="str">
            <v>Patrimonio atribuible a los Socios de la controladora</v>
          </cell>
          <cell r="U1453" t="str">
            <v>6. Otras Reservas</v>
          </cell>
          <cell r="AG1453" t="str">
            <v>Otras Reservas</v>
          </cell>
          <cell r="AH1453" t="str">
            <v>III. Pasivos de los segmentos</v>
          </cell>
        </row>
        <row r="1454">
          <cell r="D1454">
            <v>0</v>
          </cell>
          <cell r="F1454" t="str">
            <v>Reserva De Retasación Técnica Año 1993</v>
          </cell>
          <cell r="G1454" t="str">
            <v/>
          </cell>
          <cell r="H1454" t="str">
            <v>Balance</v>
          </cell>
          <cell r="I1454" t="str">
            <v>II. Pasivos</v>
          </cell>
          <cell r="J1454" t="str">
            <v>3. Patrimonio</v>
          </cell>
          <cell r="K1454" t="str">
            <v>6. Otras Reservas</v>
          </cell>
          <cell r="L1454" t="str">
            <v>Patrimonio atribuible a los Socios de la controladora</v>
          </cell>
          <cell r="U1454" t="str">
            <v>6. Otras Reservas</v>
          </cell>
          <cell r="AG1454" t="str">
            <v>Otras Reservas</v>
          </cell>
          <cell r="AH1454" t="str">
            <v>III. Pasivos de los segmentos</v>
          </cell>
        </row>
        <row r="1455">
          <cell r="D1455">
            <v>0</v>
          </cell>
          <cell r="F1455" t="str">
            <v>Reserva Por Diferencia De Material</v>
          </cell>
          <cell r="G1455" t="str">
            <v/>
          </cell>
          <cell r="H1455" t="str">
            <v>Balance</v>
          </cell>
          <cell r="I1455" t="str">
            <v>II. Pasivos</v>
          </cell>
          <cell r="J1455" t="str">
            <v>3. Patrimonio</v>
          </cell>
          <cell r="K1455" t="str">
            <v>6. Otras Reservas</v>
          </cell>
          <cell r="L1455" t="str">
            <v>Patrimonio atribuible a los Socios de la controladora</v>
          </cell>
          <cell r="U1455" t="str">
            <v>6. Otras Reservas</v>
          </cell>
          <cell r="AG1455" t="str">
            <v>Otras Reservas</v>
          </cell>
          <cell r="AH1455" t="str">
            <v>III. Pasivos de los segmentos</v>
          </cell>
        </row>
        <row r="1456">
          <cell r="D1456">
            <v>0</v>
          </cell>
          <cell r="F1456" t="str">
            <v>Reserva Futuras Capitalizaciones</v>
          </cell>
          <cell r="G1456" t="str">
            <v/>
          </cell>
          <cell r="H1456" t="str">
            <v>Balance</v>
          </cell>
          <cell r="I1456" t="str">
            <v>II. Pasivos</v>
          </cell>
          <cell r="J1456" t="str">
            <v>3. Patrimonio</v>
          </cell>
          <cell r="K1456" t="str">
            <v>6. Otras Reservas</v>
          </cell>
          <cell r="L1456" t="str">
            <v>Patrimonio atribuible a los Socios de la controladora</v>
          </cell>
          <cell r="U1456" t="str">
            <v>6. Otras Reservas</v>
          </cell>
          <cell r="AG1456" t="str">
            <v>Otras Reservas</v>
          </cell>
          <cell r="AH1456" t="str">
            <v>III. Pasivos de los segmentos</v>
          </cell>
        </row>
        <row r="1457">
          <cell r="D1457">
            <v>0</v>
          </cell>
          <cell r="F1457" t="str">
            <v>Reserva Futuras Capitalizac.Emp.Portuaria Arica</v>
          </cell>
          <cell r="G1457" t="str">
            <v/>
          </cell>
          <cell r="H1457" t="str">
            <v>Balance</v>
          </cell>
          <cell r="I1457" t="str">
            <v>II. Pasivos</v>
          </cell>
          <cell r="J1457" t="str">
            <v>3. Patrimonio</v>
          </cell>
          <cell r="K1457" t="str">
            <v>6. Otras Reservas</v>
          </cell>
          <cell r="L1457" t="str">
            <v>Patrimonio atribuible a los Socios de la controladora</v>
          </cell>
          <cell r="U1457" t="str">
            <v>6. Otras Reservas</v>
          </cell>
          <cell r="AG1457" t="str">
            <v>Otras Reservas</v>
          </cell>
          <cell r="AH1457" t="str">
            <v>III. Pasivos de los segmentos</v>
          </cell>
        </row>
        <row r="1458">
          <cell r="D1458" t="str">
            <v>3209000000</v>
          </cell>
          <cell r="E1458" t="str">
            <v>3209000000</v>
          </cell>
          <cell r="F1458" t="str">
            <v>Otras Reservas IFRS</v>
          </cell>
          <cell r="G1458" t="str">
            <v>3209000000  Otras Reservas IFRS</v>
          </cell>
          <cell r="H1458" t="str">
            <v>Balance</v>
          </cell>
          <cell r="I1458" t="str">
            <v>II. Pasivos</v>
          </cell>
          <cell r="J1458" t="str">
            <v>3. Patrimonio</v>
          </cell>
          <cell r="K1458" t="str">
            <v>6. Otras Reservas</v>
          </cell>
          <cell r="L1458" t="str">
            <v>Patrimonio atribuible a los Socios de la controladora</v>
          </cell>
          <cell r="U1458" t="str">
            <v>6. Otras Reservas</v>
          </cell>
          <cell r="AG1458" t="str">
            <v>Otras Reservas</v>
          </cell>
          <cell r="AH1458" t="str">
            <v>III. Pasivos de los segmentos</v>
          </cell>
        </row>
        <row r="1459">
          <cell r="D1459">
            <v>0</v>
          </cell>
          <cell r="G1459" t="str">
            <v/>
          </cell>
          <cell r="H1459" t="str">
            <v>Balance</v>
          </cell>
          <cell r="I1459" t="str">
            <v>II. Pasivos</v>
          </cell>
          <cell r="J1459" t="str">
            <v>3. Patrimonio</v>
          </cell>
          <cell r="K1459" t="str">
            <v>6. Otras Reservas</v>
          </cell>
          <cell r="L1459" t="str">
            <v>Patrimonio atribuible a los Socios de la controladora</v>
          </cell>
          <cell r="U1459" t="str">
            <v>6. Otras Reservas</v>
          </cell>
          <cell r="AH1459" t="str">
            <v>III. Pasivos de los segmentos</v>
          </cell>
        </row>
        <row r="1460">
          <cell r="D1460" t="str">
            <v>3203000000</v>
          </cell>
          <cell r="E1460" t="str">
            <v>3203000000</v>
          </cell>
          <cell r="F1460" t="str">
            <v>Sobreprecio Venta De Acciones</v>
          </cell>
          <cell r="G1460" t="str">
            <v>3203000000  Sobreprecio Venta De Acciones</v>
          </cell>
          <cell r="H1460" t="str">
            <v>Balance</v>
          </cell>
          <cell r="I1460" t="str">
            <v>II. Pasivos</v>
          </cell>
          <cell r="J1460" t="str">
            <v>3. Patrimonio</v>
          </cell>
          <cell r="K1460" t="str">
            <v>6. Otras Reservas</v>
          </cell>
          <cell r="L1460" t="str">
            <v>Patrimonio atribuible a los Socios de la controladora</v>
          </cell>
          <cell r="U1460" t="str">
            <v>6. Otras Reservas</v>
          </cell>
          <cell r="AG1460" t="str">
            <v>Otras Reservas</v>
          </cell>
          <cell r="AH1460" t="str">
            <v>III. Pasivos de los segmentos</v>
          </cell>
        </row>
        <row r="1461">
          <cell r="D1461">
            <v>0</v>
          </cell>
          <cell r="F1461" t="str">
            <v>Acciones Suscritas Por Cobrar</v>
          </cell>
          <cell r="G1461" t="str">
            <v/>
          </cell>
          <cell r="H1461" t="str">
            <v>Balance</v>
          </cell>
          <cell r="I1461" t="str">
            <v>II. Pasivos</v>
          </cell>
          <cell r="J1461" t="str">
            <v>3. Patrimonio</v>
          </cell>
          <cell r="K1461" t="str">
            <v>6. Otras Reservas</v>
          </cell>
          <cell r="L1461" t="str">
            <v>Patrimonio atribuible a los Socios de la controladora</v>
          </cell>
          <cell r="U1461" t="str">
            <v>6. Otras Reservas</v>
          </cell>
          <cell r="AH1461" t="str">
            <v>III. Pasivos de los segmentos</v>
          </cell>
        </row>
        <row r="1462">
          <cell r="D1462" t="str">
            <v>3102000000</v>
          </cell>
          <cell r="E1462" t="str">
            <v>3102000000</v>
          </cell>
          <cell r="F1462" t="str">
            <v>Reserva Revalorización Capital</v>
          </cell>
          <cell r="G1462" t="str">
            <v>3102000000  Reserva Revalorización Capital</v>
          </cell>
          <cell r="H1462" t="str">
            <v>Balance</v>
          </cell>
          <cell r="I1462" t="str">
            <v>II. Pasivos</v>
          </cell>
          <cell r="J1462" t="str">
            <v>3. Patrimonio</v>
          </cell>
          <cell r="K1462" t="str">
            <v>6. Otras Reservas</v>
          </cell>
          <cell r="L1462" t="str">
            <v>Patrimonio atribuible a los Socios de la controladora</v>
          </cell>
          <cell r="U1462" t="str">
            <v>6. Otras Reservas</v>
          </cell>
          <cell r="AG1462" t="str">
            <v>Otras Reservas</v>
          </cell>
          <cell r="AH1462" t="str">
            <v>III. Pasivos de los segmentos</v>
          </cell>
        </row>
        <row r="1463">
          <cell r="D1463">
            <v>0</v>
          </cell>
          <cell r="G1463" t="str">
            <v/>
          </cell>
          <cell r="AH1463" t="str">
            <v>III. Pasivos de los segmentos</v>
          </cell>
        </row>
        <row r="1464">
          <cell r="D1464">
            <v>0</v>
          </cell>
          <cell r="F1464" t="str">
            <v/>
          </cell>
          <cell r="G1464" t="str">
            <v/>
          </cell>
          <cell r="H1464" t="str">
            <v/>
          </cell>
          <cell r="AH1464" t="str">
            <v/>
          </cell>
        </row>
        <row r="1465">
          <cell r="D1465">
            <v>0</v>
          </cell>
          <cell r="F1465" t="str">
            <v>Total Otras Reservas</v>
          </cell>
          <cell r="G1465" t="str">
            <v/>
          </cell>
          <cell r="H1465" t="str">
            <v/>
          </cell>
          <cell r="AH1465" t="str">
            <v/>
          </cell>
        </row>
        <row r="1466">
          <cell r="D1466">
            <v>0</v>
          </cell>
          <cell r="F1466" t="str">
            <v>Patrimonio Atribuible A Los Propietarios De La Controladora</v>
          </cell>
          <cell r="G1466" t="str">
            <v/>
          </cell>
          <cell r="H1466" t="str">
            <v/>
          </cell>
          <cell r="AG1466" t="str">
            <v>Patri. Controladora</v>
          </cell>
          <cell r="AH1466" t="str">
            <v/>
          </cell>
        </row>
        <row r="1467">
          <cell r="D1467">
            <v>0</v>
          </cell>
          <cell r="F1467" t="str">
            <v/>
          </cell>
          <cell r="G1467" t="str">
            <v/>
          </cell>
          <cell r="H1467" t="str">
            <v/>
          </cell>
          <cell r="U1467" t="str">
            <v/>
          </cell>
          <cell r="AH1467" t="str">
            <v/>
          </cell>
        </row>
        <row r="1468">
          <cell r="D1468">
            <v>0</v>
          </cell>
          <cell r="F1468" t="str">
            <v>Participaciones No Controladas</v>
          </cell>
          <cell r="G1468" t="str">
            <v/>
          </cell>
          <cell r="H1468" t="str">
            <v/>
          </cell>
          <cell r="I1468" t="str">
            <v>II. Pasivos</v>
          </cell>
          <cell r="J1468" t="str">
            <v>3. Patrimonio</v>
          </cell>
          <cell r="K1468" t="str">
            <v>4. Participaciones no controladas</v>
          </cell>
          <cell r="L1468" t="str">
            <v>Otras participaciones</v>
          </cell>
          <cell r="AG1468" t="str">
            <v>Particip. No Controladas</v>
          </cell>
          <cell r="AH1468" t="str">
            <v>III. Pasivos de los segmentos</v>
          </cell>
        </row>
        <row r="1469">
          <cell r="D1469">
            <v>0</v>
          </cell>
          <cell r="F1469" t="str">
            <v/>
          </cell>
          <cell r="G1469" t="str">
            <v/>
          </cell>
          <cell r="H1469" t="str">
            <v/>
          </cell>
          <cell r="AH1469" t="str">
            <v/>
          </cell>
        </row>
        <row r="1470">
          <cell r="D1470">
            <v>0</v>
          </cell>
          <cell r="F1470" t="str">
            <v>Patrimonio Total</v>
          </cell>
          <cell r="G1470" t="str">
            <v/>
          </cell>
          <cell r="H1470" t="str">
            <v/>
          </cell>
          <cell r="AH1470" t="str">
            <v/>
          </cell>
        </row>
        <row r="1471">
          <cell r="D1471">
            <v>0</v>
          </cell>
          <cell r="F1471" t="str">
            <v>Total De Patrimonio Y Pasivos</v>
          </cell>
          <cell r="G1471" t="str">
            <v/>
          </cell>
          <cell r="H1471" t="str">
            <v/>
          </cell>
          <cell r="AH1471" t="str">
            <v/>
          </cell>
        </row>
        <row r="1472">
          <cell r="D1472">
            <v>0</v>
          </cell>
        </row>
        <row r="1473">
          <cell r="D1473">
            <v>0</v>
          </cell>
        </row>
        <row r="1474">
          <cell r="D1474">
            <v>0</v>
          </cell>
        </row>
        <row r="1475">
          <cell r="D1475">
            <v>0</v>
          </cell>
          <cell r="F1475" t="str">
            <v>Activos</v>
          </cell>
          <cell r="G1475" t="str">
            <v/>
          </cell>
          <cell r="H1475" t="str">
            <v/>
          </cell>
        </row>
        <row r="1476">
          <cell r="D1476">
            <v>0</v>
          </cell>
          <cell r="F1476" t="str">
            <v>Activos Corrientes</v>
          </cell>
          <cell r="G1476" t="str">
            <v/>
          </cell>
          <cell r="H1476" t="str">
            <v/>
          </cell>
        </row>
        <row r="1477">
          <cell r="D1477">
            <v>0</v>
          </cell>
          <cell r="F1477" t="str">
            <v>.</v>
          </cell>
          <cell r="G1477" t="str">
            <v/>
          </cell>
          <cell r="H1477" t="str">
            <v/>
          </cell>
        </row>
        <row r="1478">
          <cell r="D1478">
            <v>0</v>
          </cell>
          <cell r="F1478" t="str">
            <v>.</v>
          </cell>
          <cell r="G1478" t="str">
            <v/>
          </cell>
          <cell r="H1478" t="str">
            <v/>
          </cell>
        </row>
        <row r="1479">
          <cell r="D1479">
            <v>0</v>
          </cell>
          <cell r="G1479" t="str">
            <v/>
          </cell>
          <cell r="H1479" t="str">
            <v/>
          </cell>
          <cell r="I1479" t="str">
            <v>I. Activos</v>
          </cell>
          <cell r="J1479" t="str">
            <v>1. Activos corrientes</v>
          </cell>
          <cell r="K1479" t="str">
            <v>1. Efectivo y Equivalentes al Efectivo</v>
          </cell>
          <cell r="L1479" t="str">
            <v>A. corrtes. distintos de A. para su disposición clasif. para venta o distrib. a propiet.</v>
          </cell>
          <cell r="U1479" t="str">
            <v>1. Efectivo y Equivalentes al Efectivo</v>
          </cell>
          <cell r="AH1479" t="str">
            <v>I. Activos de los segmentos</v>
          </cell>
        </row>
        <row r="1480">
          <cell r="D1480">
            <v>0</v>
          </cell>
          <cell r="F1480" t="str">
            <v>Efectivo Y Equivalentes Al Efectivo</v>
          </cell>
          <cell r="G1480" t="str">
            <v/>
          </cell>
          <cell r="H1480" t="str">
            <v/>
          </cell>
          <cell r="U1480" t="str">
            <v/>
          </cell>
        </row>
        <row r="1481">
          <cell r="D1481">
            <v>0</v>
          </cell>
          <cell r="G1481" t="str">
            <v/>
          </cell>
          <cell r="H1481" t="str">
            <v/>
          </cell>
          <cell r="U1481" t="str">
            <v/>
          </cell>
        </row>
        <row r="1482">
          <cell r="D1482">
            <v>0</v>
          </cell>
          <cell r="G1482" t="str">
            <v/>
          </cell>
          <cell r="H1482" t="str">
            <v/>
          </cell>
          <cell r="I1482" t="str">
            <v>I. Activos</v>
          </cell>
          <cell r="J1482" t="str">
            <v>1. Activos corrientes</v>
          </cell>
          <cell r="K1482" t="str">
            <v>2. Otros Activos Financieros, corrientes</v>
          </cell>
          <cell r="L1482" t="str">
            <v>A. corrtes. distintos de A. para su disposición clasif. para venta o distrib. a propiet.</v>
          </cell>
          <cell r="U1482" t="str">
            <v>2. Otros Activos Financieros, corrientes</v>
          </cell>
          <cell r="AH1482" t="str">
            <v>I. Activos de los segmentos</v>
          </cell>
        </row>
        <row r="1483">
          <cell r="D1483">
            <v>0</v>
          </cell>
          <cell r="F1483" t="str">
            <v>Otros Activos Financieros Corrientes</v>
          </cell>
          <cell r="G1483" t="str">
            <v/>
          </cell>
          <cell r="H1483" t="str">
            <v/>
          </cell>
          <cell r="U1483" t="str">
            <v/>
          </cell>
        </row>
        <row r="1484">
          <cell r="D1484">
            <v>0</v>
          </cell>
          <cell r="G1484" t="str">
            <v/>
          </cell>
          <cell r="H1484" t="str">
            <v/>
          </cell>
          <cell r="U1484" t="str">
            <v/>
          </cell>
        </row>
        <row r="1485">
          <cell r="D1485">
            <v>0</v>
          </cell>
          <cell r="G1485" t="str">
            <v/>
          </cell>
          <cell r="H1485" t="str">
            <v/>
          </cell>
          <cell r="I1485" t="str">
            <v>I. Activos</v>
          </cell>
          <cell r="J1485" t="str">
            <v>1. Activos corrientes</v>
          </cell>
          <cell r="K1485" t="str">
            <v>3. Otros Activos No Financieros, corrientes</v>
          </cell>
          <cell r="L1485" t="str">
            <v>A. corrtes. distintos de A. para su disposición clasif. para venta o distrib. a propiet.</v>
          </cell>
          <cell r="U1485" t="str">
            <v>3. Otros Activos No Financieros, corrientes</v>
          </cell>
          <cell r="AH1485" t="str">
            <v>I. Activos de los segmentos</v>
          </cell>
        </row>
        <row r="1486">
          <cell r="D1486">
            <v>0</v>
          </cell>
          <cell r="F1486" t="str">
            <v>Otros Activos No Financieros, Corrientes</v>
          </cell>
          <cell r="G1486" t="str">
            <v/>
          </cell>
          <cell r="H1486" t="str">
            <v/>
          </cell>
          <cell r="U1486" t="str">
            <v/>
          </cell>
        </row>
        <row r="1487">
          <cell r="D1487">
            <v>0</v>
          </cell>
          <cell r="G1487" t="str">
            <v/>
          </cell>
          <cell r="H1487" t="str">
            <v/>
          </cell>
          <cell r="U1487" t="str">
            <v/>
          </cell>
        </row>
        <row r="1488">
          <cell r="D1488" t="str">
            <v>1104000000</v>
          </cell>
          <cell r="E1488" t="str">
            <v>1104000000</v>
          </cell>
          <cell r="F1488" t="str">
            <v>Iva Crédito Fiscal</v>
          </cell>
          <cell r="G1488" t="str">
            <v>1104000000  Iva Crédito Fiscal</v>
          </cell>
          <cell r="H1488" t="str">
            <v>Balance</v>
          </cell>
          <cell r="I1488" t="str">
            <v>I. Activos</v>
          </cell>
          <cell r="J1488" t="str">
            <v>1. Activos corrientes</v>
          </cell>
          <cell r="K1488" t="str">
            <v>4. Deudores Comerciales y otras cuentas por cobrar, corrientes</v>
          </cell>
          <cell r="L1488" t="str">
            <v>A. corrtes. distintos de A. para su disposición clasif. para venta o distrib. a propiet.</v>
          </cell>
          <cell r="U1488" t="str">
            <v>4. Deudores Comerciales y otras cuentas por cobrar, corrientes</v>
          </cell>
          <cell r="AH1488" t="str">
            <v>I. Activos de los segmentos</v>
          </cell>
        </row>
        <row r="1489">
          <cell r="D1489">
            <v>0</v>
          </cell>
          <cell r="G1489" t="str">
            <v/>
          </cell>
          <cell r="H1489" t="str">
            <v>Balance</v>
          </cell>
          <cell r="I1489" t="str">
            <v>I. Activos</v>
          </cell>
          <cell r="J1489" t="str">
            <v>1. Activos corrientes</v>
          </cell>
          <cell r="K1489" t="str">
            <v>4. Deudores Comerciales y otras cuentas por cobrar, corrientes</v>
          </cell>
          <cell r="L1489" t="str">
            <v>A. corrtes. distintos de A. para su disposición clasif. para venta o distrib. a propiet.</v>
          </cell>
          <cell r="U1489" t="str">
            <v>4. Deudores Comerciales y otras cuentas por cobrar, corrientes</v>
          </cell>
          <cell r="AH1489" t="str">
            <v>I. Activos de los segmentos</v>
          </cell>
        </row>
        <row r="1490">
          <cell r="D1490">
            <v>0</v>
          </cell>
          <cell r="G1490" t="str">
            <v/>
          </cell>
          <cell r="H1490" t="str">
            <v>Balance</v>
          </cell>
          <cell r="I1490" t="str">
            <v>I. Activos</v>
          </cell>
          <cell r="J1490" t="str">
            <v>1. Activos corrientes</v>
          </cell>
          <cell r="K1490" t="str">
            <v>4. Deudores Comerciales y otras cuentas por cobrar, corrientes</v>
          </cell>
          <cell r="L1490" t="str">
            <v>A. corrtes. distintos de A. para su disposición clasif. para venta o distrib. a propiet.</v>
          </cell>
          <cell r="U1490" t="str">
            <v>4. Deudores Comerciales y otras cuentas por cobrar, corrientes</v>
          </cell>
          <cell r="AH1490" t="str">
            <v>I. Activos de los segmentos</v>
          </cell>
        </row>
        <row r="1491">
          <cell r="D1491">
            <v>0</v>
          </cell>
          <cell r="F1491" t="str">
            <v>Deudores Comerciales Y Otras Cuentas Por Cobrar Corrientes</v>
          </cell>
          <cell r="G1491" t="str">
            <v/>
          </cell>
          <cell r="H1491" t="str">
            <v/>
          </cell>
          <cell r="U1491" t="str">
            <v/>
          </cell>
        </row>
        <row r="1492">
          <cell r="D1492">
            <v>0</v>
          </cell>
          <cell r="G1492" t="str">
            <v/>
          </cell>
          <cell r="H1492" t="str">
            <v/>
          </cell>
          <cell r="U1492" t="str">
            <v/>
          </cell>
        </row>
        <row r="1493">
          <cell r="D1493">
            <v>0</v>
          </cell>
          <cell r="G1493" t="str">
            <v/>
          </cell>
          <cell r="H1493" t="str">
            <v>Balance</v>
          </cell>
          <cell r="I1493" t="str">
            <v>I. Activos</v>
          </cell>
          <cell r="J1493" t="str">
            <v>1. Activos corrientes</v>
          </cell>
          <cell r="K1493" t="str">
            <v>5. Cuentas por Cobrar a Entidades Relacionadas, corrientes</v>
          </cell>
          <cell r="L1493" t="str">
            <v>A. corrtes. distintos de A. para su disposición clasif. para venta o distrib. a propiet.</v>
          </cell>
          <cell r="U1493" t="str">
            <v>5. Cuentas por Cobrar a Entidades Relacionadas, corrientes</v>
          </cell>
          <cell r="AH1493" t="str">
            <v>I. Activos de los segmentos</v>
          </cell>
        </row>
        <row r="1494">
          <cell r="D1494">
            <v>0</v>
          </cell>
          <cell r="F1494" t="str">
            <v>Ctas. Por Cobrar A Entidades Relacionadas, Corrientes</v>
          </cell>
          <cell r="G1494" t="str">
            <v/>
          </cell>
          <cell r="H1494" t="str">
            <v/>
          </cell>
          <cell r="U1494" t="str">
            <v/>
          </cell>
        </row>
        <row r="1495">
          <cell r="D1495">
            <v>0</v>
          </cell>
          <cell r="F1495" t="str">
            <v/>
          </cell>
          <cell r="G1495" t="str">
            <v/>
          </cell>
          <cell r="H1495" t="str">
            <v/>
          </cell>
          <cell r="U1495" t="str">
            <v/>
          </cell>
        </row>
        <row r="1496">
          <cell r="D1496">
            <v>0</v>
          </cell>
          <cell r="F1496" t="str">
            <v/>
          </cell>
          <cell r="G1496" t="str">
            <v/>
          </cell>
          <cell r="H1496" t="str">
            <v/>
          </cell>
          <cell r="I1496" t="str">
            <v>I. Activos</v>
          </cell>
          <cell r="J1496" t="str">
            <v>1. Activos corrientes</v>
          </cell>
          <cell r="K1496" t="str">
            <v>6. Inventarios</v>
          </cell>
          <cell r="U1496" t="str">
            <v>6. Inventarios</v>
          </cell>
          <cell r="AH1496" t="str">
            <v>I. Activos de los segmentos</v>
          </cell>
        </row>
        <row r="1497">
          <cell r="D1497">
            <v>0</v>
          </cell>
          <cell r="F1497" t="str">
            <v>Inventarios</v>
          </cell>
          <cell r="G1497" t="str">
            <v/>
          </cell>
          <cell r="H1497" t="str">
            <v/>
          </cell>
          <cell r="U1497" t="str">
            <v/>
          </cell>
        </row>
        <row r="1498">
          <cell r="D1498">
            <v>0</v>
          </cell>
          <cell r="F1498" t="str">
            <v/>
          </cell>
          <cell r="G1498" t="str">
            <v/>
          </cell>
          <cell r="H1498" t="str">
            <v/>
          </cell>
          <cell r="I1498" t="str">
            <v>I. Activos</v>
          </cell>
          <cell r="J1498" t="str">
            <v>1. Activos corrientes</v>
          </cell>
          <cell r="K1498" t="str">
            <v>7. Activos biológicos, corrientes</v>
          </cell>
          <cell r="U1498" t="str">
            <v>7. Activos biológicos, corrientes</v>
          </cell>
          <cell r="AH1498" t="str">
            <v>I. Activos de los segmentos</v>
          </cell>
        </row>
        <row r="1499">
          <cell r="D1499">
            <v>0</v>
          </cell>
          <cell r="F1499" t="str">
            <v>Activos Biológicos Corrientes</v>
          </cell>
          <cell r="G1499" t="str">
            <v/>
          </cell>
          <cell r="H1499" t="str">
            <v/>
          </cell>
          <cell r="U1499" t="str">
            <v/>
          </cell>
        </row>
        <row r="1500">
          <cell r="D1500">
            <v>0</v>
          </cell>
          <cell r="F1500" t="str">
            <v/>
          </cell>
          <cell r="G1500" t="str">
            <v/>
          </cell>
          <cell r="H1500" t="str">
            <v/>
          </cell>
          <cell r="U1500" t="str">
            <v/>
          </cell>
        </row>
        <row r="1501">
          <cell r="D1501">
            <v>0</v>
          </cell>
          <cell r="G1501" t="str">
            <v/>
          </cell>
          <cell r="H1501" t="str">
            <v>Balance</v>
          </cell>
          <cell r="I1501" t="str">
            <v>I. Activos</v>
          </cell>
          <cell r="J1501" t="str">
            <v>1. Activos corrientes</v>
          </cell>
          <cell r="K1501" t="str">
            <v>8. Activos por Impuestos, corrientes</v>
          </cell>
          <cell r="L1501" t="str">
            <v>A. corrtes. distintos de A. para su disposición clasif. para venta o distrib. a propiet.</v>
          </cell>
          <cell r="U1501" t="str">
            <v>8. Activos por Impuestos, corrientes</v>
          </cell>
          <cell r="AH1501" t="str">
            <v>I. Activos de los segmentos</v>
          </cell>
        </row>
        <row r="1502">
          <cell r="D1502">
            <v>0</v>
          </cell>
          <cell r="F1502" t="str">
            <v>Activos Por Impuestos Corrientes</v>
          </cell>
          <cell r="G1502" t="str">
            <v/>
          </cell>
          <cell r="H1502" t="str">
            <v/>
          </cell>
          <cell r="U1502" t="str">
            <v/>
          </cell>
        </row>
        <row r="1503">
          <cell r="D1503">
            <v>0</v>
          </cell>
          <cell r="F1503" t="str">
            <v/>
          </cell>
          <cell r="G1503" t="str">
            <v/>
          </cell>
          <cell r="H1503" t="str">
            <v/>
          </cell>
          <cell r="U1503" t="str">
            <v/>
          </cell>
        </row>
        <row r="1504">
          <cell r="D1504">
            <v>0</v>
          </cell>
          <cell r="F1504" t="str">
            <v>Total De Activos Corrientes Distintos De Los Activos O Grupos De Activos Para Su Disposición Clasificados Como Mantenidos Para La Venta O Como Mantenidos Para Distribuir A Los Propietarios</v>
          </cell>
          <cell r="G1504" t="str">
            <v/>
          </cell>
          <cell r="H1504" t="str">
            <v/>
          </cell>
          <cell r="U1504" t="str">
            <v/>
          </cell>
        </row>
        <row r="1505">
          <cell r="D1505">
            <v>0</v>
          </cell>
          <cell r="F1505" t="str">
            <v/>
          </cell>
          <cell r="G1505" t="str">
            <v/>
          </cell>
          <cell r="H1505" t="str">
            <v/>
          </cell>
          <cell r="U1505" t="str">
            <v/>
          </cell>
        </row>
        <row r="1506">
          <cell r="D1506">
            <v>0</v>
          </cell>
          <cell r="F1506" t="str">
            <v/>
          </cell>
          <cell r="G1506" t="str">
            <v/>
          </cell>
          <cell r="H1506" t="str">
            <v/>
          </cell>
          <cell r="U1506" t="str">
            <v/>
          </cell>
        </row>
        <row r="1507">
          <cell r="D1507">
            <v>0</v>
          </cell>
          <cell r="F1507" t="str">
            <v/>
          </cell>
          <cell r="G1507" t="str">
            <v/>
          </cell>
          <cell r="H1507" t="str">
            <v/>
          </cell>
          <cell r="I1507" t="str">
            <v>I. Activos</v>
          </cell>
          <cell r="J1507" t="str">
            <v>1. Activos corrientes</v>
          </cell>
          <cell r="K1507" t="str">
            <v xml:space="preserve">9. Activos, no corrientes o Grupos de Activos para su Disposición Clasificados como Mantenidos para la Venta </v>
          </cell>
          <cell r="L1507" t="str">
            <v>Activos No Corrientes o Grupos de Activos para su Disposición Clasificados como Mantenidos para la Venta o como Mantenidos para Distribuir a los Propietarios</v>
          </cell>
          <cell r="U1507" t="str">
            <v xml:space="preserve">9. Activos, no corrientes o Grupos de Activos para su Disposición Clasificados como Mantenidos para la Venta </v>
          </cell>
          <cell r="AH1507" t="str">
            <v>I. Activos de los segmentos</v>
          </cell>
        </row>
        <row r="1508">
          <cell r="D1508">
            <v>0</v>
          </cell>
          <cell r="F1508" t="str">
            <v xml:space="preserve">Activos No Corrientes O Grupos De Activos Para Su Disposición Clasificados Como Mantenidos Para La Venta </v>
          </cell>
          <cell r="G1508" t="str">
            <v/>
          </cell>
          <cell r="H1508" t="str">
            <v/>
          </cell>
          <cell r="U1508" t="str">
            <v/>
          </cell>
        </row>
        <row r="1509">
          <cell r="D1509">
            <v>0</v>
          </cell>
          <cell r="F1509" t="str">
            <v/>
          </cell>
          <cell r="G1509" t="str">
            <v/>
          </cell>
          <cell r="H1509" t="str">
            <v/>
          </cell>
          <cell r="U1509" t="str">
            <v/>
          </cell>
        </row>
        <row r="1510">
          <cell r="D1510">
            <v>0</v>
          </cell>
          <cell r="F1510" t="str">
            <v/>
          </cell>
          <cell r="G1510" t="str">
            <v/>
          </cell>
          <cell r="H1510" t="str">
            <v/>
          </cell>
          <cell r="I1510" t="str">
            <v>I. Activos</v>
          </cell>
          <cell r="J1510" t="str">
            <v>1. Activos corrientes</v>
          </cell>
          <cell r="K1510" t="str">
            <v>10. Activos, no corrientes o Grupos de Activos para su Disposición Clasificados como Mantenidos para Distribuir a los Propietarios</v>
          </cell>
          <cell r="L1510" t="str">
            <v>Activos No Corrientes o Grupos de Activos para su Disposición Clasificados como Mantenidos para la Venta o como Mantenidos para Distribuir a los Propietarios</v>
          </cell>
          <cell r="U1510" t="str">
            <v>10. Activos, no corrientes o Grupos de Activos para su Disposición Clasificados como Mantenidos para Distribuir a los Propietarios</v>
          </cell>
          <cell r="AH1510" t="str">
            <v>I. Activos de los segmentos</v>
          </cell>
        </row>
        <row r="1511">
          <cell r="D1511">
            <v>0</v>
          </cell>
          <cell r="F1511" t="str">
            <v>Activos No Corrientes O Grupos De Activos Para Su Disposición Clasificados Como Mantenidos Para Distribuir A Los Propietarios</v>
          </cell>
          <cell r="G1511" t="str">
            <v/>
          </cell>
          <cell r="H1511" t="str">
            <v/>
          </cell>
          <cell r="U1511" t="str">
            <v/>
          </cell>
        </row>
        <row r="1512">
          <cell r="D1512">
            <v>0</v>
          </cell>
          <cell r="F1512" t="str">
            <v/>
          </cell>
          <cell r="G1512" t="str">
            <v/>
          </cell>
          <cell r="H1512" t="str">
            <v/>
          </cell>
          <cell r="U1512" t="str">
            <v/>
          </cell>
        </row>
        <row r="1513">
          <cell r="D1513">
            <v>0</v>
          </cell>
          <cell r="F1513" t="str">
            <v/>
          </cell>
          <cell r="G1513" t="str">
            <v/>
          </cell>
          <cell r="H1513" t="str">
            <v/>
          </cell>
          <cell r="L1513" t="str">
            <v>Activos No Corrientes o Grupos de Activos para su Disposición Clasificados como Mantenidos para la Venta o como Mantenidos para Distribuir a los Propietarios</v>
          </cell>
          <cell r="U1513" t="str">
            <v/>
          </cell>
          <cell r="AH1513" t="str">
            <v>I. Activos de los segmentos</v>
          </cell>
        </row>
        <row r="1514">
          <cell r="D1514">
            <v>0</v>
          </cell>
          <cell r="F1514" t="str">
            <v>Activos No Corrientes O Grupos De Activos Para Su Disposición Clasificados Como Mantenidos Para La Venta O Como Mantenidos Para Distribuir A Los Propietarios</v>
          </cell>
          <cell r="G1514" t="str">
            <v/>
          </cell>
          <cell r="H1514" t="str">
            <v/>
          </cell>
          <cell r="U1514" t="str">
            <v/>
          </cell>
        </row>
        <row r="1515">
          <cell r="D1515">
            <v>0</v>
          </cell>
          <cell r="F1515" t="str">
            <v/>
          </cell>
          <cell r="G1515" t="str">
            <v/>
          </cell>
          <cell r="H1515" t="str">
            <v/>
          </cell>
          <cell r="U1515" t="str">
            <v/>
          </cell>
        </row>
        <row r="1516">
          <cell r="D1516">
            <v>0</v>
          </cell>
          <cell r="F1516" t="str">
            <v>Activos Corrientes Totales</v>
          </cell>
          <cell r="G1516" t="str">
            <v/>
          </cell>
          <cell r="H1516" t="str">
            <v/>
          </cell>
          <cell r="U1516" t="str">
            <v/>
          </cell>
        </row>
        <row r="1517">
          <cell r="D1517">
            <v>0</v>
          </cell>
          <cell r="F1517" t="str">
            <v/>
          </cell>
          <cell r="G1517" t="str">
            <v/>
          </cell>
          <cell r="H1517" t="str">
            <v/>
          </cell>
          <cell r="U1517" t="str">
            <v/>
          </cell>
        </row>
        <row r="1518">
          <cell r="D1518">
            <v>0</v>
          </cell>
          <cell r="F1518" t="str">
            <v/>
          </cell>
          <cell r="G1518" t="str">
            <v/>
          </cell>
          <cell r="H1518" t="str">
            <v/>
          </cell>
          <cell r="U1518" t="str">
            <v/>
          </cell>
        </row>
        <row r="1519">
          <cell r="D1519">
            <v>0</v>
          </cell>
          <cell r="F1519" t="str">
            <v>Activos No Corrientes</v>
          </cell>
          <cell r="G1519" t="str">
            <v/>
          </cell>
          <cell r="H1519" t="str">
            <v/>
          </cell>
          <cell r="U1519" t="str">
            <v/>
          </cell>
        </row>
        <row r="1520">
          <cell r="D1520">
            <v>0</v>
          </cell>
          <cell r="F1520" t="str">
            <v/>
          </cell>
          <cell r="G1520" t="str">
            <v/>
          </cell>
          <cell r="H1520" t="str">
            <v/>
          </cell>
          <cell r="U1520" t="str">
            <v/>
          </cell>
        </row>
        <row r="1521">
          <cell r="D1521">
            <v>0</v>
          </cell>
          <cell r="F1521" t="str">
            <v/>
          </cell>
          <cell r="G1521" t="str">
            <v/>
          </cell>
          <cell r="H1521" t="str">
            <v/>
          </cell>
          <cell r="I1521" t="str">
            <v>I. Activos</v>
          </cell>
          <cell r="J1521" t="str">
            <v>2. Activos no corrientes</v>
          </cell>
          <cell r="K1521" t="str">
            <v>1. Otros Activos Financieros, no corrientes</v>
          </cell>
          <cell r="U1521" t="str">
            <v>1. Otros Activos Financieros, no corrientes</v>
          </cell>
          <cell r="AH1521" t="str">
            <v/>
          </cell>
        </row>
        <row r="1522">
          <cell r="D1522">
            <v>0</v>
          </cell>
          <cell r="F1522" t="str">
            <v>Otros Activos Financieros No Corrientes</v>
          </cell>
          <cell r="G1522" t="str">
            <v/>
          </cell>
          <cell r="H1522" t="str">
            <v/>
          </cell>
          <cell r="U1522" t="str">
            <v/>
          </cell>
        </row>
        <row r="1523">
          <cell r="D1523">
            <v>0</v>
          </cell>
          <cell r="F1523" t="str">
            <v/>
          </cell>
          <cell r="G1523" t="str">
            <v/>
          </cell>
          <cell r="H1523" t="str">
            <v/>
          </cell>
          <cell r="U1523" t="str">
            <v/>
          </cell>
        </row>
        <row r="1524">
          <cell r="D1524">
            <v>0</v>
          </cell>
          <cell r="F1524" t="str">
            <v/>
          </cell>
          <cell r="G1524" t="str">
            <v/>
          </cell>
          <cell r="H1524" t="str">
            <v/>
          </cell>
          <cell r="U1524" t="str">
            <v/>
          </cell>
        </row>
        <row r="1525">
          <cell r="D1525">
            <v>0</v>
          </cell>
          <cell r="G1525" t="str">
            <v/>
          </cell>
          <cell r="H1525" t="str">
            <v/>
          </cell>
          <cell r="I1525" t="str">
            <v>I. Activos</v>
          </cell>
          <cell r="J1525" t="str">
            <v>2. Activos no corrientes</v>
          </cell>
          <cell r="K1525" t="str">
            <v>2. Otros Activos No Financieros, no corrientes</v>
          </cell>
          <cell r="U1525" t="str">
            <v>2. Otros Activos No Financieros, no corrientes</v>
          </cell>
          <cell r="AH1525" t="str">
            <v/>
          </cell>
        </row>
        <row r="1526">
          <cell r="D1526">
            <v>0</v>
          </cell>
          <cell r="F1526" t="str">
            <v>Otros Activos No Financieros No Corrientes</v>
          </cell>
          <cell r="G1526" t="str">
            <v/>
          </cell>
          <cell r="H1526" t="str">
            <v/>
          </cell>
          <cell r="U1526" t="str">
            <v/>
          </cell>
        </row>
        <row r="1527">
          <cell r="D1527">
            <v>0</v>
          </cell>
          <cell r="F1527" t="str">
            <v/>
          </cell>
          <cell r="G1527" t="str">
            <v/>
          </cell>
          <cell r="H1527" t="str">
            <v/>
          </cell>
          <cell r="U1527" t="str">
            <v/>
          </cell>
        </row>
        <row r="1528">
          <cell r="D1528">
            <v>0</v>
          </cell>
          <cell r="G1528" t="str">
            <v/>
          </cell>
          <cell r="H1528" t="str">
            <v/>
          </cell>
          <cell r="I1528" t="str">
            <v>I. Activos</v>
          </cell>
          <cell r="J1528" t="str">
            <v>2. Activos no corrientes</v>
          </cell>
          <cell r="K1528" t="str">
            <v>3. Derechos por Cobrar, no corrientes</v>
          </cell>
          <cell r="U1528" t="str">
            <v>3. Derechos por Cobrar, no corrientes</v>
          </cell>
          <cell r="AH1528" t="str">
            <v>III. Pasivos de los segmentos</v>
          </cell>
        </row>
        <row r="1529">
          <cell r="D1529">
            <v>0</v>
          </cell>
          <cell r="F1529" t="str">
            <v>Derechos Por Cobrar No Corrientes</v>
          </cell>
          <cell r="G1529" t="str">
            <v/>
          </cell>
          <cell r="H1529" t="str">
            <v/>
          </cell>
          <cell r="U1529" t="str">
            <v/>
          </cell>
        </row>
        <row r="1530">
          <cell r="D1530">
            <v>0</v>
          </cell>
          <cell r="F1530" t="str">
            <v/>
          </cell>
          <cell r="G1530" t="str">
            <v/>
          </cell>
          <cell r="H1530" t="str">
            <v/>
          </cell>
          <cell r="U1530" t="str">
            <v/>
          </cell>
        </row>
        <row r="1531">
          <cell r="D1531" t="str">
            <v>1103000000</v>
          </cell>
          <cell r="E1531" t="str">
            <v>1103000000</v>
          </cell>
          <cell r="F1531" t="str">
            <v>INVIA S.A.</v>
          </cell>
          <cell r="G1531" t="str">
            <v>1103000000  INVIA S.A.</v>
          </cell>
          <cell r="H1531" t="str">
            <v>Balance</v>
          </cell>
          <cell r="I1531" t="str">
            <v>I. Activos</v>
          </cell>
          <cell r="J1531" t="str">
            <v>2. Activos no corrientes</v>
          </cell>
          <cell r="K1531" t="str">
            <v>4. Cuentas por Cobrar a Entidades Relacionadas, no corrientes</v>
          </cell>
          <cell r="U1531" t="str">
            <v>4. Cuentas por Cobrar a Entidades Relacionadas, no corrientes</v>
          </cell>
          <cell r="AH1531" t="str">
            <v>III. Pasivos de los segmentos</v>
          </cell>
        </row>
        <row r="1532">
          <cell r="D1532">
            <v>0</v>
          </cell>
          <cell r="G1532" t="str">
            <v/>
          </cell>
          <cell r="H1532" t="str">
            <v>Balance</v>
          </cell>
          <cell r="I1532" t="str">
            <v>I. Activos</v>
          </cell>
          <cell r="J1532" t="str">
            <v>2. Activos no corrientes</v>
          </cell>
          <cell r="K1532" t="str">
            <v>4. Cuentas por Cobrar a Entidades Relacionadas, no corrientes</v>
          </cell>
          <cell r="U1532" t="str">
            <v>4. Cuentas por Cobrar a Entidades Relacionadas, no corrientes</v>
          </cell>
          <cell r="AH1532" t="str">
            <v>III. Pasivos de los segmentos</v>
          </cell>
        </row>
        <row r="1533">
          <cell r="D1533">
            <v>0</v>
          </cell>
          <cell r="G1533" t="str">
            <v/>
          </cell>
          <cell r="H1533" t="str">
            <v>Balance</v>
          </cell>
          <cell r="I1533" t="str">
            <v>I. Activos</v>
          </cell>
          <cell r="J1533" t="str">
            <v>2. Activos no corrientes</v>
          </cell>
          <cell r="K1533" t="str">
            <v>4. Cuentas por Cobrar a Entidades Relacionadas, no corrientes</v>
          </cell>
          <cell r="U1533" t="str">
            <v>4. Cuentas por Cobrar a Entidades Relacionadas, no corrientes</v>
          </cell>
          <cell r="AH1533" t="str">
            <v>III. Pasivos de los segmentos</v>
          </cell>
        </row>
        <row r="1534">
          <cell r="D1534">
            <v>0</v>
          </cell>
          <cell r="F1534" t="str">
            <v>Cuentas Por Cobrar A Entidades Relacionadas, No Corriente</v>
          </cell>
          <cell r="G1534" t="str">
            <v/>
          </cell>
          <cell r="H1534" t="str">
            <v/>
          </cell>
          <cell r="U1534" t="str">
            <v/>
          </cell>
        </row>
        <row r="1535">
          <cell r="D1535">
            <v>0</v>
          </cell>
          <cell r="F1535" t="str">
            <v/>
          </cell>
          <cell r="G1535" t="str">
            <v/>
          </cell>
          <cell r="H1535" t="str">
            <v/>
          </cell>
          <cell r="U1535" t="str">
            <v/>
          </cell>
        </row>
        <row r="1536">
          <cell r="D1536" t="str">
            <v>1401000000</v>
          </cell>
          <cell r="E1536" t="str">
            <v>1401000000</v>
          </cell>
          <cell r="F1536" t="str">
            <v>Inversiones En Invia S.A</v>
          </cell>
          <cell r="G1536" t="str">
            <v>1401000000  Inversiones En Invia S.A</v>
          </cell>
          <cell r="H1536" t="str">
            <v>Balance</v>
          </cell>
          <cell r="I1536" t="str">
            <v>I. Activos</v>
          </cell>
          <cell r="J1536" t="str">
            <v>2. Activos no corrientes</v>
          </cell>
          <cell r="K1536" t="str">
            <v>5. Inversiones contabilizadas utilizando el método de la participación</v>
          </cell>
          <cell r="U1536" t="str">
            <v>5. Inversiones contabilizadas utilizando el método de la participación</v>
          </cell>
          <cell r="AH1536" t="str">
            <v>III. Pasivos de los segmentos</v>
          </cell>
        </row>
        <row r="1537">
          <cell r="D1537">
            <v>0</v>
          </cell>
          <cell r="G1537" t="str">
            <v/>
          </cell>
          <cell r="H1537" t="str">
            <v>Balance</v>
          </cell>
          <cell r="I1537" t="str">
            <v>I. Activos</v>
          </cell>
          <cell r="J1537" t="str">
            <v>2. Activos no corrientes</v>
          </cell>
          <cell r="K1537" t="str">
            <v>5. Inversiones contabilizadas utilizando el método de la participación</v>
          </cell>
          <cell r="U1537" t="str">
            <v>5. Inversiones contabilizadas utilizando el método de la participación</v>
          </cell>
          <cell r="AH1537" t="str">
            <v>III. Pasivos de los segmentos</v>
          </cell>
        </row>
        <row r="1538">
          <cell r="D1538">
            <v>0</v>
          </cell>
          <cell r="G1538" t="str">
            <v/>
          </cell>
          <cell r="H1538" t="str">
            <v>Balance</v>
          </cell>
          <cell r="I1538" t="str">
            <v>I. Activos</v>
          </cell>
          <cell r="J1538" t="str">
            <v>2. Activos no corrientes</v>
          </cell>
          <cell r="K1538" t="str">
            <v>5. Inversiones contabilizadas utilizando el método de la participación</v>
          </cell>
          <cell r="U1538" t="str">
            <v>5. Inversiones contabilizadas utilizando el método de la participación</v>
          </cell>
          <cell r="AH1538" t="str">
            <v>III. Pasivos de los segmentos</v>
          </cell>
        </row>
        <row r="1539">
          <cell r="D1539">
            <v>0</v>
          </cell>
          <cell r="F1539" t="str">
            <v>Inversiones Contabilizadas Utilizando El Método De La Participación</v>
          </cell>
          <cell r="G1539" t="str">
            <v/>
          </cell>
          <cell r="H1539" t="str">
            <v/>
          </cell>
          <cell r="U1539" t="str">
            <v/>
          </cell>
        </row>
        <row r="1540">
          <cell r="D1540">
            <v>0</v>
          </cell>
          <cell r="F1540" t="str">
            <v/>
          </cell>
          <cell r="G1540" t="str">
            <v/>
          </cell>
          <cell r="H1540" t="str">
            <v/>
          </cell>
          <cell r="U1540" t="str">
            <v/>
          </cell>
        </row>
        <row r="1541">
          <cell r="D1541">
            <v>0</v>
          </cell>
          <cell r="G1541" t="str">
            <v/>
          </cell>
          <cell r="H1541" t="str">
            <v/>
          </cell>
          <cell r="I1541" t="str">
            <v>I. Activos</v>
          </cell>
          <cell r="J1541" t="str">
            <v>2. Activos no corrientes</v>
          </cell>
          <cell r="K1541" t="str">
            <v>6. Activos intangibles distintos de la plusvalía</v>
          </cell>
          <cell r="U1541" t="str">
            <v>6. Activos intangibles distintos de la plusvalía</v>
          </cell>
          <cell r="AH1541" t="str">
            <v>III. Pasivos de los segmentos</v>
          </cell>
        </row>
        <row r="1542">
          <cell r="D1542">
            <v>0</v>
          </cell>
          <cell r="G1542" t="str">
            <v/>
          </cell>
          <cell r="H1542" t="str">
            <v/>
          </cell>
          <cell r="I1542" t="str">
            <v>I. Activos</v>
          </cell>
          <cell r="J1542" t="str">
            <v>2. Activos no corrientes</v>
          </cell>
          <cell r="K1542" t="str">
            <v>6. Activos intangibles distintos de la plusvalía</v>
          </cell>
          <cell r="U1542" t="str">
            <v>7.Amortización Act. Int. distintos de la plusvalía</v>
          </cell>
          <cell r="AH1542" t="str">
            <v>III. Pasivos de los segmentos</v>
          </cell>
        </row>
        <row r="1543">
          <cell r="D1543">
            <v>0</v>
          </cell>
          <cell r="F1543" t="str">
            <v>Activos Intangibles Distintos De La Plusvalía</v>
          </cell>
          <cell r="G1543" t="str">
            <v/>
          </cell>
          <cell r="H1543" t="str">
            <v/>
          </cell>
          <cell r="U1543" t="str">
            <v/>
          </cell>
        </row>
        <row r="1544">
          <cell r="D1544">
            <v>0</v>
          </cell>
          <cell r="F1544" t="str">
            <v/>
          </cell>
          <cell r="G1544" t="str">
            <v/>
          </cell>
          <cell r="H1544" t="str">
            <v/>
          </cell>
          <cell r="U1544" t="str">
            <v/>
          </cell>
        </row>
        <row r="1545">
          <cell r="D1545">
            <v>0</v>
          </cell>
          <cell r="F1545" t="str">
            <v/>
          </cell>
          <cell r="G1545" t="str">
            <v/>
          </cell>
          <cell r="H1545" t="str">
            <v/>
          </cell>
          <cell r="I1545" t="str">
            <v>I. Activos</v>
          </cell>
          <cell r="J1545" t="str">
            <v>2. Activos no corrientes</v>
          </cell>
          <cell r="K1545" t="str">
            <v>7. Plusvalía</v>
          </cell>
          <cell r="U1545" t="str">
            <v>8. Plusvalía</v>
          </cell>
          <cell r="AH1545" t="str">
            <v/>
          </cell>
        </row>
        <row r="1546">
          <cell r="D1546">
            <v>0</v>
          </cell>
          <cell r="F1546" t="str">
            <v>Plusvalía</v>
          </cell>
          <cell r="G1546" t="str">
            <v/>
          </cell>
          <cell r="H1546" t="str">
            <v/>
          </cell>
          <cell r="U1546" t="str">
            <v/>
          </cell>
        </row>
        <row r="1547">
          <cell r="D1547">
            <v>0</v>
          </cell>
          <cell r="F1547" t="str">
            <v/>
          </cell>
          <cell r="G1547" t="str">
            <v/>
          </cell>
          <cell r="H1547" t="str">
            <v/>
          </cell>
          <cell r="U1547" t="str">
            <v/>
          </cell>
        </row>
        <row r="1548">
          <cell r="D1548">
            <v>0</v>
          </cell>
          <cell r="G1548" t="str">
            <v/>
          </cell>
          <cell r="H1548" t="str">
            <v/>
          </cell>
          <cell r="I1548" t="str">
            <v>I. Activos</v>
          </cell>
          <cell r="J1548" t="str">
            <v>2. Activos no corrientes</v>
          </cell>
          <cell r="K1548" t="str">
            <v>8. Propiedades, Planta y Equipo</v>
          </cell>
          <cell r="U1548" t="str">
            <v>9. Propiedades, Planta y Equipo</v>
          </cell>
          <cell r="AH1548" t="str">
            <v>III. Pasivos de los segmentos</v>
          </cell>
        </row>
        <row r="1549">
          <cell r="D1549">
            <v>0</v>
          </cell>
          <cell r="I1549" t="str">
            <v>I. Activos</v>
          </cell>
          <cell r="J1549" t="str">
            <v>2. Activos no corrientes</v>
          </cell>
          <cell r="K1549" t="str">
            <v>8. Propiedades, Planta y Equipo</v>
          </cell>
          <cell r="U1549" t="str">
            <v>10. Depreciación</v>
          </cell>
          <cell r="AH1549" t="str">
            <v>III. Pasivos de los segmentos</v>
          </cell>
        </row>
        <row r="1550">
          <cell r="D1550">
            <v>0</v>
          </cell>
          <cell r="F1550" t="str">
            <v>Propiedades, Planta Y Equipo</v>
          </cell>
          <cell r="G1550" t="str">
            <v/>
          </cell>
          <cell r="H1550" t="str">
            <v/>
          </cell>
          <cell r="U1550" t="str">
            <v/>
          </cell>
        </row>
        <row r="1551">
          <cell r="D1551">
            <v>0</v>
          </cell>
          <cell r="F1551" t="str">
            <v/>
          </cell>
          <cell r="G1551" t="str">
            <v/>
          </cell>
          <cell r="H1551" t="str">
            <v/>
          </cell>
          <cell r="U1551" t="str">
            <v/>
          </cell>
        </row>
        <row r="1552">
          <cell r="D1552">
            <v>0</v>
          </cell>
          <cell r="F1552" t="str">
            <v/>
          </cell>
          <cell r="G1552" t="str">
            <v/>
          </cell>
          <cell r="H1552" t="str">
            <v/>
          </cell>
          <cell r="I1552" t="str">
            <v>I. Activos</v>
          </cell>
          <cell r="J1552" t="str">
            <v>2. Activos no corrientes</v>
          </cell>
          <cell r="K1552" t="str">
            <v>9. Activos biológicos, no corrientes</v>
          </cell>
          <cell r="U1552" t="str">
            <v>11. Activos biológicos, no corrientes</v>
          </cell>
          <cell r="AH1552" t="str">
            <v>III. Pasivos de los segmentos</v>
          </cell>
        </row>
        <row r="1553">
          <cell r="D1553">
            <v>0</v>
          </cell>
          <cell r="F1553" t="str">
            <v>Activos Biológicos, No Corrientes</v>
          </cell>
          <cell r="G1553" t="str">
            <v/>
          </cell>
          <cell r="H1553" t="str">
            <v/>
          </cell>
          <cell r="U1553" t="str">
            <v/>
          </cell>
        </row>
        <row r="1554">
          <cell r="D1554">
            <v>0</v>
          </cell>
          <cell r="F1554" t="str">
            <v/>
          </cell>
          <cell r="G1554" t="str">
            <v/>
          </cell>
          <cell r="H1554" t="str">
            <v/>
          </cell>
          <cell r="U1554" t="str">
            <v/>
          </cell>
        </row>
        <row r="1555">
          <cell r="D1555">
            <v>0</v>
          </cell>
          <cell r="F1555" t="str">
            <v/>
          </cell>
          <cell r="G1555" t="str">
            <v/>
          </cell>
          <cell r="H1555" t="str">
            <v/>
          </cell>
          <cell r="I1555" t="str">
            <v>I. Activos</v>
          </cell>
          <cell r="J1555" t="str">
            <v>2. Activos no corrientes</v>
          </cell>
          <cell r="K1555" t="str">
            <v>10. Propiedad de inversión</v>
          </cell>
          <cell r="U1555" t="str">
            <v>12. Propiedad de inversión</v>
          </cell>
          <cell r="AH1555" t="str">
            <v/>
          </cell>
        </row>
        <row r="1556">
          <cell r="D1556">
            <v>0</v>
          </cell>
          <cell r="F1556" t="str">
            <v>Propiedad De Inversión</v>
          </cell>
          <cell r="G1556" t="str">
            <v/>
          </cell>
          <cell r="H1556" t="str">
            <v/>
          </cell>
          <cell r="U1556" t="str">
            <v/>
          </cell>
        </row>
        <row r="1557">
          <cell r="D1557">
            <v>0</v>
          </cell>
          <cell r="F1557" t="str">
            <v/>
          </cell>
          <cell r="G1557" t="str">
            <v/>
          </cell>
          <cell r="H1557" t="str">
            <v/>
          </cell>
          <cell r="U1557" t="str">
            <v/>
          </cell>
        </row>
        <row r="1558">
          <cell r="D1558">
            <v>0</v>
          </cell>
          <cell r="F1558" t="str">
            <v/>
          </cell>
          <cell r="G1558" t="str">
            <v/>
          </cell>
          <cell r="H1558" t="str">
            <v/>
          </cell>
          <cell r="I1558" t="str">
            <v>I. Activos</v>
          </cell>
          <cell r="J1558" t="str">
            <v>2. Activos no corrientes</v>
          </cell>
          <cell r="K1558" t="str">
            <v>11. Activos por impuestos diferidos</v>
          </cell>
          <cell r="U1558" t="str">
            <v>13. Activos por impuestos diferidos</v>
          </cell>
          <cell r="AH1558" t="str">
            <v>III. Pasivos de los segmentos</v>
          </cell>
        </row>
        <row r="1559">
          <cell r="D1559">
            <v>0</v>
          </cell>
          <cell r="F1559" t="str">
            <v>Activos Por Impuestos Diferidos</v>
          </cell>
          <cell r="G1559" t="str">
            <v/>
          </cell>
          <cell r="H1559" t="str">
            <v/>
          </cell>
          <cell r="U1559" t="str">
            <v/>
          </cell>
        </row>
        <row r="1560">
          <cell r="D1560">
            <v>0</v>
          </cell>
          <cell r="F1560" t="str">
            <v/>
          </cell>
          <cell r="G1560" t="str">
            <v/>
          </cell>
          <cell r="H1560" t="str">
            <v/>
          </cell>
          <cell r="U1560" t="str">
            <v/>
          </cell>
        </row>
        <row r="1561">
          <cell r="D1561">
            <v>0</v>
          </cell>
          <cell r="F1561" t="str">
            <v>Total De Activos No Corrientes</v>
          </cell>
          <cell r="G1561" t="str">
            <v/>
          </cell>
          <cell r="H1561" t="str">
            <v/>
          </cell>
          <cell r="U1561" t="str">
            <v/>
          </cell>
        </row>
        <row r="1562">
          <cell r="D1562">
            <v>0</v>
          </cell>
          <cell r="F1562" t="str">
            <v/>
          </cell>
          <cell r="G1562" t="str">
            <v/>
          </cell>
          <cell r="H1562" t="str">
            <v/>
          </cell>
          <cell r="U1562" t="str">
            <v/>
          </cell>
        </row>
        <row r="1563">
          <cell r="D1563">
            <v>0</v>
          </cell>
          <cell r="F1563" t="str">
            <v>Total De Activos</v>
          </cell>
          <cell r="G1563" t="str">
            <v/>
          </cell>
          <cell r="H1563" t="str">
            <v/>
          </cell>
          <cell r="I1563" t="str">
            <v>I. Activos</v>
          </cell>
          <cell r="U1563" t="str">
            <v/>
          </cell>
          <cell r="AH1563" t="str">
            <v/>
          </cell>
        </row>
        <row r="1564">
          <cell r="D1564">
            <v>0</v>
          </cell>
          <cell r="F1564" t="str">
            <v/>
          </cell>
          <cell r="G1564" t="str">
            <v/>
          </cell>
          <cell r="H1564" t="str">
            <v/>
          </cell>
          <cell r="U1564" t="str">
            <v/>
          </cell>
        </row>
        <row r="1565">
          <cell r="D1565">
            <v>0</v>
          </cell>
          <cell r="F1565" t="str">
            <v/>
          </cell>
          <cell r="G1565" t="str">
            <v/>
          </cell>
          <cell r="H1565" t="str">
            <v/>
          </cell>
          <cell r="U1565" t="str">
            <v/>
          </cell>
        </row>
        <row r="1566">
          <cell r="D1566">
            <v>0</v>
          </cell>
          <cell r="F1566" t="str">
            <v/>
          </cell>
          <cell r="G1566" t="str">
            <v/>
          </cell>
          <cell r="H1566" t="str">
            <v/>
          </cell>
          <cell r="U1566" t="str">
            <v/>
          </cell>
        </row>
        <row r="1567">
          <cell r="D1567">
            <v>0</v>
          </cell>
          <cell r="F1567" t="str">
            <v>Patrimonio Y Pasivos</v>
          </cell>
          <cell r="G1567" t="str">
            <v/>
          </cell>
          <cell r="H1567" t="str">
            <v/>
          </cell>
          <cell r="U1567" t="str">
            <v/>
          </cell>
        </row>
        <row r="1568">
          <cell r="D1568">
            <v>0</v>
          </cell>
          <cell r="F1568" t="str">
            <v>Pasivos</v>
          </cell>
          <cell r="G1568" t="str">
            <v/>
          </cell>
          <cell r="H1568" t="str">
            <v/>
          </cell>
          <cell r="U1568" t="str">
            <v/>
          </cell>
        </row>
        <row r="1569">
          <cell r="D1569">
            <v>0</v>
          </cell>
          <cell r="F1569" t="str">
            <v>Pasivos Corrientes</v>
          </cell>
          <cell r="G1569" t="str">
            <v/>
          </cell>
          <cell r="H1569" t="str">
            <v/>
          </cell>
          <cell r="U1569" t="str">
            <v/>
          </cell>
        </row>
        <row r="1570">
          <cell r="D1570">
            <v>0</v>
          </cell>
          <cell r="F1570" t="str">
            <v>.</v>
          </cell>
          <cell r="G1570" t="str">
            <v/>
          </cell>
          <cell r="H1570" t="str">
            <v/>
          </cell>
          <cell r="U1570" t="str">
            <v/>
          </cell>
          <cell r="AH1570" t="str">
            <v/>
          </cell>
        </row>
        <row r="1571">
          <cell r="D1571" t="str">
            <v>2103000000</v>
          </cell>
          <cell r="E1571" t="str">
            <v>2103000000</v>
          </cell>
          <cell r="F1571" t="str">
            <v>SOBREGIRO BANCO CHILE</v>
          </cell>
          <cell r="G1571" t="str">
            <v>2103000000  SOBREGIRO BANCO CHILE</v>
          </cell>
          <cell r="H1571" t="str">
            <v>Balance</v>
          </cell>
          <cell r="I1571" t="str">
            <v>II. Pasivos</v>
          </cell>
          <cell r="J1571" t="str">
            <v>1. Pasivos corrientes</v>
          </cell>
          <cell r="K1571" t="str">
            <v>1. Otros Pasivos Financieros, corrientes</v>
          </cell>
          <cell r="U1571" t="str">
            <v>1. Otros Pasivos Financieros, corrientes</v>
          </cell>
          <cell r="AH1571" t="str">
            <v>III. Pasivos de los segmentos</v>
          </cell>
        </row>
        <row r="1572">
          <cell r="D1572">
            <v>0</v>
          </cell>
          <cell r="F1572" t="str">
            <v>Otros Pasivos Financieros Corrientes</v>
          </cell>
          <cell r="G1572" t="str">
            <v/>
          </cell>
          <cell r="H1572" t="str">
            <v/>
          </cell>
          <cell r="U1572" t="str">
            <v/>
          </cell>
          <cell r="AH1572" t="str">
            <v/>
          </cell>
        </row>
        <row r="1573">
          <cell r="D1573">
            <v>0</v>
          </cell>
          <cell r="G1573" t="str">
            <v/>
          </cell>
          <cell r="H1573" t="str">
            <v/>
          </cell>
          <cell r="U1573" t="str">
            <v/>
          </cell>
          <cell r="AH1573" t="str">
            <v/>
          </cell>
        </row>
        <row r="1574">
          <cell r="D1574" t="str">
            <v>2101000000</v>
          </cell>
          <cell r="E1574" t="str">
            <v>2101000000</v>
          </cell>
          <cell r="F1574" t="str">
            <v>Proveedores</v>
          </cell>
          <cell r="G1574" t="str">
            <v>2101000000  Proveedores</v>
          </cell>
          <cell r="H1574" t="str">
            <v>Balance</v>
          </cell>
          <cell r="I1574" t="str">
            <v>II. Pasivos</v>
          </cell>
          <cell r="J1574" t="str">
            <v>1. Pasivos corrientes</v>
          </cell>
          <cell r="K1574" t="str">
            <v>2. Cuentas comerciales y otras cuentas por pagar, corrientes</v>
          </cell>
          <cell r="U1574" t="str">
            <v>2. Cuentas comerciales y otras cuentas por pagar, corrientes</v>
          </cell>
          <cell r="AH1574" t="str">
            <v>III. Pasivos de los segmentos</v>
          </cell>
        </row>
        <row r="1575">
          <cell r="D1575" t="str">
            <v>2102000000</v>
          </cell>
          <cell r="E1575" t="str">
            <v>2102000000</v>
          </cell>
          <cell r="F1575" t="str">
            <v>Impuestos 2a. Categoria.</v>
          </cell>
          <cell r="G1575" t="str">
            <v>2102000000  Impuestos 2a. Categoria.</v>
          </cell>
          <cell r="H1575" t="str">
            <v>Balance</v>
          </cell>
          <cell r="I1575" t="str">
            <v>II. Pasivos</v>
          </cell>
          <cell r="J1575" t="str">
            <v>1. Pasivos corrientes</v>
          </cell>
          <cell r="K1575" t="str">
            <v>2. Cuentas comerciales y otras cuentas por pagar, corrientes</v>
          </cell>
          <cell r="U1575" t="str">
            <v>2. Cuentas comerciales y otras cuentas por pagar, corrientes</v>
          </cell>
          <cell r="AH1575" t="str">
            <v>III. Pasivos de los segmentos</v>
          </cell>
        </row>
        <row r="1576">
          <cell r="D1576">
            <v>0</v>
          </cell>
          <cell r="G1576" t="str">
            <v/>
          </cell>
          <cell r="H1576" t="str">
            <v>Balance</v>
          </cell>
          <cell r="I1576" t="str">
            <v>II. Pasivos</v>
          </cell>
          <cell r="J1576" t="str">
            <v>1. Pasivos corrientes</v>
          </cell>
          <cell r="K1576" t="str">
            <v>2. Cuentas comerciales y otras cuentas por pagar, corrientes</v>
          </cell>
          <cell r="U1576" t="str">
            <v>2. Cuentas comerciales y otras cuentas por pagar, corrientes</v>
          </cell>
          <cell r="AH1576" t="str">
            <v>III. Pasivos de los segmentos</v>
          </cell>
        </row>
        <row r="1577">
          <cell r="D1577">
            <v>0</v>
          </cell>
          <cell r="G1577" t="str">
            <v/>
          </cell>
          <cell r="H1577" t="str">
            <v>Balance</v>
          </cell>
          <cell r="I1577" t="str">
            <v>II. Pasivos</v>
          </cell>
          <cell r="J1577" t="str">
            <v>1. Pasivos corrientes</v>
          </cell>
          <cell r="K1577" t="str">
            <v>2. Cuentas comerciales y otras cuentas por pagar, corrientes</v>
          </cell>
          <cell r="U1577" t="str">
            <v>2. Cuentas comerciales y otras cuentas por pagar, corrientes</v>
          </cell>
          <cell r="AH1577" t="str">
            <v>III. Pasivos de los segmentos</v>
          </cell>
        </row>
        <row r="1578">
          <cell r="D1578">
            <v>0</v>
          </cell>
          <cell r="F1578" t="str">
            <v>Cuentas Por Pagar Comerciales Y Otras Cuentas Por Pagar</v>
          </cell>
          <cell r="G1578" t="str">
            <v/>
          </cell>
          <cell r="H1578" t="str">
            <v/>
          </cell>
          <cell r="U1578" t="str">
            <v/>
          </cell>
          <cell r="AH1578" t="str">
            <v/>
          </cell>
        </row>
        <row r="1579">
          <cell r="D1579">
            <v>0</v>
          </cell>
          <cell r="F1579" t="str">
            <v/>
          </cell>
          <cell r="G1579" t="str">
            <v/>
          </cell>
          <cell r="H1579" t="str">
            <v/>
          </cell>
          <cell r="U1579" t="str">
            <v/>
          </cell>
          <cell r="AH1579" t="str">
            <v/>
          </cell>
        </row>
        <row r="1580">
          <cell r="D1580" t="str">
            <v>2100200200</v>
          </cell>
          <cell r="E1580" t="str">
            <v>2100200200</v>
          </cell>
          <cell r="F1580" t="str">
            <v>EFE</v>
          </cell>
          <cell r="G1580" t="str">
            <v>2100200200  EFE</v>
          </cell>
          <cell r="H1580" t="str">
            <v>Balance</v>
          </cell>
          <cell r="I1580" t="str">
            <v>II. Pasivos</v>
          </cell>
          <cell r="J1580" t="str">
            <v>1. Pasivos corrientes</v>
          </cell>
          <cell r="K1580" t="str">
            <v>3. Cuentas por Pagar a Entidades Relacionadas, corrientes</v>
          </cell>
          <cell r="U1580" t="str">
            <v>3. Cuentas por Pagar a Entidades Relacionadas, corrientes</v>
          </cell>
          <cell r="AH1580" t="str">
            <v>III. Pasivos de los segmentos</v>
          </cell>
        </row>
        <row r="1581">
          <cell r="D1581">
            <v>0</v>
          </cell>
          <cell r="F1581" t="str">
            <v>Cuentas Por Pagar A Entidades Relacionadas, Corrientes</v>
          </cell>
          <cell r="G1581" t="str">
            <v/>
          </cell>
          <cell r="H1581" t="str">
            <v/>
          </cell>
          <cell r="U1581" t="str">
            <v/>
          </cell>
          <cell r="AH1581" t="str">
            <v/>
          </cell>
        </row>
        <row r="1582">
          <cell r="D1582">
            <v>0</v>
          </cell>
          <cell r="F1582" t="str">
            <v/>
          </cell>
          <cell r="G1582" t="str">
            <v/>
          </cell>
          <cell r="H1582" t="str">
            <v/>
          </cell>
          <cell r="U1582" t="str">
            <v/>
          </cell>
          <cell r="AH1582" t="str">
            <v/>
          </cell>
        </row>
        <row r="1583">
          <cell r="D1583">
            <v>0</v>
          </cell>
          <cell r="G1583" t="str">
            <v/>
          </cell>
          <cell r="H1583" t="str">
            <v/>
          </cell>
          <cell r="I1583" t="str">
            <v>II. Pasivos</v>
          </cell>
          <cell r="J1583" t="str">
            <v>1. Pasivos corrientes</v>
          </cell>
          <cell r="K1583" t="str">
            <v>4. Otras Provisiones, corrientes</v>
          </cell>
          <cell r="U1583" t="str">
            <v>4. Otras Provisiones, corrientes</v>
          </cell>
          <cell r="AH1583" t="str">
            <v>III. Pasivos de los segmentos</v>
          </cell>
        </row>
        <row r="1584">
          <cell r="D1584">
            <v>0</v>
          </cell>
          <cell r="F1584" t="str">
            <v>Otras Provisones A Corto Plazo</v>
          </cell>
          <cell r="G1584" t="str">
            <v/>
          </cell>
          <cell r="H1584" t="str">
            <v/>
          </cell>
          <cell r="U1584" t="str">
            <v/>
          </cell>
          <cell r="AH1584" t="str">
            <v/>
          </cell>
        </row>
        <row r="1585">
          <cell r="D1585">
            <v>0</v>
          </cell>
          <cell r="F1585" t="str">
            <v/>
          </cell>
          <cell r="G1585" t="str">
            <v/>
          </cell>
          <cell r="H1585" t="str">
            <v/>
          </cell>
          <cell r="U1585" t="str">
            <v/>
          </cell>
          <cell r="AH1585" t="str">
            <v/>
          </cell>
        </row>
        <row r="1586">
          <cell r="D1586">
            <v>0</v>
          </cell>
          <cell r="G1586" t="str">
            <v/>
          </cell>
          <cell r="H1586" t="str">
            <v>Balance</v>
          </cell>
          <cell r="I1586" t="str">
            <v>II. Pasivos</v>
          </cell>
          <cell r="J1586" t="str">
            <v>1. Pasivos corrientes</v>
          </cell>
          <cell r="K1586" t="str">
            <v>5. Pasivos por Impuestos, corrientes</v>
          </cell>
          <cell r="U1586" t="str">
            <v>5. Pasivos por Impuestos, corrientes</v>
          </cell>
          <cell r="AH1586" t="str">
            <v>III. Pasivos de los segmentos</v>
          </cell>
        </row>
        <row r="1587">
          <cell r="D1587">
            <v>0</v>
          </cell>
          <cell r="F1587" t="str">
            <v>Pasivos Por Impuestos Corrientes</v>
          </cell>
          <cell r="G1587" t="str">
            <v/>
          </cell>
          <cell r="H1587" t="str">
            <v/>
          </cell>
          <cell r="U1587" t="str">
            <v/>
          </cell>
          <cell r="AH1587" t="str">
            <v/>
          </cell>
        </row>
        <row r="1588">
          <cell r="D1588">
            <v>0</v>
          </cell>
          <cell r="F1588" t="str">
            <v/>
          </cell>
          <cell r="G1588" t="str">
            <v/>
          </cell>
          <cell r="H1588" t="str">
            <v/>
          </cell>
          <cell r="U1588" t="str">
            <v/>
          </cell>
          <cell r="AH1588" t="str">
            <v/>
          </cell>
        </row>
        <row r="1589">
          <cell r="D1589">
            <v>0</v>
          </cell>
          <cell r="G1589" t="str">
            <v/>
          </cell>
          <cell r="H1589" t="str">
            <v/>
          </cell>
          <cell r="I1589" t="str">
            <v>II. Pasivos</v>
          </cell>
          <cell r="J1589" t="str">
            <v>1. Pasivos corrientes</v>
          </cell>
          <cell r="K1589" t="str">
            <v>6. Provisiones por beneficios a los empleados, corrientes</v>
          </cell>
          <cell r="U1589" t="str">
            <v>6. Provisiones por beneficios a los empleados, corrientes</v>
          </cell>
          <cell r="AH1589" t="str">
            <v>III. Pasivos de los segmentos</v>
          </cell>
        </row>
        <row r="1590">
          <cell r="D1590">
            <v>0</v>
          </cell>
          <cell r="F1590" t="str">
            <v>Provisiones Corrientes Por Beneficios A Los Empleados</v>
          </cell>
          <cell r="G1590" t="str">
            <v/>
          </cell>
          <cell r="H1590" t="str">
            <v/>
          </cell>
          <cell r="U1590" t="str">
            <v/>
          </cell>
          <cell r="AH1590" t="str">
            <v/>
          </cell>
        </row>
        <row r="1591">
          <cell r="D1591">
            <v>0</v>
          </cell>
          <cell r="F1591" t="str">
            <v/>
          </cell>
          <cell r="G1591" t="str">
            <v/>
          </cell>
          <cell r="H1591" t="str">
            <v/>
          </cell>
          <cell r="U1591" t="str">
            <v/>
          </cell>
          <cell r="AH1591" t="str">
            <v/>
          </cell>
        </row>
        <row r="1592">
          <cell r="D1592" t="str">
            <v>2109999900</v>
          </cell>
          <cell r="E1592" t="str">
            <v>2109999900</v>
          </cell>
          <cell r="F1592" t="str">
            <v>Otros pasivos no financieros corrientes otros</v>
          </cell>
          <cell r="G1592" t="str">
            <v>2109999900  Otros pasivos no financieros corrientes otros</v>
          </cell>
          <cell r="H1592" t="str">
            <v>Balance</v>
          </cell>
          <cell r="I1592" t="str">
            <v>II. Pasivos</v>
          </cell>
          <cell r="J1592" t="str">
            <v>1. Pasivos corrientes</v>
          </cell>
          <cell r="K1592" t="str">
            <v>7. Otros Pasivos No Financieros, corrientes</v>
          </cell>
          <cell r="U1592" t="str">
            <v>7. Otros Pasivos No Financieros, corrientes</v>
          </cell>
          <cell r="AH1592" t="str">
            <v>III. Pasivos de los segmentos</v>
          </cell>
        </row>
        <row r="1593">
          <cell r="D1593">
            <v>0</v>
          </cell>
          <cell r="F1593" t="str">
            <v>Otros Pasivos No Financieros Corrientes</v>
          </cell>
          <cell r="G1593" t="str">
            <v/>
          </cell>
          <cell r="H1593" t="str">
            <v/>
          </cell>
          <cell r="U1593" t="str">
            <v/>
          </cell>
          <cell r="AH1593" t="str">
            <v/>
          </cell>
        </row>
        <row r="1594">
          <cell r="D1594">
            <v>0</v>
          </cell>
          <cell r="F1594" t="str">
            <v/>
          </cell>
          <cell r="G1594" t="str">
            <v/>
          </cell>
          <cell r="H1594" t="str">
            <v/>
          </cell>
          <cell r="U1594" t="str">
            <v/>
          </cell>
          <cell r="AH1594" t="str">
            <v/>
          </cell>
        </row>
        <row r="1595">
          <cell r="D1595">
            <v>0</v>
          </cell>
          <cell r="F1595" t="str">
            <v>Total De Pasivos Corrientes Distintos De Los Pasivos Incluidos En Grupos De Activos Para Su Disposición Clasificados Como Mantenidos Para La Venta</v>
          </cell>
          <cell r="G1595" t="str">
            <v/>
          </cell>
          <cell r="H1595" t="str">
            <v/>
          </cell>
          <cell r="I1595" t="str">
            <v>II. Pasivos</v>
          </cell>
          <cell r="J1595" t="str">
            <v>1. Pasivos corrientes</v>
          </cell>
          <cell r="U1595" t="str">
            <v/>
          </cell>
          <cell r="AH1595" t="str">
            <v>III. Pasivos de los segmentos</v>
          </cell>
        </row>
        <row r="1596">
          <cell r="D1596">
            <v>0</v>
          </cell>
          <cell r="F1596" t="str">
            <v/>
          </cell>
          <cell r="G1596" t="str">
            <v/>
          </cell>
          <cell r="H1596" t="str">
            <v/>
          </cell>
          <cell r="U1596" t="str">
            <v/>
          </cell>
          <cell r="AH1596" t="str">
            <v/>
          </cell>
        </row>
        <row r="1597">
          <cell r="D1597">
            <v>0</v>
          </cell>
          <cell r="F1597" t="str">
            <v>Pasivos Incluidos En Grupos De Activos Para Su Disposición Clasificados Como Mantenidos Para La Venta</v>
          </cell>
          <cell r="G1597" t="str">
            <v/>
          </cell>
          <cell r="H1597" t="str">
            <v/>
          </cell>
          <cell r="I1597" t="str">
            <v>II. Pasivos</v>
          </cell>
          <cell r="J1597" t="str">
            <v>1. Pasivos corrientes</v>
          </cell>
          <cell r="U1597" t="str">
            <v/>
          </cell>
          <cell r="AH1597" t="str">
            <v>III. Pasivos de los segmentos</v>
          </cell>
        </row>
        <row r="1598">
          <cell r="D1598">
            <v>0</v>
          </cell>
          <cell r="F1598" t="str">
            <v/>
          </cell>
          <cell r="G1598" t="str">
            <v/>
          </cell>
          <cell r="H1598" t="str">
            <v/>
          </cell>
          <cell r="U1598" t="str">
            <v/>
          </cell>
          <cell r="AH1598" t="str">
            <v/>
          </cell>
        </row>
        <row r="1599">
          <cell r="D1599">
            <v>0</v>
          </cell>
          <cell r="F1599" t="str">
            <v>Pasivos Corrientes Totales</v>
          </cell>
          <cell r="G1599" t="str">
            <v/>
          </cell>
          <cell r="H1599" t="str">
            <v/>
          </cell>
          <cell r="I1599" t="str">
            <v>II. Pasivos</v>
          </cell>
          <cell r="J1599" t="str">
            <v>1. Pasivos corrientes</v>
          </cell>
          <cell r="U1599" t="str">
            <v/>
          </cell>
          <cell r="AH1599" t="str">
            <v>III. Pasivos de los segmentos</v>
          </cell>
        </row>
        <row r="1600">
          <cell r="D1600">
            <v>0</v>
          </cell>
          <cell r="F1600" t="str">
            <v/>
          </cell>
          <cell r="G1600" t="str">
            <v/>
          </cell>
          <cell r="H1600" t="str">
            <v/>
          </cell>
          <cell r="U1600" t="str">
            <v/>
          </cell>
          <cell r="AH1600" t="str">
            <v/>
          </cell>
        </row>
        <row r="1601">
          <cell r="D1601">
            <v>0</v>
          </cell>
          <cell r="F1601" t="str">
            <v>Pasivos No Corrientes</v>
          </cell>
          <cell r="G1601" t="str">
            <v/>
          </cell>
          <cell r="H1601" t="str">
            <v/>
          </cell>
          <cell r="U1601" t="str">
            <v/>
          </cell>
          <cell r="AH1601" t="str">
            <v/>
          </cell>
        </row>
        <row r="1602">
          <cell r="D1602">
            <v>0</v>
          </cell>
          <cell r="G1602" t="str">
            <v/>
          </cell>
          <cell r="H1602" t="str">
            <v/>
          </cell>
          <cell r="I1602" t="str">
            <v>II. Pasivos</v>
          </cell>
          <cell r="J1602" t="str">
            <v>2. Pasivos no corrientes</v>
          </cell>
          <cell r="K1602" t="str">
            <v>1. Otros Pasivos Financieros, no corrientes</v>
          </cell>
          <cell r="U1602" t="str">
            <v>1. Otros Pasivos Financieros, no corrientes</v>
          </cell>
          <cell r="AH1602" t="str">
            <v>III. Pasivos de los segmentos</v>
          </cell>
        </row>
        <row r="1603">
          <cell r="D1603">
            <v>0</v>
          </cell>
          <cell r="F1603" t="str">
            <v>Otros Pasivos Financieros No Corrientes</v>
          </cell>
          <cell r="G1603" t="str">
            <v/>
          </cell>
          <cell r="H1603" t="str">
            <v/>
          </cell>
          <cell r="U1603" t="str">
            <v/>
          </cell>
          <cell r="AH1603" t="str">
            <v/>
          </cell>
        </row>
        <row r="1604">
          <cell r="D1604">
            <v>0</v>
          </cell>
          <cell r="G1604" t="str">
            <v/>
          </cell>
          <cell r="H1604" t="str">
            <v/>
          </cell>
          <cell r="U1604" t="str">
            <v/>
          </cell>
          <cell r="AH1604" t="str">
            <v/>
          </cell>
        </row>
        <row r="1605">
          <cell r="D1605">
            <v>0</v>
          </cell>
          <cell r="G1605" t="str">
            <v/>
          </cell>
          <cell r="H1605" t="str">
            <v/>
          </cell>
          <cell r="I1605" t="str">
            <v>II. Pasivos</v>
          </cell>
          <cell r="J1605" t="str">
            <v>2. Pasivos no corrientes</v>
          </cell>
          <cell r="K1605" t="str">
            <v>2. Otras cuentas por pagar, no corrientes</v>
          </cell>
          <cell r="U1605" t="str">
            <v>2. Otras cuentas por pagar, no corrientes</v>
          </cell>
          <cell r="AH1605" t="str">
            <v>III. Pasivos de los segmentos</v>
          </cell>
        </row>
        <row r="1606">
          <cell r="D1606">
            <v>0</v>
          </cell>
          <cell r="F1606" t="str">
            <v>Pasivos No Corrientes</v>
          </cell>
          <cell r="G1606" t="str">
            <v/>
          </cell>
          <cell r="H1606" t="str">
            <v/>
          </cell>
          <cell r="U1606" t="str">
            <v/>
          </cell>
          <cell r="AH1606" t="str">
            <v/>
          </cell>
        </row>
        <row r="1607">
          <cell r="D1607">
            <v>0</v>
          </cell>
          <cell r="G1607" t="str">
            <v/>
          </cell>
          <cell r="H1607" t="str">
            <v/>
          </cell>
          <cell r="U1607" t="str">
            <v/>
          </cell>
          <cell r="AH1607" t="str">
            <v/>
          </cell>
        </row>
        <row r="1608">
          <cell r="D1608" t="str">
            <v>2105000000</v>
          </cell>
          <cell r="E1608" t="str">
            <v>2105000000</v>
          </cell>
          <cell r="F1608" t="str">
            <v>EFE</v>
          </cell>
          <cell r="G1608" t="str">
            <v>2105000000  EFE</v>
          </cell>
          <cell r="H1608" t="str">
            <v>Balance</v>
          </cell>
          <cell r="I1608" t="str">
            <v>II. Pasivos</v>
          </cell>
          <cell r="J1608" t="str">
            <v>2. Pasivos no corrientes</v>
          </cell>
          <cell r="K1608" t="str">
            <v>3. Cuentas por Pagar a Entidades Relacionadas, no corrientes</v>
          </cell>
          <cell r="U1608" t="str">
            <v>3. Cuentas por Pagar a Entidades Relacionadas, no corrientes</v>
          </cell>
          <cell r="AH1608" t="str">
            <v>III. Pasivos de los segmentos</v>
          </cell>
        </row>
        <row r="1609">
          <cell r="D1609">
            <v>0</v>
          </cell>
          <cell r="F1609" t="str">
            <v>Cuentas Por Pagar A Entidades Relaconadas, No Corrientes</v>
          </cell>
          <cell r="G1609" t="str">
            <v/>
          </cell>
          <cell r="H1609" t="str">
            <v/>
          </cell>
          <cell r="U1609" t="str">
            <v/>
          </cell>
          <cell r="AH1609" t="str">
            <v/>
          </cell>
        </row>
        <row r="1610">
          <cell r="D1610">
            <v>0</v>
          </cell>
          <cell r="G1610" t="str">
            <v/>
          </cell>
          <cell r="H1610" t="str">
            <v/>
          </cell>
          <cell r="U1610" t="str">
            <v/>
          </cell>
          <cell r="AH1610" t="str">
            <v/>
          </cell>
        </row>
        <row r="1611">
          <cell r="D1611">
            <v>0</v>
          </cell>
          <cell r="G1611" t="str">
            <v/>
          </cell>
          <cell r="H1611" t="str">
            <v/>
          </cell>
          <cell r="I1611" t="str">
            <v>II. Pasivos</v>
          </cell>
          <cell r="J1611" t="str">
            <v>2. Pasivos no corrientes</v>
          </cell>
          <cell r="K1611" t="str">
            <v>4. Otras Provisiones, no corrientes</v>
          </cell>
          <cell r="U1611" t="str">
            <v>4. Otras Provisiones, no corrientes</v>
          </cell>
          <cell r="AH1611" t="str">
            <v>III. Pasivos de los segmentos</v>
          </cell>
        </row>
        <row r="1612">
          <cell r="D1612">
            <v>0</v>
          </cell>
          <cell r="F1612" t="str">
            <v>Otras Provisiones A Largo Plazo</v>
          </cell>
          <cell r="G1612" t="str">
            <v/>
          </cell>
          <cell r="H1612" t="str">
            <v/>
          </cell>
          <cell r="U1612" t="str">
            <v/>
          </cell>
          <cell r="AH1612" t="str">
            <v/>
          </cell>
        </row>
        <row r="1613">
          <cell r="D1613">
            <v>0</v>
          </cell>
          <cell r="G1613" t="str">
            <v/>
          </cell>
          <cell r="H1613" t="str">
            <v/>
          </cell>
          <cell r="U1613" t="str">
            <v/>
          </cell>
          <cell r="AH1613" t="str">
            <v/>
          </cell>
        </row>
        <row r="1614">
          <cell r="D1614">
            <v>0</v>
          </cell>
          <cell r="F1614" t="str">
            <v/>
          </cell>
          <cell r="G1614" t="str">
            <v/>
          </cell>
          <cell r="H1614" t="str">
            <v/>
          </cell>
          <cell r="I1614" t="str">
            <v>II. Pasivos</v>
          </cell>
          <cell r="J1614" t="str">
            <v>2. Pasivos no corrientes</v>
          </cell>
          <cell r="K1614" t="str">
            <v>5. Pasivo por Impuestos Diferidos</v>
          </cell>
          <cell r="U1614" t="str">
            <v>5. Pasivo Por Impuestos Diferidos</v>
          </cell>
          <cell r="AH1614" t="str">
            <v>III. Pasivos de los segmentos</v>
          </cell>
        </row>
        <row r="1615">
          <cell r="D1615">
            <v>0</v>
          </cell>
          <cell r="F1615" t="str">
            <v>Pasivo Por Impuestos Diferidos</v>
          </cell>
          <cell r="G1615" t="str">
            <v/>
          </cell>
          <cell r="H1615" t="str">
            <v/>
          </cell>
          <cell r="U1615" t="str">
            <v/>
          </cell>
          <cell r="AH1615" t="str">
            <v/>
          </cell>
        </row>
        <row r="1616">
          <cell r="D1616">
            <v>0</v>
          </cell>
          <cell r="G1616" t="str">
            <v/>
          </cell>
          <cell r="U1616" t="str">
            <v/>
          </cell>
        </row>
        <row r="1617">
          <cell r="D1617">
            <v>0</v>
          </cell>
          <cell r="G1617" t="str">
            <v/>
          </cell>
          <cell r="H1617" t="str">
            <v/>
          </cell>
          <cell r="I1617" t="str">
            <v>II. Pasivos</v>
          </cell>
          <cell r="J1617" t="str">
            <v>2. Pasivos no corrientes</v>
          </cell>
          <cell r="K1617" t="str">
            <v>6. Provisiones por Beneficios a los Empleados, no corrientes</v>
          </cell>
          <cell r="U1617" t="str">
            <v>6. Provisiones por Beneficios a los Empleados, no corrientes</v>
          </cell>
          <cell r="AH1617" t="str">
            <v>III. Pasivos de los segmentos</v>
          </cell>
        </row>
        <row r="1618">
          <cell r="D1618">
            <v>0</v>
          </cell>
          <cell r="F1618" t="str">
            <v>Provisiones No Corrientes Por Beneficios A Los Empleados</v>
          </cell>
          <cell r="G1618" t="str">
            <v/>
          </cell>
          <cell r="H1618" t="str">
            <v/>
          </cell>
          <cell r="U1618" t="str">
            <v/>
          </cell>
          <cell r="AH1618" t="str">
            <v/>
          </cell>
        </row>
        <row r="1619">
          <cell r="D1619">
            <v>0</v>
          </cell>
          <cell r="U1619" t="str">
            <v/>
          </cell>
          <cell r="AH1619" t="str">
            <v/>
          </cell>
        </row>
        <row r="1620">
          <cell r="D1620">
            <v>0</v>
          </cell>
          <cell r="F1620" t="str">
            <v/>
          </cell>
          <cell r="G1620" t="str">
            <v/>
          </cell>
          <cell r="H1620" t="str">
            <v/>
          </cell>
          <cell r="U1620" t="str">
            <v/>
          </cell>
          <cell r="AH1620" t="str">
            <v/>
          </cell>
        </row>
        <row r="1621">
          <cell r="D1621" t="str">
            <v>2109999900</v>
          </cell>
          <cell r="E1621" t="str">
            <v>2109999900</v>
          </cell>
          <cell r="F1621" t="str">
            <v>Otras cuentas por pagar Lp</v>
          </cell>
          <cell r="G1621" t="str">
            <v>2109999900  Otras cuentas por pagar Lp</v>
          </cell>
          <cell r="H1621" t="str">
            <v>Balance</v>
          </cell>
          <cell r="I1621" t="str">
            <v>II. Pasivos</v>
          </cell>
          <cell r="J1621" t="str">
            <v>2. Pasivos no corrientes</v>
          </cell>
          <cell r="K1621" t="str">
            <v>7. Otros pasivos no financieros, no corrientes</v>
          </cell>
          <cell r="U1621" t="str">
            <v>7. Otros pasivos no financieros, no corrientes</v>
          </cell>
          <cell r="AH1621" t="str">
            <v>III. Pasivos de los segmentos</v>
          </cell>
        </row>
        <row r="1622">
          <cell r="D1622">
            <v>0</v>
          </cell>
          <cell r="F1622" t="str">
            <v>Otros Pasivos No Financieros No Corrientes</v>
          </cell>
          <cell r="G1622" t="str">
            <v/>
          </cell>
          <cell r="H1622" t="str">
            <v/>
          </cell>
          <cell r="U1622" t="str">
            <v/>
          </cell>
          <cell r="AH1622" t="str">
            <v/>
          </cell>
        </row>
        <row r="1623">
          <cell r="D1623">
            <v>0</v>
          </cell>
          <cell r="F1623" t="str">
            <v/>
          </cell>
          <cell r="G1623" t="str">
            <v/>
          </cell>
          <cell r="H1623" t="str">
            <v/>
          </cell>
          <cell r="U1623" t="str">
            <v/>
          </cell>
          <cell r="AH1623" t="str">
            <v/>
          </cell>
        </row>
        <row r="1624">
          <cell r="D1624">
            <v>0</v>
          </cell>
          <cell r="F1624" t="str">
            <v>Total De Pasivos No Corrientes</v>
          </cell>
          <cell r="G1624" t="str">
            <v/>
          </cell>
          <cell r="H1624" t="str">
            <v/>
          </cell>
          <cell r="I1624" t="str">
            <v>II. Pasivos</v>
          </cell>
          <cell r="J1624" t="str">
            <v>2. Pasivos no corrientes</v>
          </cell>
          <cell r="U1624" t="str">
            <v/>
          </cell>
          <cell r="AH1624" t="str">
            <v>III. Pasivos de los segmentos</v>
          </cell>
        </row>
        <row r="1625">
          <cell r="D1625">
            <v>0</v>
          </cell>
          <cell r="F1625" t="str">
            <v/>
          </cell>
          <cell r="G1625" t="str">
            <v/>
          </cell>
          <cell r="H1625" t="str">
            <v/>
          </cell>
          <cell r="U1625" t="str">
            <v/>
          </cell>
          <cell r="AH1625" t="str">
            <v/>
          </cell>
        </row>
        <row r="1626">
          <cell r="D1626">
            <v>0</v>
          </cell>
          <cell r="F1626" t="str">
            <v>Total De Activos</v>
          </cell>
          <cell r="G1626" t="str">
            <v/>
          </cell>
          <cell r="H1626" t="str">
            <v/>
          </cell>
          <cell r="I1626" t="str">
            <v>II. Pasivos</v>
          </cell>
          <cell r="J1626" t="str">
            <v>2. Pasivos no corrientes</v>
          </cell>
          <cell r="U1626" t="str">
            <v/>
          </cell>
          <cell r="AH1626" t="str">
            <v>III. Pasivos de los segmentos</v>
          </cell>
        </row>
        <row r="1627">
          <cell r="D1627">
            <v>0</v>
          </cell>
          <cell r="G1627" t="str">
            <v/>
          </cell>
          <cell r="U1627" t="str">
            <v/>
          </cell>
          <cell r="AH1627" t="str">
            <v/>
          </cell>
        </row>
        <row r="1628">
          <cell r="D1628">
            <v>0</v>
          </cell>
          <cell r="G1628" t="str">
            <v/>
          </cell>
          <cell r="U1628" t="str">
            <v/>
          </cell>
          <cell r="AH1628" t="str">
            <v/>
          </cell>
        </row>
        <row r="1629">
          <cell r="D1629">
            <v>0</v>
          </cell>
          <cell r="F1629" t="str">
            <v>Interés minoritario</v>
          </cell>
          <cell r="G1629" t="str">
            <v/>
          </cell>
          <cell r="U1629" t="str">
            <v/>
          </cell>
          <cell r="AH1629" t="str">
            <v/>
          </cell>
        </row>
        <row r="1630">
          <cell r="D1630" t="str">
            <v>2039999999</v>
          </cell>
          <cell r="E1630" t="str">
            <v>2039999999</v>
          </cell>
          <cell r="F1630" t="str">
            <v>Interés minoritario</v>
          </cell>
          <cell r="G1630" t="str">
            <v>2039999999  Interés minoritario</v>
          </cell>
          <cell r="H1630" t="str">
            <v>Balance</v>
          </cell>
          <cell r="I1630" t="str">
            <v>II. Pasivos</v>
          </cell>
          <cell r="J1630" t="str">
            <v>4. Interés Minoritario</v>
          </cell>
          <cell r="K1630" t="str">
            <v>1. Participaciones no controladoras</v>
          </cell>
          <cell r="U1630" t="str">
            <v>1. Participaciones no controladoras</v>
          </cell>
          <cell r="AH1630" t="str">
            <v>III. Pasivos de los segmentos</v>
          </cell>
        </row>
        <row r="1631">
          <cell r="D1631">
            <v>0</v>
          </cell>
          <cell r="G1631" t="str">
            <v/>
          </cell>
          <cell r="U1631" t="str">
            <v/>
          </cell>
          <cell r="AH1631" t="str">
            <v/>
          </cell>
        </row>
        <row r="1632">
          <cell r="D1632">
            <v>0</v>
          </cell>
          <cell r="G1632" t="str">
            <v/>
          </cell>
          <cell r="U1632" t="str">
            <v/>
          </cell>
          <cell r="AH1632" t="str">
            <v/>
          </cell>
        </row>
        <row r="1633">
          <cell r="D1633">
            <v>0</v>
          </cell>
          <cell r="G1633" t="str">
            <v/>
          </cell>
          <cell r="U1633" t="str">
            <v/>
          </cell>
          <cell r="AH1633" t="str">
            <v/>
          </cell>
        </row>
        <row r="1634">
          <cell r="D1634">
            <v>0</v>
          </cell>
          <cell r="F1634" t="str">
            <v/>
          </cell>
          <cell r="G1634" t="str">
            <v/>
          </cell>
          <cell r="H1634" t="str">
            <v/>
          </cell>
          <cell r="U1634" t="str">
            <v/>
          </cell>
          <cell r="AH1634" t="str">
            <v/>
          </cell>
        </row>
        <row r="1635">
          <cell r="D1635">
            <v>0</v>
          </cell>
          <cell r="F1635" t="str">
            <v>Patrimonio</v>
          </cell>
          <cell r="G1635" t="str">
            <v/>
          </cell>
          <cell r="H1635" t="str">
            <v/>
          </cell>
          <cell r="U1635" t="str">
            <v/>
          </cell>
          <cell r="AH1635" t="str">
            <v/>
          </cell>
        </row>
        <row r="1636">
          <cell r="D1636">
            <v>0</v>
          </cell>
          <cell r="F1636" t="str">
            <v/>
          </cell>
          <cell r="G1636" t="str">
            <v/>
          </cell>
          <cell r="H1636" t="str">
            <v/>
          </cell>
          <cell r="U1636" t="str">
            <v/>
          </cell>
          <cell r="AH1636" t="str">
            <v/>
          </cell>
        </row>
        <row r="1637">
          <cell r="D1637" t="str">
            <v>3101000000</v>
          </cell>
          <cell r="E1637" t="str">
            <v>3101000000</v>
          </cell>
          <cell r="F1637" t="str">
            <v>Capital</v>
          </cell>
          <cell r="G1637" t="str">
            <v>3101000000  Capital</v>
          </cell>
          <cell r="H1637" t="str">
            <v>Balance</v>
          </cell>
          <cell r="I1637" t="str">
            <v>II. Pasivos</v>
          </cell>
          <cell r="J1637" t="str">
            <v>3. Patrimonio</v>
          </cell>
          <cell r="K1637" t="str">
            <v>1. Capital Emitido</v>
          </cell>
          <cell r="L1637" t="str">
            <v>Patrimonio atribuible a los Socias de la contrroladora</v>
          </cell>
          <cell r="U1637" t="str">
            <v>1. Capital Emitido</v>
          </cell>
          <cell r="AG1637" t="str">
            <v>Capital Emitido</v>
          </cell>
          <cell r="AH1637" t="str">
            <v>III. Pasivos de los segmentos</v>
          </cell>
        </row>
        <row r="1638">
          <cell r="D1638">
            <v>0</v>
          </cell>
          <cell r="F1638" t="str">
            <v>Capital Emitido</v>
          </cell>
          <cell r="G1638" t="str">
            <v/>
          </cell>
          <cell r="H1638" t="str">
            <v/>
          </cell>
          <cell r="U1638" t="str">
            <v/>
          </cell>
          <cell r="AH1638" t="str">
            <v/>
          </cell>
        </row>
        <row r="1639">
          <cell r="D1639">
            <v>0</v>
          </cell>
          <cell r="F1639" t="str">
            <v/>
          </cell>
          <cell r="G1639" t="str">
            <v/>
          </cell>
          <cell r="H1639" t="str">
            <v/>
          </cell>
          <cell r="U1639" t="str">
            <v/>
          </cell>
          <cell r="AH1639" t="str">
            <v/>
          </cell>
        </row>
        <row r="1640">
          <cell r="D1640">
            <v>0</v>
          </cell>
          <cell r="F1640" t="str">
            <v>Utilidad(Pérdida)Ejercicio</v>
          </cell>
          <cell r="G1640" t="str">
            <v/>
          </cell>
          <cell r="H1640" t="str">
            <v>Balance</v>
          </cell>
          <cell r="I1640" t="str">
            <v>II. Pasivos</v>
          </cell>
          <cell r="J1640" t="str">
            <v>3. Patrimonio</v>
          </cell>
          <cell r="K1640" t="str">
            <v>2. Ganancias (Pérdidas) Acumuladas</v>
          </cell>
          <cell r="L1640" t="str">
            <v>Patrimonio atribuible a los Socias de la contrroladora</v>
          </cell>
          <cell r="U1640" t="str">
            <v>6. Otras Reservas</v>
          </cell>
          <cell r="AG1640" t="str">
            <v>Ganacias (Pérdidas) Acum.</v>
          </cell>
          <cell r="AH1640" t="str">
            <v>III. Pasivos de los segmentos</v>
          </cell>
        </row>
        <row r="1641">
          <cell r="D1641" t="str">
            <v>3207000000</v>
          </cell>
          <cell r="E1641" t="str">
            <v>3207000000</v>
          </cell>
          <cell r="F1641" t="str">
            <v>Pérdidas acumuladas</v>
          </cell>
          <cell r="G1641" t="str">
            <v>3207000000  Pérdidas acumuladas</v>
          </cell>
          <cell r="H1641" t="str">
            <v>Balance</v>
          </cell>
          <cell r="I1641" t="str">
            <v>II. Pasivos</v>
          </cell>
          <cell r="J1641" t="str">
            <v>3. Patrimonio</v>
          </cell>
          <cell r="K1641" t="str">
            <v>2. Ganancias (Pérdidas) Acumuladas</v>
          </cell>
          <cell r="L1641" t="str">
            <v>Patrimonio atribuible a los Socias de la contrroladora</v>
          </cell>
          <cell r="U1641" t="str">
            <v>6. Otras Reservas</v>
          </cell>
          <cell r="AG1641" t="str">
            <v>Ganacias (Pérdidas) Acum.</v>
          </cell>
          <cell r="AH1641" t="str">
            <v>III. Pasivos de los segmentos</v>
          </cell>
        </row>
        <row r="1642">
          <cell r="D1642" t="str">
            <v>3104009900</v>
          </cell>
          <cell r="E1642" t="str">
            <v>3104009900</v>
          </cell>
          <cell r="F1642" t="str">
            <v>Utilidad (Pérdida) del Ejercicio</v>
          </cell>
          <cell r="G1642" t="str">
            <v>3104009900  Utilidad (Pérdida) del Ejercicio</v>
          </cell>
          <cell r="H1642" t="str">
            <v>Balance</v>
          </cell>
          <cell r="I1642" t="str">
            <v>II. Pasivos</v>
          </cell>
          <cell r="J1642" t="str">
            <v>3. Patrimonio</v>
          </cell>
          <cell r="K1642" t="str">
            <v>2. Ganancias (Pérdidas) Acumuladas</v>
          </cell>
          <cell r="L1642" t="str">
            <v>Patrimonio atribuible a los Socias de la contrroladora</v>
          </cell>
          <cell r="U1642" t="str">
            <v>2. Ganancias (Pérdidas) del Ejercicio</v>
          </cell>
          <cell r="AG1642" t="str">
            <v>Ganacias (Pérdidas) Acum.</v>
          </cell>
          <cell r="AH1642" t="str">
            <v>III. Pasivos de los segmentos</v>
          </cell>
        </row>
        <row r="1643">
          <cell r="D1643">
            <v>0</v>
          </cell>
          <cell r="F1643" t="str">
            <v>Ganacias (Pérdidas) Acumuladas</v>
          </cell>
          <cell r="G1643" t="str">
            <v/>
          </cell>
          <cell r="H1643" t="str">
            <v/>
          </cell>
          <cell r="U1643" t="str">
            <v/>
          </cell>
          <cell r="AH1643" t="str">
            <v/>
          </cell>
        </row>
        <row r="1644">
          <cell r="D1644">
            <v>0</v>
          </cell>
          <cell r="F1644" t="str">
            <v/>
          </cell>
          <cell r="G1644" t="str">
            <v/>
          </cell>
          <cell r="H1644" t="str">
            <v/>
          </cell>
          <cell r="U1644" t="str">
            <v/>
          </cell>
          <cell r="AH1644" t="str">
            <v/>
          </cell>
        </row>
        <row r="1645">
          <cell r="D1645">
            <v>0</v>
          </cell>
          <cell r="F1645" t="str">
            <v/>
          </cell>
          <cell r="G1645" t="str">
            <v/>
          </cell>
          <cell r="H1645" t="str">
            <v/>
          </cell>
          <cell r="U1645" t="str">
            <v/>
          </cell>
          <cell r="AH1645" t="str">
            <v/>
          </cell>
        </row>
        <row r="1646">
          <cell r="D1646">
            <v>0</v>
          </cell>
          <cell r="F1646" t="str">
            <v>Reservas Acumuladas</v>
          </cell>
          <cell r="G1646" t="str">
            <v/>
          </cell>
          <cell r="H1646" t="str">
            <v>Balance</v>
          </cell>
          <cell r="I1646" t="str">
            <v>II. Pasivos</v>
          </cell>
          <cell r="J1646" t="str">
            <v>3. Patrimonio</v>
          </cell>
          <cell r="K1646" t="str">
            <v>6. Otras Reservas</v>
          </cell>
          <cell r="L1646" t="str">
            <v>Patrimonio atribuible a los Socios de la controladora</v>
          </cell>
          <cell r="U1646" t="str">
            <v>6. Otras Reservas</v>
          </cell>
          <cell r="AG1646" t="str">
            <v>Otras Reservas</v>
          </cell>
          <cell r="AH1646" t="str">
            <v>III. Pasivos de los segmentos</v>
          </cell>
        </row>
        <row r="1647">
          <cell r="D1647">
            <v>0</v>
          </cell>
          <cell r="F1647" t="str">
            <v>Reserva Por  Bienes Del Activo Fijo</v>
          </cell>
          <cell r="G1647" t="str">
            <v/>
          </cell>
          <cell r="H1647" t="str">
            <v>Balance</v>
          </cell>
          <cell r="I1647" t="str">
            <v>II. Pasivos</v>
          </cell>
          <cell r="J1647" t="str">
            <v>3. Patrimonio</v>
          </cell>
          <cell r="K1647" t="str">
            <v>6. Otras Reservas</v>
          </cell>
          <cell r="L1647" t="str">
            <v>Patrimonio atribuible a los Socios de la controladora</v>
          </cell>
          <cell r="U1647" t="str">
            <v>6. Otras Reservas</v>
          </cell>
          <cell r="AG1647" t="str">
            <v>Otras Reservas</v>
          </cell>
          <cell r="AH1647" t="str">
            <v>III. Pasivos de los segmentos</v>
          </cell>
        </row>
        <row r="1648">
          <cell r="D1648">
            <v>0</v>
          </cell>
          <cell r="F1648" t="str">
            <v>Reserva De Retasación Técnicas  Año 1987</v>
          </cell>
          <cell r="G1648" t="str">
            <v/>
          </cell>
          <cell r="H1648" t="str">
            <v>Balance</v>
          </cell>
          <cell r="I1648" t="str">
            <v>II. Pasivos</v>
          </cell>
          <cell r="J1648" t="str">
            <v>3. Patrimonio</v>
          </cell>
          <cell r="K1648" t="str">
            <v>6. Otras Reservas</v>
          </cell>
          <cell r="L1648" t="str">
            <v>Patrimonio atribuible a los Socios de la controladora</v>
          </cell>
          <cell r="U1648" t="str">
            <v>6. Otras Reservas</v>
          </cell>
          <cell r="AG1648" t="str">
            <v>Otras Reservas</v>
          </cell>
          <cell r="AH1648" t="str">
            <v>III. Pasivos de los segmentos</v>
          </cell>
        </row>
        <row r="1649">
          <cell r="D1649">
            <v>0</v>
          </cell>
          <cell r="F1649" t="str">
            <v>Reserva De Retasación Técnica Año 1993</v>
          </cell>
          <cell r="G1649" t="str">
            <v/>
          </cell>
          <cell r="H1649" t="str">
            <v>Balance</v>
          </cell>
          <cell r="I1649" t="str">
            <v>II. Pasivos</v>
          </cell>
          <cell r="J1649" t="str">
            <v>3. Patrimonio</v>
          </cell>
          <cell r="K1649" t="str">
            <v>6. Otras Reservas</v>
          </cell>
          <cell r="L1649" t="str">
            <v>Patrimonio atribuible a los Socios de la controladora</v>
          </cell>
          <cell r="U1649" t="str">
            <v>6. Otras Reservas</v>
          </cell>
          <cell r="AG1649" t="str">
            <v>Otras Reservas</v>
          </cell>
          <cell r="AH1649" t="str">
            <v>III. Pasivos de los segmentos</v>
          </cell>
        </row>
        <row r="1650">
          <cell r="D1650">
            <v>0</v>
          </cell>
          <cell r="F1650" t="str">
            <v>Reserva Por Diferencia De Material</v>
          </cell>
          <cell r="G1650" t="str">
            <v/>
          </cell>
          <cell r="H1650" t="str">
            <v>Balance</v>
          </cell>
          <cell r="I1650" t="str">
            <v>II. Pasivos</v>
          </cell>
          <cell r="J1650" t="str">
            <v>3. Patrimonio</v>
          </cell>
          <cell r="K1650" t="str">
            <v>6. Otras Reservas</v>
          </cell>
          <cell r="L1650" t="str">
            <v>Patrimonio atribuible a los Socios de la controladora</v>
          </cell>
          <cell r="U1650" t="str">
            <v>6. Otras Reservas</v>
          </cell>
          <cell r="AG1650" t="str">
            <v>Otras Reservas</v>
          </cell>
          <cell r="AH1650" t="str">
            <v>III. Pasivos de los segmentos</v>
          </cell>
        </row>
        <row r="1651">
          <cell r="D1651">
            <v>0</v>
          </cell>
          <cell r="F1651" t="str">
            <v>Reserva Futuras Capitalizaciones</v>
          </cell>
          <cell r="G1651" t="str">
            <v/>
          </cell>
          <cell r="H1651" t="str">
            <v>Balance</v>
          </cell>
          <cell r="I1651" t="str">
            <v>II. Pasivos</v>
          </cell>
          <cell r="J1651" t="str">
            <v>3. Patrimonio</v>
          </cell>
          <cell r="K1651" t="str">
            <v>6. Otras Reservas</v>
          </cell>
          <cell r="L1651" t="str">
            <v>Patrimonio atribuible a los Socios de la controladora</v>
          </cell>
          <cell r="U1651" t="str">
            <v>6. Otras Reservas</v>
          </cell>
          <cell r="AG1651" t="str">
            <v>Otras Reservas</v>
          </cell>
          <cell r="AH1651" t="str">
            <v>III. Pasivos de los segmentos</v>
          </cell>
        </row>
        <row r="1652">
          <cell r="D1652">
            <v>0</v>
          </cell>
          <cell r="F1652" t="str">
            <v>Reserva Futuras Capitalizac.Emp.Portuaria Arica</v>
          </cell>
          <cell r="G1652" t="str">
            <v/>
          </cell>
          <cell r="H1652" t="str">
            <v>Balance</v>
          </cell>
          <cell r="I1652" t="str">
            <v>II. Pasivos</v>
          </cell>
          <cell r="J1652" t="str">
            <v>3. Patrimonio</v>
          </cell>
          <cell r="K1652" t="str">
            <v>6. Otras Reservas</v>
          </cell>
          <cell r="L1652" t="str">
            <v>Patrimonio atribuible a los Socios de la controladora</v>
          </cell>
          <cell r="U1652" t="str">
            <v>6. Otras Reservas</v>
          </cell>
          <cell r="AG1652" t="str">
            <v>Otras Reservas</v>
          </cell>
          <cell r="AH1652" t="str">
            <v>III. Pasivos de los segmentos</v>
          </cell>
        </row>
        <row r="1653">
          <cell r="D1653">
            <v>0</v>
          </cell>
          <cell r="F1653" t="str">
            <v>Otras Reservas IFRS</v>
          </cell>
          <cell r="G1653" t="str">
            <v/>
          </cell>
          <cell r="H1653" t="str">
            <v>Balance</v>
          </cell>
          <cell r="I1653" t="str">
            <v>II. Pasivos</v>
          </cell>
          <cell r="J1653" t="str">
            <v>3. Patrimonio</v>
          </cell>
          <cell r="K1653" t="str">
            <v>6. Otras Reservas</v>
          </cell>
          <cell r="L1653" t="str">
            <v>Patrimonio atribuible a los Socios de la controladora</v>
          </cell>
          <cell r="U1653" t="str">
            <v>6. Otras Reservas</v>
          </cell>
          <cell r="AG1653" t="str">
            <v>Otras Reservas</v>
          </cell>
          <cell r="AH1653" t="str">
            <v>III. Pasivos de los segmentos</v>
          </cell>
        </row>
        <row r="1654">
          <cell r="D1654" t="str">
            <v>3207000000</v>
          </cell>
          <cell r="E1654" t="str">
            <v>3207000000</v>
          </cell>
          <cell r="F1654" t="str">
            <v>Pérdidas acumuladas</v>
          </cell>
          <cell r="G1654" t="str">
            <v>3207000000  Pérdidas acumuladas</v>
          </cell>
          <cell r="H1654" t="str">
            <v>Balance</v>
          </cell>
          <cell r="I1654" t="str">
            <v>II. Pasivos</v>
          </cell>
          <cell r="J1654" t="str">
            <v>3. Patrimonio</v>
          </cell>
          <cell r="K1654" t="str">
            <v>6. Otras Reservas</v>
          </cell>
          <cell r="L1654" t="str">
            <v>Patrimonio atribuible a los Socios de la controladora</v>
          </cell>
          <cell r="U1654" t="str">
            <v>6. Otras Reservas</v>
          </cell>
          <cell r="AG1654" t="str">
            <v>Otras Reservas</v>
          </cell>
          <cell r="AH1654" t="str">
            <v>III. Pasivos de los segmentos</v>
          </cell>
        </row>
        <row r="1655">
          <cell r="D1655" t="str">
            <v>3203000000</v>
          </cell>
          <cell r="E1655" t="str">
            <v>3203000000</v>
          </cell>
          <cell r="F1655" t="str">
            <v>Sobreprecio Venta De Acciones</v>
          </cell>
          <cell r="G1655" t="str">
            <v>3203000000  Sobreprecio Venta De Acciones</v>
          </cell>
          <cell r="H1655" t="str">
            <v>Balance</v>
          </cell>
          <cell r="I1655" t="str">
            <v>II. Pasivos</v>
          </cell>
          <cell r="J1655" t="str">
            <v>3. Patrimonio</v>
          </cell>
          <cell r="K1655" t="str">
            <v>6. Otras Reservas</v>
          </cell>
          <cell r="L1655" t="str">
            <v>Patrimonio atribuible a los Socios de la controladora</v>
          </cell>
          <cell r="U1655" t="str">
            <v>6. Otras Reservas</v>
          </cell>
          <cell r="AG1655" t="str">
            <v>Otras Reservas</v>
          </cell>
          <cell r="AH1655" t="str">
            <v>III. Pasivos de los segmentos</v>
          </cell>
        </row>
        <row r="1656">
          <cell r="D1656">
            <v>0</v>
          </cell>
          <cell r="F1656" t="str">
            <v>Acciones Suscritas Por Cobrar</v>
          </cell>
          <cell r="G1656" t="str">
            <v/>
          </cell>
          <cell r="H1656" t="str">
            <v>Balance</v>
          </cell>
          <cell r="I1656" t="str">
            <v>II. Pasivos</v>
          </cell>
          <cell r="J1656" t="str">
            <v>3. Patrimonio</v>
          </cell>
          <cell r="K1656" t="str">
            <v>6. Otras Reservas</v>
          </cell>
          <cell r="L1656" t="str">
            <v>Patrimonio atribuible a los Socios de la controladora</v>
          </cell>
          <cell r="U1656" t="str">
            <v>6. Otras Reservas</v>
          </cell>
          <cell r="AH1656" t="str">
            <v>III. Pasivos de los segmentos</v>
          </cell>
        </row>
        <row r="1657">
          <cell r="D1657" t="str">
            <v>3102000000</v>
          </cell>
          <cell r="E1657" t="str">
            <v>3102000000</v>
          </cell>
          <cell r="F1657" t="str">
            <v>Reserva Revalorización Capital</v>
          </cell>
          <cell r="G1657" t="str">
            <v>3102000000  Reserva Revalorización Capital</v>
          </cell>
          <cell r="H1657" t="str">
            <v>Balance</v>
          </cell>
          <cell r="I1657" t="str">
            <v>II. Pasivos</v>
          </cell>
          <cell r="J1657" t="str">
            <v>3. Patrimonio</v>
          </cell>
          <cell r="K1657" t="str">
            <v>6. Otras Reservas</v>
          </cell>
          <cell r="L1657" t="str">
            <v>Patrimonio atribuible a los Socios de la controladora</v>
          </cell>
          <cell r="U1657" t="str">
            <v>6. Otras Reservas</v>
          </cell>
          <cell r="AG1657" t="str">
            <v>Otras Reservas</v>
          </cell>
          <cell r="AH1657" t="str">
            <v>III. Pasivos de los segmentos</v>
          </cell>
        </row>
        <row r="1658">
          <cell r="D1658">
            <v>0</v>
          </cell>
          <cell r="G1658" t="str">
            <v/>
          </cell>
          <cell r="H1658" t="str">
            <v>Balance</v>
          </cell>
          <cell r="I1658" t="str">
            <v>II. Pasivos</v>
          </cell>
          <cell r="J1658" t="str">
            <v>3. Patrimonio</v>
          </cell>
          <cell r="K1658" t="str">
            <v>6. Otras Reservas</v>
          </cell>
          <cell r="L1658" t="str">
            <v>Patrimonio atribuible a los Socios de la controladora</v>
          </cell>
          <cell r="U1658" t="str">
            <v>6. Otras Reservas</v>
          </cell>
          <cell r="AH1658" t="str">
            <v>III. Pasivos de los segmentos</v>
          </cell>
        </row>
        <row r="1659">
          <cell r="D1659">
            <v>0</v>
          </cell>
          <cell r="F1659" t="str">
            <v/>
          </cell>
          <cell r="G1659" t="str">
            <v/>
          </cell>
          <cell r="H1659" t="str">
            <v/>
          </cell>
          <cell r="AH1659" t="str">
            <v/>
          </cell>
        </row>
        <row r="1660">
          <cell r="D1660">
            <v>0</v>
          </cell>
          <cell r="F1660" t="str">
            <v>Total Otras Reservas</v>
          </cell>
          <cell r="G1660" t="str">
            <v/>
          </cell>
          <cell r="H1660" t="str">
            <v/>
          </cell>
          <cell r="AH1660" t="str">
            <v/>
          </cell>
        </row>
        <row r="1661">
          <cell r="D1661">
            <v>0</v>
          </cell>
          <cell r="F1661" t="str">
            <v>Patrimonio Atribuible A Los Propietarios De La Controladora</v>
          </cell>
          <cell r="G1661" t="str">
            <v/>
          </cell>
          <cell r="H1661" t="str">
            <v/>
          </cell>
          <cell r="AG1661" t="str">
            <v>Patri. Controladora</v>
          </cell>
          <cell r="AH1661" t="str">
            <v/>
          </cell>
        </row>
        <row r="1662">
          <cell r="D1662">
            <v>0</v>
          </cell>
          <cell r="F1662" t="str">
            <v/>
          </cell>
          <cell r="G1662" t="str">
            <v/>
          </cell>
          <cell r="H1662" t="str">
            <v/>
          </cell>
          <cell r="AH1662" t="str">
            <v/>
          </cell>
        </row>
        <row r="1663">
          <cell r="D1663">
            <v>0</v>
          </cell>
          <cell r="F1663" t="str">
            <v>Participaciones No Controladas</v>
          </cell>
          <cell r="G1663" t="str">
            <v/>
          </cell>
          <cell r="H1663" t="str">
            <v/>
          </cell>
          <cell r="I1663" t="str">
            <v>II. Pasivos</v>
          </cell>
          <cell r="J1663" t="str">
            <v>3. Patrimonio</v>
          </cell>
          <cell r="K1663" t="str">
            <v>4. Participaciones no controladas</v>
          </cell>
          <cell r="L1663" t="str">
            <v>Otras participaciones</v>
          </cell>
          <cell r="AG1663" t="str">
            <v>Particip. No Controladas</v>
          </cell>
          <cell r="AH1663" t="str">
            <v>III. Pasivos de los segmentos</v>
          </cell>
        </row>
        <row r="1664">
          <cell r="D1664">
            <v>0</v>
          </cell>
          <cell r="F1664" t="str">
            <v/>
          </cell>
          <cell r="G1664" t="str">
            <v/>
          </cell>
          <cell r="H1664" t="str">
            <v/>
          </cell>
          <cell r="AH1664" t="str">
            <v/>
          </cell>
        </row>
        <row r="1665">
          <cell r="D1665">
            <v>0</v>
          </cell>
          <cell r="F1665" t="str">
            <v>Patrimonio Total</v>
          </cell>
          <cell r="G1665" t="str">
            <v/>
          </cell>
          <cell r="H1665" t="str">
            <v/>
          </cell>
          <cell r="AH1665" t="str">
            <v/>
          </cell>
        </row>
        <row r="1666">
          <cell r="D1666">
            <v>0</v>
          </cell>
          <cell r="F1666" t="str">
            <v>Total De Patrimonio Y Pasivos</v>
          </cell>
          <cell r="G1666" t="str">
            <v/>
          </cell>
          <cell r="H1666" t="str">
            <v/>
          </cell>
          <cell r="AH1666" t="str">
            <v/>
          </cell>
        </row>
        <row r="1667">
          <cell r="D1667">
            <v>0</v>
          </cell>
          <cell r="G1667" t="str">
            <v/>
          </cell>
          <cell r="H1667" t="str">
            <v/>
          </cell>
          <cell r="AH1667" t="str">
            <v/>
          </cell>
        </row>
        <row r="1668">
          <cell r="D1668">
            <v>0</v>
          </cell>
          <cell r="G1668" t="str">
            <v/>
          </cell>
        </row>
        <row r="1669">
          <cell r="D1669">
            <v>0</v>
          </cell>
          <cell r="G1669" t="str">
            <v/>
          </cell>
        </row>
        <row r="1670">
          <cell r="D1670">
            <v>0</v>
          </cell>
          <cell r="G1670" t="str">
            <v/>
          </cell>
        </row>
        <row r="1671">
          <cell r="D1671">
            <v>0</v>
          </cell>
          <cell r="G1671" t="str">
            <v/>
          </cell>
        </row>
        <row r="1672">
          <cell r="D1672">
            <v>0</v>
          </cell>
          <cell r="G1672" t="str">
            <v/>
          </cell>
        </row>
        <row r="1673">
          <cell r="D1673">
            <v>0</v>
          </cell>
          <cell r="G1673" t="str">
            <v/>
          </cell>
        </row>
        <row r="1674">
          <cell r="D1674">
            <v>0</v>
          </cell>
          <cell r="G1674" t="str">
            <v/>
          </cell>
        </row>
        <row r="1675">
          <cell r="D1675">
            <v>0</v>
          </cell>
          <cell r="G1675" t="str">
            <v/>
          </cell>
        </row>
        <row r="1676">
          <cell r="D1676" t="str">
            <v>3113100000</v>
          </cell>
          <cell r="E1676" t="str">
            <v>3113100000</v>
          </cell>
          <cell r="F1676" t="str">
            <v>Venta Pasaje Merval</v>
          </cell>
          <cell r="G1676" t="str">
            <v>3113100000  Venta Pasaje Merval</v>
          </cell>
          <cell r="H1676" t="str">
            <v>Est. Resultado</v>
          </cell>
          <cell r="I1676" t="str">
            <v>Resultado</v>
          </cell>
          <cell r="J1676" t="str">
            <v>1. Ingresos Ordinarios</v>
          </cell>
          <cell r="K1676" t="str">
            <v>1. Pasajes Cercanias</v>
          </cell>
          <cell r="L1676" t="str">
            <v>EBITDA</v>
          </cell>
          <cell r="M1676" t="str">
            <v>MARGEN BRUTO</v>
          </cell>
          <cell r="N1676" t="str">
            <v>GANANCIAS (PERDIDAS) ANTES DE IMPUESTOS</v>
          </cell>
          <cell r="O1676" t="str">
            <v>GANANCIA (PÉRDIDA) NETA</v>
          </cell>
          <cell r="P1676" t="str">
            <v>Resultado Ingresos y Gastos Integrales</v>
          </cell>
          <cell r="Q1676" t="str">
            <v>I. Ganancia (pérdida), antes de impuestos</v>
          </cell>
          <cell r="R1676" t="str">
            <v>a. Ganancia bruta</v>
          </cell>
          <cell r="S1676" t="str">
            <v>1. Ingresos de actividades ordinarias</v>
          </cell>
          <cell r="T1676" t="str">
            <v>1. Pasajes Cercanias</v>
          </cell>
          <cell r="V1676" t="str">
            <v>I. Ingresos</v>
          </cell>
          <cell r="W1676" t="str">
            <v>1. Ingresos de Operación</v>
          </cell>
          <cell r="Z1676" t="str">
            <v>I. Ingresos Ordinarios</v>
          </cell>
          <cell r="AA1676" t="str">
            <v>1. Pasajes Cercanias</v>
          </cell>
          <cell r="AC1676" t="str">
            <v>I. Ingresos</v>
          </cell>
          <cell r="AD1676" t="str">
            <v>1. Pasajeros</v>
          </cell>
          <cell r="AE1676" t="str">
            <v>1. Pasajes Cercanias</v>
          </cell>
          <cell r="AG1676" t="str">
            <v xml:space="preserve"> </v>
          </cell>
          <cell r="AH1676" t="str">
            <v>1. Ingresos de las actividades ordinarias procedentes de clientes externos</v>
          </cell>
        </row>
        <row r="1677">
          <cell r="D1677" t="str">
            <v>3111100000</v>
          </cell>
          <cell r="E1677" t="str">
            <v>3111100000</v>
          </cell>
          <cell r="F1677" t="str">
            <v>Vta Pax Stgo-SFdo</v>
          </cell>
          <cell r="G1677" t="str">
            <v>3111100000  Vta Pax Stgo-SFdo</v>
          </cell>
          <cell r="H1677" t="str">
            <v>Est. Resultado</v>
          </cell>
          <cell r="I1677" t="str">
            <v>Resultado</v>
          </cell>
          <cell r="J1677" t="str">
            <v>1. Ingresos Ordinarios</v>
          </cell>
          <cell r="K1677" t="str">
            <v>1. Pasajes Cercanias</v>
          </cell>
          <cell r="L1677" t="str">
            <v>EBITDA</v>
          </cell>
          <cell r="M1677" t="str">
            <v>MARGEN BRUTO</v>
          </cell>
          <cell r="N1677" t="str">
            <v>GANANCIAS (PERDIDAS) ANTES DE IMPUESTOS</v>
          </cell>
          <cell r="O1677" t="str">
            <v>GANANCIA (PÉRDIDA) NETA</v>
          </cell>
          <cell r="P1677" t="str">
            <v>Resultado Ingresos y Gastos Integrales</v>
          </cell>
          <cell r="Q1677" t="str">
            <v>I. Ganancia (pérdida), antes de impuestos</v>
          </cell>
          <cell r="R1677" t="str">
            <v>a. Ganancia bruta</v>
          </cell>
          <cell r="S1677" t="str">
            <v>1. Ingresos de actividades ordinarias</v>
          </cell>
          <cell r="T1677" t="str">
            <v>1. Pasajes Cercanias</v>
          </cell>
          <cell r="V1677" t="str">
            <v>I. Ingresos</v>
          </cell>
          <cell r="W1677" t="str">
            <v>1. Ingresos de Operación</v>
          </cell>
          <cell r="Z1677" t="str">
            <v>I. Ingresos Ordinarios</v>
          </cell>
          <cell r="AA1677" t="str">
            <v>1. Pasajes Cercanias</v>
          </cell>
          <cell r="AC1677" t="str">
            <v>I. Ingresos</v>
          </cell>
          <cell r="AD1677" t="str">
            <v>1. Pasajeros</v>
          </cell>
          <cell r="AE1677" t="str">
            <v>1. Pasajes Cercanias</v>
          </cell>
          <cell r="AH1677" t="str">
            <v>1. Ingresos de las actividades ordinarias procedentes de clientes externos</v>
          </cell>
        </row>
        <row r="1678">
          <cell r="D1678">
            <v>0</v>
          </cell>
          <cell r="G1678" t="str">
            <v/>
          </cell>
          <cell r="H1678" t="str">
            <v>Est. Resultado</v>
          </cell>
          <cell r="I1678" t="str">
            <v>Resultado</v>
          </cell>
          <cell r="J1678" t="str">
            <v>1. Ingresos Ordinarios</v>
          </cell>
          <cell r="K1678" t="str">
            <v>1. Pasajes Cercanias</v>
          </cell>
          <cell r="L1678" t="str">
            <v>EBITDA</v>
          </cell>
          <cell r="M1678" t="str">
            <v>MARGEN BRUTO</v>
          </cell>
          <cell r="N1678" t="str">
            <v>GANANCIAS (PERDIDAS) ANTES DE IMPUESTOS</v>
          </cell>
          <cell r="O1678" t="str">
            <v>GANANCIA (PÉRDIDA) NETA</v>
          </cell>
          <cell r="P1678" t="str">
            <v>Resultado Ingresos y Gastos Integrales</v>
          </cell>
          <cell r="Q1678" t="str">
            <v>I. Ganancia (pérdida), antes de impuestos</v>
          </cell>
          <cell r="R1678" t="str">
            <v>a. Ganancia bruta</v>
          </cell>
          <cell r="S1678" t="str">
            <v>1. Ingresos de actividades ordinarias</v>
          </cell>
          <cell r="T1678" t="str">
            <v>1. Pasajes Cercanias</v>
          </cell>
          <cell r="V1678" t="str">
            <v>I. Ingresos</v>
          </cell>
          <cell r="W1678" t="str">
            <v>1. Ingresos de Operación</v>
          </cell>
          <cell r="Z1678" t="str">
            <v>I. Ingresos Ordinarios</v>
          </cell>
          <cell r="AA1678" t="str">
            <v>1. Pasajes Cercanias</v>
          </cell>
          <cell r="AC1678" t="str">
            <v>I. Ingresos</v>
          </cell>
          <cell r="AD1678" t="str">
            <v>1. Pasajeros</v>
          </cell>
          <cell r="AE1678" t="str">
            <v>1. Pasajes Cercanias</v>
          </cell>
          <cell r="AG1678" t="str">
            <v xml:space="preserve"> </v>
          </cell>
          <cell r="AH1678" t="str">
            <v>1. Ingresos de las actividades ordinarias procedentes de clientes externos</v>
          </cell>
        </row>
        <row r="1679">
          <cell r="D1679">
            <v>0</v>
          </cell>
          <cell r="G1679" t="str">
            <v/>
          </cell>
          <cell r="H1679" t="str">
            <v>Est. Resultado</v>
          </cell>
          <cell r="I1679" t="str">
            <v>Resultado</v>
          </cell>
          <cell r="J1679" t="str">
            <v>1. Ingresos Ordinarios</v>
          </cell>
          <cell r="K1679" t="str">
            <v>1. Pasajes Cercanias</v>
          </cell>
          <cell r="L1679" t="str">
            <v>EBITDA</v>
          </cell>
          <cell r="M1679" t="str">
            <v>MARGEN BRUTO</v>
          </cell>
          <cell r="N1679" t="str">
            <v>GANANCIAS (PERDIDAS) ANTES DE IMPUESTOS</v>
          </cell>
          <cell r="O1679" t="str">
            <v>GANANCIA (PÉRDIDA) NETA</v>
          </cell>
          <cell r="P1679" t="str">
            <v>Resultado Ingresos y Gastos Integrales</v>
          </cell>
          <cell r="Q1679" t="str">
            <v>I. Ganancia (pérdida), antes de impuestos</v>
          </cell>
          <cell r="R1679" t="str">
            <v>a. Ganancia bruta</v>
          </cell>
          <cell r="S1679" t="str">
            <v>1. Ingresos de actividades ordinarias</v>
          </cell>
          <cell r="T1679" t="str">
            <v>1. Pasajes Cercanias</v>
          </cell>
          <cell r="V1679" t="str">
            <v>I. Ingresos</v>
          </cell>
          <cell r="W1679" t="str">
            <v>1. Ingresos de Operación</v>
          </cell>
          <cell r="Z1679" t="str">
            <v>I. Ingresos Ordinarios</v>
          </cell>
          <cell r="AA1679" t="str">
            <v>1. Pasajes Cercanias</v>
          </cell>
          <cell r="AC1679" t="str">
            <v>I. Ingresos</v>
          </cell>
          <cell r="AD1679" t="str">
            <v>1. Pasajeros</v>
          </cell>
          <cell r="AE1679" t="str">
            <v>1. Pasajes Cercanias</v>
          </cell>
          <cell r="AG1679" t="str">
            <v xml:space="preserve"> </v>
          </cell>
          <cell r="AH1679" t="str">
            <v>1. Ingresos de las actividades ordinarias procedentes de clientes externos</v>
          </cell>
        </row>
        <row r="1680">
          <cell r="D1680">
            <v>0</v>
          </cell>
          <cell r="G1680" t="str">
            <v/>
          </cell>
          <cell r="H1680" t="str">
            <v>Est. Resultado</v>
          </cell>
          <cell r="I1680" t="str">
            <v>Resultado</v>
          </cell>
          <cell r="J1680" t="str">
            <v>1. Ingresos Ordinarios</v>
          </cell>
          <cell r="K1680" t="str">
            <v>1. Pasajes Cercanias</v>
          </cell>
          <cell r="L1680" t="str">
            <v>EBITDA</v>
          </cell>
          <cell r="M1680" t="str">
            <v>MARGEN BRUTO</v>
          </cell>
          <cell r="N1680" t="str">
            <v>GANANCIAS (PERDIDAS) ANTES DE IMPUESTOS</v>
          </cell>
          <cell r="O1680" t="str">
            <v>GANANCIA (PÉRDIDA) NETA</v>
          </cell>
          <cell r="P1680" t="str">
            <v>Resultado Ingresos y Gastos Integrales</v>
          </cell>
          <cell r="Q1680" t="str">
            <v>I. Ganancia (pérdida), antes de impuestos</v>
          </cell>
          <cell r="R1680" t="str">
            <v>a. Ganancia bruta</v>
          </cell>
          <cell r="S1680" t="str">
            <v>1. Ingresos de actividades ordinarias</v>
          </cell>
          <cell r="T1680" t="str">
            <v>1. Pasajes Cercanias</v>
          </cell>
          <cell r="V1680" t="str">
            <v>I. Ingresos</v>
          </cell>
          <cell r="W1680" t="str">
            <v>1. Ingresos de Operación</v>
          </cell>
          <cell r="Z1680" t="str">
            <v>I. Ingresos Ordinarios</v>
          </cell>
          <cell r="AA1680" t="str">
            <v>1. Pasajes Cercanias</v>
          </cell>
          <cell r="AC1680" t="str">
            <v>I. Ingresos</v>
          </cell>
          <cell r="AD1680" t="str">
            <v>1. Pasajeros</v>
          </cell>
          <cell r="AE1680" t="str">
            <v>1. Pasajes Cercanias</v>
          </cell>
          <cell r="AG1680" t="str">
            <v xml:space="preserve"> </v>
          </cell>
          <cell r="AH1680" t="str">
            <v>1. Ingresos de las actividades ordinarias procedentes de clientes externos</v>
          </cell>
        </row>
        <row r="1681">
          <cell r="D1681" t="str">
            <v>Pasajes Cercanias</v>
          </cell>
          <cell r="E1681" t="str">
            <v>Pasajes Cercanias</v>
          </cell>
          <cell r="G1681" t="str">
            <v xml:space="preserve">Pasajes Cercanias  </v>
          </cell>
          <cell r="H1681" t="str">
            <v/>
          </cell>
          <cell r="I1681" t="str">
            <v/>
          </cell>
          <cell r="J1681" t="str">
            <v/>
          </cell>
          <cell r="L1681" t="str">
            <v/>
          </cell>
          <cell r="M1681" t="str">
            <v/>
          </cell>
          <cell r="N1681" t="str">
            <v/>
          </cell>
          <cell r="P1681" t="str">
            <v/>
          </cell>
          <cell r="S1681" t="str">
            <v/>
          </cell>
        </row>
        <row r="1682">
          <cell r="D1682" t="str">
            <v>3110200000</v>
          </cell>
          <cell r="E1682" t="str">
            <v>3110200000</v>
          </cell>
          <cell r="F1682" t="str">
            <v>Venta Pasaje Stgo-Chillan</v>
          </cell>
          <cell r="G1682" t="str">
            <v>3110200000  Venta Pasaje Stgo-Chillan</v>
          </cell>
          <cell r="H1682" t="str">
            <v>Est. Resultado</v>
          </cell>
          <cell r="I1682" t="str">
            <v>Resultado</v>
          </cell>
          <cell r="J1682" t="str">
            <v>1. Ingresos Ordinarios</v>
          </cell>
          <cell r="K1682" t="str">
            <v>2. Pasajes Largo Recorrido</v>
          </cell>
          <cell r="L1682" t="str">
            <v>EBITDA</v>
          </cell>
          <cell r="M1682" t="str">
            <v>MARGEN BRUTO</v>
          </cell>
          <cell r="N1682" t="str">
            <v>GANANCIAS (PERDIDAS) ANTES DE IMPUESTOS</v>
          </cell>
          <cell r="O1682" t="str">
            <v>GANANCIA (PÉRDIDA) NETA</v>
          </cell>
          <cell r="P1682" t="str">
            <v>Resultado Ingresos y Gastos Integrales</v>
          </cell>
          <cell r="Q1682" t="str">
            <v>I. Ganancia (pérdida), antes de impuestos</v>
          </cell>
          <cell r="R1682" t="str">
            <v>a. Ganancia bruta</v>
          </cell>
          <cell r="S1682" t="str">
            <v>1. Ingresos de actividades ordinarias</v>
          </cell>
          <cell r="T1682" t="str">
            <v>2. Pasajes Largo Recorrido</v>
          </cell>
          <cell r="V1682" t="str">
            <v>I. Ingresos</v>
          </cell>
          <cell r="W1682" t="str">
            <v>1. Ingresos de Operación</v>
          </cell>
          <cell r="Z1682" t="str">
            <v>I. Ingresos Ordinarios</v>
          </cell>
          <cell r="AA1682" t="str">
            <v>2. Pasajes Largo Recorrido</v>
          </cell>
          <cell r="AC1682" t="str">
            <v>I. Ingresos</v>
          </cell>
          <cell r="AD1682" t="str">
            <v>1. Pasajeros</v>
          </cell>
          <cell r="AE1682" t="str">
            <v>2. Pasajes Largo Recorrido</v>
          </cell>
          <cell r="AG1682" t="str">
            <v xml:space="preserve"> </v>
          </cell>
          <cell r="AH1682" t="str">
            <v>1. Ingresos de las actividades ordinarias procedentes de clientes externos</v>
          </cell>
        </row>
        <row r="1683">
          <cell r="D1683" t="str">
            <v>3110250000</v>
          </cell>
          <cell r="E1683" t="str">
            <v>3110250000</v>
          </cell>
          <cell r="F1683" t="str">
            <v>Vta Pax Stgo-Conc Tr</v>
          </cell>
          <cell r="G1683" t="str">
            <v>3110250000  Vta Pax Stgo-Conc Tr</v>
          </cell>
          <cell r="H1683" t="str">
            <v>Est. Resultado</v>
          </cell>
          <cell r="I1683" t="str">
            <v>Resultado</v>
          </cell>
          <cell r="J1683" t="str">
            <v>1. Ingresos Ordinarios</v>
          </cell>
          <cell r="K1683" t="str">
            <v>2. Pasajes Largo Recorrido</v>
          </cell>
          <cell r="L1683" t="str">
            <v>EBITDA</v>
          </cell>
          <cell r="M1683" t="str">
            <v>MARGEN BRUTO</v>
          </cell>
          <cell r="N1683" t="str">
            <v>GANANCIAS (PERDIDAS) ANTES DE IMPUESTOS</v>
          </cell>
          <cell r="O1683" t="str">
            <v>GANANCIA (PÉRDIDA) NETA</v>
          </cell>
          <cell r="P1683" t="str">
            <v>Resultado Ingresos y Gastos Integrales</v>
          </cell>
          <cell r="Q1683" t="str">
            <v>I. Ganancia (pérdida), antes de impuestos</v>
          </cell>
          <cell r="R1683" t="str">
            <v>a. Ganancia bruta</v>
          </cell>
          <cell r="S1683" t="str">
            <v>1. Ingresos de actividades ordinarias</v>
          </cell>
          <cell r="T1683" t="str">
            <v>2. Pasajes Largo Recorrido</v>
          </cell>
          <cell r="V1683" t="str">
            <v>I. Ingresos</v>
          </cell>
          <cell r="W1683" t="str">
            <v>1. Ingresos de Operación</v>
          </cell>
          <cell r="Z1683" t="str">
            <v>I. Ingresos Ordinarios</v>
          </cell>
          <cell r="AA1683" t="str">
            <v>2. Pasajes Largo Recorrido</v>
          </cell>
          <cell r="AC1683" t="str">
            <v>I. Ingresos</v>
          </cell>
          <cell r="AD1683" t="str">
            <v>1. Pasajeros</v>
          </cell>
          <cell r="AE1683" t="str">
            <v>2. Pasajes Largo Recorrido</v>
          </cell>
          <cell r="AG1683" t="str">
            <v xml:space="preserve"> </v>
          </cell>
          <cell r="AH1683" t="str">
            <v>1. Ingresos de las actividades ordinarias procedentes de clientes externos</v>
          </cell>
        </row>
        <row r="1684">
          <cell r="D1684" t="str">
            <v>3110600000</v>
          </cell>
          <cell r="E1684" t="str">
            <v>3110600000</v>
          </cell>
          <cell r="F1684" t="str">
            <v>Venta Pasaje Talca-Constitucion</v>
          </cell>
          <cell r="G1684" t="str">
            <v>3110600000  Venta Pasaje Talca-Constitucion</v>
          </cell>
          <cell r="H1684" t="str">
            <v>Est. Resultado</v>
          </cell>
          <cell r="I1684" t="str">
            <v>Resultado</v>
          </cell>
          <cell r="J1684" t="str">
            <v>1. Ingresos Ordinarios</v>
          </cell>
          <cell r="K1684" t="str">
            <v>2. Pasajes Largo Recorrido</v>
          </cell>
          <cell r="L1684" t="str">
            <v>EBITDA</v>
          </cell>
          <cell r="M1684" t="str">
            <v>MARGEN BRUTO</v>
          </cell>
          <cell r="N1684" t="str">
            <v>GANANCIAS (PERDIDAS) ANTES DE IMPUESTOS</v>
          </cell>
          <cell r="O1684" t="str">
            <v>GANANCIA (PÉRDIDA) NETA</v>
          </cell>
          <cell r="P1684" t="str">
            <v>Resultado Ingresos y Gastos Integrales</v>
          </cell>
          <cell r="Q1684" t="str">
            <v>I. Ganancia (pérdida), antes de impuestos</v>
          </cell>
          <cell r="R1684" t="str">
            <v>a. Ganancia bruta</v>
          </cell>
          <cell r="S1684" t="str">
            <v>1. Ingresos de actividades ordinarias</v>
          </cell>
          <cell r="T1684" t="str">
            <v>2. Pasajes Largo Recorrido</v>
          </cell>
          <cell r="V1684" t="str">
            <v>I. Ingresos</v>
          </cell>
          <cell r="W1684" t="str">
            <v>1. Ingresos de Operación</v>
          </cell>
          <cell r="Z1684" t="str">
            <v>I. Ingresos Ordinarios</v>
          </cell>
          <cell r="AA1684" t="str">
            <v>2. Pasajes Largo Recorrido</v>
          </cell>
          <cell r="AC1684" t="str">
            <v>I. Ingresos</v>
          </cell>
          <cell r="AD1684" t="str">
            <v>1. Pasajeros</v>
          </cell>
          <cell r="AE1684" t="str">
            <v>2. Pasajes Largo Recorrido</v>
          </cell>
          <cell r="AG1684" t="str">
            <v xml:space="preserve"> </v>
          </cell>
          <cell r="AH1684" t="str">
            <v>1. Ingresos de las actividades ordinarias procedentes de clientes externos</v>
          </cell>
        </row>
        <row r="1685">
          <cell r="D1685" t="str">
            <v>3110800000</v>
          </cell>
          <cell r="E1685" t="str">
            <v>3110800000</v>
          </cell>
          <cell r="F1685" t="str">
            <v>Equipaje Largo Recorrido</v>
          </cell>
          <cell r="G1685" t="str">
            <v>3110800000  Equipaje Largo Recorrido</v>
          </cell>
          <cell r="H1685" t="str">
            <v>Est. Resultado</v>
          </cell>
          <cell r="I1685" t="str">
            <v>Resultado</v>
          </cell>
          <cell r="J1685" t="str">
            <v>1. Ingresos Ordinarios</v>
          </cell>
          <cell r="K1685" t="str">
            <v>2. Pasajes Largo Recorrido</v>
          </cell>
          <cell r="L1685" t="str">
            <v>EBITDA</v>
          </cell>
          <cell r="M1685" t="str">
            <v>MARGEN BRUTO</v>
          </cell>
          <cell r="N1685" t="str">
            <v>GANANCIAS (PERDIDAS) ANTES DE IMPUESTOS</v>
          </cell>
          <cell r="O1685" t="str">
            <v>GANANCIA (PÉRDIDA) NETA</v>
          </cell>
          <cell r="P1685" t="str">
            <v>Resultado Ingresos y Gastos Integrales</v>
          </cell>
          <cell r="Q1685" t="str">
            <v>I. Ganancia (pérdida), antes de impuestos</v>
          </cell>
          <cell r="R1685" t="str">
            <v>a. Ganancia bruta</v>
          </cell>
          <cell r="S1685" t="str">
            <v>1. Ingresos de actividades ordinarias</v>
          </cell>
          <cell r="T1685" t="str">
            <v>2. Pasajes Largo Recorrido</v>
          </cell>
          <cell r="V1685" t="str">
            <v>I. Ingresos</v>
          </cell>
          <cell r="W1685" t="str">
            <v>1. Ingresos de Operación</v>
          </cell>
          <cell r="Z1685" t="str">
            <v>I. Ingresos Ordinarios</v>
          </cell>
          <cell r="AA1685" t="str">
            <v>2. Pasajes Largo Recorrido</v>
          </cell>
          <cell r="AC1685" t="str">
            <v>I. Ingresos</v>
          </cell>
          <cell r="AD1685" t="str">
            <v>1. Pasajeros</v>
          </cell>
          <cell r="AE1685" t="str">
            <v>2. Pasajes Largo Recorrido</v>
          </cell>
          <cell r="AG1685" t="str">
            <v xml:space="preserve"> </v>
          </cell>
          <cell r="AH1685" t="str">
            <v>1. Ingresos de las actividades ordinarias procedentes de clientes externos</v>
          </cell>
        </row>
        <row r="1686">
          <cell r="D1686" t="str">
            <v>3110100000</v>
          </cell>
          <cell r="E1686" t="str">
            <v>3110100000</v>
          </cell>
          <cell r="F1686" t="str">
            <v>Venta Pasaje Stgo-Talca</v>
          </cell>
          <cell r="G1686" t="str">
            <v>3110100000  Venta Pasaje Stgo-Talca</v>
          </cell>
          <cell r="H1686" t="str">
            <v>Est. Resultado</v>
          </cell>
          <cell r="I1686" t="str">
            <v>Resultado</v>
          </cell>
          <cell r="J1686" t="str">
            <v>1. Ingresos Ordinarios</v>
          </cell>
          <cell r="K1686" t="str">
            <v>2. Pasajes Largo Recorrido</v>
          </cell>
          <cell r="L1686" t="str">
            <v>EBITDA</v>
          </cell>
          <cell r="M1686" t="str">
            <v>MARGEN BRUTO</v>
          </cell>
          <cell r="N1686" t="str">
            <v>GANANCIAS (PERDIDAS) ANTES DE IMPUESTOS</v>
          </cell>
          <cell r="O1686" t="str">
            <v>GANANCIA (PÉRDIDA) NETA</v>
          </cell>
          <cell r="P1686" t="str">
            <v>Resultado Ingresos y Gastos Integrales</v>
          </cell>
          <cell r="Q1686" t="str">
            <v>I. Ganancia (pérdida), antes de impuestos</v>
          </cell>
          <cell r="R1686" t="str">
            <v>a. Ganancia bruta</v>
          </cell>
          <cell r="S1686" t="str">
            <v>1. Ingresos de actividades ordinarias</v>
          </cell>
          <cell r="T1686" t="str">
            <v>1. Pasajes Cercanias</v>
          </cell>
          <cell r="V1686" t="str">
            <v>I. Ingresos</v>
          </cell>
          <cell r="W1686" t="str">
            <v>1. Ingresos de Operación</v>
          </cell>
          <cell r="Z1686" t="str">
            <v>I. Ingresos Ordinarios</v>
          </cell>
          <cell r="AA1686" t="str">
            <v>2. Pasajes Largo Recorrido</v>
          </cell>
          <cell r="AC1686" t="str">
            <v>I. Ingresos</v>
          </cell>
          <cell r="AD1686" t="str">
            <v>1. Pasajeros</v>
          </cell>
          <cell r="AE1686" t="str">
            <v>2. Pasajes Largo Recorrido</v>
          </cell>
          <cell r="AH1686" t="str">
            <v>1. Ingresos de las actividades ordinarias procedentes de clientes externos</v>
          </cell>
        </row>
        <row r="1687">
          <cell r="D1687" t="str">
            <v>3110300000</v>
          </cell>
          <cell r="E1687" t="str">
            <v>3110300000</v>
          </cell>
          <cell r="F1687" t="str">
            <v>Venta Pasaje Stgo-Concepcion</v>
          </cell>
          <cell r="G1687" t="str">
            <v>3110300000  Venta Pasaje Stgo-Concepcion</v>
          </cell>
          <cell r="H1687" t="str">
            <v>Est. Resultado</v>
          </cell>
          <cell r="I1687" t="str">
            <v>Resultado</v>
          </cell>
          <cell r="J1687" t="str">
            <v>1. Ingresos Ordinarios</v>
          </cell>
          <cell r="K1687" t="str">
            <v>2. Pasajes Largo Recorrido</v>
          </cell>
          <cell r="L1687" t="str">
            <v>EBITDA</v>
          </cell>
          <cell r="M1687" t="str">
            <v>MARGEN BRUTO</v>
          </cell>
          <cell r="N1687" t="str">
            <v>GANANCIAS (PERDIDAS) ANTES DE IMPUESTOS</v>
          </cell>
          <cell r="O1687" t="str">
            <v>GANANCIA (PÉRDIDA) NETA</v>
          </cell>
          <cell r="P1687" t="str">
            <v>Resultado Ingresos y Gastos Integrales</v>
          </cell>
          <cell r="Q1687" t="str">
            <v>I. Ganancia (pérdida), antes de impuestos</v>
          </cell>
          <cell r="R1687" t="str">
            <v>a. Ganancia bruta</v>
          </cell>
          <cell r="S1687" t="str">
            <v>1. Ingresos de actividades ordinarias</v>
          </cell>
          <cell r="T1687" t="str">
            <v>1. Pasajes Cercanias</v>
          </cell>
          <cell r="V1687" t="str">
            <v>I. Ingresos</v>
          </cell>
          <cell r="W1687" t="str">
            <v>1. Ingresos de Operación</v>
          </cell>
          <cell r="Z1687" t="str">
            <v>I. Ingresos Ordinarios</v>
          </cell>
          <cell r="AA1687" t="str">
            <v>2. Pasajes Largo Recorrido</v>
          </cell>
          <cell r="AC1687" t="str">
            <v>I. Ingresos</v>
          </cell>
          <cell r="AD1687" t="str">
            <v>1. Pasajeros</v>
          </cell>
          <cell r="AE1687" t="str">
            <v>2. Pasajes Largo Recorrido</v>
          </cell>
          <cell r="AH1687" t="str">
            <v>1. Ingresos de las actividades ordinarias procedentes de clientes externos</v>
          </cell>
        </row>
        <row r="1688">
          <cell r="D1688" t="str">
            <v>3110450000</v>
          </cell>
          <cell r="E1688" t="str">
            <v>3110450000</v>
          </cell>
          <cell r="F1688" t="str">
            <v>Vta Autotre Stgo-Tco</v>
          </cell>
          <cell r="G1688" t="str">
            <v>3110450000  Vta Autotre Stgo-Tco</v>
          </cell>
          <cell r="H1688" t="str">
            <v>Est. Resultado</v>
          </cell>
          <cell r="I1688" t="str">
            <v>Resultado</v>
          </cell>
          <cell r="J1688" t="str">
            <v>1. Ingresos Ordinarios</v>
          </cell>
          <cell r="K1688" t="str">
            <v>2. Pasajes Largo Recorrido</v>
          </cell>
          <cell r="L1688" t="str">
            <v>EBITDA</v>
          </cell>
          <cell r="M1688" t="str">
            <v>MARGEN BRUTO</v>
          </cell>
          <cell r="N1688" t="str">
            <v>GANANCIAS (PERDIDAS) ANTES DE IMPUESTOS</v>
          </cell>
          <cell r="O1688" t="str">
            <v>GANANCIA (PÉRDIDA) NETA</v>
          </cell>
          <cell r="P1688" t="str">
            <v>Resultado Ingresos y Gastos Integrales</v>
          </cell>
          <cell r="Q1688" t="str">
            <v>I. Ganancia (pérdida), antes de impuestos</v>
          </cell>
          <cell r="R1688" t="str">
            <v>a. Ganancia bruta</v>
          </cell>
          <cell r="S1688" t="str">
            <v>1. Ingresos de actividades ordinarias</v>
          </cell>
          <cell r="T1688" t="str">
            <v>1. Pasajes Cercanias</v>
          </cell>
          <cell r="V1688" t="str">
            <v>I. Ingresos</v>
          </cell>
          <cell r="W1688" t="str">
            <v>1. Ingresos de Operación</v>
          </cell>
          <cell r="Z1688" t="str">
            <v>I. Ingresos Ordinarios</v>
          </cell>
          <cell r="AA1688" t="str">
            <v>2. Pasajes Largo Recorrido</v>
          </cell>
          <cell r="AC1688" t="str">
            <v>I. Ingresos</v>
          </cell>
          <cell r="AD1688" t="str">
            <v>1. Pasajeros</v>
          </cell>
          <cell r="AE1688" t="str">
            <v>2. Pasajes Largo Recorrido</v>
          </cell>
          <cell r="AH1688" t="str">
            <v>1. Ingresos de las actividades ordinarias procedentes de clientes externos</v>
          </cell>
        </row>
        <row r="1689">
          <cell r="D1689" t="str">
            <v>3110900000</v>
          </cell>
          <cell r="E1689" t="str">
            <v>3110900000</v>
          </cell>
          <cell r="F1689" t="str">
            <v>Vta Pax Espec LRec</v>
          </cell>
          <cell r="G1689" t="str">
            <v>3110900000  Vta Pax Espec LRec</v>
          </cell>
          <cell r="H1689" t="str">
            <v>Est. Resultado</v>
          </cell>
          <cell r="I1689" t="str">
            <v>Resultado</v>
          </cell>
          <cell r="J1689" t="str">
            <v>1. Ingresos Ordinarios</v>
          </cell>
          <cell r="K1689" t="str">
            <v>2. Pasajes Largo Recorrido</v>
          </cell>
          <cell r="L1689" t="str">
            <v>EBITDA</v>
          </cell>
          <cell r="M1689" t="str">
            <v>MARGEN BRUTO</v>
          </cell>
          <cell r="N1689" t="str">
            <v>GANANCIAS (PERDIDAS) ANTES DE IMPUESTOS</v>
          </cell>
          <cell r="O1689" t="str">
            <v>GANANCIA (PÉRDIDA) NETA</v>
          </cell>
          <cell r="P1689" t="str">
            <v>Resultado Ingresos y Gastos Integrales</v>
          </cell>
          <cell r="Q1689" t="str">
            <v>I. Ganancia (pérdida), antes de impuestos</v>
          </cell>
          <cell r="R1689" t="str">
            <v>a. Ganancia bruta</v>
          </cell>
          <cell r="S1689" t="str">
            <v>1. Ingresos de actividades ordinarias</v>
          </cell>
          <cell r="T1689" t="str">
            <v>2. Pasajes Largo Recorrido</v>
          </cell>
          <cell r="V1689" t="str">
            <v>I. Ingresos</v>
          </cell>
          <cell r="W1689" t="str">
            <v>1. Ingresos de Operación</v>
          </cell>
          <cell r="Z1689" t="str">
            <v>I. Ingresos Ordinarios</v>
          </cell>
          <cell r="AA1689" t="str">
            <v>2. Pasajes Largo Recorrido</v>
          </cell>
          <cell r="AC1689" t="str">
            <v>I. Ingresos</v>
          </cell>
          <cell r="AD1689" t="str">
            <v>1. Pasajeros</v>
          </cell>
          <cell r="AE1689" t="str">
            <v>2. Pasajes Largo Recorrido</v>
          </cell>
          <cell r="AH1689" t="str">
            <v>1. Ingresos de las actividades ordinarias procedentes de clientes externos</v>
          </cell>
        </row>
        <row r="1690">
          <cell r="D1690" t="str">
            <v>3110900010</v>
          </cell>
          <cell r="E1690" t="str">
            <v>3110900010</v>
          </cell>
          <cell r="F1690" t="str">
            <v>Otros Ingresos Pasaje</v>
          </cell>
          <cell r="G1690" t="str">
            <v>3110900010  Otros Ingresos Pasaje</v>
          </cell>
          <cell r="H1690" t="str">
            <v>Est. Resultado</v>
          </cell>
          <cell r="I1690" t="str">
            <v>Resultado</v>
          </cell>
          <cell r="J1690" t="str">
            <v>1. Ingresos Ordinarios</v>
          </cell>
          <cell r="K1690" t="str">
            <v>2. Pasajes Largo Recorrido</v>
          </cell>
          <cell r="L1690" t="str">
            <v>EBITDA</v>
          </cell>
          <cell r="M1690" t="str">
            <v>MARGEN BRUTO</v>
          </cell>
          <cell r="N1690" t="str">
            <v>GANANCIAS (PERDIDAS) ANTES DE IMPUESTOS</v>
          </cell>
          <cell r="O1690" t="str">
            <v>GANANCIA (PÉRDIDA) NETA</v>
          </cell>
          <cell r="P1690" t="str">
            <v>Resultado Ingresos y Gastos Integrales</v>
          </cell>
          <cell r="Q1690" t="str">
            <v>I. Ganancia (pérdida), antes de impuestos</v>
          </cell>
          <cell r="R1690" t="str">
            <v>a. Ganancia bruta</v>
          </cell>
          <cell r="S1690" t="str">
            <v>1. Ingresos de actividades ordinarias</v>
          </cell>
          <cell r="T1690" t="str">
            <v>1. Pasajes Cercanias</v>
          </cell>
          <cell r="V1690" t="str">
            <v>I. Ingresos</v>
          </cell>
          <cell r="W1690" t="str">
            <v>1. Ingresos de Operación</v>
          </cell>
          <cell r="Z1690" t="str">
            <v>I. Ingresos Ordinarios</v>
          </cell>
          <cell r="AA1690" t="str">
            <v>2. Pasajes Largo Recorrido</v>
          </cell>
          <cell r="AC1690" t="str">
            <v>I. Ingresos</v>
          </cell>
          <cell r="AD1690" t="str">
            <v>1. Pasajeros</v>
          </cell>
          <cell r="AE1690" t="str">
            <v>2. Pasajes Largo Recorrido</v>
          </cell>
          <cell r="AH1690" t="str">
            <v>1. Ingresos de las actividades ordinarias procedentes de clientes externos</v>
          </cell>
        </row>
        <row r="1691">
          <cell r="D1691">
            <v>0</v>
          </cell>
          <cell r="G1691" t="str">
            <v/>
          </cell>
          <cell r="H1691" t="str">
            <v>Est. Resultado</v>
          </cell>
          <cell r="I1691" t="str">
            <v>Resultado</v>
          </cell>
          <cell r="J1691" t="str">
            <v>1. Ingresos Ordinarios</v>
          </cell>
          <cell r="K1691" t="str">
            <v>2. Pasajes Largo Recorrido</v>
          </cell>
          <cell r="L1691" t="str">
            <v>EBITDA</v>
          </cell>
          <cell r="M1691" t="str">
            <v>MARGEN BRUTO</v>
          </cell>
          <cell r="N1691" t="str">
            <v>GANANCIAS (PERDIDAS) ANTES DE IMPUESTOS</v>
          </cell>
          <cell r="O1691" t="str">
            <v>GANANCIA (PÉRDIDA) NETA</v>
          </cell>
          <cell r="P1691" t="str">
            <v>Resultado Ingresos y Gastos Integrales</v>
          </cell>
          <cell r="Q1691" t="str">
            <v>I. Ganancia (pérdida), antes de impuestos</v>
          </cell>
          <cell r="R1691" t="str">
            <v>a. Ganancia bruta</v>
          </cell>
          <cell r="S1691" t="str">
            <v>1. Ingresos de actividades ordinarias</v>
          </cell>
          <cell r="T1691" t="str">
            <v>2. Pasajes Largo Recorrido</v>
          </cell>
          <cell r="V1691" t="str">
            <v>I. Ingresos</v>
          </cell>
          <cell r="W1691" t="str">
            <v>1. Ingresos de Operación</v>
          </cell>
          <cell r="Z1691" t="str">
            <v>I. Ingresos Ordinarios</v>
          </cell>
          <cell r="AA1691" t="str">
            <v>2. Pasajes Largo Recorrido</v>
          </cell>
          <cell r="AC1691" t="str">
            <v>I. Ingresos</v>
          </cell>
          <cell r="AD1691" t="str">
            <v>1. Pasajeros</v>
          </cell>
          <cell r="AE1691" t="str">
            <v>2. Pasajes Largo Recorrido</v>
          </cell>
          <cell r="AG1691" t="str">
            <v xml:space="preserve"> </v>
          </cell>
          <cell r="AH1691" t="str">
            <v>1. Ingresos de las actividades ordinarias procedentes de clientes externos</v>
          </cell>
        </row>
        <row r="1692">
          <cell r="D1692">
            <v>0</v>
          </cell>
          <cell r="G1692" t="str">
            <v/>
          </cell>
          <cell r="H1692" t="str">
            <v>Est. Resultado</v>
          </cell>
          <cell r="I1692" t="str">
            <v>Resultado</v>
          </cell>
          <cell r="J1692" t="str">
            <v>1. Ingresos Ordinarios</v>
          </cell>
          <cell r="K1692" t="str">
            <v>2. Pasajes Largo Recorrido</v>
          </cell>
          <cell r="L1692" t="str">
            <v>EBITDA</v>
          </cell>
          <cell r="M1692" t="str">
            <v>MARGEN BRUTO</v>
          </cell>
          <cell r="N1692" t="str">
            <v>GANANCIAS (PERDIDAS) ANTES DE IMPUESTOS</v>
          </cell>
          <cell r="O1692" t="str">
            <v>GANANCIA (PÉRDIDA) NETA</v>
          </cell>
          <cell r="P1692" t="str">
            <v>Resultado Ingresos y Gastos Integrales</v>
          </cell>
          <cell r="Q1692" t="str">
            <v>I. Ganancia (pérdida), antes de impuestos</v>
          </cell>
          <cell r="R1692" t="str">
            <v>a. Ganancia bruta</v>
          </cell>
          <cell r="S1692" t="str">
            <v>1. Ingresos de actividades ordinarias</v>
          </cell>
          <cell r="T1692" t="str">
            <v>2. Pasajes Largo Recorrido</v>
          </cell>
          <cell r="V1692" t="str">
            <v>I. Ingresos</v>
          </cell>
          <cell r="W1692" t="str">
            <v>1. Ingresos de Operación</v>
          </cell>
          <cell r="Z1692" t="str">
            <v>I. Ingresos Ordinarios</v>
          </cell>
          <cell r="AA1692" t="str">
            <v>2. Pasajes Largo Recorrido</v>
          </cell>
          <cell r="AC1692" t="str">
            <v>I. Ingresos</v>
          </cell>
          <cell r="AD1692" t="str">
            <v>1. Pasajeros</v>
          </cell>
          <cell r="AE1692" t="str">
            <v>2. Pasajes Largo Recorrido</v>
          </cell>
          <cell r="AG1692" t="str">
            <v xml:space="preserve"> </v>
          </cell>
          <cell r="AH1692" t="str">
            <v>1. Ingresos de las actividades ordinarias procedentes de clientes externos</v>
          </cell>
        </row>
        <row r="1693">
          <cell r="D1693">
            <v>0</v>
          </cell>
          <cell r="G1693" t="str">
            <v/>
          </cell>
          <cell r="H1693" t="str">
            <v>Est. Resultado</v>
          </cell>
          <cell r="I1693" t="str">
            <v>Resultado</v>
          </cell>
          <cell r="J1693" t="str">
            <v>1. Ingresos Ordinarios</v>
          </cell>
          <cell r="K1693" t="str">
            <v>2. Pasajes Largo Recorrido</v>
          </cell>
          <cell r="L1693" t="str">
            <v>EBITDA</v>
          </cell>
          <cell r="M1693" t="str">
            <v>MARGEN BRUTO</v>
          </cell>
          <cell r="N1693" t="str">
            <v>GANANCIAS (PERDIDAS) ANTES DE IMPUESTOS</v>
          </cell>
          <cell r="O1693" t="str">
            <v>GANANCIA (PÉRDIDA) NETA</v>
          </cell>
          <cell r="P1693" t="str">
            <v>Resultado Ingresos y Gastos Integrales</v>
          </cell>
          <cell r="Q1693" t="str">
            <v>I. Ganancia (pérdida), antes de impuestos</v>
          </cell>
          <cell r="R1693" t="str">
            <v>a. Ganancia bruta</v>
          </cell>
          <cell r="S1693" t="str">
            <v>1. Ingresos de actividades ordinarias</v>
          </cell>
          <cell r="T1693" t="str">
            <v>2. Pasajes Largo Recorrido</v>
          </cell>
          <cell r="V1693" t="str">
            <v>I. Ingresos</v>
          </cell>
          <cell r="W1693" t="str">
            <v>1. Ingresos de Operación</v>
          </cell>
          <cell r="Z1693" t="str">
            <v>I. Ingresos Ordinarios</v>
          </cell>
          <cell r="AA1693" t="str">
            <v>2. Pasajes Largo Recorrido</v>
          </cell>
          <cell r="AC1693" t="str">
            <v>I. Ingresos</v>
          </cell>
          <cell r="AD1693" t="str">
            <v>1. Pasajeros</v>
          </cell>
          <cell r="AE1693" t="str">
            <v>2. Pasajes Largo Recorrido</v>
          </cell>
          <cell r="AG1693" t="str">
            <v xml:space="preserve"> </v>
          </cell>
          <cell r="AH1693" t="str">
            <v>1. Ingresos de las actividades ordinarias procedentes de clientes externos</v>
          </cell>
        </row>
        <row r="1694">
          <cell r="D1694" t="str">
            <v>Pasajes Largo Recorrido</v>
          </cell>
          <cell r="E1694" t="str">
            <v>Pasajes Largo Recorrido</v>
          </cell>
          <cell r="G1694" t="str">
            <v xml:space="preserve">Pasajes Largo Recorrido  </v>
          </cell>
          <cell r="H1694" t="str">
            <v/>
          </cell>
          <cell r="I1694" t="str">
            <v/>
          </cell>
          <cell r="J1694" t="str">
            <v/>
          </cell>
          <cell r="L1694" t="str">
            <v/>
          </cell>
          <cell r="M1694" t="str">
            <v/>
          </cell>
          <cell r="N1694" t="str">
            <v/>
          </cell>
          <cell r="O1694" t="str">
            <v/>
          </cell>
          <cell r="P1694" t="str">
            <v/>
          </cell>
          <cell r="S1694" t="str">
            <v/>
          </cell>
        </row>
        <row r="1695">
          <cell r="D1695" t="str">
            <v>3112100000</v>
          </cell>
          <cell r="E1695" t="str">
            <v>3112100000</v>
          </cell>
          <cell r="F1695" t="str">
            <v>Vta Pax Conc-Laj-Ren</v>
          </cell>
          <cell r="G1695" t="str">
            <v>3112100000  Vta Pax Conc-Laj-Ren</v>
          </cell>
          <cell r="H1695" t="str">
            <v>Est. Resultado</v>
          </cell>
          <cell r="I1695" t="str">
            <v>Resultado</v>
          </cell>
          <cell r="J1695" t="str">
            <v>1. Ingresos Ordinarios</v>
          </cell>
          <cell r="K1695" t="str">
            <v>3. Pasajes Regionales</v>
          </cell>
          <cell r="L1695" t="str">
            <v>EBITDA</v>
          </cell>
          <cell r="M1695" t="str">
            <v>MARGEN BRUTO</v>
          </cell>
          <cell r="N1695" t="str">
            <v>GANANCIAS (PERDIDAS) ANTES DE IMPUESTOS</v>
          </cell>
          <cell r="O1695" t="str">
            <v>GANANCIA (PÉRDIDA) NETA</v>
          </cell>
          <cell r="P1695" t="str">
            <v>Resultado Ingresos y Gastos Integrales</v>
          </cell>
          <cell r="Q1695" t="str">
            <v>I. Ganancia (pérdida), antes de impuestos</v>
          </cell>
          <cell r="R1695" t="str">
            <v>a. Ganancia bruta</v>
          </cell>
          <cell r="S1695" t="str">
            <v>1. Ingresos de actividades ordinarias</v>
          </cell>
          <cell r="T1695" t="str">
            <v>3. Pasajes Regionales</v>
          </cell>
          <cell r="V1695" t="str">
            <v>I. Ingresos</v>
          </cell>
          <cell r="W1695" t="str">
            <v>1. Ingresos de Operación</v>
          </cell>
          <cell r="Z1695" t="str">
            <v>I. Ingresos Ordinarios</v>
          </cell>
          <cell r="AA1695" t="str">
            <v>3. Pasajes Regionales</v>
          </cell>
          <cell r="AC1695" t="str">
            <v>I. Ingresos</v>
          </cell>
          <cell r="AD1695" t="str">
            <v>1. Pasajeros</v>
          </cell>
          <cell r="AE1695" t="str">
            <v>3. Pasajes Regionales</v>
          </cell>
          <cell r="AH1695" t="str">
            <v>1. Ingresos de las actividades ordinarias procedentes de clientes externos</v>
          </cell>
        </row>
        <row r="1696">
          <cell r="D1696" t="str">
            <v>3112300000</v>
          </cell>
          <cell r="E1696" t="str">
            <v>3112300000</v>
          </cell>
          <cell r="F1696" t="str">
            <v>Venta Pasaje Biotren</v>
          </cell>
          <cell r="G1696" t="str">
            <v>3112300000  Venta Pasaje Biotren</v>
          </cell>
          <cell r="H1696" t="str">
            <v>Est. Resultado</v>
          </cell>
          <cell r="I1696" t="str">
            <v>Resultado</v>
          </cell>
          <cell r="J1696" t="str">
            <v>1. Ingresos Ordinarios</v>
          </cell>
          <cell r="K1696" t="str">
            <v>3. Pasajes Regionales</v>
          </cell>
          <cell r="L1696" t="str">
            <v>EBITDA</v>
          </cell>
          <cell r="M1696" t="str">
            <v>MARGEN BRUTO</v>
          </cell>
          <cell r="N1696" t="str">
            <v>GANANCIAS (PERDIDAS) ANTES DE IMPUESTOS</v>
          </cell>
          <cell r="O1696" t="str">
            <v>GANANCIA (PÉRDIDA) NETA</v>
          </cell>
          <cell r="P1696" t="str">
            <v>Resultado Ingresos y Gastos Integrales</v>
          </cell>
          <cell r="Q1696" t="str">
            <v>I. Ganancia (pérdida), antes de impuestos</v>
          </cell>
          <cell r="R1696" t="str">
            <v>a. Ganancia bruta</v>
          </cell>
          <cell r="S1696" t="str">
            <v>1. Ingresos de actividades ordinarias</v>
          </cell>
          <cell r="T1696" t="str">
            <v>3. Pasajes Regionales</v>
          </cell>
          <cell r="V1696" t="str">
            <v>I. Ingresos</v>
          </cell>
          <cell r="W1696" t="str">
            <v>1. Ingresos de Operación</v>
          </cell>
          <cell r="Z1696" t="str">
            <v>I. Ingresos Ordinarios</v>
          </cell>
          <cell r="AA1696" t="str">
            <v>3. Pasajes Regionales</v>
          </cell>
          <cell r="AC1696" t="str">
            <v>I. Ingresos</v>
          </cell>
          <cell r="AD1696" t="str">
            <v>1. Pasajeros</v>
          </cell>
          <cell r="AE1696" t="str">
            <v>3. Pasajes Regionales</v>
          </cell>
          <cell r="AH1696" t="str">
            <v>1. Ingresos de las actividades ordinarias procedentes de clientes externos</v>
          </cell>
        </row>
        <row r="1697">
          <cell r="D1697" t="str">
            <v>3112500000</v>
          </cell>
          <cell r="E1697" t="str">
            <v>3112500000</v>
          </cell>
          <cell r="F1697" t="str">
            <v>Venta Pasaje Victoria-PMontt</v>
          </cell>
          <cell r="G1697" t="str">
            <v>3112500000  Venta Pasaje Victoria-PMontt</v>
          </cell>
          <cell r="H1697" t="str">
            <v>Est. Resultado</v>
          </cell>
          <cell r="I1697" t="str">
            <v>Resultado</v>
          </cell>
          <cell r="J1697" t="str">
            <v>1. Ingresos Ordinarios</v>
          </cell>
          <cell r="K1697" t="str">
            <v>3. Pasajes Regionales</v>
          </cell>
          <cell r="L1697" t="str">
            <v>EBITDA</v>
          </cell>
          <cell r="M1697" t="str">
            <v>MARGEN BRUTO</v>
          </cell>
          <cell r="N1697" t="str">
            <v>GANANCIAS (PERDIDAS) ANTES DE IMPUESTOS</v>
          </cell>
          <cell r="O1697" t="str">
            <v>GANANCIA (PÉRDIDA) NETA</v>
          </cell>
          <cell r="P1697" t="str">
            <v>Resultado Ingresos y Gastos Integrales</v>
          </cell>
          <cell r="Q1697" t="str">
            <v>I. Ganancia (pérdida), antes de impuestos</v>
          </cell>
          <cell r="R1697" t="str">
            <v>a. Ganancia bruta</v>
          </cell>
          <cell r="S1697" t="str">
            <v>1. Ingresos de actividades ordinarias</v>
          </cell>
          <cell r="T1697" t="str">
            <v>3. Pasajes Regionales</v>
          </cell>
          <cell r="V1697" t="str">
            <v>I. Ingresos</v>
          </cell>
          <cell r="W1697" t="str">
            <v>1. Ingresos de Operación</v>
          </cell>
          <cell r="Z1697" t="str">
            <v>I. Ingresos Ordinarios</v>
          </cell>
          <cell r="AA1697" t="str">
            <v>3. Pasajes Regionales</v>
          </cell>
          <cell r="AC1697" t="str">
            <v>I. Ingresos</v>
          </cell>
          <cell r="AD1697" t="str">
            <v>1. Pasajeros</v>
          </cell>
          <cell r="AE1697" t="str">
            <v>3. Pasajes Regionales</v>
          </cell>
          <cell r="AH1697" t="str">
            <v>1. Ingresos de las actividades ordinarias procedentes de clientes externos</v>
          </cell>
        </row>
        <row r="1698">
          <cell r="D1698">
            <v>0</v>
          </cell>
          <cell r="G1698" t="str">
            <v/>
          </cell>
          <cell r="H1698" t="str">
            <v>Est. Resultado</v>
          </cell>
          <cell r="I1698" t="str">
            <v>Resultado</v>
          </cell>
          <cell r="J1698" t="str">
            <v>1. Ingresos Ordinarios</v>
          </cell>
          <cell r="K1698" t="str">
            <v>3. Pasajes Regionales</v>
          </cell>
          <cell r="L1698" t="str">
            <v>EBITDA</v>
          </cell>
          <cell r="M1698" t="str">
            <v>MARGEN BRUTO</v>
          </cell>
          <cell r="N1698" t="str">
            <v>GANANCIAS (PERDIDAS) ANTES DE IMPUESTOS</v>
          </cell>
          <cell r="O1698" t="str">
            <v>GANANCIA (PÉRDIDA) NETA</v>
          </cell>
          <cell r="P1698" t="str">
            <v>Resultado Ingresos y Gastos Integrales</v>
          </cell>
          <cell r="Q1698" t="str">
            <v>I. Ganancia (pérdida), antes de impuestos</v>
          </cell>
          <cell r="R1698" t="str">
            <v>a. Ganancia bruta</v>
          </cell>
          <cell r="S1698" t="str">
            <v>1. Ingresos de actividades ordinarias</v>
          </cell>
          <cell r="T1698" t="str">
            <v>3. Pasajes Regionales</v>
          </cell>
          <cell r="V1698" t="str">
            <v>I. Ingresos</v>
          </cell>
          <cell r="W1698" t="str">
            <v>1. Ingresos de Operación</v>
          </cell>
          <cell r="Z1698" t="str">
            <v>I. Ingresos Ordinarios</v>
          </cell>
          <cell r="AA1698" t="str">
            <v>3. Pasajes Regionales</v>
          </cell>
          <cell r="AC1698" t="str">
            <v>I. Ingresos</v>
          </cell>
          <cell r="AD1698" t="str">
            <v>1. Pasajeros</v>
          </cell>
          <cell r="AE1698" t="str">
            <v>3. Pasajes Regionales</v>
          </cell>
          <cell r="AH1698" t="str">
            <v>1. Ingresos de las actividades ordinarias procedentes de clientes externos</v>
          </cell>
        </row>
        <row r="1699">
          <cell r="D1699">
            <v>0</v>
          </cell>
          <cell r="G1699" t="str">
            <v/>
          </cell>
          <cell r="H1699" t="str">
            <v>Est. Resultado</v>
          </cell>
          <cell r="I1699" t="str">
            <v>Resultado</v>
          </cell>
          <cell r="J1699" t="str">
            <v>1. Ingresos Ordinarios</v>
          </cell>
          <cell r="K1699" t="str">
            <v>3. Pasajes Regionales</v>
          </cell>
          <cell r="L1699" t="str">
            <v>EBITDA</v>
          </cell>
          <cell r="M1699" t="str">
            <v>MARGEN BRUTO</v>
          </cell>
          <cell r="N1699" t="str">
            <v>GANANCIAS (PERDIDAS) ANTES DE IMPUESTOS</v>
          </cell>
          <cell r="O1699" t="str">
            <v>GANANCIA (PÉRDIDA) NETA</v>
          </cell>
          <cell r="P1699" t="str">
            <v>Resultado Ingresos y Gastos Integrales</v>
          </cell>
          <cell r="Q1699" t="str">
            <v>I. Ganancia (pérdida), antes de impuestos</v>
          </cell>
          <cell r="R1699" t="str">
            <v>a. Ganancia bruta</v>
          </cell>
          <cell r="S1699" t="str">
            <v>1. Ingresos de actividades ordinarias</v>
          </cell>
          <cell r="T1699" t="str">
            <v>3. Pasajes Regionales</v>
          </cell>
          <cell r="V1699" t="str">
            <v>I. Ingresos</v>
          </cell>
          <cell r="W1699" t="str">
            <v>1. Ingresos de Operación</v>
          </cell>
          <cell r="Z1699" t="str">
            <v>I. Ingresos Ordinarios</v>
          </cell>
          <cell r="AA1699" t="str">
            <v>3. Pasajes Regionales</v>
          </cell>
          <cell r="AC1699" t="str">
            <v>I. Ingresos</v>
          </cell>
          <cell r="AD1699" t="str">
            <v>1. Pasajeros</v>
          </cell>
          <cell r="AE1699" t="str">
            <v>3. Pasajes Regionales</v>
          </cell>
          <cell r="AH1699" t="str">
            <v>1. Ingresos de las actividades ordinarias procedentes de clientes externos</v>
          </cell>
        </row>
        <row r="1700">
          <cell r="D1700">
            <v>0</v>
          </cell>
          <cell r="G1700" t="str">
            <v/>
          </cell>
          <cell r="H1700" t="str">
            <v>Est. Resultado</v>
          </cell>
          <cell r="I1700" t="str">
            <v>Resultado</v>
          </cell>
          <cell r="J1700" t="str">
            <v>1. Ingresos Ordinarios</v>
          </cell>
          <cell r="K1700" t="str">
            <v>3. Pasajes Regionales</v>
          </cell>
          <cell r="L1700" t="str">
            <v>EBITDA</v>
          </cell>
          <cell r="M1700" t="str">
            <v>MARGEN BRUTO</v>
          </cell>
          <cell r="N1700" t="str">
            <v>GANANCIAS (PERDIDAS) ANTES DE IMPUESTOS</v>
          </cell>
          <cell r="O1700" t="str">
            <v>GANANCIA (PÉRDIDA) NETA</v>
          </cell>
          <cell r="P1700" t="str">
            <v>Resultado Ingresos y Gastos Integrales</v>
          </cell>
          <cell r="Q1700" t="str">
            <v>I. Ganancia (pérdida), antes de impuestos</v>
          </cell>
          <cell r="R1700" t="str">
            <v>a. Ganancia bruta</v>
          </cell>
          <cell r="S1700" t="str">
            <v>1. Ingresos de actividades ordinarias</v>
          </cell>
          <cell r="T1700" t="str">
            <v>3. Pasajes Regionales</v>
          </cell>
          <cell r="V1700" t="str">
            <v>I. Ingresos</v>
          </cell>
          <cell r="W1700" t="str">
            <v>1. Ingresos de Operación</v>
          </cell>
          <cell r="Z1700" t="str">
            <v>I. Ingresos Ordinarios</v>
          </cell>
          <cell r="AA1700" t="str">
            <v>3. Pasajes Regionales</v>
          </cell>
          <cell r="AC1700" t="str">
            <v>I. Ingresos</v>
          </cell>
          <cell r="AD1700" t="str">
            <v>1. Pasajeros</v>
          </cell>
          <cell r="AE1700" t="str">
            <v>3. Pasajes Regionales</v>
          </cell>
          <cell r="AH1700" t="str">
            <v>1. Ingresos de las actividades ordinarias procedentes de clientes externos</v>
          </cell>
        </row>
        <row r="1701">
          <cell r="D1701" t="str">
            <v>Pasajes Regionales</v>
          </cell>
          <cell r="E1701" t="str">
            <v>Pasajes Regionales</v>
          </cell>
          <cell r="G1701" t="str">
            <v xml:space="preserve">Pasajes Regionales  </v>
          </cell>
          <cell r="H1701" t="str">
            <v/>
          </cell>
          <cell r="I1701" t="str">
            <v/>
          </cell>
          <cell r="J1701" t="str">
            <v/>
          </cell>
          <cell r="L1701" t="str">
            <v/>
          </cell>
          <cell r="M1701" t="str">
            <v/>
          </cell>
          <cell r="N1701" t="str">
            <v/>
          </cell>
          <cell r="O1701" t="str">
            <v/>
          </cell>
          <cell r="P1701" t="str">
            <v/>
          </cell>
          <cell r="Q1701">
            <v>0</v>
          </cell>
          <cell r="R1701" t="str">
            <v/>
          </cell>
        </row>
        <row r="1702">
          <cell r="D1702" t="str">
            <v>3120100000</v>
          </cell>
          <cell r="E1702" t="str">
            <v>3120100000</v>
          </cell>
          <cell r="F1702" t="str">
            <v>Canon FEPASA</v>
          </cell>
          <cell r="G1702" t="str">
            <v>3120100000  Canon FEPASA</v>
          </cell>
          <cell r="H1702" t="str">
            <v>Est. Resultado</v>
          </cell>
          <cell r="I1702" t="str">
            <v>Resultado</v>
          </cell>
          <cell r="J1702" t="str">
            <v>1. Ingresos Ordinarios</v>
          </cell>
          <cell r="K1702" t="str">
            <v>4. Ingresos Operadores</v>
          </cell>
          <cell r="L1702" t="str">
            <v>EBITDA</v>
          </cell>
          <cell r="M1702" t="str">
            <v>MARGEN BRUTO</v>
          </cell>
          <cell r="N1702" t="str">
            <v>GANANCIAS (PERDIDAS) ANTES DE IMPUESTOS</v>
          </cell>
          <cell r="O1702" t="str">
            <v>GANANCIA (PÉRDIDA) NETA</v>
          </cell>
          <cell r="P1702" t="str">
            <v>Resultado Ingresos y Gastos Integrales</v>
          </cell>
          <cell r="Q1702" t="str">
            <v>I. Ganancia (pérdida), antes de impuestos</v>
          </cell>
          <cell r="R1702" t="str">
            <v>a. Ganancia bruta</v>
          </cell>
          <cell r="S1702" t="str">
            <v>1. Ingresos de actividades ordinarias</v>
          </cell>
          <cell r="T1702" t="str">
            <v>4. Ingresos Operadores</v>
          </cell>
          <cell r="V1702" t="str">
            <v>I. Ingresos</v>
          </cell>
          <cell r="W1702" t="str">
            <v>1. Ingresos de Operación</v>
          </cell>
          <cell r="Z1702" t="str">
            <v>I. Ingresos Ordinarios</v>
          </cell>
          <cell r="AA1702" t="str">
            <v>4. Servs. Infraestructura Carga</v>
          </cell>
          <cell r="AB1702" t="str">
            <v>1. FEPASA</v>
          </cell>
          <cell r="AC1702" t="str">
            <v>I. Ingresos</v>
          </cell>
          <cell r="AD1702" t="str">
            <v>2. Operadores</v>
          </cell>
          <cell r="AE1702" t="str">
            <v>4. Servs. Infraestructura Carga</v>
          </cell>
          <cell r="AG1702" t="str">
            <v xml:space="preserve"> </v>
          </cell>
          <cell r="AH1702" t="str">
            <v>1. Ingresos de las actividades ordinarias procedentes de clientes externos</v>
          </cell>
        </row>
        <row r="1703">
          <cell r="D1703" t="str">
            <v>3120150000</v>
          </cell>
          <cell r="E1703" t="str">
            <v>3120150000</v>
          </cell>
          <cell r="F1703" t="str">
            <v>Canon TRANSAP</v>
          </cell>
          <cell r="G1703" t="str">
            <v>3120150000  Canon TRANSAP</v>
          </cell>
          <cell r="H1703" t="str">
            <v>Est. Resultado</v>
          </cell>
          <cell r="I1703" t="str">
            <v>Resultado</v>
          </cell>
          <cell r="J1703" t="str">
            <v>1. Ingresos Ordinarios</v>
          </cell>
          <cell r="K1703" t="str">
            <v>4. Ingresos Operadores</v>
          </cell>
          <cell r="L1703" t="str">
            <v>EBITDA</v>
          </cell>
          <cell r="M1703" t="str">
            <v>MARGEN BRUTO</v>
          </cell>
          <cell r="N1703" t="str">
            <v>GANANCIAS (PERDIDAS) ANTES DE IMPUESTOS</v>
          </cell>
          <cell r="O1703" t="str">
            <v>GANANCIA (PÉRDIDA) NETA</v>
          </cell>
          <cell r="P1703" t="str">
            <v>Resultado Ingresos y Gastos Integrales</v>
          </cell>
          <cell r="Q1703" t="str">
            <v>I. Ganancia (pérdida), antes de impuestos</v>
          </cell>
          <cell r="R1703" t="str">
            <v>a. Ganancia bruta</v>
          </cell>
          <cell r="S1703" t="str">
            <v>1. Ingresos de actividades ordinarias</v>
          </cell>
          <cell r="T1703" t="str">
            <v>4. Ingresos Operadores</v>
          </cell>
          <cell r="V1703" t="str">
            <v>I. Ingresos</v>
          </cell>
          <cell r="W1703" t="str">
            <v>1. Ingresos de Operación</v>
          </cell>
          <cell r="Z1703" t="str">
            <v>I. Ingresos Ordinarios</v>
          </cell>
          <cell r="AA1703" t="str">
            <v>4. Servs. Infraestructura Carga</v>
          </cell>
          <cell r="AB1703" t="str">
            <v>2. TRANSAP</v>
          </cell>
          <cell r="AC1703" t="str">
            <v>I. Ingresos</v>
          </cell>
          <cell r="AD1703" t="str">
            <v>2. Operadores</v>
          </cell>
          <cell r="AE1703" t="str">
            <v>4. Servs. Infraestructura Carga</v>
          </cell>
          <cell r="AG1703" t="str">
            <v xml:space="preserve"> </v>
          </cell>
          <cell r="AH1703" t="str">
            <v>1. Ingresos de las actividades ordinarias procedentes de clientes externos</v>
          </cell>
        </row>
        <row r="1704">
          <cell r="D1704" t="str">
            <v>3120200000</v>
          </cell>
          <cell r="E1704" t="str">
            <v>3120200000</v>
          </cell>
          <cell r="F1704" t="str">
            <v>Peaje Fijo FEPASA</v>
          </cell>
          <cell r="G1704" t="str">
            <v>3120200000  Peaje Fijo FEPASA</v>
          </cell>
          <cell r="H1704" t="str">
            <v>Est. Resultado</v>
          </cell>
          <cell r="I1704" t="str">
            <v>Resultado</v>
          </cell>
          <cell r="J1704" t="str">
            <v>1. Ingresos Ordinarios</v>
          </cell>
          <cell r="K1704" t="str">
            <v>4. Ingresos Operadores</v>
          </cell>
          <cell r="L1704" t="str">
            <v>EBITDA</v>
          </cell>
          <cell r="M1704" t="str">
            <v>MARGEN BRUTO</v>
          </cell>
          <cell r="N1704" t="str">
            <v>GANANCIAS (PERDIDAS) ANTES DE IMPUESTOS</v>
          </cell>
          <cell r="O1704" t="str">
            <v>GANANCIA (PÉRDIDA) NETA</v>
          </cell>
          <cell r="P1704" t="str">
            <v>Resultado Ingresos y Gastos Integrales</v>
          </cell>
          <cell r="Q1704" t="str">
            <v>I. Ganancia (pérdida), antes de impuestos</v>
          </cell>
          <cell r="R1704" t="str">
            <v>a. Ganancia bruta</v>
          </cell>
          <cell r="S1704" t="str">
            <v>1. Ingresos de actividades ordinarias</v>
          </cell>
          <cell r="T1704" t="str">
            <v>4. Ingresos Operadores</v>
          </cell>
          <cell r="V1704" t="str">
            <v>I. Ingresos</v>
          </cell>
          <cell r="W1704" t="str">
            <v>1. Ingresos de Operación</v>
          </cell>
          <cell r="Z1704" t="str">
            <v>I. Ingresos Ordinarios</v>
          </cell>
          <cell r="AA1704" t="str">
            <v>4. Servs. Infraestructura Carga</v>
          </cell>
          <cell r="AB1704" t="str">
            <v>1. FEPASA</v>
          </cell>
          <cell r="AC1704" t="str">
            <v>I. Ingresos</v>
          </cell>
          <cell r="AD1704" t="str">
            <v>2. Operadores</v>
          </cell>
          <cell r="AE1704" t="str">
            <v>4. Servs. Infraestructura Carga</v>
          </cell>
          <cell r="AG1704" t="str">
            <v xml:space="preserve"> </v>
          </cell>
          <cell r="AH1704" t="str">
            <v>1. Ingresos de las actividades ordinarias procedentes de clientes externos</v>
          </cell>
        </row>
        <row r="1705">
          <cell r="D1705" t="str">
            <v>3120250000</v>
          </cell>
          <cell r="E1705" t="str">
            <v>3120250000</v>
          </cell>
          <cell r="F1705" t="str">
            <v>Peaje Fijo TRANSAP</v>
          </cell>
          <cell r="G1705" t="str">
            <v>3120250000  Peaje Fijo TRANSAP</v>
          </cell>
          <cell r="H1705" t="str">
            <v>Est. Resultado</v>
          </cell>
          <cell r="I1705" t="str">
            <v>Resultado</v>
          </cell>
          <cell r="J1705" t="str">
            <v>1. Ingresos Ordinarios</v>
          </cell>
          <cell r="K1705" t="str">
            <v>4. Ingresos Operadores</v>
          </cell>
          <cell r="L1705" t="str">
            <v>EBITDA</v>
          </cell>
          <cell r="M1705" t="str">
            <v>MARGEN BRUTO</v>
          </cell>
          <cell r="N1705" t="str">
            <v>GANANCIAS (PERDIDAS) ANTES DE IMPUESTOS</v>
          </cell>
          <cell r="O1705" t="str">
            <v>GANANCIA (PÉRDIDA) NETA</v>
          </cell>
          <cell r="P1705" t="str">
            <v>Resultado Ingresos y Gastos Integrales</v>
          </cell>
          <cell r="Q1705" t="str">
            <v>I. Ganancia (pérdida), antes de impuestos</v>
          </cell>
          <cell r="R1705" t="str">
            <v>a. Ganancia bruta</v>
          </cell>
          <cell r="S1705" t="str">
            <v>1. Ingresos de actividades ordinarias</v>
          </cell>
          <cell r="T1705" t="str">
            <v>4. Ingresos Operadores</v>
          </cell>
          <cell r="V1705" t="str">
            <v>I. Ingresos</v>
          </cell>
          <cell r="W1705" t="str">
            <v>1. Ingresos de Operación</v>
          </cell>
          <cell r="Z1705" t="str">
            <v>I. Ingresos Ordinarios</v>
          </cell>
          <cell r="AA1705" t="str">
            <v>4. Servs. Infraestructura Carga</v>
          </cell>
          <cell r="AB1705" t="str">
            <v>2. TRANSAP</v>
          </cell>
          <cell r="AC1705" t="str">
            <v>I. Ingresos</v>
          </cell>
          <cell r="AD1705" t="str">
            <v>2. Operadores</v>
          </cell>
          <cell r="AE1705" t="str">
            <v>4. Servs. Infraestructura Carga</v>
          </cell>
          <cell r="AG1705" t="str">
            <v xml:space="preserve"> </v>
          </cell>
          <cell r="AH1705" t="str">
            <v>1. Ingresos de las actividades ordinarias procedentes de clientes externos</v>
          </cell>
        </row>
        <row r="1706">
          <cell r="D1706" t="str">
            <v>3120300000</v>
          </cell>
          <cell r="E1706" t="str">
            <v>3120300000</v>
          </cell>
          <cell r="F1706" t="str">
            <v>Peaje Variable FEPASA</v>
          </cell>
          <cell r="G1706" t="str">
            <v>3120300000  Peaje Variable FEPASA</v>
          </cell>
          <cell r="H1706" t="str">
            <v>Est. Resultado</v>
          </cell>
          <cell r="I1706" t="str">
            <v>Resultado</v>
          </cell>
          <cell r="J1706" t="str">
            <v>1. Ingresos Ordinarios</v>
          </cell>
          <cell r="K1706" t="str">
            <v>4. Ingresos Operadores</v>
          </cell>
          <cell r="L1706" t="str">
            <v>EBITDA</v>
          </cell>
          <cell r="M1706" t="str">
            <v>MARGEN BRUTO</v>
          </cell>
          <cell r="N1706" t="str">
            <v>GANANCIAS (PERDIDAS) ANTES DE IMPUESTOS</v>
          </cell>
          <cell r="O1706" t="str">
            <v>GANANCIA (PÉRDIDA) NETA</v>
          </cell>
          <cell r="P1706" t="str">
            <v>Resultado Ingresos y Gastos Integrales</v>
          </cell>
          <cell r="Q1706" t="str">
            <v>I. Ganancia (pérdida), antes de impuestos</v>
          </cell>
          <cell r="R1706" t="str">
            <v>a. Ganancia bruta</v>
          </cell>
          <cell r="S1706" t="str">
            <v>1. Ingresos de actividades ordinarias</v>
          </cell>
          <cell r="T1706" t="str">
            <v>4. Ingresos Operadores</v>
          </cell>
          <cell r="V1706" t="str">
            <v>I. Ingresos</v>
          </cell>
          <cell r="W1706" t="str">
            <v>1. Ingresos de Operación</v>
          </cell>
          <cell r="Z1706" t="str">
            <v>I. Ingresos Ordinarios</v>
          </cell>
          <cell r="AA1706" t="str">
            <v>4. Servs. Infraestructura Carga</v>
          </cell>
          <cell r="AB1706" t="str">
            <v>1. FEPASA</v>
          </cell>
          <cell r="AC1706" t="str">
            <v>I. Ingresos</v>
          </cell>
          <cell r="AD1706" t="str">
            <v>2. Operadores</v>
          </cell>
          <cell r="AE1706" t="str">
            <v>4. Servs. Infraestructura Carga</v>
          </cell>
          <cell r="AG1706" t="str">
            <v xml:space="preserve"> </v>
          </cell>
          <cell r="AH1706" t="str">
            <v>1. Ingresos de las actividades ordinarias procedentes de clientes externos</v>
          </cell>
        </row>
        <row r="1707">
          <cell r="D1707" t="str">
            <v>3120350000</v>
          </cell>
          <cell r="E1707" t="str">
            <v>3120350000</v>
          </cell>
          <cell r="F1707" t="str">
            <v>Peaje Variable TRANSAP</v>
          </cell>
          <cell r="G1707" t="str">
            <v>3120350000  Peaje Variable TRANSAP</v>
          </cell>
          <cell r="H1707" t="str">
            <v>Est. Resultado</v>
          </cell>
          <cell r="I1707" t="str">
            <v>Resultado</v>
          </cell>
          <cell r="J1707" t="str">
            <v>1. Ingresos Ordinarios</v>
          </cell>
          <cell r="K1707" t="str">
            <v>4. Ingresos Operadores</v>
          </cell>
          <cell r="L1707" t="str">
            <v>EBITDA</v>
          </cell>
          <cell r="M1707" t="str">
            <v>MARGEN BRUTO</v>
          </cell>
          <cell r="N1707" t="str">
            <v>GANANCIAS (PERDIDAS) ANTES DE IMPUESTOS</v>
          </cell>
          <cell r="O1707" t="str">
            <v>GANANCIA (PÉRDIDA) NETA</v>
          </cell>
          <cell r="P1707" t="str">
            <v>Resultado Ingresos y Gastos Integrales</v>
          </cell>
          <cell r="Q1707" t="str">
            <v>I. Ganancia (pérdida), antes de impuestos</v>
          </cell>
          <cell r="R1707" t="str">
            <v>a. Ganancia bruta</v>
          </cell>
          <cell r="S1707" t="str">
            <v>1. Ingresos de actividades ordinarias</v>
          </cell>
          <cell r="T1707" t="str">
            <v>4. Ingresos Operadores</v>
          </cell>
          <cell r="V1707" t="str">
            <v>I. Ingresos</v>
          </cell>
          <cell r="W1707" t="str">
            <v>1. Ingresos de Operación</v>
          </cell>
          <cell r="Z1707" t="str">
            <v>I. Ingresos Ordinarios</v>
          </cell>
          <cell r="AA1707" t="str">
            <v>4. Servs. Infraestructura Carga</v>
          </cell>
          <cell r="AB1707" t="str">
            <v>2. TRANSAP</v>
          </cell>
          <cell r="AC1707" t="str">
            <v>I. Ingresos</v>
          </cell>
          <cell r="AD1707" t="str">
            <v>2. Operadores</v>
          </cell>
          <cell r="AE1707" t="str">
            <v>4. Servs. Infraestructura Carga</v>
          </cell>
          <cell r="AG1707" t="str">
            <v xml:space="preserve"> </v>
          </cell>
          <cell r="AH1707" t="str">
            <v>1. Ingresos de las actividades ordinarias procedentes de clientes externos</v>
          </cell>
        </row>
        <row r="1708">
          <cell r="D1708" t="str">
            <v>3120400000</v>
          </cell>
          <cell r="E1708" t="str">
            <v>3120400000</v>
          </cell>
          <cell r="F1708" t="str">
            <v>Peaje MERVAL</v>
          </cell>
          <cell r="G1708" t="str">
            <v>3120400000  Peaje MERVAL</v>
          </cell>
          <cell r="H1708" t="str">
            <v>Est. Resultado</v>
          </cell>
          <cell r="I1708" t="str">
            <v>Resultado</v>
          </cell>
          <cell r="J1708" t="str">
            <v>1. Ingresos Ordinarios</v>
          </cell>
          <cell r="K1708" t="str">
            <v>4. Ingresos Operadores</v>
          </cell>
          <cell r="L1708" t="str">
            <v>EBITDA</v>
          </cell>
          <cell r="M1708" t="str">
            <v>MARGEN BRUTO</v>
          </cell>
          <cell r="N1708" t="str">
            <v>GANANCIAS (PERDIDAS) ANTES DE IMPUESTOS</v>
          </cell>
          <cell r="O1708" t="str">
            <v>GANANCIA (PÉRDIDA) NETA</v>
          </cell>
          <cell r="P1708" t="str">
            <v>Resultado Ingresos y Gastos Integrales</v>
          </cell>
          <cell r="Q1708" t="str">
            <v>I. Ganancia (pérdida), antes de impuestos</v>
          </cell>
          <cell r="R1708" t="str">
            <v>a. Ganancia bruta</v>
          </cell>
          <cell r="S1708" t="str">
            <v>1. Ingresos de actividades ordinarias</v>
          </cell>
          <cell r="T1708" t="str">
            <v>4. Ingresos Operadores</v>
          </cell>
          <cell r="V1708" t="str">
            <v>I. Ingresos</v>
          </cell>
          <cell r="W1708" t="str">
            <v>1. Ingresos de Operación</v>
          </cell>
          <cell r="Z1708" t="str">
            <v>I. Ingresos Ordinarios</v>
          </cell>
          <cell r="AA1708" t="str">
            <v>5. Servs. Infraestructura Pasajeros</v>
          </cell>
          <cell r="AB1708" t="str">
            <v>1. MERVAL</v>
          </cell>
          <cell r="AC1708" t="str">
            <v>I. Ingresos</v>
          </cell>
          <cell r="AD1708" t="str">
            <v>2. Operadores</v>
          </cell>
          <cell r="AE1708" t="str">
            <v>5. Servs. Infraestructura Pasajeros</v>
          </cell>
          <cell r="AG1708" t="str">
            <v xml:space="preserve"> </v>
          </cell>
          <cell r="AH1708" t="str">
            <v>2. Ingresos de las actividades ordinarias entre segmentos</v>
          </cell>
        </row>
        <row r="1709">
          <cell r="D1709">
            <v>0</v>
          </cell>
          <cell r="G1709" t="str">
            <v/>
          </cell>
          <cell r="H1709" t="str">
            <v>Est. Resultado</v>
          </cell>
          <cell r="I1709" t="str">
            <v>Resultado</v>
          </cell>
          <cell r="J1709" t="str">
            <v>1. Ingresos Ordinarios</v>
          </cell>
          <cell r="K1709" t="str">
            <v>4. Ingresos Operadores</v>
          </cell>
          <cell r="L1709" t="str">
            <v>EBITDA</v>
          </cell>
          <cell r="M1709" t="str">
            <v>MARGEN BRUTO</v>
          </cell>
          <cell r="N1709" t="str">
            <v>GANANCIAS (PERDIDAS) ANTES DE IMPUESTOS</v>
          </cell>
          <cell r="O1709" t="str">
            <v>GANANCIA (PÉRDIDA) NETA</v>
          </cell>
          <cell r="P1709" t="str">
            <v>Resultado Ingresos y Gastos Integrales</v>
          </cell>
          <cell r="Q1709" t="str">
            <v>I. Ganancia (pérdida), antes de impuestos</v>
          </cell>
          <cell r="R1709" t="str">
            <v>a. Ganancia bruta</v>
          </cell>
          <cell r="S1709" t="str">
            <v>1. Ingresos de actividades ordinarias</v>
          </cell>
          <cell r="T1709" t="str">
            <v>4. Ingresos Operadores</v>
          </cell>
          <cell r="V1709" t="str">
            <v>I. Ingresos</v>
          </cell>
          <cell r="W1709" t="str">
            <v>1. Ingresos de Operación</v>
          </cell>
          <cell r="AG1709" t="str">
            <v xml:space="preserve"> </v>
          </cell>
          <cell r="AH1709" t="str">
            <v>2. Ingresos de las actividades ordinarias entre segmentos</v>
          </cell>
        </row>
        <row r="1710">
          <cell r="D1710">
            <v>0</v>
          </cell>
          <cell r="G1710" t="str">
            <v/>
          </cell>
          <cell r="H1710" t="str">
            <v>Est. Resultado</v>
          </cell>
          <cell r="I1710" t="str">
            <v>Resultado</v>
          </cell>
          <cell r="J1710" t="str">
            <v>1. Ingresos Ordinarios</v>
          </cell>
          <cell r="K1710" t="str">
            <v>4. Ingresos Operadores</v>
          </cell>
          <cell r="L1710" t="str">
            <v>EBITDA</v>
          </cell>
          <cell r="M1710" t="str">
            <v>MARGEN BRUTO</v>
          </cell>
          <cell r="N1710" t="str">
            <v>GANANCIAS (PERDIDAS) ANTES DE IMPUESTOS</v>
          </cell>
          <cell r="O1710" t="str">
            <v>GANANCIA (PÉRDIDA) NETA</v>
          </cell>
          <cell r="P1710" t="str">
            <v>Resultado Ingresos y Gastos Integrales</v>
          </cell>
          <cell r="Q1710" t="str">
            <v>I. Ganancia (pérdida), antes de impuestos</v>
          </cell>
          <cell r="R1710" t="str">
            <v>a. Ganancia bruta</v>
          </cell>
          <cell r="S1710" t="str">
            <v>1. Ingresos de actividades ordinarias</v>
          </cell>
          <cell r="T1710" t="str">
            <v>4. Ingresos Operadores</v>
          </cell>
          <cell r="V1710" t="str">
            <v>I. Ingresos</v>
          </cell>
          <cell r="W1710" t="str">
            <v>1. Ingresos de Operación</v>
          </cell>
          <cell r="AG1710" t="str">
            <v xml:space="preserve"> </v>
          </cell>
          <cell r="AH1710" t="str">
            <v>2. Ingresos de las actividades ordinarias entre segmentos</v>
          </cell>
        </row>
        <row r="1711">
          <cell r="D1711">
            <v>0</v>
          </cell>
          <cell r="G1711" t="str">
            <v/>
          </cell>
          <cell r="H1711" t="str">
            <v>Est. Resultado</v>
          </cell>
          <cell r="I1711" t="str">
            <v>Resultado</v>
          </cell>
          <cell r="J1711" t="str">
            <v>1. Ingresos Ordinarios</v>
          </cell>
          <cell r="K1711" t="str">
            <v>4. Ingresos Operadores</v>
          </cell>
          <cell r="L1711" t="str">
            <v>EBITDA</v>
          </cell>
          <cell r="M1711" t="str">
            <v>MARGEN BRUTO</v>
          </cell>
          <cell r="N1711" t="str">
            <v>GANANCIAS (PERDIDAS) ANTES DE IMPUESTOS</v>
          </cell>
          <cell r="O1711" t="str">
            <v>GANANCIA (PÉRDIDA) NETA</v>
          </cell>
          <cell r="P1711" t="str">
            <v>Resultado Ingresos y Gastos Integrales</v>
          </cell>
          <cell r="Q1711" t="str">
            <v>I. Ganancia (pérdida), antes de impuestos</v>
          </cell>
          <cell r="R1711" t="str">
            <v>a. Ganancia bruta</v>
          </cell>
          <cell r="S1711" t="str">
            <v>1. Ingresos de actividades ordinarias</v>
          </cell>
          <cell r="T1711" t="str">
            <v>4. Ingresos Operadores</v>
          </cell>
          <cell r="V1711" t="str">
            <v>I. Ingresos</v>
          </cell>
          <cell r="W1711" t="str">
            <v>1. Ingresos de Operación</v>
          </cell>
          <cell r="AG1711" t="str">
            <v xml:space="preserve"> </v>
          </cell>
          <cell r="AH1711" t="str">
            <v>2. Ingresos de las actividades ordinarias entre segmentos</v>
          </cell>
        </row>
        <row r="1712">
          <cell r="D1712" t="str">
            <v>Ingresos Operadores</v>
          </cell>
          <cell r="E1712" t="str">
            <v>Ingresos Operadores</v>
          </cell>
          <cell r="G1712" t="str">
            <v xml:space="preserve">Ingresos Operadores  </v>
          </cell>
          <cell r="H1712" t="str">
            <v/>
          </cell>
          <cell r="I1712" t="str">
            <v/>
          </cell>
          <cell r="J1712" t="str">
            <v/>
          </cell>
          <cell r="L1712" t="str">
            <v/>
          </cell>
          <cell r="M1712" t="str">
            <v/>
          </cell>
          <cell r="N1712" t="str">
            <v/>
          </cell>
          <cell r="O1712" t="str">
            <v/>
          </cell>
          <cell r="P1712" t="str">
            <v/>
          </cell>
          <cell r="S1712" t="str">
            <v/>
          </cell>
        </row>
        <row r="1713">
          <cell r="D1713" t="str">
            <v>3121100000</v>
          </cell>
          <cell r="E1713" t="str">
            <v>3121100000</v>
          </cell>
          <cell r="F1713" t="str">
            <v>Ing Otros Peajes</v>
          </cell>
          <cell r="G1713" t="str">
            <v>3121100000  Ing Otros Peajes</v>
          </cell>
          <cell r="H1713" t="str">
            <v>Est. Resultado</v>
          </cell>
          <cell r="I1713" t="str">
            <v>Resultado</v>
          </cell>
          <cell r="J1713" t="str">
            <v>1. Ingresos Ordinarios</v>
          </cell>
          <cell r="K1713" t="str">
            <v>5. Ingresos Atraviesos</v>
          </cell>
          <cell r="L1713" t="str">
            <v>EBITDA</v>
          </cell>
          <cell r="M1713" t="str">
            <v>MARGEN BRUTO</v>
          </cell>
          <cell r="N1713" t="str">
            <v>GANANCIAS (PERDIDAS) ANTES DE IMPUESTOS</v>
          </cell>
          <cell r="O1713" t="str">
            <v>GANANCIA (PÉRDIDA) NETA</v>
          </cell>
          <cell r="P1713" t="str">
            <v>Resultado Ingresos y Gastos Integrales</v>
          </cell>
          <cell r="Q1713" t="str">
            <v>I. Ganancia (pérdida), antes de impuestos</v>
          </cell>
          <cell r="R1713" t="str">
            <v>a. Ganancia bruta</v>
          </cell>
          <cell r="S1713" t="str">
            <v>1. Ingresos de actividades ordinarias</v>
          </cell>
          <cell r="T1713" t="str">
            <v>5. Ingresos Atraviesos</v>
          </cell>
          <cell r="V1713" t="str">
            <v>I. Ingresos</v>
          </cell>
          <cell r="W1713" t="str">
            <v>1. Ingresos de Operación</v>
          </cell>
          <cell r="Z1713" t="str">
            <v>I. Ingresos Ordinarios</v>
          </cell>
          <cell r="AA1713" t="str">
            <v>6. Atraviesos</v>
          </cell>
          <cell r="AC1713" t="str">
            <v>I. Ingresos</v>
          </cell>
          <cell r="AD1713" t="str">
            <v>4. Otros servicios</v>
          </cell>
          <cell r="AE1713" t="str">
            <v>6. Atraviesos</v>
          </cell>
          <cell r="AG1713" t="str">
            <v xml:space="preserve"> </v>
          </cell>
          <cell r="AH1713" t="str">
            <v>1. Ingresos de las actividades ordinarias procedentes de clientes externos</v>
          </cell>
        </row>
        <row r="1714">
          <cell r="D1714" t="str">
            <v>3121200000</v>
          </cell>
          <cell r="E1714" t="str">
            <v>3121200000</v>
          </cell>
          <cell r="F1714" t="str">
            <v>Ing por Conseciones</v>
          </cell>
          <cell r="G1714" t="str">
            <v>3121200000  Ing por Conseciones</v>
          </cell>
          <cell r="H1714" t="str">
            <v>Est. Resultado</v>
          </cell>
          <cell r="I1714" t="str">
            <v>Resultado</v>
          </cell>
          <cell r="J1714" t="str">
            <v>1. Ingresos Ordinarios</v>
          </cell>
          <cell r="K1714" t="str">
            <v>5. Ingresos Atraviesos</v>
          </cell>
          <cell r="L1714" t="str">
            <v>EBITDA</v>
          </cell>
          <cell r="M1714" t="str">
            <v>MARGEN BRUTO</v>
          </cell>
          <cell r="N1714" t="str">
            <v>GANANCIAS (PERDIDAS) ANTES DE IMPUESTOS</v>
          </cell>
          <cell r="O1714" t="str">
            <v>GANANCIA (PÉRDIDA) NETA</v>
          </cell>
          <cell r="P1714" t="str">
            <v>Resultado Ingresos y Gastos Integrales</v>
          </cell>
          <cell r="Q1714" t="str">
            <v>I. Ganancia (pérdida), antes de impuestos</v>
          </cell>
          <cell r="R1714" t="str">
            <v>a. Ganancia bruta</v>
          </cell>
          <cell r="S1714" t="str">
            <v>1. Ingresos de actividades ordinarias</v>
          </cell>
          <cell r="T1714" t="str">
            <v>5. Ingresos Atraviesos</v>
          </cell>
          <cell r="V1714" t="str">
            <v>I. Ingresos</v>
          </cell>
          <cell r="W1714" t="str">
            <v>1. Ingresos de Operación</v>
          </cell>
          <cell r="Z1714" t="str">
            <v>I. Ingresos Ordinarios</v>
          </cell>
          <cell r="AA1714" t="str">
            <v>6. Atraviesos</v>
          </cell>
          <cell r="AC1714" t="str">
            <v>I. Ingresos</v>
          </cell>
          <cell r="AD1714" t="str">
            <v>4. Otros servicios</v>
          </cell>
          <cell r="AE1714" t="str">
            <v>6. Atraviesos</v>
          </cell>
          <cell r="AG1714" t="str">
            <v xml:space="preserve"> </v>
          </cell>
          <cell r="AH1714" t="str">
            <v>1. Ingresos de las actividades ordinarias procedentes de clientes externos</v>
          </cell>
        </row>
        <row r="1715">
          <cell r="D1715" t="str">
            <v>3121400000</v>
          </cell>
          <cell r="E1715" t="str">
            <v>3121400000</v>
          </cell>
          <cell r="F1715" t="str">
            <v>Ing Atrav-Paral Fijo</v>
          </cell>
          <cell r="G1715" t="str">
            <v>3121400000  Ing Atrav-Paral Fijo</v>
          </cell>
          <cell r="H1715" t="str">
            <v>Est. Resultado</v>
          </cell>
          <cell r="I1715" t="str">
            <v>Resultado</v>
          </cell>
          <cell r="J1715" t="str">
            <v>1. Ingresos Ordinarios</v>
          </cell>
          <cell r="K1715" t="str">
            <v>5. Ingresos Atraviesos</v>
          </cell>
          <cell r="L1715" t="str">
            <v>EBITDA</v>
          </cell>
          <cell r="M1715" t="str">
            <v>MARGEN BRUTO</v>
          </cell>
          <cell r="N1715" t="str">
            <v>GANANCIAS (PERDIDAS) ANTES DE IMPUESTOS</v>
          </cell>
          <cell r="O1715" t="str">
            <v>GANANCIA (PÉRDIDA) NETA</v>
          </cell>
          <cell r="P1715" t="str">
            <v>Resultado Ingresos y Gastos Integrales</v>
          </cell>
          <cell r="Q1715" t="str">
            <v>I. Ganancia (pérdida), antes de impuestos</v>
          </cell>
          <cell r="R1715" t="str">
            <v>a. Ganancia bruta</v>
          </cell>
          <cell r="S1715" t="str">
            <v>1. Ingresos de actividades ordinarias</v>
          </cell>
          <cell r="T1715" t="str">
            <v>5. Ingresos Atraviesos</v>
          </cell>
          <cell r="V1715" t="str">
            <v>I. Ingresos</v>
          </cell>
          <cell r="W1715" t="str">
            <v>1. Ingresos de Operación</v>
          </cell>
          <cell r="Z1715" t="str">
            <v>I. Ingresos Ordinarios</v>
          </cell>
          <cell r="AA1715" t="str">
            <v>6. Atraviesos</v>
          </cell>
          <cell r="AC1715" t="str">
            <v>I. Ingresos</v>
          </cell>
          <cell r="AD1715" t="str">
            <v>4. Otros servicios</v>
          </cell>
          <cell r="AE1715" t="str">
            <v>6. Atraviesos</v>
          </cell>
          <cell r="AG1715" t="str">
            <v xml:space="preserve"> </v>
          </cell>
          <cell r="AH1715" t="str">
            <v>1. Ingresos de las actividades ordinarias procedentes de clientes externos</v>
          </cell>
        </row>
        <row r="1716">
          <cell r="D1716" t="str">
            <v>3121500000</v>
          </cell>
          <cell r="E1716" t="str">
            <v>3121500000</v>
          </cell>
          <cell r="F1716" t="str">
            <v>Ing Atrav-Paral Vari</v>
          </cell>
          <cell r="G1716" t="str">
            <v>3121500000  Ing Atrav-Paral Vari</v>
          </cell>
          <cell r="H1716" t="str">
            <v>Est. Resultado</v>
          </cell>
          <cell r="I1716" t="str">
            <v>Resultado</v>
          </cell>
          <cell r="J1716" t="str">
            <v>1. Ingresos Ordinarios</v>
          </cell>
          <cell r="K1716" t="str">
            <v>5. Ingresos Atraviesos</v>
          </cell>
          <cell r="L1716" t="str">
            <v>EBITDA</v>
          </cell>
          <cell r="M1716" t="str">
            <v>MARGEN BRUTO</v>
          </cell>
          <cell r="N1716" t="str">
            <v>GANANCIAS (PERDIDAS) ANTES DE IMPUESTOS</v>
          </cell>
          <cell r="O1716" t="str">
            <v>GANANCIA (PÉRDIDA) NETA</v>
          </cell>
          <cell r="P1716" t="str">
            <v>Resultado Ingresos y Gastos Integrales</v>
          </cell>
          <cell r="Q1716" t="str">
            <v>I. Ganancia (pérdida), antes de impuestos</v>
          </cell>
          <cell r="R1716" t="str">
            <v>a. Ganancia bruta</v>
          </cell>
          <cell r="S1716" t="str">
            <v>1. Ingresos de actividades ordinarias</v>
          </cell>
          <cell r="T1716" t="str">
            <v>5. Ingresos Atraviesos</v>
          </cell>
          <cell r="V1716" t="str">
            <v>I. Ingresos</v>
          </cell>
          <cell r="W1716" t="str">
            <v>1. Ingresos de Operación</v>
          </cell>
          <cell r="Z1716" t="str">
            <v>I. Ingresos Ordinarios</v>
          </cell>
          <cell r="AA1716" t="str">
            <v>6. Atraviesos</v>
          </cell>
          <cell r="AC1716" t="str">
            <v>I. Ingresos</v>
          </cell>
          <cell r="AD1716" t="str">
            <v>4. Otros servicios</v>
          </cell>
          <cell r="AE1716" t="str">
            <v>6. Atraviesos</v>
          </cell>
          <cell r="AG1716" t="str">
            <v xml:space="preserve"> </v>
          </cell>
          <cell r="AH1716" t="str">
            <v>1. Ingresos de las actividades ordinarias procedentes de clientes externos</v>
          </cell>
        </row>
        <row r="1717">
          <cell r="D1717" t="str">
            <v>3121600000</v>
          </cell>
          <cell r="E1717" t="str">
            <v>3121600000</v>
          </cell>
          <cell r="F1717" t="str">
            <v>Ing Estudio e Inspeccion</v>
          </cell>
          <cell r="G1717" t="str">
            <v>3121600000  Ing Estudio e Inspeccion</v>
          </cell>
          <cell r="H1717" t="str">
            <v>Est. Resultado</v>
          </cell>
          <cell r="I1717" t="str">
            <v>Resultado</v>
          </cell>
          <cell r="J1717" t="str">
            <v>1. Ingresos Ordinarios</v>
          </cell>
          <cell r="K1717" t="str">
            <v>5. Ingresos Atraviesos</v>
          </cell>
          <cell r="L1717" t="str">
            <v>EBITDA</v>
          </cell>
          <cell r="M1717" t="str">
            <v>MARGEN BRUTO</v>
          </cell>
          <cell r="N1717" t="str">
            <v>GANANCIAS (PERDIDAS) ANTES DE IMPUESTOS</v>
          </cell>
          <cell r="O1717" t="str">
            <v>GANANCIA (PÉRDIDA) NETA</v>
          </cell>
          <cell r="P1717" t="str">
            <v>Resultado Ingresos y Gastos Integrales</v>
          </cell>
          <cell r="Q1717" t="str">
            <v>I. Ganancia (pérdida), antes de impuestos</v>
          </cell>
          <cell r="R1717" t="str">
            <v>a. Ganancia bruta</v>
          </cell>
          <cell r="S1717" t="str">
            <v>1. Ingresos de actividades ordinarias</v>
          </cell>
          <cell r="T1717" t="str">
            <v>5. Ingresos Atraviesos</v>
          </cell>
          <cell r="V1717" t="str">
            <v>I. Ingresos</v>
          </cell>
          <cell r="W1717" t="str">
            <v>1. Ingresos de Operación</v>
          </cell>
          <cell r="Z1717" t="str">
            <v>I. Ingresos Ordinarios</v>
          </cell>
          <cell r="AA1717" t="str">
            <v>6. Atraviesos</v>
          </cell>
          <cell r="AC1717" t="str">
            <v>I. Ingresos</v>
          </cell>
          <cell r="AD1717" t="str">
            <v>4. Otros servicios</v>
          </cell>
          <cell r="AE1717" t="str">
            <v>6. Atraviesos</v>
          </cell>
          <cell r="AG1717" t="str">
            <v xml:space="preserve"> </v>
          </cell>
          <cell r="AH1717" t="str">
            <v>1. Ingresos de las actividades ordinarias procedentes de clientes externos</v>
          </cell>
        </row>
        <row r="1718">
          <cell r="D1718" t="str">
            <v>3121700000</v>
          </cell>
          <cell r="E1718" t="str">
            <v>3121700000</v>
          </cell>
          <cell r="F1718" t="str">
            <v>Ing por Cruces</v>
          </cell>
          <cell r="G1718" t="str">
            <v>3121700000  Ing por Cruces</v>
          </cell>
          <cell r="H1718" t="str">
            <v>Est. Resultado</v>
          </cell>
          <cell r="I1718" t="str">
            <v>Resultado</v>
          </cell>
          <cell r="J1718" t="str">
            <v>1. Ingresos Ordinarios</v>
          </cell>
          <cell r="K1718" t="str">
            <v>5. Ingresos Atraviesos</v>
          </cell>
          <cell r="L1718" t="str">
            <v>EBITDA</v>
          </cell>
          <cell r="M1718" t="str">
            <v>MARGEN BRUTO</v>
          </cell>
          <cell r="N1718" t="str">
            <v>GANANCIAS (PERDIDAS) ANTES DE IMPUESTOS</v>
          </cell>
          <cell r="O1718" t="str">
            <v>GANANCIA (PÉRDIDA) NETA</v>
          </cell>
          <cell r="P1718" t="str">
            <v>Resultado Ingresos y Gastos Integrales</v>
          </cell>
          <cell r="Q1718" t="str">
            <v>I. Ganancia (pérdida), antes de impuestos</v>
          </cell>
          <cell r="R1718" t="str">
            <v>a. Ganancia bruta</v>
          </cell>
          <cell r="S1718" t="str">
            <v>1. Ingresos de actividades ordinarias</v>
          </cell>
          <cell r="T1718" t="str">
            <v>5. Ingresos Atraviesos</v>
          </cell>
          <cell r="V1718" t="str">
            <v>I. Ingresos</v>
          </cell>
          <cell r="W1718" t="str">
            <v>1. Ingresos de Operación</v>
          </cell>
          <cell r="Z1718" t="str">
            <v>I. Ingresos Ordinarios</v>
          </cell>
          <cell r="AA1718" t="str">
            <v>6. Atraviesos</v>
          </cell>
          <cell r="AC1718" t="str">
            <v>I. Ingresos</v>
          </cell>
          <cell r="AD1718" t="str">
            <v>4. Otros servicios</v>
          </cell>
          <cell r="AE1718" t="str">
            <v>6. Atraviesos</v>
          </cell>
          <cell r="AG1718" t="str">
            <v xml:space="preserve"> </v>
          </cell>
          <cell r="AH1718" t="str">
            <v>1. Ingresos de las actividades ordinarias procedentes de clientes externos</v>
          </cell>
        </row>
        <row r="1719">
          <cell r="D1719">
            <v>0</v>
          </cell>
          <cell r="G1719" t="str">
            <v/>
          </cell>
          <cell r="H1719" t="str">
            <v>Est. Resultado</v>
          </cell>
          <cell r="I1719" t="str">
            <v>Resultado</v>
          </cell>
          <cell r="J1719" t="str">
            <v>1. Ingresos Ordinarios</v>
          </cell>
          <cell r="K1719" t="str">
            <v>5. Ingresos Atraviesos</v>
          </cell>
          <cell r="L1719" t="str">
            <v>EBITDA</v>
          </cell>
          <cell r="M1719" t="str">
            <v>MARGEN BRUTO</v>
          </cell>
          <cell r="N1719" t="str">
            <v>GANANCIAS (PERDIDAS) ANTES DE IMPUESTOS</v>
          </cell>
          <cell r="O1719" t="str">
            <v>GANANCIA (PÉRDIDA) NETA</v>
          </cell>
          <cell r="P1719" t="str">
            <v>Resultado Ingresos y Gastos Integrales</v>
          </cell>
          <cell r="Q1719" t="str">
            <v>I. Ganancia (pérdida), antes de impuestos</v>
          </cell>
          <cell r="R1719" t="str">
            <v>a. Ganancia bruta</v>
          </cell>
          <cell r="S1719" t="str">
            <v>1. Ingresos de actividades ordinarias</v>
          </cell>
          <cell r="T1719" t="str">
            <v>5. Ingresos Atraviesos</v>
          </cell>
          <cell r="V1719" t="str">
            <v>I. Ingresos</v>
          </cell>
          <cell r="W1719" t="str">
            <v>1. Ingresos de Operación</v>
          </cell>
          <cell r="Z1719" t="str">
            <v>I. Ingresos Ordinarios</v>
          </cell>
          <cell r="AA1719" t="str">
            <v>6. Atraviesos</v>
          </cell>
          <cell r="AC1719" t="str">
            <v>I. Ingresos</v>
          </cell>
          <cell r="AD1719" t="str">
            <v>4. Otros servicios</v>
          </cell>
          <cell r="AE1719" t="str">
            <v>6. Atraviesos</v>
          </cell>
          <cell r="AG1719" t="str">
            <v xml:space="preserve"> </v>
          </cell>
          <cell r="AH1719" t="str">
            <v>1. Ingresos de las actividades ordinarias procedentes de clientes externos</v>
          </cell>
        </row>
        <row r="1720">
          <cell r="D1720">
            <v>0</v>
          </cell>
          <cell r="G1720" t="str">
            <v/>
          </cell>
          <cell r="H1720" t="str">
            <v>Est. Resultado</v>
          </cell>
          <cell r="I1720" t="str">
            <v>Resultado</v>
          </cell>
          <cell r="J1720" t="str">
            <v>1. Ingresos Ordinarios</v>
          </cell>
          <cell r="K1720" t="str">
            <v>5. Ingresos Atraviesos</v>
          </cell>
          <cell r="L1720" t="str">
            <v>EBITDA</v>
          </cell>
          <cell r="M1720" t="str">
            <v>MARGEN BRUTO</v>
          </cell>
          <cell r="N1720" t="str">
            <v>GANANCIAS (PERDIDAS) ANTES DE IMPUESTOS</v>
          </cell>
          <cell r="O1720" t="str">
            <v>GANANCIA (PÉRDIDA) NETA</v>
          </cell>
          <cell r="P1720" t="str">
            <v>Resultado Ingresos y Gastos Integrales</v>
          </cell>
          <cell r="Q1720" t="str">
            <v>I. Ganancia (pérdida), antes de impuestos</v>
          </cell>
          <cell r="R1720" t="str">
            <v>a. Ganancia bruta</v>
          </cell>
          <cell r="S1720" t="str">
            <v>1. Ingresos de actividades ordinarias</v>
          </cell>
          <cell r="T1720" t="str">
            <v>5. Ingresos Atraviesos</v>
          </cell>
          <cell r="V1720" t="str">
            <v>I. Ingresos</v>
          </cell>
          <cell r="W1720" t="str">
            <v>1. Ingresos de Operación</v>
          </cell>
          <cell r="Z1720" t="str">
            <v>I. Ingresos Ordinarios</v>
          </cell>
          <cell r="AA1720" t="str">
            <v>6. Atraviesos</v>
          </cell>
          <cell r="AC1720" t="str">
            <v>I. Ingresos</v>
          </cell>
          <cell r="AD1720" t="str">
            <v>4. Otros servicios</v>
          </cell>
          <cell r="AE1720" t="str">
            <v>6. Atraviesos</v>
          </cell>
          <cell r="AG1720" t="str">
            <v xml:space="preserve"> </v>
          </cell>
          <cell r="AH1720" t="str">
            <v>1. Ingresos de las actividades ordinarias procedentes de clientes externos</v>
          </cell>
        </row>
        <row r="1721">
          <cell r="D1721">
            <v>0</v>
          </cell>
          <cell r="G1721" t="str">
            <v/>
          </cell>
          <cell r="H1721" t="str">
            <v>Est. Resultado</v>
          </cell>
          <cell r="I1721" t="str">
            <v>Resultado</v>
          </cell>
          <cell r="J1721" t="str">
            <v>1. Ingresos Ordinarios</v>
          </cell>
          <cell r="K1721" t="str">
            <v>5. Ingresos Atraviesos</v>
          </cell>
          <cell r="L1721" t="str">
            <v>EBITDA</v>
          </cell>
          <cell r="M1721" t="str">
            <v>MARGEN BRUTO</v>
          </cell>
          <cell r="N1721" t="str">
            <v>GANANCIAS (PERDIDAS) ANTES DE IMPUESTOS</v>
          </cell>
          <cell r="O1721" t="str">
            <v>GANANCIA (PÉRDIDA) NETA</v>
          </cell>
          <cell r="P1721" t="str">
            <v>Resultado Ingresos y Gastos Integrales</v>
          </cell>
          <cell r="Q1721" t="str">
            <v>I. Ganancia (pérdida), antes de impuestos</v>
          </cell>
          <cell r="R1721" t="str">
            <v>a. Ganancia bruta</v>
          </cell>
          <cell r="S1721" t="str">
            <v>1. Ingresos de actividades ordinarias</v>
          </cell>
          <cell r="T1721" t="str">
            <v>5. Ingresos Atraviesos</v>
          </cell>
          <cell r="V1721" t="str">
            <v>I. Ingresos</v>
          </cell>
          <cell r="W1721" t="str">
            <v>1. Ingresos de Operación</v>
          </cell>
          <cell r="Z1721" t="str">
            <v>I. Ingresos Ordinarios</v>
          </cell>
          <cell r="AA1721" t="str">
            <v>6. Atraviesos</v>
          </cell>
          <cell r="AC1721" t="str">
            <v>I. Ingresos</v>
          </cell>
          <cell r="AD1721" t="str">
            <v>4. Otros servicios</v>
          </cell>
          <cell r="AE1721" t="str">
            <v>6. Atraviesos</v>
          </cell>
          <cell r="AG1721" t="str">
            <v xml:space="preserve"> </v>
          </cell>
          <cell r="AH1721" t="str">
            <v>1. Ingresos de las actividades ordinarias procedentes de clientes externos</v>
          </cell>
        </row>
        <row r="1722">
          <cell r="D1722" t="str">
            <v>Ingresos Atraviesos</v>
          </cell>
          <cell r="E1722" t="str">
            <v>Ingresos Atraviesos</v>
          </cell>
          <cell r="G1722" t="str">
            <v xml:space="preserve">Ingresos Atraviesos  </v>
          </cell>
          <cell r="H1722" t="str">
            <v/>
          </cell>
          <cell r="I1722" t="str">
            <v/>
          </cell>
          <cell r="J1722" t="str">
            <v/>
          </cell>
          <cell r="L1722" t="str">
            <v/>
          </cell>
          <cell r="M1722" t="str">
            <v/>
          </cell>
          <cell r="N1722" t="str">
            <v/>
          </cell>
          <cell r="O1722" t="str">
            <v/>
          </cell>
          <cell r="P1722" t="str">
            <v/>
          </cell>
          <cell r="S1722" t="str">
            <v/>
          </cell>
        </row>
        <row r="1723">
          <cell r="D1723" t="str">
            <v>3130100000</v>
          </cell>
          <cell r="E1723" t="str">
            <v>3130100000</v>
          </cell>
          <cell r="F1723" t="str">
            <v>Ing Arri Maq Equip</v>
          </cell>
          <cell r="G1723" t="str">
            <v>3130100000  Ing Arri Maq Equip</v>
          </cell>
          <cell r="H1723" t="str">
            <v>Est. Resultado</v>
          </cell>
          <cell r="I1723" t="str">
            <v>Resultado</v>
          </cell>
          <cell r="J1723" t="str">
            <v>1. Ingresos Ordinarios</v>
          </cell>
          <cell r="K1723" t="str">
            <v>6. Venta de Servicios y Otros</v>
          </cell>
          <cell r="L1723" t="str">
            <v>EBITDA</v>
          </cell>
          <cell r="M1723" t="str">
            <v>MARGEN BRUTO</v>
          </cell>
          <cell r="N1723" t="str">
            <v>GANANCIAS (PERDIDAS) ANTES DE IMPUESTOS</v>
          </cell>
          <cell r="O1723" t="str">
            <v>GANANCIA (PÉRDIDA) NETA</v>
          </cell>
          <cell r="P1723" t="str">
            <v>Resultado Ingresos y Gastos Integrales</v>
          </cell>
          <cell r="Q1723" t="str">
            <v>I. Ganancia (pérdida), antes de impuestos</v>
          </cell>
          <cell r="R1723" t="str">
            <v>a. Ganancia bruta</v>
          </cell>
          <cell r="S1723" t="str">
            <v>1. Ingresos de actividades ordinarias</v>
          </cell>
          <cell r="T1723" t="str">
            <v>6. Venta de Servicios y Otros</v>
          </cell>
          <cell r="V1723" t="str">
            <v>I. Ingresos</v>
          </cell>
          <cell r="W1723" t="str">
            <v>1. Ingresos de Operación</v>
          </cell>
          <cell r="Z1723" t="str">
            <v>I. Ingresos Ordinarios</v>
          </cell>
          <cell r="AA1723" t="str">
            <v>7. Venta de Servicios y Otros</v>
          </cell>
          <cell r="AC1723" t="str">
            <v>I. Ingresos</v>
          </cell>
          <cell r="AD1723" t="str">
            <v>4. Otros servicios</v>
          </cell>
          <cell r="AE1723" t="str">
            <v>7. Ventas de Servicios y Otros</v>
          </cell>
          <cell r="AG1723" t="str">
            <v xml:space="preserve"> </v>
          </cell>
          <cell r="AH1723" t="str">
            <v>1. Ingresos de las actividades ordinarias procedentes de clientes externos</v>
          </cell>
        </row>
        <row r="1724">
          <cell r="D1724" t="str">
            <v>3130150000</v>
          </cell>
          <cell r="E1724" t="str">
            <v>3130150000</v>
          </cell>
          <cell r="F1724" t="str">
            <v>Ing Arrie Inmueble</v>
          </cell>
          <cell r="G1724" t="str">
            <v>3130150000  Ing Arrie Inmueble</v>
          </cell>
          <cell r="H1724" t="str">
            <v>Est. Resultado</v>
          </cell>
          <cell r="I1724" t="str">
            <v>Resultado</v>
          </cell>
          <cell r="J1724" t="str">
            <v>1. Ingresos Ordinarios</v>
          </cell>
          <cell r="K1724" t="str">
            <v>6. Venta de Servicios y Otros</v>
          </cell>
          <cell r="L1724" t="str">
            <v>EBITDA</v>
          </cell>
          <cell r="M1724" t="str">
            <v>MARGEN BRUTO</v>
          </cell>
          <cell r="N1724" t="str">
            <v>GANANCIAS (PERDIDAS) ANTES DE IMPUESTOS</v>
          </cell>
          <cell r="O1724" t="str">
            <v>GANANCIA (PÉRDIDA) NETA</v>
          </cell>
          <cell r="P1724" t="str">
            <v>Resultado Ingresos y Gastos Integrales</v>
          </cell>
          <cell r="Q1724" t="str">
            <v>I. Ganancia (pérdida), antes de impuestos</v>
          </cell>
          <cell r="R1724" t="str">
            <v>a. Ganancia bruta</v>
          </cell>
          <cell r="S1724" t="str">
            <v>1. Ingresos de actividades ordinarias</v>
          </cell>
          <cell r="T1724" t="str">
            <v>6. Venta de Servicios y Otros</v>
          </cell>
          <cell r="V1724" t="str">
            <v>I. Ingresos</v>
          </cell>
          <cell r="W1724" t="str">
            <v>1. Ingresos de Operación</v>
          </cell>
          <cell r="Z1724" t="str">
            <v>I. Ingresos Ordinarios</v>
          </cell>
          <cell r="AA1724" t="str">
            <v>7. Venta de Servicios y Otros</v>
          </cell>
          <cell r="AC1724" t="str">
            <v>I. Ingresos</v>
          </cell>
          <cell r="AD1724" t="str">
            <v>4. Otros servicios</v>
          </cell>
          <cell r="AE1724" t="str">
            <v>7. Ventas de Servicios y Otros</v>
          </cell>
          <cell r="AG1724" t="str">
            <v xml:space="preserve"> </v>
          </cell>
          <cell r="AH1724" t="str">
            <v>1. Ingresos de las actividades ordinarias procedentes de clientes externos</v>
          </cell>
        </row>
        <row r="1725">
          <cell r="D1725" t="str">
            <v>3130200000</v>
          </cell>
          <cell r="E1725" t="str">
            <v>3130200000</v>
          </cell>
          <cell r="F1725" t="str">
            <v>Ing Arriendo Comercial</v>
          </cell>
          <cell r="G1725" t="str">
            <v>3130200000  Ing Arriendo Comercial</v>
          </cell>
          <cell r="H1725" t="str">
            <v>Est. Resultado</v>
          </cell>
          <cell r="I1725" t="str">
            <v>Resultado</v>
          </cell>
          <cell r="J1725" t="str">
            <v>1. Ingresos Ordinarios</v>
          </cell>
          <cell r="K1725" t="str">
            <v>6. Venta de Servicios y Otros</v>
          </cell>
          <cell r="L1725" t="str">
            <v>EBITDA</v>
          </cell>
          <cell r="M1725" t="str">
            <v>MARGEN BRUTO</v>
          </cell>
          <cell r="N1725" t="str">
            <v>GANANCIAS (PERDIDAS) ANTES DE IMPUESTOS</v>
          </cell>
          <cell r="O1725" t="str">
            <v>GANANCIA (PÉRDIDA) NETA</v>
          </cell>
          <cell r="P1725" t="str">
            <v>Resultado Ingresos y Gastos Integrales</v>
          </cell>
          <cell r="Q1725" t="str">
            <v>I. Ganancia (pérdida), antes de impuestos</v>
          </cell>
          <cell r="R1725" t="str">
            <v>a. Ganancia bruta</v>
          </cell>
          <cell r="S1725" t="str">
            <v>1. Ingresos de actividades ordinarias</v>
          </cell>
          <cell r="T1725" t="str">
            <v>6. Venta de Servicios y Otros</v>
          </cell>
          <cell r="V1725" t="str">
            <v>I. Ingresos</v>
          </cell>
          <cell r="W1725" t="str">
            <v>1. Ingresos de Operación</v>
          </cell>
          <cell r="Z1725" t="str">
            <v>I. Ingresos Ordinarios</v>
          </cell>
          <cell r="AA1725" t="str">
            <v>7. Venta de Servicios y Otros</v>
          </cell>
          <cell r="AC1725" t="str">
            <v>I. Ingresos</v>
          </cell>
          <cell r="AD1725" t="str">
            <v>4. Otros servicios</v>
          </cell>
          <cell r="AE1725" t="str">
            <v>7. Ventas de Servicios y Otros</v>
          </cell>
          <cell r="AG1725" t="str">
            <v xml:space="preserve"> </v>
          </cell>
          <cell r="AH1725" t="str">
            <v>1. Ingresos de las actividades ordinarias procedentes de clientes externos</v>
          </cell>
        </row>
        <row r="1726">
          <cell r="D1726" t="str">
            <v>3130300000</v>
          </cell>
          <cell r="E1726" t="str">
            <v>3130300000</v>
          </cell>
          <cell r="F1726" t="str">
            <v>Ing Arriendo Terreno</v>
          </cell>
          <cell r="G1726" t="str">
            <v>3130300000  Ing Arriendo Terreno</v>
          </cell>
          <cell r="H1726" t="str">
            <v>Est. Resultado</v>
          </cell>
          <cell r="I1726" t="str">
            <v>Resultado</v>
          </cell>
          <cell r="J1726" t="str">
            <v>1. Ingresos Ordinarios</v>
          </cell>
          <cell r="K1726" t="str">
            <v>6. Venta de Servicios y Otros</v>
          </cell>
          <cell r="L1726" t="str">
            <v>EBITDA</v>
          </cell>
          <cell r="M1726" t="str">
            <v>MARGEN BRUTO</v>
          </cell>
          <cell r="N1726" t="str">
            <v>GANANCIAS (PERDIDAS) ANTES DE IMPUESTOS</v>
          </cell>
          <cell r="O1726" t="str">
            <v>GANANCIA (PÉRDIDA) NETA</v>
          </cell>
          <cell r="P1726" t="str">
            <v>Resultado Ingresos y Gastos Integrales</v>
          </cell>
          <cell r="Q1726" t="str">
            <v>I. Ganancia (pérdida), antes de impuestos</v>
          </cell>
          <cell r="R1726" t="str">
            <v>a. Ganancia bruta</v>
          </cell>
          <cell r="S1726" t="str">
            <v>1. Ingresos de actividades ordinarias</v>
          </cell>
          <cell r="T1726" t="str">
            <v>6. Venta de Servicios y Otros</v>
          </cell>
          <cell r="V1726" t="str">
            <v>I. Ingresos</v>
          </cell>
          <cell r="W1726" t="str">
            <v>1. Ingresos de Operación</v>
          </cell>
          <cell r="Z1726" t="str">
            <v>I. Ingresos Ordinarios</v>
          </cell>
          <cell r="AA1726" t="str">
            <v>7. Venta de Servicios y Otros</v>
          </cell>
          <cell r="AC1726" t="str">
            <v>I. Ingresos</v>
          </cell>
          <cell r="AD1726" t="str">
            <v>4. Otros servicios</v>
          </cell>
          <cell r="AE1726" t="str">
            <v>7. Ventas de Servicios y Otros</v>
          </cell>
          <cell r="AG1726" t="str">
            <v xml:space="preserve"> </v>
          </cell>
          <cell r="AH1726" t="str">
            <v>1. Ingresos de las actividades ordinarias procedentes de clientes externos</v>
          </cell>
        </row>
        <row r="1727">
          <cell r="D1727" t="str">
            <v>3130400000</v>
          </cell>
          <cell r="E1727" t="str">
            <v>3130400000</v>
          </cell>
          <cell r="F1727" t="str">
            <v>Ing Arriendo Habitacional</v>
          </cell>
          <cell r="G1727" t="str">
            <v>3130400000  Ing Arriendo Habitacional</v>
          </cell>
          <cell r="H1727" t="str">
            <v>Est. Resultado</v>
          </cell>
          <cell r="I1727" t="str">
            <v>Resultado</v>
          </cell>
          <cell r="J1727" t="str">
            <v>1. Ingresos Ordinarios</v>
          </cell>
          <cell r="K1727" t="str">
            <v>6. Venta de Servicios y Otros</v>
          </cell>
          <cell r="L1727" t="str">
            <v>EBITDA</v>
          </cell>
          <cell r="M1727" t="str">
            <v>MARGEN BRUTO</v>
          </cell>
          <cell r="N1727" t="str">
            <v>GANANCIAS (PERDIDAS) ANTES DE IMPUESTOS</v>
          </cell>
          <cell r="O1727" t="str">
            <v>GANANCIA (PÉRDIDA) NETA</v>
          </cell>
          <cell r="P1727" t="str">
            <v>Resultado Ingresos y Gastos Integrales</v>
          </cell>
          <cell r="Q1727" t="str">
            <v>I. Ganancia (pérdida), antes de impuestos</v>
          </cell>
          <cell r="R1727" t="str">
            <v>a. Ganancia bruta</v>
          </cell>
          <cell r="S1727" t="str">
            <v>1. Ingresos de actividades ordinarias</v>
          </cell>
          <cell r="T1727" t="str">
            <v>6. Venta de Servicios y Otros</v>
          </cell>
          <cell r="V1727" t="str">
            <v>I. Ingresos</v>
          </cell>
          <cell r="W1727" t="str">
            <v>1. Ingresos de Operación</v>
          </cell>
          <cell r="Z1727" t="str">
            <v>I. Ingresos Ordinarios</v>
          </cell>
          <cell r="AA1727" t="str">
            <v>7. Venta de Servicios y Otros</v>
          </cell>
          <cell r="AC1727" t="str">
            <v>I. Ingresos</v>
          </cell>
          <cell r="AD1727" t="str">
            <v>4. Otros servicios</v>
          </cell>
          <cell r="AE1727" t="str">
            <v>7. Ventas de Servicios y Otros</v>
          </cell>
          <cell r="AG1727" t="str">
            <v xml:space="preserve"> </v>
          </cell>
          <cell r="AH1727" t="str">
            <v>1. Ingresos de las actividades ordinarias procedentes de clientes externos</v>
          </cell>
        </row>
        <row r="1728">
          <cell r="D1728" t="str">
            <v>3130500000</v>
          </cell>
          <cell r="E1728" t="str">
            <v>3130500000</v>
          </cell>
          <cell r="F1728" t="str">
            <v>Ing INVIA</v>
          </cell>
          <cell r="G1728" t="str">
            <v>3130500000  Ing INVIA</v>
          </cell>
          <cell r="H1728" t="str">
            <v>Est. Resultado</v>
          </cell>
          <cell r="I1728" t="str">
            <v>Resultado</v>
          </cell>
          <cell r="J1728" t="str">
            <v>1. Ingresos Ordinarios</v>
          </cell>
          <cell r="K1728" t="str">
            <v>6. Venta de Servicios y Otros</v>
          </cell>
          <cell r="L1728" t="str">
            <v>EBITDA</v>
          </cell>
          <cell r="M1728" t="str">
            <v>MARGEN BRUTO</v>
          </cell>
          <cell r="N1728" t="str">
            <v>GANANCIAS (PERDIDAS) ANTES DE IMPUESTOS</v>
          </cell>
          <cell r="O1728" t="str">
            <v>GANANCIA (PÉRDIDA) NETA</v>
          </cell>
          <cell r="P1728" t="str">
            <v>Resultado Ingresos y Gastos Integrales</v>
          </cell>
          <cell r="Q1728" t="str">
            <v>I. Ganancia (pérdida), antes de impuestos</v>
          </cell>
          <cell r="R1728" t="str">
            <v>a. Ganancia bruta</v>
          </cell>
          <cell r="S1728" t="str">
            <v>1. Ingresos de actividades ordinarias</v>
          </cell>
          <cell r="T1728" t="str">
            <v>6. Venta de Servicios y Otros</v>
          </cell>
          <cell r="V1728" t="str">
            <v>I. Ingresos</v>
          </cell>
          <cell r="W1728" t="str">
            <v>1. Ingresos de Operación</v>
          </cell>
          <cell r="Z1728" t="str">
            <v>I. Ingresos Ordinarios</v>
          </cell>
          <cell r="AA1728" t="str">
            <v>7. Venta de Servicios y Otros</v>
          </cell>
          <cell r="AC1728" t="str">
            <v>I. Ingresos</v>
          </cell>
          <cell r="AD1728" t="str">
            <v>4. Otros servicios</v>
          </cell>
          <cell r="AE1728" t="str">
            <v>7. Ventas de Servicios y Otros</v>
          </cell>
          <cell r="AG1728" t="str">
            <v xml:space="preserve"> </v>
          </cell>
          <cell r="AH1728" t="str">
            <v>1. Ingresos de las actividades ordinarias procedentes de clientes externos</v>
          </cell>
        </row>
        <row r="1729">
          <cell r="D1729" t="str">
            <v>3130900000</v>
          </cell>
          <cell r="E1729" t="str">
            <v>3130900000</v>
          </cell>
          <cell r="F1729" t="str">
            <v>Ing Otros Arriendos</v>
          </cell>
          <cell r="G1729" t="str">
            <v>3130900000  Ing Otros Arriendos</v>
          </cell>
          <cell r="H1729" t="str">
            <v>Est. Resultado</v>
          </cell>
          <cell r="I1729" t="str">
            <v>Resultado</v>
          </cell>
          <cell r="J1729" t="str">
            <v>1. Ingresos Ordinarios</v>
          </cell>
          <cell r="K1729" t="str">
            <v>6. Venta de Servicios y Otros</v>
          </cell>
          <cell r="L1729" t="str">
            <v>EBITDA</v>
          </cell>
          <cell r="M1729" t="str">
            <v>MARGEN BRUTO</v>
          </cell>
          <cell r="N1729" t="str">
            <v>GANANCIAS (PERDIDAS) ANTES DE IMPUESTOS</v>
          </cell>
          <cell r="O1729" t="str">
            <v>GANANCIA (PÉRDIDA) NETA</v>
          </cell>
          <cell r="P1729" t="str">
            <v>Resultado Ingresos y Gastos Integrales</v>
          </cell>
          <cell r="Q1729" t="str">
            <v>I. Ganancia (pérdida), antes de impuestos</v>
          </cell>
          <cell r="R1729" t="str">
            <v>a. Ganancia bruta</v>
          </cell>
          <cell r="S1729" t="str">
            <v>1. Ingresos de actividades ordinarias</v>
          </cell>
          <cell r="T1729" t="str">
            <v>6. Venta de Servicios y Otros</v>
          </cell>
          <cell r="V1729" t="str">
            <v>I. Ingresos</v>
          </cell>
          <cell r="W1729" t="str">
            <v>1. Ingresos de Operación</v>
          </cell>
          <cell r="Z1729" t="str">
            <v>I. Ingresos Ordinarios</v>
          </cell>
          <cell r="AA1729" t="str">
            <v>7. Venta de Servicios y Otros</v>
          </cell>
          <cell r="AC1729" t="str">
            <v>I. Ingresos</v>
          </cell>
          <cell r="AD1729" t="str">
            <v>4. Otros servicios</v>
          </cell>
          <cell r="AE1729" t="str">
            <v>7. Ventas de Servicios y Otros</v>
          </cell>
          <cell r="AG1729" t="str">
            <v xml:space="preserve"> </v>
          </cell>
          <cell r="AH1729" t="str">
            <v>1. Ingresos de las actividades ordinarias procedentes de clientes externos</v>
          </cell>
        </row>
        <row r="1730">
          <cell r="D1730" t="str">
            <v>3131100000</v>
          </cell>
          <cell r="E1730" t="str">
            <v>3131100000</v>
          </cell>
          <cell r="F1730" t="str">
            <v>Ing Energia Electrica Traccion</v>
          </cell>
          <cell r="G1730" t="str">
            <v>3131100000  Ing Energia Electrica Traccion</v>
          </cell>
          <cell r="H1730" t="str">
            <v>Est. Resultado</v>
          </cell>
          <cell r="I1730" t="str">
            <v>Resultado</v>
          </cell>
          <cell r="J1730" t="str">
            <v>1. Ingresos Ordinarios</v>
          </cell>
          <cell r="K1730" t="str">
            <v>6. Venta de Servicios y Otros</v>
          </cell>
          <cell r="L1730" t="str">
            <v>EBITDA</v>
          </cell>
          <cell r="M1730" t="str">
            <v>MARGEN BRUTO</v>
          </cell>
          <cell r="N1730" t="str">
            <v>GANANCIAS (PERDIDAS) ANTES DE IMPUESTOS</v>
          </cell>
          <cell r="O1730" t="str">
            <v>GANANCIA (PÉRDIDA) NETA</v>
          </cell>
          <cell r="P1730" t="str">
            <v>Resultado Ingresos y Gastos Integrales</v>
          </cell>
          <cell r="Q1730" t="str">
            <v>I. Ganancia (pérdida), antes de impuestos</v>
          </cell>
          <cell r="R1730" t="str">
            <v>a. Ganancia bruta</v>
          </cell>
          <cell r="S1730" t="str">
            <v>1. Ingresos de actividades ordinarias</v>
          </cell>
          <cell r="T1730" t="str">
            <v>6. Venta de Servicios y Otros</v>
          </cell>
          <cell r="V1730" t="str">
            <v>I. Ingresos</v>
          </cell>
          <cell r="W1730" t="str">
            <v>1. Ingresos de Operación</v>
          </cell>
          <cell r="Z1730" t="str">
            <v>I. Ingresos Ordinarios</v>
          </cell>
          <cell r="AA1730" t="str">
            <v>7. Venta de Servicios y Otros</v>
          </cell>
          <cell r="AC1730" t="str">
            <v>I. Ingresos</v>
          </cell>
          <cell r="AD1730" t="str">
            <v>4. Otros servicios</v>
          </cell>
          <cell r="AE1730" t="str">
            <v>7. Ventas de Servicios y Otros</v>
          </cell>
          <cell r="AG1730" t="str">
            <v xml:space="preserve"> </v>
          </cell>
          <cell r="AH1730" t="str">
            <v>1. Ingresos de las actividades ordinarias procedentes de clientes externos</v>
          </cell>
        </row>
        <row r="1731">
          <cell r="D1731" t="str">
            <v>3131300000</v>
          </cell>
          <cell r="E1731" t="str">
            <v>3131300000</v>
          </cell>
          <cell r="F1731" t="str">
            <v>Ing Consumos Basicos</v>
          </cell>
          <cell r="G1731" t="str">
            <v>3131300000  Ing Consumos Basicos</v>
          </cell>
          <cell r="H1731" t="str">
            <v>Est. Resultado</v>
          </cell>
          <cell r="I1731" t="str">
            <v>Resultado</v>
          </cell>
          <cell r="J1731" t="str">
            <v>1. Ingresos Ordinarios</v>
          </cell>
          <cell r="K1731" t="str">
            <v>6. Venta de Servicios y Otros</v>
          </cell>
          <cell r="L1731" t="str">
            <v>EBITDA</v>
          </cell>
          <cell r="M1731" t="str">
            <v>MARGEN BRUTO</v>
          </cell>
          <cell r="N1731" t="str">
            <v>GANANCIAS (PERDIDAS) ANTES DE IMPUESTOS</v>
          </cell>
          <cell r="O1731" t="str">
            <v>GANANCIA (PÉRDIDA) NETA</v>
          </cell>
          <cell r="P1731" t="str">
            <v>Resultado Ingresos y Gastos Integrales</v>
          </cell>
          <cell r="Q1731" t="str">
            <v>I. Ganancia (pérdida), antes de impuestos</v>
          </cell>
          <cell r="R1731" t="str">
            <v>a. Ganancia bruta</v>
          </cell>
          <cell r="S1731" t="str">
            <v>1. Ingresos de actividades ordinarias</v>
          </cell>
          <cell r="T1731" t="str">
            <v>6. Venta de Servicios y Otros</v>
          </cell>
          <cell r="V1731" t="str">
            <v>I. Ingresos</v>
          </cell>
          <cell r="W1731" t="str">
            <v>1. Ingresos de Operación</v>
          </cell>
          <cell r="Z1731" t="str">
            <v>I. Ingresos Ordinarios</v>
          </cell>
          <cell r="AA1731" t="str">
            <v>7. Venta de Servicios y Otros</v>
          </cell>
          <cell r="AC1731" t="str">
            <v>I. Ingresos</v>
          </cell>
          <cell r="AD1731" t="str">
            <v>4. Otros servicios</v>
          </cell>
          <cell r="AE1731" t="str">
            <v>7. Ventas de Servicios y Otros</v>
          </cell>
          <cell r="AG1731" t="str">
            <v xml:space="preserve"> </v>
          </cell>
          <cell r="AH1731" t="str">
            <v>1. Ingresos de las actividades ordinarias procedentes de clientes externos</v>
          </cell>
        </row>
        <row r="1732">
          <cell r="D1732" t="str">
            <v>3132290000</v>
          </cell>
          <cell r="E1732" t="str">
            <v>3132290000</v>
          </cell>
          <cell r="F1732" t="str">
            <v>Ing Serv Capacitacion</v>
          </cell>
          <cell r="G1732" t="str">
            <v>3132290000  Ing Serv Capacitacion</v>
          </cell>
          <cell r="H1732" t="str">
            <v>Est. Resultado</v>
          </cell>
          <cell r="I1732" t="str">
            <v>Resultado</v>
          </cell>
          <cell r="J1732" t="str">
            <v>1. Ingresos Ordinarios</v>
          </cell>
          <cell r="K1732" t="str">
            <v>6. Venta de Servicios y Otros</v>
          </cell>
          <cell r="L1732" t="str">
            <v>EBITDA</v>
          </cell>
          <cell r="M1732" t="str">
            <v>MARGEN BRUTO</v>
          </cell>
          <cell r="N1732" t="str">
            <v>GANANCIAS (PERDIDAS) ANTES DE IMPUESTOS</v>
          </cell>
          <cell r="O1732" t="str">
            <v>GANANCIA (PÉRDIDA) NETA</v>
          </cell>
          <cell r="P1732" t="str">
            <v>Resultado Ingresos y Gastos Integrales</v>
          </cell>
          <cell r="Q1732" t="str">
            <v>I. Ganancia (pérdida), antes de impuestos</v>
          </cell>
          <cell r="R1732" t="str">
            <v>a. Ganancia bruta</v>
          </cell>
          <cell r="S1732" t="str">
            <v>1. Ingresos de actividades ordinarias</v>
          </cell>
          <cell r="T1732" t="str">
            <v>6. Venta de Servicios y Otros</v>
          </cell>
          <cell r="V1732" t="str">
            <v>I. Ingresos</v>
          </cell>
          <cell r="W1732" t="str">
            <v>1. Ingresos de Operación</v>
          </cell>
          <cell r="Z1732" t="str">
            <v>I. Ingresos Ordinarios</v>
          </cell>
          <cell r="AA1732" t="str">
            <v>7. Venta de Servicios y Otros</v>
          </cell>
          <cell r="AC1732" t="str">
            <v>I. Ingresos</v>
          </cell>
          <cell r="AD1732" t="str">
            <v>4. Otros servicios</v>
          </cell>
          <cell r="AE1732" t="str">
            <v>7. Ventas de Servicios y Otros</v>
          </cell>
          <cell r="AG1732" t="str">
            <v xml:space="preserve"> </v>
          </cell>
          <cell r="AH1732" t="str">
            <v>1. Ingresos de las actividades ordinarias procedentes de clientes externos</v>
          </cell>
        </row>
        <row r="1733">
          <cell r="D1733" t="str">
            <v>3132500000</v>
          </cell>
          <cell r="E1733" t="str">
            <v>3132500000</v>
          </cell>
          <cell r="F1733" t="str">
            <v>Ing Trabajos para Terceros</v>
          </cell>
          <cell r="G1733" t="str">
            <v>3132500000  Ing Trabajos para Terceros</v>
          </cell>
          <cell r="H1733" t="str">
            <v>Est. Resultado</v>
          </cell>
          <cell r="I1733" t="str">
            <v>Resultado</v>
          </cell>
          <cell r="J1733" t="str">
            <v>1. Ingresos Ordinarios</v>
          </cell>
          <cell r="K1733" t="str">
            <v>6. Venta de Servicios y Otros</v>
          </cell>
          <cell r="L1733" t="str">
            <v>EBITDA</v>
          </cell>
          <cell r="M1733" t="str">
            <v>MARGEN BRUTO</v>
          </cell>
          <cell r="N1733" t="str">
            <v>GANANCIAS (PERDIDAS) ANTES DE IMPUESTOS</v>
          </cell>
          <cell r="O1733" t="str">
            <v>GANANCIA (PÉRDIDA) NETA</v>
          </cell>
          <cell r="P1733" t="str">
            <v>Resultado Ingresos y Gastos Integrales</v>
          </cell>
          <cell r="Q1733" t="str">
            <v>I. Ganancia (pérdida), antes de impuestos</v>
          </cell>
          <cell r="R1733" t="str">
            <v>a. Ganancia bruta</v>
          </cell>
          <cell r="S1733" t="str">
            <v>1. Ingresos de actividades ordinarias</v>
          </cell>
          <cell r="T1733" t="str">
            <v>6. Venta de Servicios y Otros</v>
          </cell>
          <cell r="V1733" t="str">
            <v>I. Ingresos</v>
          </cell>
          <cell r="W1733" t="str">
            <v>1. Ingresos de Operación</v>
          </cell>
          <cell r="Z1733" t="str">
            <v>I. Ingresos Ordinarios</v>
          </cell>
          <cell r="AA1733" t="str">
            <v>7. Venta de Servicios y Otros</v>
          </cell>
          <cell r="AC1733" t="str">
            <v>I. Ingresos</v>
          </cell>
          <cell r="AD1733" t="str">
            <v>4. Otros servicios</v>
          </cell>
          <cell r="AE1733" t="str">
            <v>7. Ventas de Servicios y Otros</v>
          </cell>
          <cell r="AG1733" t="str">
            <v xml:space="preserve"> </v>
          </cell>
          <cell r="AH1733" t="str">
            <v>1. Ingresos de las actividades ordinarias procedentes de clientes externos</v>
          </cell>
        </row>
        <row r="1734">
          <cell r="D1734" t="str">
            <v>3132900000</v>
          </cell>
          <cell r="E1734" t="str">
            <v>3132900000</v>
          </cell>
          <cell r="F1734" t="str">
            <v>Ing Otras Prestaciones</v>
          </cell>
          <cell r="G1734" t="str">
            <v>3132900000  Ing Otras Prestaciones</v>
          </cell>
          <cell r="H1734" t="str">
            <v>Est. Resultado</v>
          </cell>
          <cell r="I1734" t="str">
            <v>Resultado</v>
          </cell>
          <cell r="J1734" t="str">
            <v>1. Ingresos Ordinarios</v>
          </cell>
          <cell r="K1734" t="str">
            <v>6. Venta de Servicios y Otros</v>
          </cell>
          <cell r="L1734" t="str">
            <v>EBITDA</v>
          </cell>
          <cell r="M1734" t="str">
            <v>MARGEN BRUTO</v>
          </cell>
          <cell r="N1734" t="str">
            <v>GANANCIAS (PERDIDAS) ANTES DE IMPUESTOS</v>
          </cell>
          <cell r="O1734" t="str">
            <v>GANANCIA (PÉRDIDA) NETA</v>
          </cell>
          <cell r="P1734" t="str">
            <v>Resultado Ingresos y Gastos Integrales</v>
          </cell>
          <cell r="Q1734" t="str">
            <v>I. Ganancia (pérdida), antes de impuestos</v>
          </cell>
          <cell r="R1734" t="str">
            <v>a. Ganancia bruta</v>
          </cell>
          <cell r="S1734" t="str">
            <v>1. Ingresos de actividades ordinarias</v>
          </cell>
          <cell r="T1734" t="str">
            <v>6. Venta de Servicios y Otros</v>
          </cell>
          <cell r="V1734" t="str">
            <v>I. Ingresos</v>
          </cell>
          <cell r="W1734" t="str">
            <v>1. Ingresos de Operación</v>
          </cell>
          <cell r="Z1734" t="str">
            <v>I. Ingresos Ordinarios</v>
          </cell>
          <cell r="AA1734" t="str">
            <v>7. Venta de Servicios y Otros</v>
          </cell>
          <cell r="AC1734" t="str">
            <v>I. Ingresos</v>
          </cell>
          <cell r="AD1734" t="str">
            <v>4. Otros servicios</v>
          </cell>
          <cell r="AE1734" t="str">
            <v>7. Ventas de Servicios y Otros</v>
          </cell>
          <cell r="AG1734" t="str">
            <v xml:space="preserve"> </v>
          </cell>
          <cell r="AH1734" t="str">
            <v>1. Ingresos de las actividades ordinarias procedentes de clientes externos</v>
          </cell>
        </row>
        <row r="1735">
          <cell r="D1735" t="str">
            <v>3133000000</v>
          </cell>
          <cell r="E1735" t="str">
            <v>3133000000</v>
          </cell>
          <cell r="F1735" t="str">
            <v>Ing Publicidad</v>
          </cell>
          <cell r="G1735" t="str">
            <v>3133000000  Ing Publicidad</v>
          </cell>
          <cell r="H1735" t="str">
            <v>Est. Resultado</v>
          </cell>
          <cell r="I1735" t="str">
            <v>Resultado</v>
          </cell>
          <cell r="J1735" t="str">
            <v>1. Ingresos Ordinarios</v>
          </cell>
          <cell r="K1735" t="str">
            <v>6. Venta de Servicios y Otros</v>
          </cell>
          <cell r="L1735" t="str">
            <v>EBITDA</v>
          </cell>
          <cell r="M1735" t="str">
            <v>MARGEN BRUTO</v>
          </cell>
          <cell r="N1735" t="str">
            <v>GANANCIAS (PERDIDAS) ANTES DE IMPUESTOS</v>
          </cell>
          <cell r="O1735" t="str">
            <v>GANANCIA (PÉRDIDA) NETA</v>
          </cell>
          <cell r="P1735" t="str">
            <v>Resultado Ingresos y Gastos Integrales</v>
          </cell>
          <cell r="Q1735" t="str">
            <v>I. Ganancia (pérdida), antes de impuestos</v>
          </cell>
          <cell r="R1735" t="str">
            <v>a. Ganancia bruta</v>
          </cell>
          <cell r="S1735" t="str">
            <v>1. Ingresos de actividades ordinarias</v>
          </cell>
          <cell r="T1735" t="str">
            <v>6. Venta de Servicios y Otros</v>
          </cell>
          <cell r="V1735" t="str">
            <v>I. Ingresos</v>
          </cell>
          <cell r="W1735" t="str">
            <v>1. Ingresos de Operación</v>
          </cell>
          <cell r="Z1735" t="str">
            <v>I. Ingresos Ordinarios</v>
          </cell>
          <cell r="AA1735" t="str">
            <v>7. Venta de Servicios y Otros</v>
          </cell>
          <cell r="AC1735" t="str">
            <v>I. Ingresos</v>
          </cell>
          <cell r="AD1735" t="str">
            <v>4. Otros servicios</v>
          </cell>
          <cell r="AE1735" t="str">
            <v>7. Ventas de Servicios y Otros</v>
          </cell>
          <cell r="AG1735" t="str">
            <v xml:space="preserve"> </v>
          </cell>
          <cell r="AH1735" t="str">
            <v>1. Ingresos de las actividades ordinarias procedentes de clientes externos</v>
          </cell>
        </row>
        <row r="1736">
          <cell r="D1736" t="str">
            <v>3133100000</v>
          </cell>
          <cell r="E1736" t="str">
            <v>3133100000</v>
          </cell>
          <cell r="F1736" t="str">
            <v>Ing Arriendo Paseo Estacion</v>
          </cell>
          <cell r="G1736" t="str">
            <v>3133100000  Ing Arriendo Paseo Estacion</v>
          </cell>
          <cell r="H1736" t="str">
            <v>Est. Resultado</v>
          </cell>
          <cell r="I1736" t="str">
            <v>Resultado</v>
          </cell>
          <cell r="J1736" t="str">
            <v>1. Ingresos Ordinarios</v>
          </cell>
          <cell r="K1736" t="str">
            <v>6. Venta de Servicios y Otros</v>
          </cell>
          <cell r="L1736" t="str">
            <v>EBITDA</v>
          </cell>
          <cell r="M1736" t="str">
            <v>MARGEN BRUTO</v>
          </cell>
          <cell r="N1736" t="str">
            <v>GANANCIAS (PERDIDAS) ANTES DE IMPUESTOS</v>
          </cell>
          <cell r="O1736" t="str">
            <v>GANANCIA (PÉRDIDA) NETA</v>
          </cell>
          <cell r="P1736" t="str">
            <v>Resultado Ingresos y Gastos Integrales</v>
          </cell>
          <cell r="Q1736" t="str">
            <v>I. Ganancia (pérdida), antes de impuestos</v>
          </cell>
          <cell r="R1736" t="str">
            <v>a. Ganancia bruta</v>
          </cell>
          <cell r="S1736" t="str">
            <v>1. Ingresos de actividades ordinarias</v>
          </cell>
          <cell r="T1736" t="str">
            <v>6. Venta de Servicios y Otros</v>
          </cell>
          <cell r="V1736" t="str">
            <v>I. Ingresos</v>
          </cell>
          <cell r="W1736" t="str">
            <v>1. Ingresos de Operación</v>
          </cell>
          <cell r="Z1736" t="str">
            <v>I. Ingresos Ordinarios</v>
          </cell>
          <cell r="AA1736" t="str">
            <v>7. Venta de Servicios y Otros</v>
          </cell>
          <cell r="AC1736" t="str">
            <v>I. Ingresos</v>
          </cell>
          <cell r="AD1736" t="str">
            <v>4. Otros servicios</v>
          </cell>
          <cell r="AE1736" t="str">
            <v>7. Ventas de Servicios y Otros</v>
          </cell>
          <cell r="AG1736" t="str">
            <v xml:space="preserve"> </v>
          </cell>
          <cell r="AH1736" t="str">
            <v>1. Ingresos de las actividades ordinarias procedentes de clientes externos</v>
          </cell>
        </row>
        <row r="1737">
          <cell r="D1737" t="str">
            <v>3240300020</v>
          </cell>
          <cell r="E1737" t="str">
            <v>3240300020</v>
          </cell>
          <cell r="F1737" t="str">
            <v>Ing Serv Vta Pax</v>
          </cell>
          <cell r="G1737" t="str">
            <v>3240300020  Ing Serv Vta Pax</v>
          </cell>
          <cell r="H1737" t="str">
            <v>Est. Resultado</v>
          </cell>
          <cell r="I1737" t="str">
            <v>Resultado</v>
          </cell>
          <cell r="J1737" t="str">
            <v>1. Ingresos Ordinarios</v>
          </cell>
          <cell r="K1737" t="str">
            <v>6. Venta de Servicios y Otros</v>
          </cell>
          <cell r="L1737" t="str">
            <v>EBITDA</v>
          </cell>
          <cell r="M1737" t="str">
            <v>MARGEN BRUTO</v>
          </cell>
          <cell r="N1737" t="str">
            <v>GANANCIAS (PERDIDAS) ANTES DE IMPUESTOS</v>
          </cell>
          <cell r="O1737" t="str">
            <v>GANANCIA (PÉRDIDA) NETA</v>
          </cell>
          <cell r="P1737" t="str">
            <v>Resultado Ingresos y Gastos Integrales</v>
          </cell>
          <cell r="Q1737" t="str">
            <v>I. Ganancia (pérdida), antes de impuestos</v>
          </cell>
          <cell r="R1737" t="str">
            <v>a. Ganancia bruta</v>
          </cell>
          <cell r="S1737" t="str">
            <v>1. Ingresos de actividades ordinarias</v>
          </cell>
          <cell r="T1737" t="str">
            <v>6. Venta de Servicios y Otros</v>
          </cell>
          <cell r="V1737" t="str">
            <v>I. Ingresos</v>
          </cell>
          <cell r="W1737" t="str">
            <v>1. Ingresos de Operación</v>
          </cell>
          <cell r="Z1737" t="str">
            <v>I. Ingresos Ordinarios</v>
          </cell>
          <cell r="AA1737" t="str">
            <v>7. Venta de Servicios y Otros</v>
          </cell>
          <cell r="AC1737" t="str">
            <v>I. Ingresos</v>
          </cell>
          <cell r="AD1737" t="str">
            <v>4. Otros servicios</v>
          </cell>
          <cell r="AE1737" t="str">
            <v>7. Ventas de Servicios y Otros</v>
          </cell>
          <cell r="AG1737" t="str">
            <v xml:space="preserve"> </v>
          </cell>
          <cell r="AH1737" t="str">
            <v>1. Ingresos de las actividades ordinarias procedentes de clientes externos</v>
          </cell>
        </row>
        <row r="1738">
          <cell r="D1738">
            <v>0</v>
          </cell>
          <cell r="G1738" t="str">
            <v/>
          </cell>
          <cell r="H1738" t="str">
            <v>Est. Resultado</v>
          </cell>
          <cell r="I1738" t="str">
            <v>Resultado</v>
          </cell>
          <cell r="J1738" t="str">
            <v>1. Ingresos Ordinarios</v>
          </cell>
          <cell r="K1738" t="str">
            <v>6. Venta de Servicios y Otros</v>
          </cell>
          <cell r="L1738" t="str">
            <v>EBITDA</v>
          </cell>
          <cell r="M1738" t="str">
            <v>MARGEN BRUTO</v>
          </cell>
          <cell r="N1738" t="str">
            <v>GANANCIAS (PERDIDAS) ANTES DE IMPUESTOS</v>
          </cell>
          <cell r="O1738" t="str">
            <v>GANANCIA (PÉRDIDA) NETA</v>
          </cell>
          <cell r="P1738" t="str">
            <v>Resultado Ingresos y Gastos Integrales</v>
          </cell>
          <cell r="Q1738" t="str">
            <v>I. Ganancia (pérdida), antes de impuestos</v>
          </cell>
          <cell r="R1738" t="str">
            <v>a. Ganancia bruta</v>
          </cell>
          <cell r="S1738" t="str">
            <v>1. Ingresos de actividades ordinarias</v>
          </cell>
          <cell r="T1738" t="str">
            <v>6. Venta de Servicios y Otros</v>
          </cell>
          <cell r="V1738" t="str">
            <v>I. Ingresos</v>
          </cell>
          <cell r="W1738" t="str">
            <v>1. Ingresos de Operación</v>
          </cell>
          <cell r="Z1738" t="str">
            <v>I. Ingresos Ordinarios</v>
          </cell>
          <cell r="AA1738" t="str">
            <v>7. Venta de Servicios y Otros</v>
          </cell>
          <cell r="AC1738" t="str">
            <v>I. Ingresos</v>
          </cell>
          <cell r="AD1738" t="str">
            <v>4. Otros servicios</v>
          </cell>
          <cell r="AE1738" t="str">
            <v>7. Ventas de Servicios y Otros</v>
          </cell>
          <cell r="AG1738" t="str">
            <v xml:space="preserve"> </v>
          </cell>
          <cell r="AH1738" t="str">
            <v>1. Ingresos de las actividades ordinarias procedentes de clientes externos</v>
          </cell>
        </row>
        <row r="1739">
          <cell r="D1739">
            <v>0</v>
          </cell>
          <cell r="G1739" t="str">
            <v/>
          </cell>
          <cell r="H1739" t="str">
            <v>Est. Resultado</v>
          </cell>
          <cell r="I1739" t="str">
            <v>Resultado</v>
          </cell>
          <cell r="J1739" t="str">
            <v>1. Ingresos Ordinarios</v>
          </cell>
          <cell r="K1739" t="str">
            <v>6. Venta de Servicios y Otros</v>
          </cell>
          <cell r="L1739" t="str">
            <v>EBITDA</v>
          </cell>
          <cell r="M1739" t="str">
            <v>MARGEN BRUTO</v>
          </cell>
          <cell r="N1739" t="str">
            <v>GANANCIAS (PERDIDAS) ANTES DE IMPUESTOS</v>
          </cell>
          <cell r="O1739" t="str">
            <v>GANANCIA (PÉRDIDA) NETA</v>
          </cell>
          <cell r="P1739" t="str">
            <v>Resultado Ingresos y Gastos Integrales</v>
          </cell>
          <cell r="Q1739" t="str">
            <v>I. Ganancia (pérdida), antes de impuestos</v>
          </cell>
          <cell r="R1739" t="str">
            <v>a. Ganancia bruta</v>
          </cell>
          <cell r="S1739" t="str">
            <v>1. Ingresos de actividades ordinarias</v>
          </cell>
          <cell r="T1739" t="str">
            <v>6. Venta de Servicios y Otros</v>
          </cell>
          <cell r="V1739" t="str">
            <v>I. Ingresos</v>
          </cell>
          <cell r="W1739" t="str">
            <v>1. Ingresos de Operación</v>
          </cell>
          <cell r="Z1739" t="str">
            <v>I. Ingresos Ordinarios</v>
          </cell>
          <cell r="AA1739" t="str">
            <v>7. Venta de Servicios y Otros</v>
          </cell>
          <cell r="AC1739" t="str">
            <v>I. Ingresos</v>
          </cell>
          <cell r="AD1739" t="str">
            <v>4. Otros servicios</v>
          </cell>
          <cell r="AE1739" t="str">
            <v>7. Ventas de Servicios y Otros</v>
          </cell>
          <cell r="AG1739" t="str">
            <v xml:space="preserve"> </v>
          </cell>
          <cell r="AH1739" t="str">
            <v>1. Ingresos de las actividades ordinarias procedentes de clientes externos</v>
          </cell>
        </row>
        <row r="1740">
          <cell r="D1740" t="str">
            <v>Venta de Servicios y Otros</v>
          </cell>
          <cell r="E1740" t="str">
            <v>Venta de Servicios y Otros</v>
          </cell>
          <cell r="G1740" t="str">
            <v xml:space="preserve">Venta de Servicios y Otros  </v>
          </cell>
          <cell r="H1740" t="str">
            <v/>
          </cell>
          <cell r="I1740" t="str">
            <v/>
          </cell>
          <cell r="J1740" t="str">
            <v/>
          </cell>
          <cell r="L1740" t="str">
            <v/>
          </cell>
          <cell r="M1740" t="str">
            <v/>
          </cell>
          <cell r="N1740" t="str">
            <v/>
          </cell>
          <cell r="O1740" t="str">
            <v/>
          </cell>
          <cell r="P1740" t="str">
            <v/>
          </cell>
          <cell r="S1740" t="str">
            <v/>
          </cell>
        </row>
        <row r="1741">
          <cell r="D1741" t="str">
            <v>3141100000</v>
          </cell>
          <cell r="E1741" t="str">
            <v>3141100000</v>
          </cell>
          <cell r="F1741" t="str">
            <v>Sub Ramal Talca-Conc</v>
          </cell>
          <cell r="G1741" t="str">
            <v>3141100000  Sub Ramal Talca-Conc</v>
          </cell>
          <cell r="H1741" t="str">
            <v>Est. Resultado</v>
          </cell>
          <cell r="I1741" t="str">
            <v>Resultado</v>
          </cell>
          <cell r="J1741" t="str">
            <v>1. Ingresos Ordinarios</v>
          </cell>
          <cell r="K1741" t="str">
            <v>7. Transferencias Sector Público</v>
          </cell>
          <cell r="L1741" t="str">
            <v>EBITDA</v>
          </cell>
          <cell r="M1741" t="str">
            <v>MARGEN BRUTO</v>
          </cell>
          <cell r="N1741" t="str">
            <v>GANANCIAS (PERDIDAS) ANTES DE IMPUESTOS</v>
          </cell>
          <cell r="O1741" t="str">
            <v>GANANCIA (PÉRDIDA) NETA</v>
          </cell>
          <cell r="P1741" t="str">
            <v>Resultado Ingresos y Gastos Integrales</v>
          </cell>
          <cell r="Q1741" t="str">
            <v>I. Ganancia (pérdida), antes de impuestos</v>
          </cell>
          <cell r="R1741" t="str">
            <v>a. Ganancia bruta</v>
          </cell>
          <cell r="S1741" t="str">
            <v>1. Ingresos de actividades ordinarias</v>
          </cell>
          <cell r="T1741" t="str">
            <v>7. Transferencias Sector Público</v>
          </cell>
          <cell r="V1741" t="str">
            <v>I. Ingresos</v>
          </cell>
          <cell r="W1741" t="str">
            <v>6. Transferencias</v>
          </cell>
          <cell r="X1741" t="str">
            <v>62. Del Sector Público</v>
          </cell>
          <cell r="Y1741" t="str">
            <v>3. Ley de presupuesto</v>
          </cell>
          <cell r="Z1741" t="str">
            <v>I. Ingresos Ordinarios</v>
          </cell>
          <cell r="AA1741" t="str">
            <v>8. Aporte Sector Público</v>
          </cell>
          <cell r="AC1741" t="str">
            <v>I. Ingresos</v>
          </cell>
          <cell r="AD1741" t="str">
            <v>1. Pasajeros</v>
          </cell>
          <cell r="AE1741" t="str">
            <v>8. Aporte Sector Público</v>
          </cell>
          <cell r="AG1741" t="str">
            <v xml:space="preserve"> </v>
          </cell>
          <cell r="AH1741" t="str">
            <v>1. Ingresos de las actividades ordinarias procedentes de clientes externos</v>
          </cell>
        </row>
        <row r="1742">
          <cell r="D1742" t="str">
            <v>3142100000</v>
          </cell>
          <cell r="E1742" t="str">
            <v>3142100000</v>
          </cell>
          <cell r="F1742" t="str">
            <v>Subsidio Ministerio Transporte</v>
          </cell>
          <cell r="G1742" t="str">
            <v>3142100000  Subsidio Ministerio Transporte</v>
          </cell>
          <cell r="H1742" t="str">
            <v>Est. Resultado</v>
          </cell>
          <cell r="I1742" t="str">
            <v>Resultado</v>
          </cell>
          <cell r="J1742" t="str">
            <v>1. Ingresos Ordinarios</v>
          </cell>
          <cell r="K1742" t="str">
            <v>7. Transferencias Sector Público</v>
          </cell>
          <cell r="L1742" t="str">
            <v>EBITDA</v>
          </cell>
          <cell r="M1742" t="str">
            <v>MARGEN BRUTO</v>
          </cell>
          <cell r="N1742" t="str">
            <v>GANANCIAS (PERDIDAS) ANTES DE IMPUESTOS</v>
          </cell>
          <cell r="O1742" t="str">
            <v>GANANCIA (PÉRDIDA) NETA</v>
          </cell>
          <cell r="P1742" t="str">
            <v>Resultado Ingresos y Gastos Integrales</v>
          </cell>
          <cell r="Q1742" t="str">
            <v>I. Ganancia (pérdida), antes de impuestos</v>
          </cell>
          <cell r="R1742" t="str">
            <v>a. Ganancia bruta</v>
          </cell>
          <cell r="S1742" t="str">
            <v>1. Ingresos de actividades ordinarias</v>
          </cell>
          <cell r="T1742" t="str">
            <v>7. Transferencias Sector Público</v>
          </cell>
          <cell r="V1742" t="str">
            <v>I. Ingresos</v>
          </cell>
          <cell r="W1742" t="str">
            <v>6. Transferencias</v>
          </cell>
          <cell r="X1742" t="str">
            <v>62. Del Sector Público</v>
          </cell>
          <cell r="Y1742" t="str">
            <v>2. Aportes Gobierno regional</v>
          </cell>
          <cell r="Z1742" t="str">
            <v>I. Ingresos Ordinarios</v>
          </cell>
          <cell r="AA1742" t="str">
            <v>8. Aporte Sector Público</v>
          </cell>
          <cell r="AC1742" t="str">
            <v>I. Ingresos</v>
          </cell>
          <cell r="AD1742" t="str">
            <v>1. Pasajeros</v>
          </cell>
          <cell r="AE1742" t="str">
            <v>8. Aporte Sector Público</v>
          </cell>
          <cell r="AG1742" t="str">
            <v xml:space="preserve"> </v>
          </cell>
          <cell r="AH1742" t="str">
            <v>1. Ingresos de las actividades ordinarias procedentes de clientes externos</v>
          </cell>
        </row>
        <row r="1743">
          <cell r="D1743">
            <v>0</v>
          </cell>
          <cell r="G1743" t="str">
            <v/>
          </cell>
        </row>
        <row r="1744">
          <cell r="D1744">
            <v>0</v>
          </cell>
          <cell r="G1744" t="str">
            <v/>
          </cell>
        </row>
        <row r="1745">
          <cell r="D1745">
            <v>0</v>
          </cell>
          <cell r="G1745" t="str">
            <v/>
          </cell>
        </row>
        <row r="1746">
          <cell r="D1746" t="str">
            <v>Transferencias Sector Publico</v>
          </cell>
          <cell r="E1746" t="str">
            <v>Transferencias Sector Publico</v>
          </cell>
          <cell r="G1746" t="str">
            <v xml:space="preserve">Transferencias Sector Publico  </v>
          </cell>
          <cell r="H1746" t="str">
            <v/>
          </cell>
          <cell r="I1746" t="str">
            <v/>
          </cell>
          <cell r="J1746" t="str">
            <v/>
          </cell>
          <cell r="L1746" t="str">
            <v/>
          </cell>
          <cell r="M1746" t="str">
            <v/>
          </cell>
          <cell r="N1746" t="str">
            <v/>
          </cell>
          <cell r="O1746" t="str">
            <v/>
          </cell>
          <cell r="P1746" t="str">
            <v/>
          </cell>
          <cell r="S1746" t="str">
            <v/>
          </cell>
        </row>
        <row r="1747">
          <cell r="D1747" t="str">
            <v>3240010001</v>
          </cell>
          <cell r="E1747" t="str">
            <v>3240010001</v>
          </cell>
          <cell r="F1747" t="str">
            <v>Ing Rec Serv Mantencion Vias</v>
          </cell>
          <cell r="G1747" t="str">
            <v>3240010001  Ing Rec Serv Mantencion Vias</v>
          </cell>
          <cell r="H1747" t="str">
            <v>Est. Resultado</v>
          </cell>
          <cell r="I1747" t="str">
            <v>Resultado</v>
          </cell>
          <cell r="J1747" t="str">
            <v>1. Ingresos Ordinarios</v>
          </cell>
          <cell r="K1747" t="str">
            <v>8. Ing Rec Filial Explotación</v>
          </cell>
          <cell r="L1747" t="str">
            <v>EBITDA</v>
          </cell>
          <cell r="M1747" t="str">
            <v>MARGEN BRUTO</v>
          </cell>
          <cell r="N1747" t="str">
            <v>GANANCIAS (PERDIDAS) ANTES DE IMPUESTOS</v>
          </cell>
          <cell r="O1747" t="str">
            <v>GANANCIA (PÉRDIDA) NETA</v>
          </cell>
          <cell r="P1747" t="str">
            <v>Resultado Ingresos y Gastos Integrales</v>
          </cell>
          <cell r="Q1747" t="str">
            <v>I. Ganancia (pérdida), antes de impuestos</v>
          </cell>
          <cell r="R1747" t="str">
            <v>a. Ganancia bruta</v>
          </cell>
          <cell r="S1747" t="str">
            <v>1. Ingresos de actividades ordinarias</v>
          </cell>
          <cell r="T1747" t="str">
            <v>8. Ing Rec Filial Explotación</v>
          </cell>
          <cell r="V1747" t="str">
            <v>I. Ingresos</v>
          </cell>
          <cell r="W1747" t="str">
            <v>1. Ingresos de Operación</v>
          </cell>
          <cell r="Z1747" t="str">
            <v>I. Ingresos Ordinarios</v>
          </cell>
          <cell r="AA1747" t="str">
            <v>9. Ing Rec Filial Explotación</v>
          </cell>
          <cell r="AC1747" t="str">
            <v>I. Ingresos</v>
          </cell>
          <cell r="AD1747" t="str">
            <v>5. Ing. por cobros a Filiales</v>
          </cell>
          <cell r="AE1747" t="str">
            <v>1. Ing. Rec. Filial Exp.</v>
          </cell>
          <cell r="AG1747" t="str">
            <v xml:space="preserve"> </v>
          </cell>
          <cell r="AH1747" t="str">
            <v>2. Ingresos de las actividades ordinarias entre segmentos</v>
          </cell>
        </row>
        <row r="1748">
          <cell r="D1748" t="str">
            <v>3240050000</v>
          </cell>
          <cell r="E1748" t="str">
            <v>3240050000</v>
          </cell>
          <cell r="F1748" t="str">
            <v>Ing Rec Serv Mantencion SEC</v>
          </cell>
          <cell r="G1748" t="str">
            <v>3240050000  Ing Rec Serv Mantencion SEC</v>
          </cell>
          <cell r="H1748" t="str">
            <v>Est. Resultado</v>
          </cell>
          <cell r="I1748" t="str">
            <v>Resultado</v>
          </cell>
          <cell r="J1748" t="str">
            <v>1. Ingresos Ordinarios</v>
          </cell>
          <cell r="K1748" t="str">
            <v>8. Ing Rec Filial Explotación</v>
          </cell>
          <cell r="L1748" t="str">
            <v>EBITDA</v>
          </cell>
          <cell r="M1748" t="str">
            <v>MARGEN BRUTO</v>
          </cell>
          <cell r="N1748" t="str">
            <v>GANANCIAS (PERDIDAS) ANTES DE IMPUESTOS</v>
          </cell>
          <cell r="O1748" t="str">
            <v>GANANCIA (PÉRDIDA) NETA</v>
          </cell>
          <cell r="P1748" t="str">
            <v>Resultado Ingresos y Gastos Integrales</v>
          </cell>
          <cell r="Q1748" t="str">
            <v>I. Ganancia (pérdida), antes de impuestos</v>
          </cell>
          <cell r="R1748" t="str">
            <v>a. Ganancia bruta</v>
          </cell>
          <cell r="S1748" t="str">
            <v>1. Ingresos de actividades ordinarias</v>
          </cell>
          <cell r="T1748" t="str">
            <v>8. Ing Rec Filial Explotación</v>
          </cell>
          <cell r="V1748" t="str">
            <v>I. Ingresos</v>
          </cell>
          <cell r="W1748" t="str">
            <v>1. Ingresos de Operación</v>
          </cell>
          <cell r="Z1748" t="str">
            <v>I. Ingresos Ordinarios</v>
          </cell>
          <cell r="AA1748" t="str">
            <v>9. Ing Rec Filial Explotación</v>
          </cell>
          <cell r="AC1748" t="str">
            <v>I. Ingresos</v>
          </cell>
          <cell r="AD1748" t="str">
            <v>5. Ing. por cobros a Filiales</v>
          </cell>
          <cell r="AE1748" t="str">
            <v>1. Ing. Rec. Filial Exp.</v>
          </cell>
          <cell r="AG1748" t="str">
            <v xml:space="preserve"> </v>
          </cell>
          <cell r="AH1748" t="str">
            <v>2. Ingresos de las actividades ordinarias entre segmentos</v>
          </cell>
        </row>
        <row r="1749">
          <cell r="D1749" t="str">
            <v>3240160001</v>
          </cell>
          <cell r="E1749" t="str">
            <v>3240160001</v>
          </cell>
          <cell r="F1749" t="str">
            <v>Ing Rec Serv Mantencion UT440</v>
          </cell>
          <cell r="G1749" t="str">
            <v>3240160001  Ing Rec Serv Mantencion UT440</v>
          </cell>
          <cell r="H1749" t="str">
            <v>Est. Resultado</v>
          </cell>
          <cell r="I1749" t="str">
            <v>Resultado</v>
          </cell>
          <cell r="J1749" t="str">
            <v>1. Ingresos Ordinarios</v>
          </cell>
          <cell r="K1749" t="str">
            <v>8. Ing Rec Filial Explotación</v>
          </cell>
          <cell r="L1749" t="str">
            <v>EBITDA</v>
          </cell>
          <cell r="M1749" t="str">
            <v>MARGEN BRUTO</v>
          </cell>
          <cell r="N1749" t="str">
            <v>GANANCIAS (PERDIDAS) ANTES DE IMPUESTOS</v>
          </cell>
          <cell r="O1749" t="str">
            <v>GANANCIA (PÉRDIDA) NETA</v>
          </cell>
          <cell r="P1749" t="str">
            <v>Resultado Ingresos y Gastos Integrales</v>
          </cell>
          <cell r="Q1749" t="str">
            <v>I. Ganancia (pérdida), antes de impuestos</v>
          </cell>
          <cell r="R1749" t="str">
            <v>a. Ganancia bruta</v>
          </cell>
          <cell r="S1749" t="str">
            <v>1. Ingresos de actividades ordinarias</v>
          </cell>
          <cell r="T1749" t="str">
            <v>8. Ing Rec Filial Explotación</v>
          </cell>
          <cell r="V1749" t="str">
            <v>I. Ingresos</v>
          </cell>
          <cell r="W1749" t="str">
            <v>1. Ingresos de Operación</v>
          </cell>
          <cell r="Z1749" t="str">
            <v>I. Ingresos Ordinarios</v>
          </cell>
          <cell r="AA1749" t="str">
            <v>9. Ing Rec Filial Explotación</v>
          </cell>
          <cell r="AC1749" t="str">
            <v>I. Ingresos</v>
          </cell>
          <cell r="AD1749" t="str">
            <v>5. Ing. por cobros a Filiales</v>
          </cell>
          <cell r="AE1749" t="str">
            <v>1. Ing. Rec. Filial Exp.</v>
          </cell>
          <cell r="AG1749" t="str">
            <v xml:space="preserve"> </v>
          </cell>
          <cell r="AH1749" t="str">
            <v>2. Ingresos de las actividades ordinarias entre segmentos</v>
          </cell>
        </row>
        <row r="1750">
          <cell r="D1750" t="str">
            <v>3240170001</v>
          </cell>
          <cell r="E1750" t="str">
            <v>3240170001</v>
          </cell>
          <cell r="F1750" t="str">
            <v>Ing Rec Serv Mantencion UT444</v>
          </cell>
          <cell r="G1750" t="str">
            <v>3240170001  Ing Rec Serv Mantencion UT444</v>
          </cell>
          <cell r="H1750" t="str">
            <v>Est. Resultado</v>
          </cell>
          <cell r="I1750" t="str">
            <v>Resultado</v>
          </cell>
          <cell r="J1750" t="str">
            <v>1. Ingresos Ordinarios</v>
          </cell>
          <cell r="K1750" t="str">
            <v>8. Ing Rec Filial Explotación</v>
          </cell>
          <cell r="L1750" t="str">
            <v>EBITDA</v>
          </cell>
          <cell r="M1750" t="str">
            <v>MARGEN BRUTO</v>
          </cell>
          <cell r="N1750" t="str">
            <v>GANANCIAS (PERDIDAS) ANTES DE IMPUESTOS</v>
          </cell>
          <cell r="O1750" t="str">
            <v>GANANCIA (PÉRDIDA) NETA</v>
          </cell>
          <cell r="P1750" t="str">
            <v>Resultado Ingresos y Gastos Integrales</v>
          </cell>
          <cell r="Q1750" t="str">
            <v>I. Ganancia (pérdida), antes de impuestos</v>
          </cell>
          <cell r="R1750" t="str">
            <v>a. Ganancia bruta</v>
          </cell>
          <cell r="S1750" t="str">
            <v>1. Ingresos de actividades ordinarias</v>
          </cell>
          <cell r="T1750" t="str">
            <v>8. Ing Rec Filial Explotación</v>
          </cell>
          <cell r="V1750" t="str">
            <v>I. Ingresos</v>
          </cell>
          <cell r="W1750" t="str">
            <v>1. Ingresos de Operación</v>
          </cell>
          <cell r="Z1750" t="str">
            <v>I. Ingresos Ordinarios</v>
          </cell>
          <cell r="AA1750" t="str">
            <v>9. Ing Rec Filial Explotación</v>
          </cell>
          <cell r="AC1750" t="str">
            <v>I. Ingresos</v>
          </cell>
          <cell r="AD1750" t="str">
            <v>5. Ing. por cobros a Filiales</v>
          </cell>
          <cell r="AE1750" t="str">
            <v>1. Ing. Rec. Filial Exp.</v>
          </cell>
          <cell r="AG1750" t="str">
            <v xml:space="preserve"> </v>
          </cell>
          <cell r="AH1750" t="str">
            <v>2. Ingresos de las actividades ordinarias entre segmentos</v>
          </cell>
        </row>
        <row r="1751">
          <cell r="D1751" t="str">
            <v>3240210001</v>
          </cell>
          <cell r="E1751" t="str">
            <v>3240210001</v>
          </cell>
          <cell r="F1751" t="str">
            <v>Ing Rec Serv Terceros</v>
          </cell>
          <cell r="G1751" t="str">
            <v>3240210001  Ing Rec Serv Terceros</v>
          </cell>
          <cell r="H1751" t="str">
            <v>Est. Resultado</v>
          </cell>
          <cell r="I1751" t="str">
            <v>Resultado</v>
          </cell>
          <cell r="J1751" t="str">
            <v>1. Ingresos Ordinarios</v>
          </cell>
          <cell r="K1751" t="str">
            <v>8. Ing Rec Filial Explotación</v>
          </cell>
          <cell r="L1751" t="str">
            <v>EBITDA</v>
          </cell>
          <cell r="M1751" t="str">
            <v>MARGEN BRUTO</v>
          </cell>
          <cell r="N1751" t="str">
            <v>GANANCIAS (PERDIDAS) ANTES DE IMPUESTOS</v>
          </cell>
          <cell r="O1751" t="str">
            <v>GANANCIA (PÉRDIDA) NETA</v>
          </cell>
          <cell r="P1751" t="str">
            <v>Resultado Ingresos y Gastos Integrales</v>
          </cell>
          <cell r="Q1751" t="str">
            <v>I. Ganancia (pérdida), antes de impuestos</v>
          </cell>
          <cell r="R1751" t="str">
            <v>a. Ganancia bruta</v>
          </cell>
          <cell r="S1751" t="str">
            <v>1. Ingresos de actividades ordinarias</v>
          </cell>
          <cell r="T1751" t="str">
            <v>8. Ing Rec Filial Explotación</v>
          </cell>
          <cell r="V1751" t="str">
            <v>I. Ingresos</v>
          </cell>
          <cell r="W1751" t="str">
            <v>1. Ingresos de Operación</v>
          </cell>
          <cell r="Z1751" t="str">
            <v>I. Ingresos Ordinarios</v>
          </cell>
          <cell r="AA1751" t="str">
            <v>9. Ing Rec Filial Explotación</v>
          </cell>
          <cell r="AC1751" t="str">
            <v>I. Ingresos</v>
          </cell>
          <cell r="AD1751" t="str">
            <v>5. Ing. por cobros a Filiales</v>
          </cell>
          <cell r="AE1751" t="str">
            <v>1. Ing. Rec. Filial Exp.</v>
          </cell>
          <cell r="AG1751" t="str">
            <v xml:space="preserve"> </v>
          </cell>
          <cell r="AH1751" t="str">
            <v>2. Ingresos de las actividades ordinarias entre segmentos</v>
          </cell>
        </row>
        <row r="1752">
          <cell r="D1752" t="str">
            <v>3241000000</v>
          </cell>
          <cell r="E1752" t="str">
            <v>3241000000</v>
          </cell>
          <cell r="F1752" t="str">
            <v>Ing Rec Sueldo Filial</v>
          </cell>
          <cell r="G1752" t="str">
            <v>3241000000  Ing Rec Sueldo Filial</v>
          </cell>
          <cell r="H1752" t="str">
            <v>Est. Resultado</v>
          </cell>
          <cell r="I1752" t="str">
            <v>Resultado</v>
          </cell>
          <cell r="J1752" t="str">
            <v>1. Ingresos Ordinarios</v>
          </cell>
          <cell r="K1752" t="str">
            <v>8. Ing Rec Filial Explotación</v>
          </cell>
          <cell r="L1752" t="str">
            <v>EBITDA</v>
          </cell>
          <cell r="M1752" t="str">
            <v>MARGEN BRUTO</v>
          </cell>
          <cell r="N1752" t="str">
            <v>GANANCIAS (PERDIDAS) ANTES DE IMPUESTOS</v>
          </cell>
          <cell r="O1752" t="str">
            <v>GANANCIA (PÉRDIDA) NETA</v>
          </cell>
          <cell r="P1752" t="str">
            <v>Resultado Ingresos y Gastos Integrales</v>
          </cell>
          <cell r="Q1752" t="str">
            <v>I. Ganancia (pérdida), antes de impuestos</v>
          </cell>
          <cell r="R1752" t="str">
            <v>a. Ganancia bruta</v>
          </cell>
          <cell r="S1752" t="str">
            <v>1. Ingresos de actividades ordinarias</v>
          </cell>
          <cell r="T1752" t="str">
            <v>8. Ing Rec Filial Explotación</v>
          </cell>
          <cell r="V1752" t="str">
            <v>I. Ingresos</v>
          </cell>
          <cell r="W1752" t="str">
            <v>1. Ingresos de Operación</v>
          </cell>
          <cell r="Z1752" t="str">
            <v>I. Ingresos Ordinarios</v>
          </cell>
          <cell r="AA1752" t="str">
            <v>9. Ing Rec Filial Explotación</v>
          </cell>
          <cell r="AC1752" t="str">
            <v>I. Ingresos</v>
          </cell>
          <cell r="AD1752" t="str">
            <v>5. Ing. por cobros a Filiales</v>
          </cell>
          <cell r="AE1752" t="str">
            <v>1. Ing. Rec. Filial Exp.</v>
          </cell>
          <cell r="AG1752" t="str">
            <v xml:space="preserve"> </v>
          </cell>
          <cell r="AH1752" t="str">
            <v>2. Ingresos de las actividades ordinarias entre segmentos</v>
          </cell>
        </row>
        <row r="1753">
          <cell r="D1753" t="str">
            <v>3241330001</v>
          </cell>
          <cell r="E1753" t="str">
            <v>3241330001</v>
          </cell>
          <cell r="F1753" t="str">
            <v>Ing Rep Acc Automot</v>
          </cell>
          <cell r="G1753" t="str">
            <v>3241330001  Ing Rep Acc Automot</v>
          </cell>
          <cell r="H1753" t="str">
            <v>Est. Resultado</v>
          </cell>
          <cell r="I1753" t="str">
            <v>Resultado</v>
          </cell>
          <cell r="J1753" t="str">
            <v>1. Ingresos Ordinarios</v>
          </cell>
          <cell r="K1753" t="str">
            <v>8. Ing Rec Filial Explotación</v>
          </cell>
          <cell r="L1753" t="str">
            <v>EBITDA</v>
          </cell>
          <cell r="M1753" t="str">
            <v>MARGEN BRUTO</v>
          </cell>
          <cell r="N1753" t="str">
            <v>GANANCIAS (PERDIDAS) ANTES DE IMPUESTOS</v>
          </cell>
          <cell r="O1753" t="str">
            <v>GANANCIA (PÉRDIDA) NETA</v>
          </cell>
          <cell r="P1753" t="str">
            <v>Resultado Ingresos y Gastos Integrales</v>
          </cell>
          <cell r="Q1753" t="str">
            <v>I. Ganancia (pérdida), antes de impuestos</v>
          </cell>
          <cell r="R1753" t="str">
            <v>a. Ganancia bruta</v>
          </cell>
          <cell r="S1753" t="str">
            <v>1. Ingresos de actividades ordinarias</v>
          </cell>
          <cell r="T1753" t="str">
            <v>8. Ing Rec Filial Explotación</v>
          </cell>
          <cell r="V1753" t="str">
            <v>I. Ingresos</v>
          </cell>
          <cell r="W1753" t="str">
            <v>1. Ingresos de Operación</v>
          </cell>
          <cell r="Z1753" t="str">
            <v>I. Ingresos Ordinarios</v>
          </cell>
          <cell r="AA1753" t="str">
            <v>9. Ing Rec Filial Explotación</v>
          </cell>
          <cell r="AC1753" t="str">
            <v>I. Ingresos</v>
          </cell>
          <cell r="AD1753" t="str">
            <v>5. Ing. por cobros a Filiales</v>
          </cell>
          <cell r="AE1753" t="str">
            <v>1. Ing. Rec. Filial Exp.</v>
          </cell>
          <cell r="AG1753" t="str">
            <v xml:space="preserve"> </v>
          </cell>
          <cell r="AH1753" t="str">
            <v>2. Ingresos de las actividades ordinarias entre segmentos</v>
          </cell>
        </row>
        <row r="1754">
          <cell r="D1754" t="str">
            <v>3242400001</v>
          </cell>
          <cell r="E1754" t="str">
            <v>3242400001</v>
          </cell>
          <cell r="F1754" t="str">
            <v>Ing Rec Energia Traccion</v>
          </cell>
          <cell r="G1754" t="str">
            <v>3242400001  Ing Rec Energia Traccion</v>
          </cell>
          <cell r="H1754" t="str">
            <v>Est. Resultado</v>
          </cell>
          <cell r="I1754" t="str">
            <v>Resultado</v>
          </cell>
          <cell r="J1754" t="str">
            <v>1. Ingresos Ordinarios</v>
          </cell>
          <cell r="K1754" t="str">
            <v>8. Ing Rec Filial Explotación</v>
          </cell>
          <cell r="L1754" t="str">
            <v>EBITDA</v>
          </cell>
          <cell r="M1754" t="str">
            <v>MARGEN BRUTO</v>
          </cell>
          <cell r="N1754" t="str">
            <v>GANANCIAS (PERDIDAS) ANTES DE IMPUESTOS</v>
          </cell>
          <cell r="O1754" t="str">
            <v>GANANCIA (PÉRDIDA) NETA</v>
          </cell>
          <cell r="P1754" t="str">
            <v>Resultado Ingresos y Gastos Integrales</v>
          </cell>
          <cell r="Q1754" t="str">
            <v>I. Ganancia (pérdida), antes de impuestos</v>
          </cell>
          <cell r="R1754" t="str">
            <v>a. Ganancia bruta</v>
          </cell>
          <cell r="S1754" t="str">
            <v>1. Ingresos de actividades ordinarias</v>
          </cell>
          <cell r="T1754" t="str">
            <v>8. Ing Rec Filial Explotación</v>
          </cell>
          <cell r="V1754" t="str">
            <v>I. Ingresos</v>
          </cell>
          <cell r="W1754" t="str">
            <v>1. Ingresos de Operación</v>
          </cell>
          <cell r="Z1754" t="str">
            <v>I. Ingresos Ordinarios</v>
          </cell>
          <cell r="AA1754" t="str">
            <v>9. Ing Rec Filial Explotación</v>
          </cell>
          <cell r="AC1754" t="str">
            <v>I. Ingresos</v>
          </cell>
          <cell r="AD1754" t="str">
            <v>5. Ing. por cobros a Filiales</v>
          </cell>
          <cell r="AE1754" t="str">
            <v>1. Ing. Rec. Filial Exp.</v>
          </cell>
          <cell r="AG1754" t="str">
            <v xml:space="preserve"> </v>
          </cell>
          <cell r="AH1754" t="str">
            <v>2. Ingresos de las actividades ordinarias entre segmentos</v>
          </cell>
        </row>
        <row r="1755">
          <cell r="D1755">
            <v>0</v>
          </cell>
          <cell r="G1755" t="str">
            <v/>
          </cell>
        </row>
        <row r="1756">
          <cell r="D1756">
            <v>0</v>
          </cell>
          <cell r="G1756" t="str">
            <v/>
          </cell>
        </row>
        <row r="1757">
          <cell r="D1757">
            <v>0</v>
          </cell>
          <cell r="G1757" t="str">
            <v/>
          </cell>
        </row>
        <row r="1758">
          <cell r="D1758" t="str">
            <v>Ing Rec Filial Explotacion</v>
          </cell>
          <cell r="E1758" t="str">
            <v>Ing Rec Filial Explotacion</v>
          </cell>
          <cell r="G1758" t="str">
            <v xml:space="preserve">Ing Rec Filial Explotacion  </v>
          </cell>
          <cell r="H1758" t="str">
            <v/>
          </cell>
          <cell r="I1758" t="str">
            <v/>
          </cell>
          <cell r="L1758" t="str">
            <v/>
          </cell>
          <cell r="M1758" t="str">
            <v/>
          </cell>
          <cell r="N1758" t="str">
            <v/>
          </cell>
          <cell r="O1758" t="str">
            <v/>
          </cell>
          <cell r="P1758" t="str">
            <v/>
          </cell>
        </row>
        <row r="1759">
          <cell r="D1759" t="str">
            <v>INGRESOS ORDINARIOS</v>
          </cell>
          <cell r="E1759" t="str">
            <v>INGRESOS ORDINARIOS</v>
          </cell>
          <cell r="G1759" t="str">
            <v xml:space="preserve">INGRESOS ORDINARIOS  </v>
          </cell>
          <cell r="H1759" t="str">
            <v/>
          </cell>
          <cell r="I1759" t="str">
            <v/>
          </cell>
          <cell r="L1759" t="str">
            <v/>
          </cell>
          <cell r="M1759" t="str">
            <v/>
          </cell>
          <cell r="N1759" t="str">
            <v/>
          </cell>
          <cell r="O1759" t="str">
            <v/>
          </cell>
          <cell r="P1759" t="str">
            <v/>
          </cell>
        </row>
        <row r="1760">
          <cell r="D1760" t="str">
            <v>4100100000E</v>
          </cell>
          <cell r="E1760" t="str">
            <v>4100100000</v>
          </cell>
          <cell r="F1760" t="str">
            <v>Sueldo Base</v>
          </cell>
          <cell r="G1760" t="str">
            <v>4100100000  Sueldo Base</v>
          </cell>
          <cell r="H1760" t="str">
            <v>Est. Resultado</v>
          </cell>
          <cell r="I1760" t="str">
            <v>Resultado</v>
          </cell>
          <cell r="J1760" t="str">
            <v>2. Costo Personal Explotacion</v>
          </cell>
          <cell r="K1760" t="str">
            <v>1. Remuneraciones Fijas</v>
          </cell>
          <cell r="L1760" t="str">
            <v>EBITDA</v>
          </cell>
          <cell r="M1760" t="str">
            <v>MARGEN BRUTO</v>
          </cell>
          <cell r="N1760" t="str">
            <v>GANANCIAS (PERDIDAS) ANTES DE IMPUESTOS</v>
          </cell>
          <cell r="O1760" t="str">
            <v>GANANCIA (PÉRDIDA) NETA</v>
          </cell>
          <cell r="P1760" t="str">
            <v>Resultado Ingresos y Gastos Integrales</v>
          </cell>
          <cell r="Q1760" t="str">
            <v>I. Ganancia (pérdida), antes de impuestos</v>
          </cell>
          <cell r="R1760" t="str">
            <v>a. Ganancia bruta</v>
          </cell>
          <cell r="S1760" t="str">
            <v>2. Costo de ventas</v>
          </cell>
          <cell r="T1760" t="str">
            <v>7. Remuneraciones Fijas</v>
          </cell>
          <cell r="V1760" t="str">
            <v>II. Gastos</v>
          </cell>
          <cell r="W1760" t="str">
            <v>21. Gastos en Personal</v>
          </cell>
          <cell r="X1760" t="str">
            <v>1. Remuneraciones Fijas</v>
          </cell>
          <cell r="Z1760" t="str">
            <v>II. Costo Ventas</v>
          </cell>
          <cell r="AA1760" t="str">
            <v>7. Personal Explotación</v>
          </cell>
          <cell r="AB1760" t="str">
            <v>1. Remu Fijas E</v>
          </cell>
          <cell r="AC1760" t="str">
            <v>II. Costo de Explotación</v>
          </cell>
          <cell r="AD1760" t="str">
            <v>1. Personal Explotación</v>
          </cell>
          <cell r="AE1760" t="str">
            <v>1. Remuneraciones Exp.</v>
          </cell>
          <cell r="AG1760" t="str">
            <v xml:space="preserve"> </v>
          </cell>
          <cell r="AH1760" t="str">
            <v>6. Partidas significativas de gastos</v>
          </cell>
        </row>
        <row r="1761">
          <cell r="D1761" t="str">
            <v>4100110000E</v>
          </cell>
          <cell r="E1761" t="str">
            <v>4100110000</v>
          </cell>
          <cell r="F1761" t="str">
            <v>Asignacion Antiguedad</v>
          </cell>
          <cell r="G1761" t="str">
            <v>4100110000  Asignacion Antiguedad</v>
          </cell>
          <cell r="H1761" t="str">
            <v>Est. Resultado</v>
          </cell>
          <cell r="I1761" t="str">
            <v>Resultado</v>
          </cell>
          <cell r="J1761" t="str">
            <v>2. Costo Personal Explotacion</v>
          </cell>
          <cell r="K1761" t="str">
            <v>1. Remuneraciones Fijas</v>
          </cell>
          <cell r="L1761" t="str">
            <v>EBITDA</v>
          </cell>
          <cell r="M1761" t="str">
            <v>MARGEN BRUTO</v>
          </cell>
          <cell r="N1761" t="str">
            <v>GANANCIAS (PERDIDAS) ANTES DE IMPUESTOS</v>
          </cell>
          <cell r="O1761" t="str">
            <v>GANANCIA (PÉRDIDA) NETA</v>
          </cell>
          <cell r="P1761" t="str">
            <v>Resultado Ingresos y Gastos Integrales</v>
          </cell>
          <cell r="Q1761" t="str">
            <v>I. Ganancia (pérdida), antes de impuestos</v>
          </cell>
          <cell r="R1761" t="str">
            <v>a. Ganancia bruta</v>
          </cell>
          <cell r="S1761" t="str">
            <v>2. Costo de ventas</v>
          </cell>
          <cell r="T1761" t="str">
            <v>7. Remuneraciones Fijas</v>
          </cell>
          <cell r="V1761" t="str">
            <v>II. Gastos</v>
          </cell>
          <cell r="W1761" t="str">
            <v>21. Gastos en Personal</v>
          </cell>
          <cell r="X1761" t="str">
            <v>1. Remuneraciones Fijas</v>
          </cell>
          <cell r="Z1761" t="str">
            <v>II. Costo Ventas</v>
          </cell>
          <cell r="AA1761" t="str">
            <v>7. Personal Explotación</v>
          </cell>
          <cell r="AB1761" t="str">
            <v>1. Remu Fijas E</v>
          </cell>
          <cell r="AC1761" t="str">
            <v>II. Costo de Explotación</v>
          </cell>
          <cell r="AD1761" t="str">
            <v>1. Personal Explotación</v>
          </cell>
          <cell r="AE1761" t="str">
            <v>1. Remuneraciones Exp.</v>
          </cell>
          <cell r="AG1761" t="str">
            <v xml:space="preserve"> </v>
          </cell>
          <cell r="AH1761" t="str">
            <v>6. Partidas significativas de gastos</v>
          </cell>
        </row>
        <row r="1762">
          <cell r="D1762" t="str">
            <v>4100120000E</v>
          </cell>
          <cell r="E1762" t="str">
            <v>4100120000</v>
          </cell>
          <cell r="F1762" t="str">
            <v>Asignacion Zona</v>
          </cell>
          <cell r="G1762" t="str">
            <v>4100120000  Asignacion Zona</v>
          </cell>
          <cell r="H1762" t="str">
            <v>Est. Resultado</v>
          </cell>
          <cell r="I1762" t="str">
            <v>Resultado</v>
          </cell>
          <cell r="J1762" t="str">
            <v>2. Costo Personal Explotacion</v>
          </cell>
          <cell r="K1762" t="str">
            <v>1. Remuneraciones Fijas</v>
          </cell>
          <cell r="L1762" t="str">
            <v>EBITDA</v>
          </cell>
          <cell r="M1762" t="str">
            <v>MARGEN BRUTO</v>
          </cell>
          <cell r="N1762" t="str">
            <v>GANANCIAS (PERDIDAS) ANTES DE IMPUESTOS</v>
          </cell>
          <cell r="O1762" t="str">
            <v>GANANCIA (PÉRDIDA) NETA</v>
          </cell>
          <cell r="P1762" t="str">
            <v>Resultado Ingresos y Gastos Integrales</v>
          </cell>
          <cell r="Q1762" t="str">
            <v>I. Ganancia (pérdida), antes de impuestos</v>
          </cell>
          <cell r="R1762" t="str">
            <v>a. Ganancia bruta</v>
          </cell>
          <cell r="S1762" t="str">
            <v>2. Costo de ventas</v>
          </cell>
          <cell r="T1762" t="str">
            <v>7. Remuneraciones Fijas</v>
          </cell>
          <cell r="V1762" t="str">
            <v>II. Gastos</v>
          </cell>
          <cell r="W1762" t="str">
            <v>21. Gastos en Personal</v>
          </cell>
          <cell r="X1762" t="str">
            <v>1. Remuneraciones Fijas</v>
          </cell>
          <cell r="Z1762" t="str">
            <v>II. Costo Ventas</v>
          </cell>
          <cell r="AA1762" t="str">
            <v>7. Personal Explotación</v>
          </cell>
          <cell r="AB1762" t="str">
            <v>1. Remu Fijas E</v>
          </cell>
          <cell r="AC1762" t="str">
            <v>II. Costo de Explotación</v>
          </cell>
          <cell r="AD1762" t="str">
            <v>1. Personal Explotación</v>
          </cell>
          <cell r="AE1762" t="str">
            <v>1. Remuneraciones Exp.</v>
          </cell>
          <cell r="AG1762" t="str">
            <v xml:space="preserve"> </v>
          </cell>
          <cell r="AH1762" t="str">
            <v>6. Partidas significativas de gastos</v>
          </cell>
        </row>
        <row r="1763">
          <cell r="D1763" t="str">
            <v>4100130000E</v>
          </cell>
          <cell r="E1763" t="str">
            <v>4100130000</v>
          </cell>
          <cell r="F1763" t="str">
            <v>Asignacion Alimentacion</v>
          </cell>
          <cell r="G1763" t="str">
            <v>4100130000  Asignacion Alimentacion</v>
          </cell>
          <cell r="H1763" t="str">
            <v>Est. Resultado</v>
          </cell>
          <cell r="I1763" t="str">
            <v>Resultado</v>
          </cell>
          <cell r="J1763" t="str">
            <v>2. Costo Personal Explotacion</v>
          </cell>
          <cell r="K1763" t="str">
            <v>1. Remuneraciones Fijas</v>
          </cell>
          <cell r="L1763" t="str">
            <v>EBITDA</v>
          </cell>
          <cell r="M1763" t="str">
            <v>MARGEN BRUTO</v>
          </cell>
          <cell r="N1763" t="str">
            <v>GANANCIAS (PERDIDAS) ANTES DE IMPUESTOS</v>
          </cell>
          <cell r="O1763" t="str">
            <v>GANANCIA (PÉRDIDA) NETA</v>
          </cell>
          <cell r="P1763" t="str">
            <v>Resultado Ingresos y Gastos Integrales</v>
          </cell>
          <cell r="Q1763" t="str">
            <v>I. Ganancia (pérdida), antes de impuestos</v>
          </cell>
          <cell r="R1763" t="str">
            <v>a. Ganancia bruta</v>
          </cell>
          <cell r="S1763" t="str">
            <v>2. Costo de ventas</v>
          </cell>
          <cell r="T1763" t="str">
            <v>7. Remuneraciones Fijas</v>
          </cell>
          <cell r="V1763" t="str">
            <v>II. Gastos</v>
          </cell>
          <cell r="W1763" t="str">
            <v>21. Gastos en Personal</v>
          </cell>
          <cell r="X1763" t="str">
            <v>1. Remuneraciones Fijas</v>
          </cell>
          <cell r="Z1763" t="str">
            <v>II. Costo Ventas</v>
          </cell>
          <cell r="AA1763" t="str">
            <v>7. Personal Explotación</v>
          </cell>
          <cell r="AB1763" t="str">
            <v>1. Remu Fijas E</v>
          </cell>
          <cell r="AC1763" t="str">
            <v>II. Costo de Explotación</v>
          </cell>
          <cell r="AD1763" t="str">
            <v>1. Personal Explotación</v>
          </cell>
          <cell r="AE1763" t="str">
            <v>1. Remuneraciones Exp.</v>
          </cell>
          <cell r="AG1763" t="str">
            <v xml:space="preserve"> </v>
          </cell>
          <cell r="AH1763" t="str">
            <v>6. Partidas significativas de gastos</v>
          </cell>
        </row>
        <row r="1764">
          <cell r="D1764" t="str">
            <v>4100140000E</v>
          </cell>
          <cell r="E1764" t="str">
            <v>4100140000</v>
          </cell>
          <cell r="F1764" t="str">
            <v>Asignacion Movilizacion</v>
          </cell>
          <cell r="G1764" t="str">
            <v>4100140000  Asignacion Movilizacion</v>
          </cell>
          <cell r="H1764" t="str">
            <v>Est. Resultado</v>
          </cell>
          <cell r="I1764" t="str">
            <v>Resultado</v>
          </cell>
          <cell r="J1764" t="str">
            <v>2. Costo Personal Explotacion</v>
          </cell>
          <cell r="K1764" t="str">
            <v>1. Remuneraciones Fijas</v>
          </cell>
          <cell r="L1764" t="str">
            <v>EBITDA</v>
          </cell>
          <cell r="M1764" t="str">
            <v>MARGEN BRUTO</v>
          </cell>
          <cell r="N1764" t="str">
            <v>GANANCIAS (PERDIDAS) ANTES DE IMPUESTOS</v>
          </cell>
          <cell r="O1764" t="str">
            <v>GANANCIA (PÉRDIDA) NETA</v>
          </cell>
          <cell r="P1764" t="str">
            <v>Resultado Ingresos y Gastos Integrales</v>
          </cell>
          <cell r="Q1764" t="str">
            <v>I. Ganancia (pérdida), antes de impuestos</v>
          </cell>
          <cell r="R1764" t="str">
            <v>a. Ganancia bruta</v>
          </cell>
          <cell r="S1764" t="str">
            <v>2. Costo de ventas</v>
          </cell>
          <cell r="T1764" t="str">
            <v>7. Remuneraciones Fijas</v>
          </cell>
          <cell r="V1764" t="str">
            <v>II. Gastos</v>
          </cell>
          <cell r="W1764" t="str">
            <v>21. Gastos en Personal</v>
          </cell>
          <cell r="X1764" t="str">
            <v>1. Remuneraciones Fijas</v>
          </cell>
          <cell r="Z1764" t="str">
            <v>II. Costo Ventas</v>
          </cell>
          <cell r="AA1764" t="str">
            <v>7. Personal Explotación</v>
          </cell>
          <cell r="AB1764" t="str">
            <v>1. Remu Fijas E</v>
          </cell>
          <cell r="AC1764" t="str">
            <v>II. Costo de Explotación</v>
          </cell>
          <cell r="AD1764" t="str">
            <v>1. Personal Explotación</v>
          </cell>
          <cell r="AE1764" t="str">
            <v>1. Remuneraciones Exp.</v>
          </cell>
          <cell r="AG1764" t="str">
            <v xml:space="preserve"> </v>
          </cell>
          <cell r="AH1764" t="str">
            <v>6. Partidas significativas de gastos</v>
          </cell>
        </row>
        <row r="1765">
          <cell r="D1765" t="str">
            <v>4100150000E</v>
          </cell>
          <cell r="E1765" t="str">
            <v>4100150000</v>
          </cell>
          <cell r="F1765" t="str">
            <v>Perdida de Caja</v>
          </cell>
          <cell r="G1765" t="str">
            <v>4100150000  Perdida de Caja</v>
          </cell>
          <cell r="H1765" t="str">
            <v>Est. Resultado</v>
          </cell>
          <cell r="I1765" t="str">
            <v>Resultado</v>
          </cell>
          <cell r="J1765" t="str">
            <v>2. Costo Personal Explotacion</v>
          </cell>
          <cell r="K1765" t="str">
            <v>1. Remuneraciones Fijas</v>
          </cell>
          <cell r="L1765" t="str">
            <v>EBITDA</v>
          </cell>
          <cell r="M1765" t="str">
            <v>MARGEN BRUTO</v>
          </cell>
          <cell r="N1765" t="str">
            <v>GANANCIAS (PERDIDAS) ANTES DE IMPUESTOS</v>
          </cell>
          <cell r="O1765" t="str">
            <v>GANANCIA (PÉRDIDA) NETA</v>
          </cell>
          <cell r="P1765" t="str">
            <v>Resultado Ingresos y Gastos Integrales</v>
          </cell>
          <cell r="Q1765" t="str">
            <v>I. Ganancia (pérdida), antes de impuestos</v>
          </cell>
          <cell r="R1765" t="str">
            <v>a. Ganancia bruta</v>
          </cell>
          <cell r="S1765" t="str">
            <v>2. Costo de ventas</v>
          </cell>
          <cell r="T1765" t="str">
            <v>7. Remuneraciones Fijas</v>
          </cell>
          <cell r="V1765" t="str">
            <v>II. Gastos</v>
          </cell>
          <cell r="W1765" t="str">
            <v>21. Gastos en Personal</v>
          </cell>
          <cell r="X1765" t="str">
            <v>1. Remuneraciones Fijas</v>
          </cell>
          <cell r="Z1765" t="str">
            <v>II. Costo Ventas</v>
          </cell>
          <cell r="AA1765" t="str">
            <v>7. Personal Explotación</v>
          </cell>
          <cell r="AB1765" t="str">
            <v>1. Remu Fijas E</v>
          </cell>
          <cell r="AC1765" t="str">
            <v>II. Costo de Explotación</v>
          </cell>
          <cell r="AD1765" t="str">
            <v>1. Personal Explotación</v>
          </cell>
          <cell r="AE1765" t="str">
            <v>1. Remuneraciones Exp.</v>
          </cell>
          <cell r="AG1765" t="str">
            <v xml:space="preserve"> </v>
          </cell>
          <cell r="AH1765" t="str">
            <v>6. Partidas significativas de gastos</v>
          </cell>
        </row>
        <row r="1766">
          <cell r="D1766" t="str">
            <v>4100190000E</v>
          </cell>
          <cell r="E1766" t="str">
            <v>4100190000</v>
          </cell>
          <cell r="F1766" t="str">
            <v>Otras Asignaciones Fijas</v>
          </cell>
          <cell r="G1766" t="str">
            <v>4100190000  Otras Asignaciones Fijas</v>
          </cell>
          <cell r="H1766" t="str">
            <v>Est. Resultado</v>
          </cell>
          <cell r="I1766" t="str">
            <v>Resultado</v>
          </cell>
          <cell r="J1766" t="str">
            <v>2. Costo Personal Explotacion</v>
          </cell>
          <cell r="K1766" t="str">
            <v>1. Remuneraciones Fijas</v>
          </cell>
          <cell r="L1766" t="str">
            <v>EBITDA</v>
          </cell>
          <cell r="M1766" t="str">
            <v>MARGEN BRUTO</v>
          </cell>
          <cell r="N1766" t="str">
            <v>GANANCIAS (PERDIDAS) ANTES DE IMPUESTOS</v>
          </cell>
          <cell r="O1766" t="str">
            <v>GANANCIA (PÉRDIDA) NETA</v>
          </cell>
          <cell r="P1766" t="str">
            <v>Resultado Ingresos y Gastos Integrales</v>
          </cell>
          <cell r="Q1766" t="str">
            <v>I. Ganancia (pérdida), antes de impuestos</v>
          </cell>
          <cell r="R1766" t="str">
            <v>a. Ganancia bruta</v>
          </cell>
          <cell r="S1766" t="str">
            <v>2. Costo de ventas</v>
          </cell>
          <cell r="T1766" t="str">
            <v>7. Remuneraciones Fijas</v>
          </cell>
          <cell r="V1766" t="str">
            <v>II. Gastos</v>
          </cell>
          <cell r="W1766" t="str">
            <v>21. Gastos en Personal</v>
          </cell>
          <cell r="X1766" t="str">
            <v>1. Remuneraciones Fijas</v>
          </cell>
          <cell r="Z1766" t="str">
            <v>II. Costo Ventas</v>
          </cell>
          <cell r="AA1766" t="str">
            <v>7. Personal Explotación</v>
          </cell>
          <cell r="AB1766" t="str">
            <v>1. Remu Fijas E</v>
          </cell>
          <cell r="AC1766" t="str">
            <v>II. Costo de Explotación</v>
          </cell>
          <cell r="AD1766" t="str">
            <v>1. Personal Explotación</v>
          </cell>
          <cell r="AE1766" t="str">
            <v>1. Remuneraciones Exp.</v>
          </cell>
          <cell r="AG1766" t="str">
            <v xml:space="preserve"> </v>
          </cell>
          <cell r="AH1766" t="str">
            <v>6. Partidas significativas de gastos</v>
          </cell>
        </row>
        <row r="1767">
          <cell r="D1767" t="str">
            <v>4100210000E</v>
          </cell>
          <cell r="E1767" t="str">
            <v>4100210000</v>
          </cell>
          <cell r="F1767" t="str">
            <v>Aguinaldos</v>
          </cell>
          <cell r="G1767" t="str">
            <v>4100210000  Aguinaldos</v>
          </cell>
          <cell r="H1767" t="str">
            <v>Est. Resultado</v>
          </cell>
          <cell r="I1767" t="str">
            <v>Resultado</v>
          </cell>
          <cell r="J1767" t="str">
            <v>2. Costo Personal Explotacion</v>
          </cell>
          <cell r="K1767" t="str">
            <v>1. Remuneraciones Fijas</v>
          </cell>
          <cell r="L1767" t="str">
            <v>EBITDA</v>
          </cell>
          <cell r="M1767" t="str">
            <v>MARGEN BRUTO</v>
          </cell>
          <cell r="N1767" t="str">
            <v>GANANCIAS (PERDIDAS) ANTES DE IMPUESTOS</v>
          </cell>
          <cell r="O1767" t="str">
            <v>GANANCIA (PÉRDIDA) NETA</v>
          </cell>
          <cell r="P1767" t="str">
            <v>Resultado Ingresos y Gastos Integrales</v>
          </cell>
          <cell r="Q1767" t="str">
            <v>I. Ganancia (pérdida), antes de impuestos</v>
          </cell>
          <cell r="R1767" t="str">
            <v>a. Ganancia bruta</v>
          </cell>
          <cell r="S1767" t="str">
            <v>2. Costo de ventas</v>
          </cell>
          <cell r="T1767" t="str">
            <v>7. Remuneraciones Fijas</v>
          </cell>
          <cell r="V1767" t="str">
            <v>II. Gastos</v>
          </cell>
          <cell r="W1767" t="str">
            <v>21. Gastos en Personal</v>
          </cell>
          <cell r="X1767" t="str">
            <v>1. Remuneraciones Fijas</v>
          </cell>
          <cell r="Z1767" t="str">
            <v>II. Costo Ventas</v>
          </cell>
          <cell r="AA1767" t="str">
            <v>7. Personal Explotación</v>
          </cell>
          <cell r="AB1767" t="str">
            <v>1. Remu Fijas E</v>
          </cell>
          <cell r="AC1767" t="str">
            <v>II. Costo de Explotación</v>
          </cell>
          <cell r="AD1767" t="str">
            <v>1. Personal Explotación</v>
          </cell>
          <cell r="AE1767" t="str">
            <v>1. Remuneraciones Exp.</v>
          </cell>
          <cell r="AG1767" t="str">
            <v xml:space="preserve"> </v>
          </cell>
          <cell r="AH1767" t="str">
            <v>6. Partidas significativas de gastos</v>
          </cell>
        </row>
        <row r="1768">
          <cell r="D1768">
            <v>0</v>
          </cell>
          <cell r="G1768" t="str">
            <v/>
          </cell>
        </row>
        <row r="1769">
          <cell r="D1769">
            <v>0</v>
          </cell>
          <cell r="G1769" t="str">
            <v/>
          </cell>
        </row>
        <row r="1770">
          <cell r="D1770">
            <v>0</v>
          </cell>
          <cell r="G1770" t="str">
            <v/>
          </cell>
        </row>
        <row r="1771">
          <cell r="D1771" t="str">
            <v>Remuneraciones Fijas</v>
          </cell>
          <cell r="E1771" t="str">
            <v>Remuneraciones Fijas</v>
          </cell>
          <cell r="G1771" t="str">
            <v xml:space="preserve">Remuneraciones Fijas  </v>
          </cell>
          <cell r="H1771" t="str">
            <v/>
          </cell>
          <cell r="I1771" t="str">
            <v/>
          </cell>
          <cell r="J1771" t="str">
            <v/>
          </cell>
          <cell r="L1771" t="str">
            <v/>
          </cell>
          <cell r="M1771" t="str">
            <v/>
          </cell>
          <cell r="N1771" t="str">
            <v/>
          </cell>
          <cell r="O1771" t="str">
            <v/>
          </cell>
          <cell r="P1771" t="str">
            <v/>
          </cell>
        </row>
        <row r="1772">
          <cell r="D1772" t="str">
            <v>4101100000E</v>
          </cell>
          <cell r="E1772" t="str">
            <v>4101100000</v>
          </cell>
          <cell r="F1772" t="str">
            <v>Prima Ord-Extraord</v>
          </cell>
          <cell r="G1772" t="str">
            <v>4101100000  Prima Ord-Extraord</v>
          </cell>
          <cell r="H1772" t="str">
            <v>Est. Resultado</v>
          </cell>
          <cell r="I1772" t="str">
            <v>Resultado</v>
          </cell>
          <cell r="J1772" t="str">
            <v>2. Costo Personal Explotacion</v>
          </cell>
          <cell r="K1772" t="str">
            <v>2. Remuneraciones Variables</v>
          </cell>
          <cell r="L1772" t="str">
            <v>EBITDA</v>
          </cell>
          <cell r="M1772" t="str">
            <v>MARGEN BRUTO</v>
          </cell>
          <cell r="N1772" t="str">
            <v>GANANCIAS (PERDIDAS) ANTES DE IMPUESTOS</v>
          </cell>
          <cell r="O1772" t="str">
            <v>GANANCIA (PÉRDIDA) NETA</v>
          </cell>
          <cell r="P1772" t="str">
            <v>Resultado Ingresos y Gastos Integrales</v>
          </cell>
          <cell r="Q1772" t="str">
            <v>I. Ganancia (pérdida), antes de impuestos</v>
          </cell>
          <cell r="R1772" t="str">
            <v>a. Ganancia bruta</v>
          </cell>
          <cell r="S1772" t="str">
            <v>2. Costo de ventas</v>
          </cell>
          <cell r="T1772" t="str">
            <v>8. Remuneraciones Variables</v>
          </cell>
          <cell r="V1772" t="str">
            <v>II. Gastos</v>
          </cell>
          <cell r="W1772" t="str">
            <v>21. Gastos en Personal</v>
          </cell>
          <cell r="X1772" t="str">
            <v>2. Remuneraciones Variables</v>
          </cell>
          <cell r="Z1772" t="str">
            <v>II. Costo Ventas</v>
          </cell>
          <cell r="AA1772" t="str">
            <v>7. Personal Explotación</v>
          </cell>
          <cell r="AB1772" t="str">
            <v>2. Remu Variable E</v>
          </cell>
          <cell r="AC1772" t="str">
            <v>II. Costo de Explotación</v>
          </cell>
          <cell r="AD1772" t="str">
            <v>1. Personal Explotación</v>
          </cell>
          <cell r="AE1772" t="str">
            <v>1. Remuneraciones Exp.</v>
          </cell>
          <cell r="AG1772" t="str">
            <v xml:space="preserve"> </v>
          </cell>
          <cell r="AH1772" t="str">
            <v>6. Partidas significativas de gastos</v>
          </cell>
        </row>
        <row r="1773">
          <cell r="D1773" t="str">
            <v>4101600000E</v>
          </cell>
          <cell r="E1773" t="str">
            <v>4101600000</v>
          </cell>
          <cell r="F1773" t="str">
            <v>Bono Variable</v>
          </cell>
          <cell r="G1773" t="str">
            <v>4101600000  Bono Variable</v>
          </cell>
          <cell r="H1773" t="str">
            <v>Est. Resultado</v>
          </cell>
          <cell r="I1773" t="str">
            <v>Resultado</v>
          </cell>
          <cell r="J1773" t="str">
            <v>2. Costo Personal Explotacion</v>
          </cell>
          <cell r="K1773" t="str">
            <v>2. Remuneraciones Variables</v>
          </cell>
          <cell r="L1773" t="str">
            <v>EBITDA</v>
          </cell>
          <cell r="M1773" t="str">
            <v>MARGEN BRUTO</v>
          </cell>
          <cell r="N1773" t="str">
            <v>GANANCIAS (PERDIDAS) ANTES DE IMPUESTOS</v>
          </cell>
          <cell r="O1773" t="str">
            <v>GANANCIA (PÉRDIDA) NETA</v>
          </cell>
          <cell r="P1773" t="str">
            <v>Resultado Ingresos y Gastos Integrales</v>
          </cell>
          <cell r="Q1773" t="str">
            <v>I. Ganancia (pérdida), antes de impuestos</v>
          </cell>
          <cell r="R1773" t="str">
            <v>a. Ganancia bruta</v>
          </cell>
          <cell r="S1773" t="str">
            <v>2. Costo de ventas</v>
          </cell>
          <cell r="T1773" t="str">
            <v>8. Remuneraciones Variables</v>
          </cell>
          <cell r="V1773" t="str">
            <v>II. Gastos</v>
          </cell>
          <cell r="W1773" t="str">
            <v>21. Gastos en Personal</v>
          </cell>
          <cell r="X1773" t="str">
            <v>2. Remuneraciones Variables</v>
          </cell>
          <cell r="Z1773" t="str">
            <v>II. Costo Ventas</v>
          </cell>
          <cell r="AA1773" t="str">
            <v>7. Personal Explotación</v>
          </cell>
          <cell r="AB1773" t="str">
            <v>2. Remu Variable E</v>
          </cell>
          <cell r="AC1773" t="str">
            <v>II. Costo de Explotación</v>
          </cell>
          <cell r="AD1773" t="str">
            <v>1. Personal Explotación</v>
          </cell>
          <cell r="AE1773" t="str">
            <v>1. Remuneraciones Exp.</v>
          </cell>
          <cell r="AG1773" t="str">
            <v xml:space="preserve"> </v>
          </cell>
          <cell r="AH1773" t="str">
            <v>6. Partidas significativas de gastos</v>
          </cell>
        </row>
        <row r="1774">
          <cell r="D1774" t="str">
            <v>4101900000E</v>
          </cell>
          <cell r="E1774" t="str">
            <v>4101900000</v>
          </cell>
          <cell r="F1774" t="str">
            <v>Asignacion Variable</v>
          </cell>
          <cell r="G1774" t="str">
            <v>4101900000  Asignacion Variable</v>
          </cell>
          <cell r="H1774" t="str">
            <v>Est. Resultado</v>
          </cell>
          <cell r="I1774" t="str">
            <v>Resultado</v>
          </cell>
          <cell r="J1774" t="str">
            <v>2. Costo Personal Explotacion</v>
          </cell>
          <cell r="K1774" t="str">
            <v>2. Remuneraciones Variables</v>
          </cell>
          <cell r="L1774" t="str">
            <v>EBITDA</v>
          </cell>
          <cell r="M1774" t="str">
            <v>MARGEN BRUTO</v>
          </cell>
          <cell r="N1774" t="str">
            <v>GANANCIAS (PERDIDAS) ANTES DE IMPUESTOS</v>
          </cell>
          <cell r="O1774" t="str">
            <v>GANANCIA (PÉRDIDA) NETA</v>
          </cell>
          <cell r="P1774" t="str">
            <v>Resultado Ingresos y Gastos Integrales</v>
          </cell>
          <cell r="Q1774" t="str">
            <v>I. Ganancia (pérdida), antes de impuestos</v>
          </cell>
          <cell r="R1774" t="str">
            <v>a. Ganancia bruta</v>
          </cell>
          <cell r="S1774" t="str">
            <v>2. Costo de ventas</v>
          </cell>
          <cell r="T1774" t="str">
            <v>8. Remuneraciones Variables</v>
          </cell>
          <cell r="V1774" t="str">
            <v>II. Gastos</v>
          </cell>
          <cell r="W1774" t="str">
            <v>21. Gastos en Personal</v>
          </cell>
          <cell r="X1774" t="str">
            <v>2. Remuneraciones Variables</v>
          </cell>
          <cell r="Z1774" t="str">
            <v>II. Costo Ventas</v>
          </cell>
          <cell r="AA1774" t="str">
            <v>7. Personal Explotación</v>
          </cell>
          <cell r="AB1774" t="str">
            <v>2. Remu Variable E</v>
          </cell>
          <cell r="AC1774" t="str">
            <v>II. Costo de Explotación</v>
          </cell>
          <cell r="AD1774" t="str">
            <v>1. Personal Explotación</v>
          </cell>
          <cell r="AE1774" t="str">
            <v>1. Remuneraciones Exp.</v>
          </cell>
          <cell r="AG1774" t="str">
            <v xml:space="preserve"> </v>
          </cell>
          <cell r="AH1774" t="str">
            <v>6. Partidas significativas de gastos</v>
          </cell>
        </row>
        <row r="1775">
          <cell r="D1775" t="str">
            <v>4102100000E</v>
          </cell>
          <cell r="E1775" t="str">
            <v>4102100000</v>
          </cell>
          <cell r="F1775" t="str">
            <v>Horas Extraordinarias</v>
          </cell>
          <cell r="G1775" t="str">
            <v>4102100000  Horas Extraordinarias</v>
          </cell>
          <cell r="H1775" t="str">
            <v>Est. Resultado</v>
          </cell>
          <cell r="I1775" t="str">
            <v>Resultado</v>
          </cell>
          <cell r="J1775" t="str">
            <v>2. Costo Personal Explotacion</v>
          </cell>
          <cell r="K1775" t="str">
            <v>2. Remuneraciones Variables</v>
          </cell>
          <cell r="L1775" t="str">
            <v>EBITDA</v>
          </cell>
          <cell r="M1775" t="str">
            <v>MARGEN BRUTO</v>
          </cell>
          <cell r="N1775" t="str">
            <v>GANANCIAS (PERDIDAS) ANTES DE IMPUESTOS</v>
          </cell>
          <cell r="O1775" t="str">
            <v>GANANCIA (PÉRDIDA) NETA</v>
          </cell>
          <cell r="P1775" t="str">
            <v>Resultado Ingresos y Gastos Integrales</v>
          </cell>
          <cell r="Q1775" t="str">
            <v>I. Ganancia (pérdida), antes de impuestos</v>
          </cell>
          <cell r="R1775" t="str">
            <v>a. Ganancia bruta</v>
          </cell>
          <cell r="S1775" t="str">
            <v>2. Costo de ventas</v>
          </cell>
          <cell r="T1775" t="str">
            <v>8. Remuneraciones Variables</v>
          </cell>
          <cell r="V1775" t="str">
            <v>II. Gastos</v>
          </cell>
          <cell r="W1775" t="str">
            <v>21. Gastos en Personal</v>
          </cell>
          <cell r="X1775" t="str">
            <v>2. Remuneraciones Variables</v>
          </cell>
          <cell r="Z1775" t="str">
            <v>II. Costo Ventas</v>
          </cell>
          <cell r="AA1775" t="str">
            <v>7. Personal Explotación</v>
          </cell>
          <cell r="AB1775" t="str">
            <v>2. Remu Variable E</v>
          </cell>
          <cell r="AC1775" t="str">
            <v>II. Costo de Explotación</v>
          </cell>
          <cell r="AD1775" t="str">
            <v>1. Personal Explotación</v>
          </cell>
          <cell r="AE1775" t="str">
            <v>1. Remuneraciones Exp.</v>
          </cell>
          <cell r="AG1775" t="str">
            <v xml:space="preserve"> </v>
          </cell>
          <cell r="AH1775" t="str">
            <v>6. Partidas significativas de gastos</v>
          </cell>
        </row>
        <row r="1776">
          <cell r="D1776" t="str">
            <v>4103100000E</v>
          </cell>
          <cell r="E1776" t="str">
            <v>4103100000</v>
          </cell>
          <cell r="F1776" t="str">
            <v>Viaticos</v>
          </cell>
          <cell r="G1776" t="str">
            <v>4103100000  Viaticos</v>
          </cell>
          <cell r="H1776" t="str">
            <v>Est. Resultado</v>
          </cell>
          <cell r="I1776" t="str">
            <v>Resultado</v>
          </cell>
          <cell r="J1776" t="str">
            <v>2. Costo Personal Explotacion</v>
          </cell>
          <cell r="K1776" t="str">
            <v>2. Remuneraciones Variables</v>
          </cell>
          <cell r="L1776" t="str">
            <v>EBITDA</v>
          </cell>
          <cell r="M1776" t="str">
            <v>MARGEN BRUTO</v>
          </cell>
          <cell r="N1776" t="str">
            <v>GANANCIAS (PERDIDAS) ANTES DE IMPUESTOS</v>
          </cell>
          <cell r="O1776" t="str">
            <v>GANANCIA (PÉRDIDA) NETA</v>
          </cell>
          <cell r="P1776" t="str">
            <v>Resultado Ingresos y Gastos Integrales</v>
          </cell>
          <cell r="Q1776" t="str">
            <v>I. Ganancia (pérdida), antes de impuestos</v>
          </cell>
          <cell r="R1776" t="str">
            <v>a. Ganancia bruta</v>
          </cell>
          <cell r="S1776" t="str">
            <v>2. Costo de ventas</v>
          </cell>
          <cell r="T1776" t="str">
            <v>8. Remuneraciones Variables</v>
          </cell>
          <cell r="V1776" t="str">
            <v>II. Gastos</v>
          </cell>
          <cell r="W1776" t="str">
            <v>21. Gastos en Personal</v>
          </cell>
          <cell r="X1776" t="str">
            <v>2. Remuneraciones Variables</v>
          </cell>
          <cell r="Z1776" t="str">
            <v>II. Costo Ventas</v>
          </cell>
          <cell r="AA1776" t="str">
            <v>7. Personal Explotación</v>
          </cell>
          <cell r="AB1776" t="str">
            <v>2. Remu Variable E</v>
          </cell>
          <cell r="AC1776" t="str">
            <v>II. Costo de Explotación</v>
          </cell>
          <cell r="AD1776" t="str">
            <v>1. Personal Explotación</v>
          </cell>
          <cell r="AE1776" t="str">
            <v>1. Remuneraciones Exp.</v>
          </cell>
          <cell r="AG1776" t="str">
            <v xml:space="preserve"> </v>
          </cell>
          <cell r="AH1776" t="str">
            <v>6. Partidas significativas de gastos</v>
          </cell>
        </row>
        <row r="1777">
          <cell r="D1777" t="str">
            <v>4101900010E</v>
          </cell>
          <cell r="E1777" t="str">
            <v>4101900010</v>
          </cell>
          <cell r="F1777" t="str">
            <v>Bono por Desempeño y Resultado</v>
          </cell>
          <cell r="G1777" t="str">
            <v>4101900010  Bono por Desempeño y Resultado</v>
          </cell>
          <cell r="H1777" t="str">
            <v>Est. Resultado</v>
          </cell>
          <cell r="I1777" t="str">
            <v>Resultado</v>
          </cell>
          <cell r="J1777" t="str">
            <v>2. Costo Personal Explotacion</v>
          </cell>
          <cell r="K1777" t="str">
            <v>2. Remuneraciones Variables</v>
          </cell>
          <cell r="L1777" t="str">
            <v>EBITDA</v>
          </cell>
          <cell r="M1777" t="str">
            <v>MARGEN BRUTO</v>
          </cell>
          <cell r="N1777" t="str">
            <v>GANANCIAS (PERDIDAS) ANTES DE IMPUESTOS</v>
          </cell>
          <cell r="O1777" t="str">
            <v>GANANCIA (PÉRDIDA) NETA</v>
          </cell>
          <cell r="P1777" t="str">
            <v>Resultado Ingresos y Gastos Integrales</v>
          </cell>
          <cell r="Q1777" t="str">
            <v>I. Ganancia (pérdida), antes de impuestos</v>
          </cell>
          <cell r="R1777" t="str">
            <v>a. Ganancia bruta</v>
          </cell>
          <cell r="S1777" t="str">
            <v>2. Costo de ventas</v>
          </cell>
          <cell r="T1777" t="str">
            <v>8. Remuneraciones Variables</v>
          </cell>
          <cell r="V1777" t="str">
            <v>II. Gastos</v>
          </cell>
          <cell r="W1777" t="str">
            <v>21. Gastos en Personal</v>
          </cell>
          <cell r="X1777" t="str">
            <v>2. Remuneraciones Variables</v>
          </cell>
          <cell r="Z1777" t="str">
            <v>II. Costo Ventas</v>
          </cell>
          <cell r="AA1777" t="str">
            <v>7. Personal Explotación</v>
          </cell>
          <cell r="AB1777" t="str">
            <v>2. Remu Variable E</v>
          </cell>
          <cell r="AC1777" t="str">
            <v>II. Costo de Explotación</v>
          </cell>
          <cell r="AD1777" t="str">
            <v>1. Personal Explotación</v>
          </cell>
          <cell r="AE1777" t="str">
            <v>1. Remuneraciones Exp.</v>
          </cell>
          <cell r="AH1777" t="str">
            <v>6. Partidas significativas de gastos</v>
          </cell>
        </row>
        <row r="1778">
          <cell r="D1778">
            <v>0</v>
          </cell>
          <cell r="G1778" t="str">
            <v/>
          </cell>
          <cell r="H1778" t="str">
            <v>Est. Resultado</v>
          </cell>
          <cell r="I1778" t="str">
            <v>Resultado</v>
          </cell>
          <cell r="J1778" t="str">
            <v>2. Costo Personal Explotacion</v>
          </cell>
          <cell r="K1778" t="str">
            <v>2. Remuneraciones Variables</v>
          </cell>
          <cell r="L1778" t="str">
            <v>EBITDA</v>
          </cell>
          <cell r="M1778" t="str">
            <v>MARGEN BRUTO</v>
          </cell>
          <cell r="N1778" t="str">
            <v>GANANCIAS (PERDIDAS) ANTES DE IMPUESTOS</v>
          </cell>
          <cell r="O1778" t="str">
            <v>GANANCIA (PÉRDIDA) NETA</v>
          </cell>
          <cell r="P1778" t="str">
            <v>Resultado Ingresos y Gastos Integrales</v>
          </cell>
          <cell r="Q1778" t="str">
            <v>I. Ganancia (pérdida), antes de impuestos</v>
          </cell>
          <cell r="R1778" t="str">
            <v>a. Ganancia bruta</v>
          </cell>
          <cell r="S1778" t="str">
            <v>2. Costo de ventas</v>
          </cell>
          <cell r="T1778" t="str">
            <v>8. Remuneraciones Variables</v>
          </cell>
          <cell r="V1778" t="str">
            <v>II. Gastos</v>
          </cell>
          <cell r="W1778" t="str">
            <v>21. Gastos en Personal</v>
          </cell>
          <cell r="X1778" t="str">
            <v>2. Remuneraciones Variables</v>
          </cell>
          <cell r="Z1778" t="str">
            <v>II. Costo Ventas</v>
          </cell>
          <cell r="AA1778" t="str">
            <v>7. Personal Explotación</v>
          </cell>
          <cell r="AB1778" t="str">
            <v>2. Remu Variable E</v>
          </cell>
          <cell r="AC1778" t="str">
            <v>II. Costo de Explotación</v>
          </cell>
          <cell r="AD1778" t="str">
            <v>1. Personal Explotación</v>
          </cell>
          <cell r="AE1778" t="str">
            <v>1. Remuneraciones Exp.</v>
          </cell>
          <cell r="AH1778" t="str">
            <v>6. Partidas significativas de gastos</v>
          </cell>
        </row>
        <row r="1779">
          <cell r="D1779">
            <v>0</v>
          </cell>
          <cell r="G1779" t="str">
            <v/>
          </cell>
          <cell r="H1779" t="str">
            <v>Est. Resultado</v>
          </cell>
          <cell r="I1779" t="str">
            <v>Resultado</v>
          </cell>
          <cell r="J1779" t="str">
            <v>2. Costo Personal Explotacion</v>
          </cell>
          <cell r="K1779" t="str">
            <v>2. Remuneraciones Variables</v>
          </cell>
          <cell r="L1779" t="str">
            <v>EBITDA</v>
          </cell>
          <cell r="M1779" t="str">
            <v>MARGEN BRUTO</v>
          </cell>
          <cell r="N1779" t="str">
            <v>GANANCIAS (PERDIDAS) ANTES DE IMPUESTOS</v>
          </cell>
          <cell r="O1779" t="str">
            <v>GANANCIA (PÉRDIDA) NETA</v>
          </cell>
          <cell r="P1779" t="str">
            <v>Resultado Ingresos y Gastos Integrales</v>
          </cell>
          <cell r="Q1779" t="str">
            <v>I. Ganancia (pérdida), antes de impuestos</v>
          </cell>
          <cell r="R1779" t="str">
            <v>a. Ganancia bruta</v>
          </cell>
          <cell r="S1779" t="str">
            <v>2. Costo de ventas</v>
          </cell>
          <cell r="T1779" t="str">
            <v>8. Remuneraciones Variables</v>
          </cell>
          <cell r="V1779" t="str">
            <v>II. Gastos</v>
          </cell>
          <cell r="W1779" t="str">
            <v>21. Gastos en Personal</v>
          </cell>
          <cell r="X1779" t="str">
            <v>2. Remuneraciones Variables</v>
          </cell>
          <cell r="Z1779" t="str">
            <v>II. Costo Ventas</v>
          </cell>
          <cell r="AA1779" t="str">
            <v>7. Personal Explotación</v>
          </cell>
          <cell r="AB1779" t="str">
            <v>2. Remu Variable E</v>
          </cell>
          <cell r="AC1779" t="str">
            <v>II. Costo de Explotación</v>
          </cell>
          <cell r="AD1779" t="str">
            <v>1. Personal Explotación</v>
          </cell>
          <cell r="AE1779" t="str">
            <v>1. Remuneraciones Exp.</v>
          </cell>
          <cell r="AH1779" t="str">
            <v>6. Partidas significativas de gastos</v>
          </cell>
        </row>
        <row r="1780">
          <cell r="D1780">
            <v>0</v>
          </cell>
          <cell r="G1780" t="str">
            <v/>
          </cell>
          <cell r="H1780" t="str">
            <v>Est. Resultado</v>
          </cell>
          <cell r="I1780" t="str">
            <v>Resultado</v>
          </cell>
          <cell r="J1780" t="str">
            <v>2. Costo Personal Explotacion</v>
          </cell>
          <cell r="K1780" t="str">
            <v>2. Remuneraciones Variables</v>
          </cell>
          <cell r="L1780" t="str">
            <v>EBITDA</v>
          </cell>
          <cell r="M1780" t="str">
            <v>MARGEN BRUTO</v>
          </cell>
          <cell r="N1780" t="str">
            <v>GANANCIAS (PERDIDAS) ANTES DE IMPUESTOS</v>
          </cell>
          <cell r="O1780" t="str">
            <v>GANANCIA (PÉRDIDA) NETA</v>
          </cell>
          <cell r="P1780" t="str">
            <v>Resultado Ingresos y Gastos Integrales</v>
          </cell>
          <cell r="Q1780" t="str">
            <v>I. Ganancia (pérdida), antes de impuestos</v>
          </cell>
          <cell r="R1780" t="str">
            <v>a. Ganancia bruta</v>
          </cell>
          <cell r="S1780" t="str">
            <v>2. Costo de ventas</v>
          </cell>
          <cell r="T1780" t="str">
            <v>8. Remuneraciones Variables</v>
          </cell>
          <cell r="V1780" t="str">
            <v>II. Gastos</v>
          </cell>
          <cell r="W1780" t="str">
            <v>21. Gastos en Personal</v>
          </cell>
          <cell r="X1780" t="str">
            <v>2. Remuneraciones Variables</v>
          </cell>
          <cell r="Z1780" t="str">
            <v>II. Costo Ventas</v>
          </cell>
          <cell r="AA1780" t="str">
            <v>7. Personal Explotación</v>
          </cell>
          <cell r="AB1780" t="str">
            <v>2. Remu Variable E</v>
          </cell>
          <cell r="AC1780" t="str">
            <v>II. Costo de Explotación</v>
          </cell>
          <cell r="AD1780" t="str">
            <v>1. Personal Explotación</v>
          </cell>
          <cell r="AE1780" t="str">
            <v>1. Remuneraciones Exp.</v>
          </cell>
          <cell r="AH1780" t="str">
            <v>6. Partidas significativas de gastos</v>
          </cell>
        </row>
        <row r="1781">
          <cell r="D1781" t="str">
            <v>Remuneraciones Variables</v>
          </cell>
          <cell r="E1781" t="str">
            <v>Remuneraciones Variables</v>
          </cell>
          <cell r="G1781" t="str">
            <v xml:space="preserve">Remuneraciones Variables  </v>
          </cell>
          <cell r="H1781" t="str">
            <v/>
          </cell>
          <cell r="I1781" t="str">
            <v/>
          </cell>
          <cell r="J1781" t="str">
            <v/>
          </cell>
          <cell r="K1781" t="str">
            <v/>
          </cell>
          <cell r="L1781" t="str">
            <v/>
          </cell>
          <cell r="M1781" t="str">
            <v/>
          </cell>
          <cell r="N1781" t="str">
            <v/>
          </cell>
          <cell r="O1781" t="str">
            <v/>
          </cell>
          <cell r="P1781" t="str">
            <v/>
          </cell>
        </row>
        <row r="1782">
          <cell r="D1782" t="str">
            <v>4106100000E</v>
          </cell>
          <cell r="E1782" t="str">
            <v>4106100000</v>
          </cell>
          <cell r="F1782" t="str">
            <v>Finiquitos y/o Desahucios</v>
          </cell>
          <cell r="G1782" t="str">
            <v>4106100000  Finiquitos y/o Desahucios</v>
          </cell>
          <cell r="H1782" t="str">
            <v>Est. Resultado</v>
          </cell>
          <cell r="I1782" t="str">
            <v>Resultado</v>
          </cell>
          <cell r="J1782" t="str">
            <v>2. Costo Personal Explotacion</v>
          </cell>
          <cell r="K1782" t="str">
            <v>3. Provisiones e indemnizaciones</v>
          </cell>
          <cell r="L1782" t="str">
            <v>EBITDA</v>
          </cell>
          <cell r="M1782" t="str">
            <v>MARGEN BRUTO</v>
          </cell>
          <cell r="N1782" t="str">
            <v>GANANCIAS (PERDIDAS) ANTES DE IMPUESTOS</v>
          </cell>
          <cell r="O1782" t="str">
            <v>GANANCIA (PÉRDIDA) NETA</v>
          </cell>
          <cell r="P1782" t="str">
            <v>Resultado Ingresos y Gastos Integrales</v>
          </cell>
          <cell r="Q1782" t="str">
            <v>I. Ganancia (pérdida), antes de impuestos</v>
          </cell>
          <cell r="R1782" t="str">
            <v>a. Ganancia bruta</v>
          </cell>
          <cell r="S1782" t="str">
            <v>2. Costo de ventas</v>
          </cell>
          <cell r="T1782" t="str">
            <v>9. Provisiones e indemnizaciones</v>
          </cell>
          <cell r="V1782" t="str">
            <v>II. Gastos</v>
          </cell>
          <cell r="W1782" t="str">
            <v>24. Desahucios y otras Indemnizaciones</v>
          </cell>
          <cell r="Z1782" t="str">
            <v>II. Costo Ventas</v>
          </cell>
          <cell r="AA1782" t="str">
            <v>7. Personal Explotación</v>
          </cell>
          <cell r="AB1782" t="str">
            <v>2. Remu Variable E</v>
          </cell>
          <cell r="AC1782" t="str">
            <v>II. Costo de Explotación</v>
          </cell>
          <cell r="AD1782" t="str">
            <v>1. Personal Explotación</v>
          </cell>
          <cell r="AE1782" t="str">
            <v>1. Remuneraciones Exp.</v>
          </cell>
          <cell r="AG1782" t="str">
            <v xml:space="preserve"> </v>
          </cell>
          <cell r="AH1782" t="str">
            <v>6. Partidas significativas de gastos</v>
          </cell>
        </row>
        <row r="1783">
          <cell r="D1783" t="str">
            <v>4106200000E</v>
          </cell>
          <cell r="E1783" t="str">
            <v>4106200000</v>
          </cell>
          <cell r="F1783" t="str">
            <v>Prov Ind Año Serv</v>
          </cell>
          <cell r="G1783" t="str">
            <v>4106200000  Prov Ind Año Serv</v>
          </cell>
          <cell r="H1783" t="str">
            <v>Est. Resultado</v>
          </cell>
          <cell r="I1783" t="str">
            <v>Resultado</v>
          </cell>
          <cell r="J1783" t="str">
            <v>2. Costo Personal Explotacion</v>
          </cell>
          <cell r="K1783" t="str">
            <v>3. Provisiones e indemnizaciones</v>
          </cell>
          <cell r="L1783" t="str">
            <v>EBITDA</v>
          </cell>
          <cell r="M1783" t="str">
            <v>MARGEN BRUTO</v>
          </cell>
          <cell r="N1783" t="str">
            <v>GANANCIAS (PERDIDAS) ANTES DE IMPUESTOS</v>
          </cell>
          <cell r="O1783" t="str">
            <v>GANANCIA (PÉRDIDA) NETA</v>
          </cell>
          <cell r="P1783" t="str">
            <v>Resultado Ingresos y Gastos Integrales</v>
          </cell>
          <cell r="Q1783" t="str">
            <v>I. Ganancia (pérdida), antes de impuestos</v>
          </cell>
          <cell r="R1783" t="str">
            <v>a. Ganancia bruta</v>
          </cell>
          <cell r="S1783" t="str">
            <v>2. Costo de ventas</v>
          </cell>
          <cell r="T1783" t="str">
            <v>9. Provisiones e indemnizaciones</v>
          </cell>
          <cell r="V1783" t="str">
            <v>II. Gastos</v>
          </cell>
          <cell r="W1783" t="str">
            <v>24. Desahucios y otras Indemnizaciones</v>
          </cell>
          <cell r="Z1783" t="str">
            <v>II. Costo Ventas</v>
          </cell>
          <cell r="AA1783" t="str">
            <v>7. Personal Explotación</v>
          </cell>
          <cell r="AB1783" t="str">
            <v>2. Remu Variable E</v>
          </cell>
          <cell r="AC1783" t="str">
            <v>II. Costo de Explotación</v>
          </cell>
          <cell r="AD1783" t="str">
            <v>1. Personal Explotación</v>
          </cell>
          <cell r="AE1783" t="str">
            <v>1. Remuneraciones Exp.</v>
          </cell>
          <cell r="AG1783" t="str">
            <v xml:space="preserve"> </v>
          </cell>
          <cell r="AH1783" t="str">
            <v>6. Partidas significativas de gastos</v>
          </cell>
        </row>
        <row r="1784">
          <cell r="D1784" t="str">
            <v>4106300000E</v>
          </cell>
          <cell r="E1784" t="str">
            <v>4106300000</v>
          </cell>
          <cell r="F1784" t="str">
            <v>Provision de Feriados</v>
          </cell>
          <cell r="G1784" t="str">
            <v>4106300000  Provision de Feriados</v>
          </cell>
          <cell r="H1784" t="str">
            <v>Est. Resultado</v>
          </cell>
          <cell r="I1784" t="str">
            <v>Resultado</v>
          </cell>
          <cell r="J1784" t="str">
            <v>2. Costo Personal Explotacion</v>
          </cell>
          <cell r="K1784" t="str">
            <v>3. Provisiones e indemnizaciones</v>
          </cell>
          <cell r="L1784" t="str">
            <v>EBITDA</v>
          </cell>
          <cell r="M1784" t="str">
            <v>MARGEN BRUTO</v>
          </cell>
          <cell r="N1784" t="str">
            <v>GANANCIAS (PERDIDAS) ANTES DE IMPUESTOS</v>
          </cell>
          <cell r="O1784" t="str">
            <v>GANANCIA (PÉRDIDA) NETA</v>
          </cell>
          <cell r="P1784" t="str">
            <v>Resultado Ingresos y Gastos Integrales</v>
          </cell>
          <cell r="Q1784" t="str">
            <v>I. Ganancia (pérdida), antes de impuestos</v>
          </cell>
          <cell r="R1784" t="str">
            <v>a. Ganancia bruta</v>
          </cell>
          <cell r="S1784" t="str">
            <v>2. Costo de ventas</v>
          </cell>
          <cell r="T1784" t="str">
            <v>9. Provisiones e indemnizaciones</v>
          </cell>
          <cell r="V1784" t="str">
            <v>II. Gastos</v>
          </cell>
          <cell r="W1784" t="str">
            <v>24. Desahucios y otras Indemnizaciones</v>
          </cell>
          <cell r="Z1784" t="str">
            <v>II. Costo Ventas</v>
          </cell>
          <cell r="AA1784" t="str">
            <v>7. Personal Explotación</v>
          </cell>
          <cell r="AB1784" t="str">
            <v>2. Remu Variable E</v>
          </cell>
          <cell r="AC1784" t="str">
            <v>II. Costo de Explotación</v>
          </cell>
          <cell r="AD1784" t="str">
            <v>1. Personal Explotación</v>
          </cell>
          <cell r="AE1784" t="str">
            <v>1. Remuneraciones Exp.</v>
          </cell>
          <cell r="AG1784" t="str">
            <v xml:space="preserve"> </v>
          </cell>
          <cell r="AH1784" t="str">
            <v>6. Partidas significativas de gastos</v>
          </cell>
        </row>
        <row r="1785">
          <cell r="D1785">
            <v>0</v>
          </cell>
          <cell r="G1785" t="str">
            <v/>
          </cell>
        </row>
        <row r="1786">
          <cell r="D1786">
            <v>0</v>
          </cell>
          <cell r="G1786" t="str">
            <v/>
          </cell>
        </row>
        <row r="1787">
          <cell r="D1787">
            <v>0</v>
          </cell>
          <cell r="G1787" t="str">
            <v/>
          </cell>
        </row>
        <row r="1788">
          <cell r="D1788" t="str">
            <v>Provisiones e indemnizaciones</v>
          </cell>
          <cell r="E1788" t="str">
            <v>Provisiones e indemnizaciones</v>
          </cell>
          <cell r="G1788" t="str">
            <v xml:space="preserve">Provisiones e indemnizaciones  </v>
          </cell>
          <cell r="H1788" t="str">
            <v/>
          </cell>
          <cell r="I1788" t="str">
            <v/>
          </cell>
          <cell r="K1788" t="str">
            <v/>
          </cell>
          <cell r="L1788" t="str">
            <v/>
          </cell>
          <cell r="M1788" t="str">
            <v/>
          </cell>
          <cell r="N1788" t="str">
            <v/>
          </cell>
          <cell r="O1788" t="str">
            <v/>
          </cell>
          <cell r="P1788" t="str">
            <v/>
          </cell>
        </row>
        <row r="1789">
          <cell r="D1789" t="str">
            <v>COSTO PERSONAL EXPLOTACION</v>
          </cell>
          <cell r="E1789" t="str">
            <v>COSTO PERSONAL EXPLOTACION</v>
          </cell>
          <cell r="G1789" t="str">
            <v xml:space="preserve">COSTO PERSONAL EXPLOTACION  </v>
          </cell>
          <cell r="H1789" t="str">
            <v/>
          </cell>
          <cell r="I1789" t="str">
            <v/>
          </cell>
          <cell r="L1789" t="str">
            <v/>
          </cell>
          <cell r="M1789" t="str">
            <v/>
          </cell>
          <cell r="N1789" t="str">
            <v/>
          </cell>
          <cell r="O1789" t="str">
            <v/>
          </cell>
          <cell r="P1789" t="str">
            <v/>
          </cell>
        </row>
        <row r="1790">
          <cell r="D1790" t="str">
            <v>4202100000</v>
          </cell>
          <cell r="E1790" t="str">
            <v>4202100000</v>
          </cell>
          <cell r="F1790" t="str">
            <v>Consumo Petroleo</v>
          </cell>
          <cell r="G1790" t="str">
            <v>4202100000  Consumo Petroleo</v>
          </cell>
          <cell r="H1790" t="str">
            <v>Est. Resultado</v>
          </cell>
          <cell r="I1790" t="str">
            <v>Resultado</v>
          </cell>
          <cell r="J1790" t="str">
            <v>3. Costo de Venta</v>
          </cell>
          <cell r="K1790" t="str">
            <v>1. Energia y Combustibles</v>
          </cell>
          <cell r="L1790" t="str">
            <v>EBITDA</v>
          </cell>
          <cell r="M1790" t="str">
            <v>MARGEN BRUTO</v>
          </cell>
          <cell r="N1790" t="str">
            <v>GANANCIAS (PERDIDAS) ANTES DE IMPUESTOS</v>
          </cell>
          <cell r="O1790" t="str">
            <v>GANANCIA (PÉRDIDA) NETA</v>
          </cell>
          <cell r="P1790" t="str">
            <v>Resultado Ingresos y Gastos Integrales</v>
          </cell>
          <cell r="Q1790" t="str">
            <v>I. Ganancia (pérdida), antes de impuestos</v>
          </cell>
          <cell r="R1790" t="str">
            <v>a. Ganancia bruta</v>
          </cell>
          <cell r="S1790" t="str">
            <v>2. Costo de ventas</v>
          </cell>
          <cell r="T1790" t="str">
            <v>1. Energia y Combustibles</v>
          </cell>
          <cell r="V1790" t="str">
            <v>II. Gastos</v>
          </cell>
          <cell r="W1790" t="str">
            <v>23. Bienes y Servicios para la Producción</v>
          </cell>
          <cell r="X1790" t="str">
            <v>1. Energía y Combustible</v>
          </cell>
          <cell r="Z1790" t="str">
            <v>II. Costo Ventas</v>
          </cell>
          <cell r="AA1790" t="str">
            <v>1. Energía y Combustible</v>
          </cell>
          <cell r="AB1790" t="str">
            <v>2. Combustible</v>
          </cell>
          <cell r="AC1790" t="str">
            <v>II. Costo de Explotación</v>
          </cell>
          <cell r="AD1790" t="str">
            <v>2. Bienes y servicios Expl.</v>
          </cell>
          <cell r="AE1790" t="str">
            <v>1. Energía y Combustible</v>
          </cell>
          <cell r="AG1790" t="str">
            <v xml:space="preserve"> </v>
          </cell>
          <cell r="AH1790" t="str">
            <v>6. Partidas significativas de gastos</v>
          </cell>
        </row>
        <row r="1791">
          <cell r="D1791" t="str">
            <v>4202200000</v>
          </cell>
          <cell r="E1791" t="str">
            <v>4202200000</v>
          </cell>
          <cell r="F1791" t="str">
            <v>Consumo Gasolina</v>
          </cell>
          <cell r="G1791" t="str">
            <v>4202200000  Consumo Gasolina</v>
          </cell>
          <cell r="H1791" t="str">
            <v>Est. Resultado</v>
          </cell>
          <cell r="I1791" t="str">
            <v>Resultado</v>
          </cell>
          <cell r="J1791" t="str">
            <v>3. Costo de Venta</v>
          </cell>
          <cell r="K1791" t="str">
            <v>1. Energia y Combustibles</v>
          </cell>
          <cell r="L1791" t="str">
            <v>EBITDA</v>
          </cell>
          <cell r="M1791" t="str">
            <v>MARGEN BRUTO</v>
          </cell>
          <cell r="N1791" t="str">
            <v>GANANCIAS (PERDIDAS) ANTES DE IMPUESTOS</v>
          </cell>
          <cell r="O1791" t="str">
            <v>GANANCIA (PÉRDIDA) NETA</v>
          </cell>
          <cell r="P1791" t="str">
            <v>Resultado Ingresos y Gastos Integrales</v>
          </cell>
          <cell r="Q1791" t="str">
            <v>I. Ganancia (pérdida), antes de impuestos</v>
          </cell>
          <cell r="R1791" t="str">
            <v>a. Ganancia bruta</v>
          </cell>
          <cell r="S1791" t="str">
            <v>2. Costo de ventas</v>
          </cell>
          <cell r="T1791" t="str">
            <v>1. Energia y Combustibles</v>
          </cell>
          <cell r="V1791" t="str">
            <v>II. Gastos</v>
          </cell>
          <cell r="W1791" t="str">
            <v>23. Bienes y Servicios para la Producción</v>
          </cell>
          <cell r="X1791" t="str">
            <v>1. Energía y Combustible</v>
          </cell>
          <cell r="Z1791" t="str">
            <v>II. Costo Ventas</v>
          </cell>
          <cell r="AA1791" t="str">
            <v>1. Energía y Combustible</v>
          </cell>
          <cell r="AB1791" t="str">
            <v>2. Combustible</v>
          </cell>
          <cell r="AC1791" t="str">
            <v>II. Costo de Explotación</v>
          </cell>
          <cell r="AD1791" t="str">
            <v>2. Bienes y servicios Expl.</v>
          </cell>
          <cell r="AE1791" t="str">
            <v>1. Energía y Combustible</v>
          </cell>
          <cell r="AG1791" t="str">
            <v xml:space="preserve"> </v>
          </cell>
          <cell r="AH1791" t="str">
            <v>6. Partidas significativas de gastos</v>
          </cell>
        </row>
        <row r="1792">
          <cell r="D1792" t="str">
            <v>4202300000</v>
          </cell>
          <cell r="E1792" t="str">
            <v>4202300000</v>
          </cell>
          <cell r="F1792" t="str">
            <v>Consumo Lubricante</v>
          </cell>
          <cell r="G1792" t="str">
            <v>4202300000  Consumo Lubricante</v>
          </cell>
          <cell r="H1792" t="str">
            <v>Est. Resultado</v>
          </cell>
          <cell r="I1792" t="str">
            <v>Resultado</v>
          </cell>
          <cell r="J1792" t="str">
            <v>3. Costo de Venta</v>
          </cell>
          <cell r="K1792" t="str">
            <v>1. Energia y Combustibles</v>
          </cell>
          <cell r="L1792" t="str">
            <v>EBITDA</v>
          </cell>
          <cell r="M1792" t="str">
            <v>MARGEN BRUTO</v>
          </cell>
          <cell r="N1792" t="str">
            <v>GANANCIAS (PERDIDAS) ANTES DE IMPUESTOS</v>
          </cell>
          <cell r="O1792" t="str">
            <v>GANANCIA (PÉRDIDA) NETA</v>
          </cell>
          <cell r="P1792" t="str">
            <v>Resultado Ingresos y Gastos Integrales</v>
          </cell>
          <cell r="Q1792" t="str">
            <v>I. Ganancia (pérdida), antes de impuestos</v>
          </cell>
          <cell r="R1792" t="str">
            <v>a. Ganancia bruta</v>
          </cell>
          <cell r="S1792" t="str">
            <v>2. Costo de ventas</v>
          </cell>
          <cell r="T1792" t="str">
            <v>1. Energia y Combustibles</v>
          </cell>
          <cell r="V1792" t="str">
            <v>II. Gastos</v>
          </cell>
          <cell r="W1792" t="str">
            <v>23. Bienes y Servicios para la Producción</v>
          </cell>
          <cell r="X1792" t="str">
            <v>1. Energía y Combustible</v>
          </cell>
          <cell r="Z1792" t="str">
            <v>II. Costo Ventas</v>
          </cell>
          <cell r="AA1792" t="str">
            <v>1. Energía y Combustible</v>
          </cell>
          <cell r="AB1792" t="str">
            <v>2. Combustible</v>
          </cell>
          <cell r="AC1792" t="str">
            <v>II. Costo de Explotación</v>
          </cell>
          <cell r="AD1792" t="str">
            <v>2. Bienes y servicios Expl.</v>
          </cell>
          <cell r="AE1792" t="str">
            <v>1. Energía y Combustible</v>
          </cell>
          <cell r="AG1792" t="str">
            <v xml:space="preserve"> </v>
          </cell>
          <cell r="AH1792" t="str">
            <v>6. Partidas significativas de gastos</v>
          </cell>
        </row>
        <row r="1793">
          <cell r="D1793" t="str">
            <v>4202400000</v>
          </cell>
          <cell r="E1793" t="str">
            <v>4202400000</v>
          </cell>
          <cell r="F1793" t="str">
            <v>Consumo Energia Trac</v>
          </cell>
          <cell r="G1793" t="str">
            <v>4202400000  Consumo Energia Trac</v>
          </cell>
          <cell r="H1793" t="str">
            <v>Est. Resultado</v>
          </cell>
          <cell r="I1793" t="str">
            <v>Resultado</v>
          </cell>
          <cell r="J1793" t="str">
            <v>3. Costo de Venta</v>
          </cell>
          <cell r="K1793" t="str">
            <v>1. Energia y Combustibles</v>
          </cell>
          <cell r="L1793" t="str">
            <v>EBITDA</v>
          </cell>
          <cell r="M1793" t="str">
            <v>MARGEN BRUTO</v>
          </cell>
          <cell r="N1793" t="str">
            <v>GANANCIAS (PERDIDAS) ANTES DE IMPUESTOS</v>
          </cell>
          <cell r="O1793" t="str">
            <v>GANANCIA (PÉRDIDA) NETA</v>
          </cell>
          <cell r="P1793" t="str">
            <v>Resultado Ingresos y Gastos Integrales</v>
          </cell>
          <cell r="Q1793" t="str">
            <v>I. Ganancia (pérdida), antes de impuestos</v>
          </cell>
          <cell r="R1793" t="str">
            <v>a. Ganancia bruta</v>
          </cell>
          <cell r="S1793" t="str">
            <v>2. Costo de ventas</v>
          </cell>
          <cell r="T1793" t="str">
            <v>1. Energia y Combustibles</v>
          </cell>
          <cell r="V1793" t="str">
            <v>II. Gastos</v>
          </cell>
          <cell r="W1793" t="str">
            <v>23. Bienes y Servicios para la Producción</v>
          </cell>
          <cell r="X1793" t="str">
            <v>1. Energía y Combustible</v>
          </cell>
          <cell r="Z1793" t="str">
            <v>II. Costo Ventas</v>
          </cell>
          <cell r="AA1793" t="str">
            <v>1. Energía y Combustible</v>
          </cell>
          <cell r="AB1793" t="str">
            <v>1. Electricidad</v>
          </cell>
          <cell r="AC1793" t="str">
            <v>II. Costo de Explotación</v>
          </cell>
          <cell r="AD1793" t="str">
            <v>2. Bienes y servicios Expl.</v>
          </cell>
          <cell r="AE1793" t="str">
            <v>1. Energía y Combustible</v>
          </cell>
          <cell r="AG1793" t="str">
            <v xml:space="preserve"> </v>
          </cell>
          <cell r="AH1793" t="str">
            <v>6. Partidas significativas de gastos</v>
          </cell>
        </row>
        <row r="1794">
          <cell r="D1794" t="str">
            <v>4202500000</v>
          </cell>
          <cell r="E1794" t="str">
            <v>4202500000</v>
          </cell>
          <cell r="F1794" t="str">
            <v>Consumo Carbon</v>
          </cell>
          <cell r="G1794" t="str">
            <v>4202500000  Consumo Carbon</v>
          </cell>
          <cell r="H1794" t="str">
            <v>Est. Resultado</v>
          </cell>
          <cell r="I1794" t="str">
            <v>Resultado</v>
          </cell>
          <cell r="J1794" t="str">
            <v>3. Costo de Venta</v>
          </cell>
          <cell r="K1794" t="str">
            <v>1. Energia y Combustibles</v>
          </cell>
          <cell r="L1794" t="str">
            <v>EBITDA</v>
          </cell>
          <cell r="M1794" t="str">
            <v>MARGEN BRUTO</v>
          </cell>
          <cell r="N1794" t="str">
            <v>GANANCIAS (PERDIDAS) ANTES DE IMPUESTOS</v>
          </cell>
          <cell r="O1794" t="str">
            <v>GANANCIA (PÉRDIDA) NETA</v>
          </cell>
          <cell r="P1794" t="str">
            <v>Resultado Ingresos y Gastos Integrales</v>
          </cell>
          <cell r="Q1794" t="str">
            <v>I. Ganancia (pérdida), antes de impuestos</v>
          </cell>
          <cell r="R1794" t="str">
            <v>a. Ganancia bruta</v>
          </cell>
          <cell r="S1794" t="str">
            <v>2. Costo de ventas</v>
          </cell>
          <cell r="T1794" t="str">
            <v>1. Energia y Combustibles</v>
          </cell>
          <cell r="V1794" t="str">
            <v>II. Gastos</v>
          </cell>
          <cell r="W1794" t="str">
            <v>23. Bienes y Servicios para la Producción</v>
          </cell>
          <cell r="X1794" t="str">
            <v>1. Energía y Combustible</v>
          </cell>
          <cell r="Z1794" t="str">
            <v>II. Costo Ventas</v>
          </cell>
          <cell r="AA1794" t="str">
            <v>1. Energía y Combustible</v>
          </cell>
          <cell r="AB1794" t="str">
            <v>2. Combustible</v>
          </cell>
          <cell r="AC1794" t="str">
            <v>II. Costo de Explotación</v>
          </cell>
          <cell r="AD1794" t="str">
            <v>2. Bienes y servicios Expl.</v>
          </cell>
          <cell r="AE1794" t="str">
            <v>1. Energía y Combustible</v>
          </cell>
          <cell r="AG1794" t="str">
            <v xml:space="preserve"> </v>
          </cell>
          <cell r="AH1794" t="str">
            <v>6. Partidas significativas de gastos</v>
          </cell>
        </row>
        <row r="1795">
          <cell r="D1795">
            <v>0</v>
          </cell>
          <cell r="G1795" t="str">
            <v/>
          </cell>
        </row>
        <row r="1796">
          <cell r="D1796">
            <v>0</v>
          </cell>
          <cell r="G1796" t="str">
            <v/>
          </cell>
        </row>
        <row r="1797">
          <cell r="D1797">
            <v>0</v>
          </cell>
          <cell r="G1797" t="str">
            <v/>
          </cell>
        </row>
        <row r="1798">
          <cell r="D1798" t="str">
            <v>Energia y Combustibles</v>
          </cell>
          <cell r="E1798" t="str">
            <v>Energia y Combustibles</v>
          </cell>
          <cell r="G1798" t="str">
            <v xml:space="preserve">Energia y Combustibles  </v>
          </cell>
          <cell r="H1798" t="str">
            <v/>
          </cell>
          <cell r="I1798" t="str">
            <v/>
          </cell>
          <cell r="J1798" t="str">
            <v/>
          </cell>
          <cell r="K1798" t="str">
            <v/>
          </cell>
          <cell r="L1798" t="str">
            <v/>
          </cell>
          <cell r="M1798" t="str">
            <v/>
          </cell>
          <cell r="N1798" t="str">
            <v/>
          </cell>
          <cell r="O1798" t="str">
            <v/>
          </cell>
          <cell r="P1798" t="str">
            <v/>
          </cell>
          <cell r="T1798" t="str">
            <v/>
          </cell>
        </row>
        <row r="1799">
          <cell r="D1799" t="str">
            <v>4201200000</v>
          </cell>
          <cell r="E1799" t="str">
            <v>4201200000</v>
          </cell>
          <cell r="F1799" t="str">
            <v>Rep/Acc Loc Electric</v>
          </cell>
          <cell r="G1799" t="str">
            <v>4201200000  Rep/Acc Loc Electric</v>
          </cell>
          <cell r="H1799" t="str">
            <v>Est. Resultado</v>
          </cell>
          <cell r="I1799" t="str">
            <v>Resultado</v>
          </cell>
          <cell r="J1799" t="str">
            <v>3. Costo de Venta</v>
          </cell>
          <cell r="K1799" t="str">
            <v>2. Mantenimiento Mat Rodante</v>
          </cell>
          <cell r="L1799" t="str">
            <v>EBITDA</v>
          </cell>
          <cell r="M1799" t="str">
            <v>MARGEN BRUTO</v>
          </cell>
          <cell r="N1799" t="str">
            <v>GANANCIAS (PERDIDAS) ANTES DE IMPUESTOS</v>
          </cell>
          <cell r="O1799" t="str">
            <v>GANANCIA (PÉRDIDA) NETA</v>
          </cell>
          <cell r="P1799" t="str">
            <v>Resultado Ingresos y Gastos Integrales</v>
          </cell>
          <cell r="Q1799" t="str">
            <v>I. Ganancia (pérdida), antes de impuestos</v>
          </cell>
          <cell r="R1799" t="str">
            <v>a. Ganancia bruta</v>
          </cell>
          <cell r="S1799" t="str">
            <v>2. Costo de ventas</v>
          </cell>
          <cell r="T1799" t="str">
            <v>2. Mantenimiento Mat Rodante</v>
          </cell>
          <cell r="V1799" t="str">
            <v>II. Gastos</v>
          </cell>
          <cell r="W1799" t="str">
            <v>23. Bienes y Servicios para la Producción</v>
          </cell>
          <cell r="Z1799" t="str">
            <v>II. Costo Ventas</v>
          </cell>
          <cell r="AA1799" t="str">
            <v>2. Mantenimiento Mat Rodante</v>
          </cell>
          <cell r="AC1799" t="str">
            <v>II. Costo de Explotación</v>
          </cell>
          <cell r="AD1799" t="str">
            <v>2. Bienes y servicios Expl.</v>
          </cell>
          <cell r="AE1799" t="str">
            <v>2. Mantenimiento Mat. Rodante</v>
          </cell>
          <cell r="AG1799" t="str">
            <v xml:space="preserve"> </v>
          </cell>
          <cell r="AH1799" t="str">
            <v>6. Partidas significativas de gastos</v>
          </cell>
        </row>
        <row r="1800">
          <cell r="D1800" t="str">
            <v>4201330000</v>
          </cell>
          <cell r="E1800" t="str">
            <v>4201330000</v>
          </cell>
          <cell r="F1800" t="str">
            <v>Rep y Accesorio Automotor UT440</v>
          </cell>
          <cell r="G1800" t="str">
            <v>4201330000  Rep y Accesorio Automotor UT440</v>
          </cell>
          <cell r="H1800" t="str">
            <v>Est. Resultado</v>
          </cell>
          <cell r="I1800" t="str">
            <v>Resultado</v>
          </cell>
          <cell r="J1800" t="str">
            <v>3. Costo de Venta</v>
          </cell>
          <cell r="K1800" t="str">
            <v>2. Mantenimiento Mat Rodante</v>
          </cell>
          <cell r="L1800" t="str">
            <v>EBITDA</v>
          </cell>
          <cell r="M1800" t="str">
            <v>MARGEN BRUTO</v>
          </cell>
          <cell r="N1800" t="str">
            <v>GANANCIAS (PERDIDAS) ANTES DE IMPUESTOS</v>
          </cell>
          <cell r="O1800" t="str">
            <v>GANANCIA (PÉRDIDA) NETA</v>
          </cell>
          <cell r="P1800" t="str">
            <v>Resultado Ingresos y Gastos Integrales</v>
          </cell>
          <cell r="Q1800" t="str">
            <v>I. Ganancia (pérdida), antes de impuestos</v>
          </cell>
          <cell r="R1800" t="str">
            <v>a. Ganancia bruta</v>
          </cell>
          <cell r="S1800" t="str">
            <v>2. Costo de ventas</v>
          </cell>
          <cell r="T1800" t="str">
            <v>2. Mantenimiento Mat Rodante</v>
          </cell>
          <cell r="V1800" t="str">
            <v>II. Gastos</v>
          </cell>
          <cell r="W1800" t="str">
            <v>23. Bienes y Servicios para la Producción</v>
          </cell>
          <cell r="Z1800" t="str">
            <v>II. Costo Ventas</v>
          </cell>
          <cell r="AA1800" t="str">
            <v>2. Mantenimiento Mat Rodante</v>
          </cell>
          <cell r="AC1800" t="str">
            <v>II. Costo de Explotación</v>
          </cell>
          <cell r="AD1800" t="str">
            <v>2. Bienes y servicios Expl.</v>
          </cell>
          <cell r="AE1800" t="str">
            <v>2. Mantenimiento Mat. Rodante</v>
          </cell>
          <cell r="AG1800" t="str">
            <v xml:space="preserve"> </v>
          </cell>
          <cell r="AH1800" t="str">
            <v>6. Partidas significativas de gastos</v>
          </cell>
        </row>
        <row r="1801">
          <cell r="D1801" t="str">
            <v>4201400000</v>
          </cell>
          <cell r="E1801" t="str">
            <v>4201400000</v>
          </cell>
          <cell r="F1801" t="str">
            <v>Rep y Accesorios Coches</v>
          </cell>
          <cell r="G1801" t="str">
            <v>4201400000  Rep y Accesorios Coches</v>
          </cell>
          <cell r="H1801" t="str">
            <v>Est. Resultado</v>
          </cell>
          <cell r="I1801" t="str">
            <v>Resultado</v>
          </cell>
          <cell r="J1801" t="str">
            <v>3. Costo de Venta</v>
          </cell>
          <cell r="K1801" t="str">
            <v>2. Mantenimiento Mat Rodante</v>
          </cell>
          <cell r="L1801" t="str">
            <v>EBITDA</v>
          </cell>
          <cell r="M1801" t="str">
            <v>MARGEN BRUTO</v>
          </cell>
          <cell r="N1801" t="str">
            <v>GANANCIAS (PERDIDAS) ANTES DE IMPUESTOS</v>
          </cell>
          <cell r="O1801" t="str">
            <v>GANANCIA (PÉRDIDA) NETA</v>
          </cell>
          <cell r="P1801" t="str">
            <v>Resultado Ingresos y Gastos Integrales</v>
          </cell>
          <cell r="Q1801" t="str">
            <v>I. Ganancia (pérdida), antes de impuestos</v>
          </cell>
          <cell r="R1801" t="str">
            <v>a. Ganancia bruta</v>
          </cell>
          <cell r="S1801" t="str">
            <v>2. Costo de ventas</v>
          </cell>
          <cell r="T1801" t="str">
            <v>2. Mantenimiento Mat Rodante</v>
          </cell>
          <cell r="V1801" t="str">
            <v>II. Gastos</v>
          </cell>
          <cell r="W1801" t="str">
            <v>23. Bienes y Servicios para la Producción</v>
          </cell>
          <cell r="Z1801" t="str">
            <v>II. Costo Ventas</v>
          </cell>
          <cell r="AA1801" t="str">
            <v>2. Mantenimiento Mat Rodante</v>
          </cell>
          <cell r="AC1801" t="str">
            <v>II. Costo de Explotación</v>
          </cell>
          <cell r="AD1801" t="str">
            <v>2. Bienes y servicios Expl.</v>
          </cell>
          <cell r="AE1801" t="str">
            <v>2. Mantenimiento Mat. Rodante</v>
          </cell>
          <cell r="AG1801" t="str">
            <v xml:space="preserve"> </v>
          </cell>
          <cell r="AH1801" t="str">
            <v>6. Partidas significativas de gastos</v>
          </cell>
        </row>
        <row r="1802">
          <cell r="D1802" t="str">
            <v>4201550000</v>
          </cell>
          <cell r="E1802" t="str">
            <v>4201550000</v>
          </cell>
          <cell r="F1802" t="str">
            <v>Material Operacion Trenes</v>
          </cell>
          <cell r="G1802" t="str">
            <v>4201550000  Material Operacion Trenes</v>
          </cell>
          <cell r="H1802" t="str">
            <v>Est. Resultado</v>
          </cell>
          <cell r="I1802" t="str">
            <v>Resultado</v>
          </cell>
          <cell r="J1802" t="str">
            <v>3. Costo de Venta</v>
          </cell>
          <cell r="K1802" t="str">
            <v>2. Mantenimiento Mat Rodante</v>
          </cell>
          <cell r="L1802" t="str">
            <v>EBITDA</v>
          </cell>
          <cell r="M1802" t="str">
            <v>MARGEN BRUTO</v>
          </cell>
          <cell r="N1802" t="str">
            <v>GANANCIAS (PERDIDAS) ANTES DE IMPUESTOS</v>
          </cell>
          <cell r="O1802" t="str">
            <v>GANANCIA (PÉRDIDA) NETA</v>
          </cell>
          <cell r="P1802" t="str">
            <v>Resultado Ingresos y Gastos Integrales</v>
          </cell>
          <cell r="Q1802" t="str">
            <v>I. Ganancia (pérdida), antes de impuestos</v>
          </cell>
          <cell r="R1802" t="str">
            <v>a. Ganancia bruta</v>
          </cell>
          <cell r="S1802" t="str">
            <v>2. Costo de ventas</v>
          </cell>
          <cell r="T1802" t="str">
            <v>2. Mantenimiento Mat Rodante</v>
          </cell>
          <cell r="V1802" t="str">
            <v>II. Gastos</v>
          </cell>
          <cell r="W1802" t="str">
            <v>23. Bienes y Servicios para la Producción</v>
          </cell>
          <cell r="Z1802" t="str">
            <v>II. Costo Ventas</v>
          </cell>
          <cell r="AA1802" t="str">
            <v>2. Mantenimiento Mat Rodante</v>
          </cell>
          <cell r="AC1802" t="str">
            <v>II. Costo de Explotación</v>
          </cell>
          <cell r="AD1802" t="str">
            <v>2. Bienes y servicios Expl.</v>
          </cell>
          <cell r="AE1802" t="str">
            <v>2. Mantenimiento Mat. Rodante</v>
          </cell>
          <cell r="AG1802" t="str">
            <v xml:space="preserve"> </v>
          </cell>
          <cell r="AH1802" t="str">
            <v>6. Partidas significativas de gastos</v>
          </cell>
        </row>
        <row r="1803">
          <cell r="D1803" t="str">
            <v>4220100000</v>
          </cell>
          <cell r="E1803" t="str">
            <v>4220100000</v>
          </cell>
          <cell r="F1803" t="str">
            <v>Serv Mant Loc Elect</v>
          </cell>
          <cell r="G1803" t="str">
            <v>4220100000  Serv Mant Loc Elect</v>
          </cell>
          <cell r="H1803" t="str">
            <v>Est. Resultado</v>
          </cell>
          <cell r="I1803" t="str">
            <v>Resultado</v>
          </cell>
          <cell r="J1803" t="str">
            <v>3. Costo de Venta</v>
          </cell>
          <cell r="K1803" t="str">
            <v>2. Mantenimiento Mat Rodante</v>
          </cell>
          <cell r="L1803" t="str">
            <v>EBITDA</v>
          </cell>
          <cell r="M1803" t="str">
            <v>MARGEN BRUTO</v>
          </cell>
          <cell r="N1803" t="str">
            <v>GANANCIAS (PERDIDAS) ANTES DE IMPUESTOS</v>
          </cell>
          <cell r="O1803" t="str">
            <v>GANANCIA (PÉRDIDA) NETA</v>
          </cell>
          <cell r="P1803" t="str">
            <v>Resultado Ingresos y Gastos Integrales</v>
          </cell>
          <cell r="Q1803" t="str">
            <v>I. Ganancia (pérdida), antes de impuestos</v>
          </cell>
          <cell r="R1803" t="str">
            <v>a. Ganancia bruta</v>
          </cell>
          <cell r="S1803" t="str">
            <v>2. Costo de ventas</v>
          </cell>
          <cell r="T1803" t="str">
            <v>2. Mantenimiento Mat Rodante</v>
          </cell>
          <cell r="V1803" t="str">
            <v>II. Gastos</v>
          </cell>
          <cell r="W1803" t="str">
            <v>23. Bienes y Servicios para la Producción</v>
          </cell>
          <cell r="Z1803" t="str">
            <v>II. Costo Ventas</v>
          </cell>
          <cell r="AA1803" t="str">
            <v>2. Mantenimiento Mat Rodante</v>
          </cell>
          <cell r="AC1803" t="str">
            <v>II. Costo de Explotación</v>
          </cell>
          <cell r="AD1803" t="str">
            <v>2. Bienes y servicios Expl.</v>
          </cell>
          <cell r="AE1803" t="str">
            <v>2. Mantenimiento Mat. Rodante</v>
          </cell>
          <cell r="AG1803" t="str">
            <v xml:space="preserve"> </v>
          </cell>
          <cell r="AH1803" t="str">
            <v>6. Partidas significativas de gastos</v>
          </cell>
        </row>
        <row r="1804">
          <cell r="D1804" t="str">
            <v>4220110000</v>
          </cell>
          <cell r="E1804" t="str">
            <v>4220110000</v>
          </cell>
          <cell r="F1804" t="str">
            <v>Serv Mant Loc Diesel</v>
          </cell>
          <cell r="G1804" t="str">
            <v>4220110000  Serv Mant Loc Diesel</v>
          </cell>
          <cell r="H1804" t="str">
            <v>Est. Resultado</v>
          </cell>
          <cell r="I1804" t="str">
            <v>Resultado</v>
          </cell>
          <cell r="J1804" t="str">
            <v>3. Costo de Venta</v>
          </cell>
          <cell r="K1804" t="str">
            <v>2. Mantenimiento Mat Rodante</v>
          </cell>
          <cell r="L1804" t="str">
            <v>EBITDA</v>
          </cell>
          <cell r="M1804" t="str">
            <v>MARGEN BRUTO</v>
          </cell>
          <cell r="N1804" t="str">
            <v>GANANCIAS (PERDIDAS) ANTES DE IMPUESTOS</v>
          </cell>
          <cell r="O1804" t="str">
            <v>GANANCIA (PÉRDIDA) NETA</v>
          </cell>
          <cell r="P1804" t="str">
            <v>Resultado Ingresos y Gastos Integrales</v>
          </cell>
          <cell r="Q1804" t="str">
            <v>I. Ganancia (pérdida), antes de impuestos</v>
          </cell>
          <cell r="R1804" t="str">
            <v>a. Ganancia bruta</v>
          </cell>
          <cell r="S1804" t="str">
            <v>2. Costo de ventas</v>
          </cell>
          <cell r="T1804" t="str">
            <v>2. Mantenimiento Mat Rodante</v>
          </cell>
          <cell r="V1804" t="str">
            <v>II. Gastos</v>
          </cell>
          <cell r="W1804" t="str">
            <v>23. Bienes y Servicios para la Producción</v>
          </cell>
          <cell r="Z1804" t="str">
            <v>II. Costo Ventas</v>
          </cell>
          <cell r="AA1804" t="str">
            <v>2. Mantenimiento Mat Rodante</v>
          </cell>
          <cell r="AC1804" t="str">
            <v>II. Costo de Explotación</v>
          </cell>
          <cell r="AD1804" t="str">
            <v>2. Bienes y servicios Expl.</v>
          </cell>
          <cell r="AE1804" t="str">
            <v>2. Mantenimiento Mat. Rodante</v>
          </cell>
          <cell r="AG1804" t="str">
            <v xml:space="preserve"> </v>
          </cell>
          <cell r="AH1804" t="str">
            <v>6. Partidas significativas de gastos</v>
          </cell>
        </row>
        <row r="1805">
          <cell r="D1805" t="str">
            <v>4220140000</v>
          </cell>
          <cell r="E1805" t="str">
            <v>4220140000</v>
          </cell>
          <cell r="F1805" t="str">
            <v>Serv Mantencion Automotor AES</v>
          </cell>
          <cell r="G1805" t="str">
            <v>4220140000  Serv Mantencion Automotor AES</v>
          </cell>
          <cell r="H1805" t="str">
            <v>Est. Resultado</v>
          </cell>
          <cell r="I1805" t="str">
            <v>Resultado</v>
          </cell>
          <cell r="J1805" t="str">
            <v>3. Costo de Venta</v>
          </cell>
          <cell r="K1805" t="str">
            <v>2. Mantenimiento Mat Rodante</v>
          </cell>
          <cell r="L1805" t="str">
            <v>EBITDA</v>
          </cell>
          <cell r="M1805" t="str">
            <v>MARGEN BRUTO</v>
          </cell>
          <cell r="N1805" t="str">
            <v>GANANCIAS (PERDIDAS) ANTES DE IMPUESTOS</v>
          </cell>
          <cell r="O1805" t="str">
            <v>GANANCIA (PÉRDIDA) NETA</v>
          </cell>
          <cell r="P1805" t="str">
            <v>Resultado Ingresos y Gastos Integrales</v>
          </cell>
          <cell r="Q1805" t="str">
            <v>I. Ganancia (pérdida), antes de impuestos</v>
          </cell>
          <cell r="R1805" t="str">
            <v>a. Ganancia bruta</v>
          </cell>
          <cell r="S1805" t="str">
            <v>2. Costo de ventas</v>
          </cell>
          <cell r="T1805" t="str">
            <v>2. Mantenimiento Mat Rodante</v>
          </cell>
          <cell r="V1805" t="str">
            <v>II. Gastos</v>
          </cell>
          <cell r="W1805" t="str">
            <v>23. Bienes y Servicios para la Producción</v>
          </cell>
          <cell r="Z1805" t="str">
            <v>II. Costo Ventas</v>
          </cell>
          <cell r="AA1805" t="str">
            <v>2. Mantenimiento Mat Rodante</v>
          </cell>
          <cell r="AC1805" t="str">
            <v>II. Costo de Explotación</v>
          </cell>
          <cell r="AD1805" t="str">
            <v>2. Bienes y servicios Expl.</v>
          </cell>
          <cell r="AE1805" t="str">
            <v>2. Mantenimiento Mat. Rodante</v>
          </cell>
          <cell r="AG1805" t="str">
            <v xml:space="preserve"> </v>
          </cell>
          <cell r="AH1805" t="str">
            <v>6. Partidas significativas de gastos</v>
          </cell>
        </row>
        <row r="1806">
          <cell r="D1806" t="str">
            <v>4220150000</v>
          </cell>
          <cell r="E1806" t="str">
            <v>4220150000</v>
          </cell>
          <cell r="F1806" t="str">
            <v>Serv Mantencion Automotor AEZ</v>
          </cell>
          <cell r="G1806" t="str">
            <v>4220150000  Serv Mantencion Automotor AEZ</v>
          </cell>
          <cell r="H1806" t="str">
            <v>Est. Resultado</v>
          </cell>
          <cell r="I1806" t="str">
            <v>Resultado</v>
          </cell>
          <cell r="J1806" t="str">
            <v>3. Costo de Venta</v>
          </cell>
          <cell r="K1806" t="str">
            <v>2. Mantenimiento Mat Rodante</v>
          </cell>
          <cell r="L1806" t="str">
            <v>EBITDA</v>
          </cell>
          <cell r="M1806" t="str">
            <v>MARGEN BRUTO</v>
          </cell>
          <cell r="N1806" t="str">
            <v>GANANCIAS (PERDIDAS) ANTES DE IMPUESTOS</v>
          </cell>
          <cell r="O1806" t="str">
            <v>GANANCIA (PÉRDIDA) NETA</v>
          </cell>
          <cell r="P1806" t="str">
            <v>Resultado Ingresos y Gastos Integrales</v>
          </cell>
          <cell r="Q1806" t="str">
            <v>I. Ganancia (pérdida), antes de impuestos</v>
          </cell>
          <cell r="R1806" t="str">
            <v>a. Ganancia bruta</v>
          </cell>
          <cell r="S1806" t="str">
            <v>2. Costo de ventas</v>
          </cell>
          <cell r="T1806" t="str">
            <v>2. Mantenimiento Mat Rodante</v>
          </cell>
          <cell r="V1806" t="str">
            <v>II. Gastos</v>
          </cell>
          <cell r="W1806" t="str">
            <v>23. Bienes y Servicios para la Producción</v>
          </cell>
          <cell r="Z1806" t="str">
            <v>II. Costo Ventas</v>
          </cell>
          <cell r="AA1806" t="str">
            <v>2. Mantenimiento Mat Rodante</v>
          </cell>
          <cell r="AC1806" t="str">
            <v>II. Costo de Explotación</v>
          </cell>
          <cell r="AD1806" t="str">
            <v>2. Bienes y servicios Expl.</v>
          </cell>
          <cell r="AE1806" t="str">
            <v>2. Mantenimiento Mat. Rodante</v>
          </cell>
          <cell r="AG1806" t="str">
            <v xml:space="preserve"> </v>
          </cell>
          <cell r="AH1806" t="str">
            <v>6. Partidas significativas de gastos</v>
          </cell>
        </row>
        <row r="1807">
          <cell r="D1807" t="str">
            <v>4220160000</v>
          </cell>
          <cell r="E1807" t="str">
            <v>4220160000</v>
          </cell>
          <cell r="F1807" t="str">
            <v>Serv Mantencion Automotor UT440</v>
          </cell>
          <cell r="G1807" t="str">
            <v>4220160000  Serv Mantencion Automotor UT440</v>
          </cell>
          <cell r="H1807" t="str">
            <v>Est. Resultado</v>
          </cell>
          <cell r="I1807" t="str">
            <v>Resultado</v>
          </cell>
          <cell r="J1807" t="str">
            <v>3. Costo de Venta</v>
          </cell>
          <cell r="K1807" t="str">
            <v>2. Mantenimiento Mat Rodante</v>
          </cell>
          <cell r="L1807" t="str">
            <v>EBITDA</v>
          </cell>
          <cell r="M1807" t="str">
            <v>MARGEN BRUTO</v>
          </cell>
          <cell r="N1807" t="str">
            <v>GANANCIAS (PERDIDAS) ANTES DE IMPUESTOS</v>
          </cell>
          <cell r="O1807" t="str">
            <v>GANANCIA (PÉRDIDA) NETA</v>
          </cell>
          <cell r="P1807" t="str">
            <v>Resultado Ingresos y Gastos Integrales</v>
          </cell>
          <cell r="Q1807" t="str">
            <v>I. Ganancia (pérdida), antes de impuestos</v>
          </cell>
          <cell r="R1807" t="str">
            <v>a. Ganancia bruta</v>
          </cell>
          <cell r="S1807" t="str">
            <v>2. Costo de ventas</v>
          </cell>
          <cell r="T1807" t="str">
            <v>2. Mantenimiento Mat Rodante</v>
          </cell>
          <cell r="V1807" t="str">
            <v>II. Gastos</v>
          </cell>
          <cell r="W1807" t="str">
            <v>23. Bienes y Servicios para la Producción</v>
          </cell>
          <cell r="Z1807" t="str">
            <v>II. Costo Ventas</v>
          </cell>
          <cell r="AA1807" t="str">
            <v>2. Mantenimiento Mat Rodante</v>
          </cell>
          <cell r="AC1807" t="str">
            <v>II. Costo de Explotación</v>
          </cell>
          <cell r="AD1807" t="str">
            <v>2. Bienes y servicios Expl.</v>
          </cell>
          <cell r="AE1807" t="str">
            <v>2. Mantenimiento Mat. Rodante</v>
          </cell>
          <cell r="AG1807" t="str">
            <v xml:space="preserve"> </v>
          </cell>
          <cell r="AH1807" t="str">
            <v>6. Partidas significativas de gastos</v>
          </cell>
        </row>
        <row r="1808">
          <cell r="D1808" t="str">
            <v>4220170000</v>
          </cell>
          <cell r="E1808" t="str">
            <v>4220170000</v>
          </cell>
          <cell r="F1808" t="str">
            <v>Serv Mantencion Automotor UT444</v>
          </cell>
          <cell r="G1808" t="str">
            <v>4220170000  Serv Mantencion Automotor UT444</v>
          </cell>
          <cell r="H1808" t="str">
            <v>Est. Resultado</v>
          </cell>
          <cell r="I1808" t="str">
            <v>Resultado</v>
          </cell>
          <cell r="J1808" t="str">
            <v>3. Costo de Venta</v>
          </cell>
          <cell r="K1808" t="str">
            <v>2. Mantenimiento Mat Rodante</v>
          </cell>
          <cell r="L1808" t="str">
            <v>EBITDA</v>
          </cell>
          <cell r="M1808" t="str">
            <v>MARGEN BRUTO</v>
          </cell>
          <cell r="N1808" t="str">
            <v>GANANCIAS (PERDIDAS) ANTES DE IMPUESTOS</v>
          </cell>
          <cell r="O1808" t="str">
            <v>GANANCIA (PÉRDIDA) NETA</v>
          </cell>
          <cell r="P1808" t="str">
            <v>Resultado Ingresos y Gastos Integrales</v>
          </cell>
          <cell r="Q1808" t="str">
            <v>I. Ganancia (pérdida), antes de impuestos</v>
          </cell>
          <cell r="R1808" t="str">
            <v>a. Ganancia bruta</v>
          </cell>
          <cell r="S1808" t="str">
            <v>2. Costo de ventas</v>
          </cell>
          <cell r="T1808" t="str">
            <v>2. Mantenimiento Mat Rodante</v>
          </cell>
          <cell r="V1808" t="str">
            <v>II. Gastos</v>
          </cell>
          <cell r="W1808" t="str">
            <v>23. Bienes y Servicios para la Producción</v>
          </cell>
          <cell r="Z1808" t="str">
            <v>II. Costo Ventas</v>
          </cell>
          <cell r="AA1808" t="str">
            <v>2. Mantenimiento Mat Rodante</v>
          </cell>
          <cell r="AC1808" t="str">
            <v>II. Costo de Explotación</v>
          </cell>
          <cell r="AD1808" t="str">
            <v>2. Bienes y servicios Expl.</v>
          </cell>
          <cell r="AE1808" t="str">
            <v>2. Mantenimiento Mat. Rodante</v>
          </cell>
          <cell r="AG1808" t="str">
            <v xml:space="preserve"> </v>
          </cell>
          <cell r="AH1808" t="str">
            <v>6. Partidas significativas de gastos</v>
          </cell>
        </row>
        <row r="1809">
          <cell r="D1809" t="str">
            <v>4220175000</v>
          </cell>
          <cell r="E1809" t="str">
            <v>4220175000</v>
          </cell>
          <cell r="F1809" t="str">
            <v>Serv Mantencion Terrasur</v>
          </cell>
          <cell r="G1809" t="str">
            <v>4220175000  Serv Mantencion Terrasur</v>
          </cell>
          <cell r="H1809" t="str">
            <v>Est. Resultado</v>
          </cell>
          <cell r="I1809" t="str">
            <v>Resultado</v>
          </cell>
          <cell r="J1809" t="str">
            <v>3. Costo de Venta</v>
          </cell>
          <cell r="K1809" t="str">
            <v>2. Mantenimiento Mat Rodante</v>
          </cell>
          <cell r="L1809" t="str">
            <v>EBITDA</v>
          </cell>
          <cell r="M1809" t="str">
            <v>MARGEN BRUTO</v>
          </cell>
          <cell r="N1809" t="str">
            <v>GANANCIAS (PERDIDAS) ANTES DE IMPUESTOS</v>
          </cell>
          <cell r="O1809" t="str">
            <v>GANANCIA (PÉRDIDA) NETA</v>
          </cell>
          <cell r="P1809" t="str">
            <v>Resultado Ingresos y Gastos Integrales</v>
          </cell>
          <cell r="Q1809" t="str">
            <v>I. Ganancia (pérdida), antes de impuestos</v>
          </cell>
          <cell r="R1809" t="str">
            <v>a. Ganancia bruta</v>
          </cell>
          <cell r="S1809" t="str">
            <v>2. Costo de ventas</v>
          </cell>
          <cell r="T1809" t="str">
            <v>2. Mantenimiento Mat Rodante</v>
          </cell>
          <cell r="V1809" t="str">
            <v>II. Gastos</v>
          </cell>
          <cell r="W1809" t="str">
            <v>23. Bienes y Servicios para la Producción</v>
          </cell>
          <cell r="Z1809" t="str">
            <v>II. Costo Ventas</v>
          </cell>
          <cell r="AA1809" t="str">
            <v>2. Mantenimiento Mat Rodante</v>
          </cell>
          <cell r="AC1809" t="str">
            <v>II. Costo de Explotación</v>
          </cell>
          <cell r="AD1809" t="str">
            <v>2. Bienes y servicios Expl.</v>
          </cell>
          <cell r="AE1809" t="str">
            <v>2. Mantenimiento Mat. Rodante</v>
          </cell>
          <cell r="AG1809" t="str">
            <v xml:space="preserve"> </v>
          </cell>
          <cell r="AH1809" t="str">
            <v>6. Partidas significativas de gastos</v>
          </cell>
        </row>
        <row r="1810">
          <cell r="D1810" t="str">
            <v>4220180000</v>
          </cell>
          <cell r="E1810" t="str">
            <v>4220180000</v>
          </cell>
          <cell r="F1810" t="str">
            <v>Serv Mantencion Coches</v>
          </cell>
          <cell r="G1810" t="str">
            <v>4220180000  Serv Mantencion Coches</v>
          </cell>
          <cell r="H1810" t="str">
            <v>Est. Resultado</v>
          </cell>
          <cell r="I1810" t="str">
            <v>Resultado</v>
          </cell>
          <cell r="J1810" t="str">
            <v>3. Costo de Venta</v>
          </cell>
          <cell r="K1810" t="str">
            <v>2. Mantenimiento Mat Rodante</v>
          </cell>
          <cell r="L1810" t="str">
            <v>EBITDA</v>
          </cell>
          <cell r="M1810" t="str">
            <v>MARGEN BRUTO</v>
          </cell>
          <cell r="N1810" t="str">
            <v>GANANCIAS (PERDIDAS) ANTES DE IMPUESTOS</v>
          </cell>
          <cell r="O1810" t="str">
            <v>GANANCIA (PÉRDIDA) NETA</v>
          </cell>
          <cell r="P1810" t="str">
            <v>Resultado Ingresos y Gastos Integrales</v>
          </cell>
          <cell r="Q1810" t="str">
            <v>I. Ganancia (pérdida), antes de impuestos</v>
          </cell>
          <cell r="R1810" t="str">
            <v>a. Ganancia bruta</v>
          </cell>
          <cell r="S1810" t="str">
            <v>2. Costo de ventas</v>
          </cell>
          <cell r="T1810" t="str">
            <v>2. Mantenimiento Mat Rodante</v>
          </cell>
          <cell r="V1810" t="str">
            <v>II. Gastos</v>
          </cell>
          <cell r="W1810" t="str">
            <v>23. Bienes y Servicios para la Producción</v>
          </cell>
          <cell r="Z1810" t="str">
            <v>II. Costo Ventas</v>
          </cell>
          <cell r="AA1810" t="str">
            <v>2. Mantenimiento Mat Rodante</v>
          </cell>
          <cell r="AC1810" t="str">
            <v>II. Costo de Explotación</v>
          </cell>
          <cell r="AD1810" t="str">
            <v>2. Bienes y servicios Expl.</v>
          </cell>
          <cell r="AE1810" t="str">
            <v>2. Mantenimiento Mat. Rodante</v>
          </cell>
          <cell r="AG1810" t="str">
            <v xml:space="preserve"> </v>
          </cell>
          <cell r="AH1810" t="str">
            <v>6. Partidas significativas de gastos</v>
          </cell>
        </row>
        <row r="1811">
          <cell r="D1811" t="str">
            <v>4220210000</v>
          </cell>
          <cell r="E1811" t="str">
            <v>4220210000</v>
          </cell>
          <cell r="F1811" t="str">
            <v>Serv Mantencion Carros</v>
          </cell>
          <cell r="G1811" t="str">
            <v>4220210000  Serv Mantencion Carros</v>
          </cell>
          <cell r="H1811" t="str">
            <v>Est. Resultado</v>
          </cell>
          <cell r="I1811" t="str">
            <v>Resultado</v>
          </cell>
          <cell r="J1811" t="str">
            <v>3. Costo de Venta</v>
          </cell>
          <cell r="K1811" t="str">
            <v>2. Mantenimiento Mat Rodante</v>
          </cell>
          <cell r="L1811" t="str">
            <v>EBITDA</v>
          </cell>
          <cell r="M1811" t="str">
            <v>MARGEN BRUTO</v>
          </cell>
          <cell r="N1811" t="str">
            <v>GANANCIAS (PERDIDAS) ANTES DE IMPUESTOS</v>
          </cell>
          <cell r="O1811" t="str">
            <v>GANANCIA (PÉRDIDA) NETA</v>
          </cell>
          <cell r="P1811" t="str">
            <v>Resultado Ingresos y Gastos Integrales</v>
          </cell>
          <cell r="Q1811" t="str">
            <v>I. Ganancia (pérdida), antes de impuestos</v>
          </cell>
          <cell r="R1811" t="str">
            <v>a. Ganancia bruta</v>
          </cell>
          <cell r="S1811" t="str">
            <v>2. Costo de ventas</v>
          </cell>
          <cell r="T1811" t="str">
            <v>2. Mantenimiento Mat Rodante</v>
          </cell>
          <cell r="V1811" t="str">
            <v>II. Gastos</v>
          </cell>
          <cell r="W1811" t="str">
            <v>23. Bienes y Servicios para la Producción</v>
          </cell>
          <cell r="Z1811" t="str">
            <v>II. Costo Ventas</v>
          </cell>
          <cell r="AA1811" t="str">
            <v>2. Mantenimiento Mat Rodante</v>
          </cell>
          <cell r="AC1811" t="str">
            <v>II. Costo de Explotación</v>
          </cell>
          <cell r="AD1811" t="str">
            <v>2. Bienes y servicios Expl.</v>
          </cell>
          <cell r="AE1811" t="str">
            <v>2. Mantenimiento Mat. Rodante</v>
          </cell>
          <cell r="AG1811" t="str">
            <v xml:space="preserve"> </v>
          </cell>
          <cell r="AH1811" t="str">
            <v>6. Partidas significativas de gastos</v>
          </cell>
        </row>
        <row r="1812">
          <cell r="D1812" t="str">
            <v>4220220000</v>
          </cell>
          <cell r="E1812" t="str">
            <v>4220220000</v>
          </cell>
          <cell r="F1812" t="str">
            <v>Serv Mant Tran Vehic</v>
          </cell>
          <cell r="G1812" t="str">
            <v>4220220000  Serv Mant Tran Vehic</v>
          </cell>
          <cell r="H1812" t="str">
            <v>Est. Resultado</v>
          </cell>
          <cell r="I1812" t="str">
            <v>Resultado</v>
          </cell>
          <cell r="J1812" t="str">
            <v>3. Costo de Venta</v>
          </cell>
          <cell r="K1812" t="str">
            <v>2. Mantenimiento Mat Rodante</v>
          </cell>
          <cell r="L1812" t="str">
            <v>EBITDA</v>
          </cell>
          <cell r="M1812" t="str">
            <v>MARGEN BRUTO</v>
          </cell>
          <cell r="N1812" t="str">
            <v>GANANCIAS (PERDIDAS) ANTES DE IMPUESTOS</v>
          </cell>
          <cell r="O1812" t="str">
            <v>GANANCIA (PÉRDIDA) NETA</v>
          </cell>
          <cell r="P1812" t="str">
            <v>Resultado Ingresos y Gastos Integrales</v>
          </cell>
          <cell r="Q1812" t="str">
            <v>I. Ganancia (pérdida), antes de impuestos</v>
          </cell>
          <cell r="R1812" t="str">
            <v>a. Ganancia bruta</v>
          </cell>
          <cell r="S1812" t="str">
            <v>2. Costo de ventas</v>
          </cell>
          <cell r="T1812" t="str">
            <v>2. Mantenimiento Mat Rodante</v>
          </cell>
          <cell r="V1812" t="str">
            <v>II. Gastos</v>
          </cell>
          <cell r="W1812" t="str">
            <v>23. Bienes y Servicios para la Producción</v>
          </cell>
          <cell r="Z1812" t="str">
            <v>II. Costo Ventas</v>
          </cell>
          <cell r="AA1812" t="str">
            <v>2. Mantenimiento Mat Rodante</v>
          </cell>
          <cell r="AC1812" t="str">
            <v>II. Costo de Explotación</v>
          </cell>
          <cell r="AD1812" t="str">
            <v>2. Bienes y servicios Expl.</v>
          </cell>
          <cell r="AE1812" t="str">
            <v>2. Mantenimiento Mat. Rodante</v>
          </cell>
          <cell r="AG1812" t="str">
            <v xml:space="preserve"> </v>
          </cell>
          <cell r="AH1812" t="str">
            <v>6. Partidas significativas de gastos</v>
          </cell>
        </row>
        <row r="1813">
          <cell r="D1813" t="str">
            <v>4220230000</v>
          </cell>
          <cell r="E1813" t="str">
            <v>4220230000</v>
          </cell>
          <cell r="F1813" t="str">
            <v>Serv Mantencion Otros Vehiculos</v>
          </cell>
          <cell r="G1813" t="str">
            <v>4220230000  Serv Mantencion Otros Vehiculos</v>
          </cell>
          <cell r="H1813" t="str">
            <v>Est. Resultado</v>
          </cell>
          <cell r="I1813" t="str">
            <v>Resultado</v>
          </cell>
          <cell r="J1813" t="str">
            <v>3. Costo de Venta</v>
          </cell>
          <cell r="K1813" t="str">
            <v>2. Mantenimiento Mat Rodante</v>
          </cell>
          <cell r="L1813" t="str">
            <v>EBITDA</v>
          </cell>
          <cell r="M1813" t="str">
            <v>MARGEN BRUTO</v>
          </cell>
          <cell r="N1813" t="str">
            <v>GANANCIAS (PERDIDAS) ANTES DE IMPUESTOS</v>
          </cell>
          <cell r="O1813" t="str">
            <v>GANANCIA (PÉRDIDA) NETA</v>
          </cell>
          <cell r="P1813" t="str">
            <v>Resultado Ingresos y Gastos Integrales</v>
          </cell>
          <cell r="Q1813" t="str">
            <v>I. Ganancia (pérdida), antes de impuestos</v>
          </cell>
          <cell r="R1813" t="str">
            <v>a. Ganancia bruta</v>
          </cell>
          <cell r="S1813" t="str">
            <v>2. Costo de ventas</v>
          </cell>
          <cell r="T1813" t="str">
            <v>2. Mantenimiento Mat Rodante</v>
          </cell>
          <cell r="V1813" t="str">
            <v>II. Gastos</v>
          </cell>
          <cell r="W1813" t="str">
            <v>23. Bienes y Servicios para la Producción</v>
          </cell>
          <cell r="Z1813" t="str">
            <v>II. Costo Ventas</v>
          </cell>
          <cell r="AA1813" t="str">
            <v>2. Mantenimiento Mat Rodante</v>
          </cell>
          <cell r="AC1813" t="str">
            <v>II. Costo de Explotación</v>
          </cell>
          <cell r="AD1813" t="str">
            <v>2. Bienes y servicios Expl.</v>
          </cell>
          <cell r="AE1813" t="str">
            <v>2. Mantenimiento Mat. Rodante</v>
          </cell>
          <cell r="AG1813" t="str">
            <v xml:space="preserve"> </v>
          </cell>
          <cell r="AH1813" t="str">
            <v>6. Partidas significativas de gastos</v>
          </cell>
        </row>
        <row r="1814">
          <cell r="D1814" t="str">
            <v>4230050000</v>
          </cell>
          <cell r="E1814" t="str">
            <v>4230050000</v>
          </cell>
          <cell r="F1814" t="str">
            <v>Serv Aseo Automotor</v>
          </cell>
          <cell r="G1814" t="str">
            <v>4230050000  Serv Aseo Automotor</v>
          </cell>
          <cell r="H1814" t="str">
            <v>Est. Resultado</v>
          </cell>
          <cell r="I1814" t="str">
            <v>Resultado</v>
          </cell>
          <cell r="J1814" t="str">
            <v>3. Costo de Venta</v>
          </cell>
          <cell r="K1814" t="str">
            <v>2. Mantenimiento Mat Rodante</v>
          </cell>
          <cell r="L1814" t="str">
            <v>EBITDA</v>
          </cell>
          <cell r="M1814" t="str">
            <v>MARGEN BRUTO</v>
          </cell>
          <cell r="N1814" t="str">
            <v>GANANCIAS (PERDIDAS) ANTES DE IMPUESTOS</v>
          </cell>
          <cell r="O1814" t="str">
            <v>GANANCIA (PÉRDIDA) NETA</v>
          </cell>
          <cell r="P1814" t="str">
            <v>Resultado Ingresos y Gastos Integrales</v>
          </cell>
          <cell r="Q1814" t="str">
            <v>I. Ganancia (pérdida), antes de impuestos</v>
          </cell>
          <cell r="R1814" t="str">
            <v>a. Ganancia bruta</v>
          </cell>
          <cell r="S1814" t="str">
            <v>2. Costo de ventas</v>
          </cell>
          <cell r="T1814" t="str">
            <v>2. Mantenimiento Mat Rodante</v>
          </cell>
          <cell r="V1814" t="str">
            <v>II. Gastos</v>
          </cell>
          <cell r="W1814" t="str">
            <v>23. Bienes y Servicios para la Producción</v>
          </cell>
          <cell r="Z1814" t="str">
            <v>II. Costo Ventas</v>
          </cell>
          <cell r="AA1814" t="str">
            <v>2. Mantenimiento Mat Rodante</v>
          </cell>
          <cell r="AC1814" t="str">
            <v>II. Costo de Explotación</v>
          </cell>
          <cell r="AD1814" t="str">
            <v>2. Bienes y servicios Expl.</v>
          </cell>
          <cell r="AE1814" t="str">
            <v>2. Mantenimiento Mat. Rodante</v>
          </cell>
          <cell r="AG1814" t="str">
            <v xml:space="preserve"> </v>
          </cell>
          <cell r="AH1814" t="str">
            <v>6. Partidas significativas de gastos</v>
          </cell>
        </row>
        <row r="1815">
          <cell r="D1815" t="str">
            <v>4230100000</v>
          </cell>
          <cell r="E1815" t="str">
            <v>4230100000</v>
          </cell>
          <cell r="F1815" t="str">
            <v>Serv Aseo Trenes</v>
          </cell>
          <cell r="G1815" t="str">
            <v>4230100000  Serv Aseo Trenes</v>
          </cell>
          <cell r="H1815" t="str">
            <v>Est. Resultado</v>
          </cell>
          <cell r="I1815" t="str">
            <v>Resultado</v>
          </cell>
          <cell r="J1815" t="str">
            <v>3. Costo de Venta</v>
          </cell>
          <cell r="K1815" t="str">
            <v>2. Mantenimiento Mat Rodante</v>
          </cell>
          <cell r="L1815" t="str">
            <v>EBITDA</v>
          </cell>
          <cell r="M1815" t="str">
            <v>MARGEN BRUTO</v>
          </cell>
          <cell r="N1815" t="str">
            <v>GANANCIAS (PERDIDAS) ANTES DE IMPUESTOS</v>
          </cell>
          <cell r="O1815" t="str">
            <v>GANANCIA (PÉRDIDA) NETA</v>
          </cell>
          <cell r="P1815" t="str">
            <v>Resultado Ingresos y Gastos Integrales</v>
          </cell>
          <cell r="Q1815" t="str">
            <v>I. Ganancia (pérdida), antes de impuestos</v>
          </cell>
          <cell r="R1815" t="str">
            <v>a. Ganancia bruta</v>
          </cell>
          <cell r="S1815" t="str">
            <v>2. Costo de ventas</v>
          </cell>
          <cell r="T1815" t="str">
            <v>2. Mantenimiento Mat Rodante</v>
          </cell>
          <cell r="V1815" t="str">
            <v>II. Gastos</v>
          </cell>
          <cell r="W1815" t="str">
            <v>23. Bienes y Servicios para la Producción</v>
          </cell>
          <cell r="Z1815" t="str">
            <v>II. Costo Ventas</v>
          </cell>
          <cell r="AA1815" t="str">
            <v>2. Mantenimiento Mat Rodante</v>
          </cell>
          <cell r="AC1815" t="str">
            <v>II. Costo de Explotación</v>
          </cell>
          <cell r="AD1815" t="str">
            <v>2. Bienes y servicios Expl.</v>
          </cell>
          <cell r="AE1815" t="str">
            <v>2. Mantenimiento Mat. Rodante</v>
          </cell>
          <cell r="AG1815" t="str">
            <v xml:space="preserve"> </v>
          </cell>
          <cell r="AH1815" t="str">
            <v>6. Partidas significativas de gastos</v>
          </cell>
        </row>
        <row r="1816">
          <cell r="D1816" t="str">
            <v>4230110000</v>
          </cell>
          <cell r="E1816" t="str">
            <v>4230110000</v>
          </cell>
          <cell r="F1816" t="str">
            <v>Serv Aseo Estaciones</v>
          </cell>
          <cell r="G1816" t="str">
            <v>4230110000  Serv Aseo Estaciones</v>
          </cell>
          <cell r="H1816" t="str">
            <v>Est. Resultado</v>
          </cell>
          <cell r="I1816" t="str">
            <v>Resultado</v>
          </cell>
          <cell r="J1816" t="str">
            <v>3. Costo de Venta</v>
          </cell>
          <cell r="K1816" t="str">
            <v>2. Mantenimiento Mat Rodante</v>
          </cell>
          <cell r="L1816" t="str">
            <v>EBITDA</v>
          </cell>
          <cell r="M1816" t="str">
            <v>MARGEN BRUTO</v>
          </cell>
          <cell r="N1816" t="str">
            <v>GANANCIAS (PERDIDAS) ANTES DE IMPUESTOS</v>
          </cell>
          <cell r="O1816" t="str">
            <v>GANANCIA (PÉRDIDA) NETA</v>
          </cell>
          <cell r="P1816" t="str">
            <v>Resultado Ingresos y Gastos Integrales</v>
          </cell>
          <cell r="Q1816" t="str">
            <v>I. Ganancia (pérdida), antes de impuestos</v>
          </cell>
          <cell r="R1816" t="str">
            <v>a. Ganancia bruta</v>
          </cell>
          <cell r="S1816" t="str">
            <v>2. Costo de ventas</v>
          </cell>
          <cell r="T1816" t="str">
            <v>2. Mantenimiento Mat Rodante</v>
          </cell>
          <cell r="V1816" t="str">
            <v>II. Gastos</v>
          </cell>
          <cell r="W1816" t="str">
            <v>23. Bienes y Servicios para la Producción</v>
          </cell>
          <cell r="Z1816" t="str">
            <v>II. Costo Ventas</v>
          </cell>
          <cell r="AA1816" t="str">
            <v>2. Mantenimiento Mat Rodante</v>
          </cell>
          <cell r="AC1816" t="str">
            <v>II. Costo de Explotación</v>
          </cell>
          <cell r="AD1816" t="str">
            <v>2. Bienes y servicios Expl.</v>
          </cell>
          <cell r="AE1816" t="str">
            <v>2. Mantenimiento Mat. Rodante</v>
          </cell>
          <cell r="AG1816" t="str">
            <v xml:space="preserve"> </v>
          </cell>
          <cell r="AH1816" t="str">
            <v>6. Partidas significativas de gastos</v>
          </cell>
        </row>
        <row r="1817">
          <cell r="D1817" t="str">
            <v>4230120000</v>
          </cell>
          <cell r="E1817" t="str">
            <v>4230120000</v>
          </cell>
          <cell r="F1817" t="str">
            <v>Serv Lavado Ropa Trenes</v>
          </cell>
          <cell r="G1817" t="str">
            <v>4230120000  Serv Lavado Ropa Trenes</v>
          </cell>
          <cell r="H1817" t="str">
            <v>Est. Resultado</v>
          </cell>
          <cell r="I1817" t="str">
            <v>Resultado</v>
          </cell>
          <cell r="J1817" t="str">
            <v>3. Costo de Venta</v>
          </cell>
          <cell r="K1817" t="str">
            <v>2. Mantenimiento Mat Rodante</v>
          </cell>
          <cell r="L1817" t="str">
            <v>EBITDA</v>
          </cell>
          <cell r="M1817" t="str">
            <v>MARGEN BRUTO</v>
          </cell>
          <cell r="N1817" t="str">
            <v>GANANCIAS (PERDIDAS) ANTES DE IMPUESTOS</v>
          </cell>
          <cell r="O1817" t="str">
            <v>GANANCIA (PÉRDIDA) NETA</v>
          </cell>
          <cell r="P1817" t="str">
            <v>Resultado Ingresos y Gastos Integrales</v>
          </cell>
          <cell r="Q1817" t="str">
            <v>I. Ganancia (pérdida), antes de impuestos</v>
          </cell>
          <cell r="R1817" t="str">
            <v>a. Ganancia bruta</v>
          </cell>
          <cell r="S1817" t="str">
            <v>2. Costo de ventas</v>
          </cell>
          <cell r="T1817" t="str">
            <v>2. Mantenimiento Mat Rodante</v>
          </cell>
          <cell r="V1817" t="str">
            <v>II. Gastos</v>
          </cell>
          <cell r="W1817" t="str">
            <v>23. Bienes y Servicios para la Producción</v>
          </cell>
          <cell r="Z1817" t="str">
            <v>II. Costo Ventas</v>
          </cell>
          <cell r="AA1817" t="str">
            <v>2. Mantenimiento Mat Rodante</v>
          </cell>
          <cell r="AC1817" t="str">
            <v>II. Costo de Explotación</v>
          </cell>
          <cell r="AD1817" t="str">
            <v>2. Bienes y servicios Expl.</v>
          </cell>
          <cell r="AE1817" t="str">
            <v>2. Mantenimiento Mat. Rodante</v>
          </cell>
          <cell r="AG1817" t="str">
            <v xml:space="preserve"> </v>
          </cell>
          <cell r="AH1817" t="str">
            <v>6. Partidas significativas de gastos</v>
          </cell>
        </row>
        <row r="1818">
          <cell r="D1818" t="str">
            <v>4201210000</v>
          </cell>
          <cell r="E1818" t="str">
            <v>4201210000</v>
          </cell>
          <cell r="F1818" t="str">
            <v>Rep/Acc Loc Diesel</v>
          </cell>
          <cell r="G1818" t="str">
            <v>4201210000  Rep/Acc Loc Diesel</v>
          </cell>
          <cell r="H1818" t="str">
            <v>Est. Resultado</v>
          </cell>
          <cell r="I1818" t="str">
            <v>Resultado</v>
          </cell>
          <cell r="J1818" t="str">
            <v>3. Costo de Venta</v>
          </cell>
          <cell r="K1818" t="str">
            <v>2. Mantenimiento Mat Rodante</v>
          </cell>
          <cell r="L1818" t="str">
            <v>EBITDA</v>
          </cell>
          <cell r="M1818" t="str">
            <v>MARGEN BRUTO</v>
          </cell>
          <cell r="N1818" t="str">
            <v>GANANCIAS (PERDIDAS) ANTES DE IMPUESTOS</v>
          </cell>
          <cell r="O1818" t="str">
            <v>GANANCIA (PÉRDIDA) NETA</v>
          </cell>
          <cell r="P1818" t="str">
            <v>Resultado Ingresos y Gastos Integrales</v>
          </cell>
          <cell r="Q1818" t="str">
            <v>I. Ganancia (pérdida), antes de impuestos</v>
          </cell>
          <cell r="R1818" t="str">
            <v>a. Ganancia bruta</v>
          </cell>
          <cell r="S1818" t="str">
            <v>2. Costo de ventas</v>
          </cell>
          <cell r="T1818" t="str">
            <v>2. Mantenimiento Mat Rodante</v>
          </cell>
          <cell r="V1818" t="str">
            <v>II. Gastos</v>
          </cell>
          <cell r="W1818" t="str">
            <v>23. Bienes y Servicios para la Producción</v>
          </cell>
          <cell r="Z1818" t="str">
            <v>II. Costo Ventas</v>
          </cell>
          <cell r="AA1818" t="str">
            <v>2. Mantenimiento Mat Rodante</v>
          </cell>
          <cell r="AC1818" t="str">
            <v>II. Costo de Explotación</v>
          </cell>
          <cell r="AD1818" t="str">
            <v>2. Bienes y servicios Expl.</v>
          </cell>
          <cell r="AE1818" t="str">
            <v>2. Mantenimiento Mat. Rodante</v>
          </cell>
          <cell r="AG1818" t="str">
            <v xml:space="preserve"> </v>
          </cell>
          <cell r="AH1818" t="str">
            <v>6. Partidas significativas de gastos</v>
          </cell>
        </row>
        <row r="1819">
          <cell r="D1819" t="str">
            <v>4201300000</v>
          </cell>
          <cell r="E1819" t="str">
            <v>4201300000</v>
          </cell>
          <cell r="F1819" t="str">
            <v>Rep y Accesorio Automotor AEL</v>
          </cell>
          <cell r="G1819" t="str">
            <v>4201300000  Rep y Accesorio Automotor AEL</v>
          </cell>
          <cell r="H1819" t="str">
            <v>Est. Resultado</v>
          </cell>
          <cell r="I1819" t="str">
            <v>Resultado</v>
          </cell>
          <cell r="J1819" t="str">
            <v>3. Costo de Venta</v>
          </cell>
          <cell r="K1819" t="str">
            <v>2. Mantenimiento Mat Rodante</v>
          </cell>
          <cell r="L1819" t="str">
            <v>EBITDA</v>
          </cell>
          <cell r="M1819" t="str">
            <v>MARGEN BRUTO</v>
          </cell>
          <cell r="N1819" t="str">
            <v>GANANCIAS (PERDIDAS) ANTES DE IMPUESTOS</v>
          </cell>
          <cell r="O1819" t="str">
            <v>GANANCIA (PÉRDIDA) NETA</v>
          </cell>
          <cell r="P1819" t="str">
            <v>Resultado Ingresos y Gastos Integrales</v>
          </cell>
          <cell r="Q1819" t="str">
            <v>I. Ganancia (pérdida), antes de impuestos</v>
          </cell>
          <cell r="R1819" t="str">
            <v>a. Ganancia bruta</v>
          </cell>
          <cell r="S1819" t="str">
            <v>2. Costo de ventas</v>
          </cell>
          <cell r="T1819" t="str">
            <v>2. Mantenimiento Mat Rodante</v>
          </cell>
          <cell r="V1819" t="str">
            <v>II. Gastos</v>
          </cell>
          <cell r="W1819" t="str">
            <v>23. Bienes y Servicios para la Producción</v>
          </cell>
          <cell r="Z1819" t="str">
            <v>II. Costo Ventas</v>
          </cell>
          <cell r="AA1819" t="str">
            <v>2. Mantenimiento Mat Rodante</v>
          </cell>
          <cell r="AC1819" t="str">
            <v>II. Costo de Explotación</v>
          </cell>
          <cell r="AD1819" t="str">
            <v>2. Bienes y servicios Expl.</v>
          </cell>
          <cell r="AE1819" t="str">
            <v>2. Mantenimiento Mat. Rodante</v>
          </cell>
          <cell r="AG1819" t="str">
            <v xml:space="preserve"> </v>
          </cell>
          <cell r="AH1819" t="str">
            <v>6. Partidas significativas de gastos</v>
          </cell>
        </row>
        <row r="1820">
          <cell r="D1820" t="str">
            <v>4201310000</v>
          </cell>
          <cell r="E1820" t="str">
            <v>4201310000</v>
          </cell>
          <cell r="F1820" t="str">
            <v>Rep y Accesorio Automotor AES</v>
          </cell>
          <cell r="G1820" t="str">
            <v>4201310000  Rep y Accesorio Automotor AES</v>
          </cell>
          <cell r="H1820" t="str">
            <v>Est. Resultado</v>
          </cell>
          <cell r="I1820" t="str">
            <v>Resultado</v>
          </cell>
          <cell r="J1820" t="str">
            <v>3. Costo de Venta</v>
          </cell>
          <cell r="K1820" t="str">
            <v>2. Mantenimiento Mat Rodante</v>
          </cell>
          <cell r="L1820" t="str">
            <v>EBITDA</v>
          </cell>
          <cell r="M1820" t="str">
            <v>MARGEN BRUTO</v>
          </cell>
          <cell r="N1820" t="str">
            <v>GANANCIAS (PERDIDAS) ANTES DE IMPUESTOS</v>
          </cell>
          <cell r="O1820" t="str">
            <v>GANANCIA (PÉRDIDA) NETA</v>
          </cell>
          <cell r="P1820" t="str">
            <v>Resultado Ingresos y Gastos Integrales</v>
          </cell>
          <cell r="Q1820" t="str">
            <v>I. Ganancia (pérdida), antes de impuestos</v>
          </cell>
          <cell r="R1820" t="str">
            <v>a. Ganancia bruta</v>
          </cell>
          <cell r="S1820" t="str">
            <v>2. Costo de ventas</v>
          </cell>
          <cell r="T1820" t="str">
            <v>2. Mantenimiento Mat Rodante</v>
          </cell>
          <cell r="V1820" t="str">
            <v>II. Gastos</v>
          </cell>
          <cell r="W1820" t="str">
            <v>23. Bienes y Servicios para la Producción</v>
          </cell>
          <cell r="Z1820" t="str">
            <v>II. Costo Ventas</v>
          </cell>
          <cell r="AA1820" t="str">
            <v>2. Mantenimiento Mat Rodante</v>
          </cell>
          <cell r="AC1820" t="str">
            <v>II. Costo de Explotación</v>
          </cell>
          <cell r="AD1820" t="str">
            <v>2. Bienes y servicios Expl.</v>
          </cell>
          <cell r="AE1820" t="str">
            <v>2. Mantenimiento Mat. Rodante</v>
          </cell>
          <cell r="AG1820" t="str">
            <v xml:space="preserve"> </v>
          </cell>
          <cell r="AH1820" t="str">
            <v>6. Partidas significativas de gastos</v>
          </cell>
        </row>
        <row r="1821">
          <cell r="D1821" t="str">
            <v>4201340000</v>
          </cell>
          <cell r="E1821" t="str">
            <v>4201340000</v>
          </cell>
          <cell r="F1821" t="str">
            <v>Rep y Accesorio Automotor UT444</v>
          </cell>
          <cell r="G1821" t="str">
            <v>4201340000  Rep y Accesorio Automotor UT444</v>
          </cell>
          <cell r="H1821" t="str">
            <v>Est. Resultado</v>
          </cell>
          <cell r="I1821" t="str">
            <v>Resultado</v>
          </cell>
          <cell r="J1821" t="str">
            <v>3. Costo de Venta</v>
          </cell>
          <cell r="K1821" t="str">
            <v>2. Mantenimiento Mat Rodante</v>
          </cell>
          <cell r="L1821" t="str">
            <v>EBITDA</v>
          </cell>
          <cell r="M1821" t="str">
            <v>MARGEN BRUTO</v>
          </cell>
          <cell r="N1821" t="str">
            <v>GANANCIAS (PERDIDAS) ANTES DE IMPUESTOS</v>
          </cell>
          <cell r="O1821" t="str">
            <v>GANANCIA (PÉRDIDA) NETA</v>
          </cell>
          <cell r="P1821" t="str">
            <v>Resultado Ingresos y Gastos Integrales</v>
          </cell>
          <cell r="Q1821" t="str">
            <v>I. Ganancia (pérdida), antes de impuestos</v>
          </cell>
          <cell r="R1821" t="str">
            <v>a. Ganancia bruta</v>
          </cell>
          <cell r="S1821" t="str">
            <v>2. Costo de ventas</v>
          </cell>
          <cell r="T1821" t="str">
            <v>2. Mantenimiento Mat Rodante</v>
          </cell>
          <cell r="V1821" t="str">
            <v>II. Gastos</v>
          </cell>
          <cell r="W1821" t="str">
            <v>23. Bienes y Servicios para la Producción</v>
          </cell>
          <cell r="Z1821" t="str">
            <v>II. Costo Ventas</v>
          </cell>
          <cell r="AA1821" t="str">
            <v>2. Mantenimiento Mat Rodante</v>
          </cell>
          <cell r="AC1821" t="str">
            <v>II. Costo de Explotación</v>
          </cell>
          <cell r="AD1821" t="str">
            <v>2. Bienes y servicios Expl.</v>
          </cell>
          <cell r="AE1821" t="str">
            <v>2. Mantenimiento Mat. Rodante</v>
          </cell>
          <cell r="AG1821" t="str">
            <v xml:space="preserve"> </v>
          </cell>
          <cell r="AH1821" t="str">
            <v>6. Partidas significativas de gastos</v>
          </cell>
        </row>
        <row r="1822">
          <cell r="D1822" t="str">
            <v>4201360000</v>
          </cell>
          <cell r="E1822" t="str">
            <v>4201360000</v>
          </cell>
          <cell r="F1822" t="str">
            <v>Rep/Acc Autom TLD593</v>
          </cell>
          <cell r="G1822" t="str">
            <v>4201360000  Rep/Acc Autom TLD593</v>
          </cell>
          <cell r="H1822" t="str">
            <v>Est. Resultado</v>
          </cell>
          <cell r="I1822" t="str">
            <v>Resultado</v>
          </cell>
          <cell r="J1822" t="str">
            <v>3. Costo de Venta</v>
          </cell>
          <cell r="K1822" t="str">
            <v>2. Mantenimiento Mat Rodante</v>
          </cell>
          <cell r="L1822" t="str">
            <v>EBITDA</v>
          </cell>
          <cell r="M1822" t="str">
            <v>MARGEN BRUTO</v>
          </cell>
          <cell r="N1822" t="str">
            <v>GANANCIAS (PERDIDAS) ANTES DE IMPUESTOS</v>
          </cell>
          <cell r="O1822" t="str">
            <v>GANANCIA (PÉRDIDA) NETA</v>
          </cell>
          <cell r="P1822" t="str">
            <v>Resultado Ingresos y Gastos Integrales</v>
          </cell>
          <cell r="Q1822" t="str">
            <v>I. Ganancia (pérdida), antes de impuestos</v>
          </cell>
          <cell r="R1822" t="str">
            <v>a. Ganancia bruta</v>
          </cell>
          <cell r="S1822" t="str">
            <v>2. Costo de ventas</v>
          </cell>
          <cell r="T1822" t="str">
            <v>2. Mantenimiento Mat Rodante</v>
          </cell>
          <cell r="V1822" t="str">
            <v>II. Gastos</v>
          </cell>
          <cell r="W1822" t="str">
            <v>23. Bienes y Servicios para la Producción</v>
          </cell>
          <cell r="Z1822" t="str">
            <v>II. Costo Ventas</v>
          </cell>
          <cell r="AA1822" t="str">
            <v>2. Mantenimiento Mat Rodante</v>
          </cell>
          <cell r="AC1822" t="str">
            <v>II. Costo de Explotación</v>
          </cell>
          <cell r="AD1822" t="str">
            <v>2. Bienes y servicios Expl.</v>
          </cell>
          <cell r="AE1822" t="str">
            <v>2. Mantenimiento Mat. Rodante</v>
          </cell>
          <cell r="AG1822" t="str">
            <v xml:space="preserve"> </v>
          </cell>
          <cell r="AH1822" t="str">
            <v>6. Partidas significativas de gastos</v>
          </cell>
        </row>
        <row r="1823">
          <cell r="D1823" t="str">
            <v>4201620000</v>
          </cell>
          <cell r="E1823" t="str">
            <v>4201620000</v>
          </cell>
          <cell r="F1823" t="str">
            <v>Rep/Acc Trans Vehic</v>
          </cell>
          <cell r="G1823" t="str">
            <v>4201620000  Rep/Acc Trans Vehic</v>
          </cell>
          <cell r="H1823" t="str">
            <v>Est. Resultado</v>
          </cell>
          <cell r="I1823" t="str">
            <v>Resultado</v>
          </cell>
          <cell r="J1823" t="str">
            <v>3. Costo de Venta</v>
          </cell>
          <cell r="K1823" t="str">
            <v>2. Mantenimiento Mat Rodante</v>
          </cell>
          <cell r="L1823" t="str">
            <v>EBITDA</v>
          </cell>
          <cell r="M1823" t="str">
            <v>MARGEN BRUTO</v>
          </cell>
          <cell r="N1823" t="str">
            <v>GANANCIAS (PERDIDAS) ANTES DE IMPUESTOS</v>
          </cell>
          <cell r="O1823" t="str">
            <v>GANANCIA (PÉRDIDA) NETA</v>
          </cell>
          <cell r="P1823" t="str">
            <v>Resultado Ingresos y Gastos Integrales</v>
          </cell>
          <cell r="Q1823" t="str">
            <v>I. Ganancia (pérdida), antes de impuestos</v>
          </cell>
          <cell r="R1823" t="str">
            <v>a. Ganancia bruta</v>
          </cell>
          <cell r="S1823" t="str">
            <v>2. Costo de ventas</v>
          </cell>
          <cell r="T1823" t="str">
            <v>2. Mantenimiento Mat Rodante</v>
          </cell>
          <cell r="V1823" t="str">
            <v>II. Gastos</v>
          </cell>
          <cell r="W1823" t="str">
            <v>23. Bienes y Servicios para la Producción</v>
          </cell>
          <cell r="Z1823" t="str">
            <v>II. Costo Ventas</v>
          </cell>
          <cell r="AA1823" t="str">
            <v>2. Mantenimiento Mat Rodante</v>
          </cell>
          <cell r="AC1823" t="str">
            <v>II. Costo de Explotación</v>
          </cell>
          <cell r="AD1823" t="str">
            <v>2. Bienes y servicios Expl.</v>
          </cell>
          <cell r="AE1823" t="str">
            <v>2. Mantenimiento Mat. Rodante</v>
          </cell>
          <cell r="AG1823" t="str">
            <v xml:space="preserve"> </v>
          </cell>
          <cell r="AH1823" t="str">
            <v>6. Partidas significativas de gastos</v>
          </cell>
        </row>
        <row r="1824">
          <cell r="D1824" t="str">
            <v>4220130000</v>
          </cell>
          <cell r="E1824" t="str">
            <v>4220130000</v>
          </cell>
          <cell r="F1824" t="str">
            <v>Serv Mantencion Automotor AEL</v>
          </cell>
          <cell r="G1824" t="str">
            <v>4220130000  Serv Mantencion Automotor AEL</v>
          </cell>
          <cell r="H1824" t="str">
            <v>Est. Resultado</v>
          </cell>
          <cell r="I1824" t="str">
            <v>Resultado</v>
          </cell>
          <cell r="J1824" t="str">
            <v>3. Costo de Venta</v>
          </cell>
          <cell r="K1824" t="str">
            <v>2. Mantenimiento Mat Rodante</v>
          </cell>
          <cell r="L1824" t="str">
            <v>EBITDA</v>
          </cell>
          <cell r="M1824" t="str">
            <v>MARGEN BRUTO</v>
          </cell>
          <cell r="N1824" t="str">
            <v>GANANCIAS (PERDIDAS) ANTES DE IMPUESTOS</v>
          </cell>
          <cell r="O1824" t="str">
            <v>GANANCIA (PÉRDIDA) NETA</v>
          </cell>
          <cell r="P1824" t="str">
            <v>Resultado Ingresos y Gastos Integrales</v>
          </cell>
          <cell r="Q1824" t="str">
            <v>I. Ganancia (pérdida), antes de impuestos</v>
          </cell>
          <cell r="R1824" t="str">
            <v>a. Ganancia bruta</v>
          </cell>
          <cell r="S1824" t="str">
            <v>2. Costo de ventas</v>
          </cell>
          <cell r="T1824" t="str">
            <v>2. Mantenimiento Mat Rodante</v>
          </cell>
          <cell r="V1824" t="str">
            <v>II. Gastos</v>
          </cell>
          <cell r="W1824" t="str">
            <v>23. Bienes y Servicios para la Producción</v>
          </cell>
          <cell r="Z1824" t="str">
            <v>II. Costo Ventas</v>
          </cell>
          <cell r="AA1824" t="str">
            <v>2. Mantenimiento Mat Rodante</v>
          </cell>
          <cell r="AC1824" t="str">
            <v>II. Costo de Explotación</v>
          </cell>
          <cell r="AD1824" t="str">
            <v>2. Bienes y servicios Expl.</v>
          </cell>
          <cell r="AE1824" t="str">
            <v>2. Mantenimiento Mat. Rodante</v>
          </cell>
          <cell r="AG1824" t="str">
            <v xml:space="preserve"> </v>
          </cell>
          <cell r="AH1824" t="str">
            <v>6. Partidas significativas de gastos</v>
          </cell>
        </row>
        <row r="1825">
          <cell r="D1825" t="str">
            <v>4220174000</v>
          </cell>
          <cell r="E1825" t="str">
            <v>4220174000</v>
          </cell>
          <cell r="F1825" t="str">
            <v>Serv Mant Aut TLD593</v>
          </cell>
          <cell r="G1825" t="str">
            <v>4220174000  Serv Mant Aut TLD593</v>
          </cell>
          <cell r="H1825" t="str">
            <v>Est. Resultado</v>
          </cell>
          <cell r="I1825" t="str">
            <v>Resultado</v>
          </cell>
          <cell r="J1825" t="str">
            <v>3. Costo de Venta</v>
          </cell>
          <cell r="K1825" t="str">
            <v>2. Mantenimiento Mat Rodante</v>
          </cell>
          <cell r="L1825" t="str">
            <v>EBITDA</v>
          </cell>
          <cell r="M1825" t="str">
            <v>MARGEN BRUTO</v>
          </cell>
          <cell r="N1825" t="str">
            <v>GANANCIAS (PERDIDAS) ANTES DE IMPUESTOS</v>
          </cell>
          <cell r="O1825" t="str">
            <v>GANANCIA (PÉRDIDA) NETA</v>
          </cell>
          <cell r="P1825" t="str">
            <v>Resultado Ingresos y Gastos Integrales</v>
          </cell>
          <cell r="Q1825" t="str">
            <v>I. Ganancia (pérdida), antes de impuestos</v>
          </cell>
          <cell r="R1825" t="str">
            <v>a. Ganancia bruta</v>
          </cell>
          <cell r="S1825" t="str">
            <v>2. Costo de ventas</v>
          </cell>
          <cell r="T1825" t="str">
            <v>2. Mantenimiento Mat Rodante</v>
          </cell>
          <cell r="V1825" t="str">
            <v>II. Gastos</v>
          </cell>
          <cell r="W1825" t="str">
            <v>23. Bienes y Servicios para la Producción</v>
          </cell>
          <cell r="Z1825" t="str">
            <v>II. Costo Ventas</v>
          </cell>
          <cell r="AA1825" t="str">
            <v>2. Mantenimiento Mat Rodante</v>
          </cell>
          <cell r="AC1825" t="str">
            <v>II. Costo de Explotación</v>
          </cell>
          <cell r="AD1825" t="str">
            <v>2. Bienes y servicios Expl.</v>
          </cell>
          <cell r="AE1825" t="str">
            <v>2. Mantenimiento Mat. Rodante</v>
          </cell>
          <cell r="AG1825" t="str">
            <v xml:space="preserve"> </v>
          </cell>
          <cell r="AH1825" t="str">
            <v>6. Partidas significativas de gastos</v>
          </cell>
        </row>
        <row r="1826">
          <cell r="D1826" t="str">
            <v>4201320000</v>
          </cell>
          <cell r="E1826" t="str">
            <v>4201320000</v>
          </cell>
          <cell r="F1826" t="str">
            <v>Rep y Accesorio Automotor AEZ</v>
          </cell>
          <cell r="G1826" t="str">
            <v>4201320000  Rep y Accesorio Automotor AEZ</v>
          </cell>
          <cell r="H1826" t="str">
            <v>Est. Resultado</v>
          </cell>
          <cell r="I1826" t="str">
            <v>Resultado</v>
          </cell>
          <cell r="J1826" t="str">
            <v>3. Costo de Venta</v>
          </cell>
          <cell r="K1826" t="str">
            <v>2. Mantenimiento Mat Rodante</v>
          </cell>
          <cell r="L1826" t="str">
            <v>EBITDA</v>
          </cell>
          <cell r="M1826" t="str">
            <v>MARGEN BRUTO</v>
          </cell>
          <cell r="N1826" t="str">
            <v>GANANCIAS (PERDIDAS) ANTES DE IMPUESTOS</v>
          </cell>
          <cell r="O1826" t="str">
            <v>GANANCIA (PÉRDIDA) NETA</v>
          </cell>
          <cell r="P1826" t="str">
            <v>Resultado Ingresos y Gastos Integrales</v>
          </cell>
          <cell r="Q1826" t="str">
            <v>I. Ganancia (pérdida), antes de impuestos</v>
          </cell>
          <cell r="R1826" t="str">
            <v>a. Ganancia bruta</v>
          </cell>
          <cell r="S1826" t="str">
            <v>2. Costo de ventas</v>
          </cell>
          <cell r="T1826" t="str">
            <v>2. Mantenimiento Mat Rodante</v>
          </cell>
          <cell r="V1826" t="str">
            <v>II. Gastos</v>
          </cell>
          <cell r="W1826" t="str">
            <v>23. Bienes y Servicios para la Producción</v>
          </cell>
          <cell r="Z1826" t="str">
            <v>II. Costo Ventas</v>
          </cell>
          <cell r="AA1826" t="str">
            <v>2. Mantenimiento Mat Rodante</v>
          </cell>
          <cell r="AC1826" t="str">
            <v>II. Costo de Explotación</v>
          </cell>
          <cell r="AD1826" t="str">
            <v>2. Bienes y servicios Expl.</v>
          </cell>
          <cell r="AE1826" t="str">
            <v>2. Mantenimiento Mat. Rodante</v>
          </cell>
          <cell r="AG1826" t="str">
            <v xml:space="preserve"> </v>
          </cell>
          <cell r="AH1826" t="str">
            <v>6. Partidas significativas de gastos</v>
          </cell>
        </row>
        <row r="1827">
          <cell r="D1827" t="str">
            <v>4201500000</v>
          </cell>
          <cell r="E1827" t="str">
            <v>4201500000</v>
          </cell>
          <cell r="F1827" t="str">
            <v>Rep y Accesorio Buscarril</v>
          </cell>
          <cell r="G1827" t="str">
            <v>4201500000  Rep y Accesorio Buscarril</v>
          </cell>
          <cell r="H1827" t="str">
            <v>Est. Resultado</v>
          </cell>
          <cell r="I1827" t="str">
            <v>Resultado</v>
          </cell>
          <cell r="J1827" t="str">
            <v>3. Costo de Venta</v>
          </cell>
          <cell r="K1827" t="str">
            <v>2. Mantenimiento Mat Rodante</v>
          </cell>
          <cell r="L1827" t="str">
            <v>EBITDA</v>
          </cell>
          <cell r="M1827" t="str">
            <v>MARGEN BRUTO</v>
          </cell>
          <cell r="N1827" t="str">
            <v>GANANCIAS (PERDIDAS) ANTES DE IMPUESTOS</v>
          </cell>
          <cell r="O1827" t="str">
            <v>GANANCIA (PÉRDIDA) NETA</v>
          </cell>
          <cell r="P1827" t="str">
            <v>Resultado Ingresos y Gastos Integrales</v>
          </cell>
          <cell r="Q1827" t="str">
            <v>I. Ganancia (pérdida), antes de impuestos</v>
          </cell>
          <cell r="R1827" t="str">
            <v>a. Ganancia bruta</v>
          </cell>
          <cell r="S1827" t="str">
            <v>2. Costo de ventas</v>
          </cell>
          <cell r="T1827" t="str">
            <v>2. Mantenimiento Mat Rodante</v>
          </cell>
          <cell r="V1827" t="str">
            <v>II. Gastos</v>
          </cell>
          <cell r="W1827" t="str">
            <v>23. Bienes y Servicios para la Producción</v>
          </cell>
          <cell r="Z1827" t="str">
            <v>II. Costo Ventas</v>
          </cell>
          <cell r="AA1827" t="str">
            <v>2. Mantenimiento Mat Rodante</v>
          </cell>
          <cell r="AC1827" t="str">
            <v>II. Costo de Explotación</v>
          </cell>
          <cell r="AD1827" t="str">
            <v>2. Bienes y servicios Expl.</v>
          </cell>
          <cell r="AE1827" t="str">
            <v>2. Mantenimiento Mat. Rodante</v>
          </cell>
          <cell r="AG1827" t="str">
            <v xml:space="preserve"> </v>
          </cell>
          <cell r="AH1827" t="str">
            <v>6. Partidas significativas de gastos</v>
          </cell>
        </row>
        <row r="1828">
          <cell r="D1828" t="str">
            <v>4201600000</v>
          </cell>
          <cell r="E1828" t="str">
            <v>4201600000</v>
          </cell>
          <cell r="F1828" t="str">
            <v>Rep y Accesorio Carros</v>
          </cell>
          <cell r="G1828" t="str">
            <v>4201600000  Rep y Accesorio Carros</v>
          </cell>
          <cell r="H1828" t="str">
            <v>Est. Resultado</v>
          </cell>
          <cell r="I1828" t="str">
            <v>Resultado</v>
          </cell>
          <cell r="J1828" t="str">
            <v>3. Costo de Venta</v>
          </cell>
          <cell r="K1828" t="str">
            <v>2. Mantenimiento Mat Rodante</v>
          </cell>
          <cell r="L1828" t="str">
            <v>EBITDA</v>
          </cell>
          <cell r="M1828" t="str">
            <v>MARGEN BRUTO</v>
          </cell>
          <cell r="N1828" t="str">
            <v>GANANCIAS (PERDIDAS) ANTES DE IMPUESTOS</v>
          </cell>
          <cell r="O1828" t="str">
            <v>GANANCIA (PÉRDIDA) NETA</v>
          </cell>
          <cell r="P1828" t="str">
            <v>Resultado Ingresos y Gastos Integrales</v>
          </cell>
          <cell r="Q1828" t="str">
            <v>I. Ganancia (pérdida), antes de impuestos</v>
          </cell>
          <cell r="R1828" t="str">
            <v>a. Ganancia bruta</v>
          </cell>
          <cell r="S1828" t="str">
            <v>2. Costo de ventas</v>
          </cell>
          <cell r="T1828" t="str">
            <v>2. Mantenimiento Mat Rodante</v>
          </cell>
          <cell r="V1828" t="str">
            <v>II. Gastos</v>
          </cell>
          <cell r="W1828" t="str">
            <v>23. Bienes y Servicios para la Producción</v>
          </cell>
          <cell r="Z1828" t="str">
            <v>II. Costo Ventas</v>
          </cell>
          <cell r="AA1828" t="str">
            <v>2. Mantenimiento Mat Rodante</v>
          </cell>
          <cell r="AC1828" t="str">
            <v>II. Costo de Explotación</v>
          </cell>
          <cell r="AD1828" t="str">
            <v>2. Bienes y servicios Expl.</v>
          </cell>
          <cell r="AE1828" t="str">
            <v>2. Mantenimiento Mat. Rodante</v>
          </cell>
          <cell r="AG1828" t="str">
            <v xml:space="preserve"> </v>
          </cell>
          <cell r="AH1828" t="str">
            <v>6. Partidas significativas de gastos</v>
          </cell>
        </row>
        <row r="1829">
          <cell r="D1829" t="str">
            <v>4220200000</v>
          </cell>
          <cell r="E1829" t="str">
            <v>4220200000</v>
          </cell>
          <cell r="F1829" t="str">
            <v>Serv Mantencion Buscarril</v>
          </cell>
          <cell r="G1829" t="str">
            <v>4220200000  Serv Mantencion Buscarril</v>
          </cell>
          <cell r="H1829" t="str">
            <v>Est. Resultado</v>
          </cell>
          <cell r="I1829" t="str">
            <v>Resultado</v>
          </cell>
          <cell r="J1829" t="str">
            <v>3. Costo de Venta</v>
          </cell>
          <cell r="K1829" t="str">
            <v>2. Mantenimiento Mat Rodante</v>
          </cell>
          <cell r="L1829" t="str">
            <v>EBITDA</v>
          </cell>
          <cell r="M1829" t="str">
            <v>MARGEN BRUTO</v>
          </cell>
          <cell r="N1829" t="str">
            <v>GANANCIAS (PERDIDAS) ANTES DE IMPUESTOS</v>
          </cell>
          <cell r="O1829" t="str">
            <v>GANANCIA (PÉRDIDA) NETA</v>
          </cell>
          <cell r="P1829" t="str">
            <v>Resultado Ingresos y Gastos Integrales</v>
          </cell>
          <cell r="Q1829" t="str">
            <v>I. Ganancia (pérdida), antes de impuestos</v>
          </cell>
          <cell r="R1829" t="str">
            <v>a. Ganancia bruta</v>
          </cell>
          <cell r="S1829" t="str">
            <v>2. Costo de ventas</v>
          </cell>
          <cell r="T1829" t="str">
            <v>2. Mantenimiento Mat Rodante</v>
          </cell>
          <cell r="V1829" t="str">
            <v>II. Gastos</v>
          </cell>
          <cell r="W1829" t="str">
            <v>23. Bienes y Servicios para la Producción</v>
          </cell>
          <cell r="Z1829" t="str">
            <v>II. Costo Ventas</v>
          </cell>
          <cell r="AA1829" t="str">
            <v>2. Mantenimiento Mat Rodante</v>
          </cell>
          <cell r="AC1829" t="str">
            <v>II. Costo de Explotación</v>
          </cell>
          <cell r="AD1829" t="str">
            <v>2. Bienes y servicios Expl.</v>
          </cell>
          <cell r="AE1829" t="str">
            <v>2. Mantenimiento Mat. Rodante</v>
          </cell>
          <cell r="AG1829" t="str">
            <v xml:space="preserve"> </v>
          </cell>
          <cell r="AH1829" t="str">
            <v>6. Partidas significativas de gastos</v>
          </cell>
        </row>
        <row r="1830">
          <cell r="D1830">
            <v>0</v>
          </cell>
          <cell r="G1830" t="str">
            <v/>
          </cell>
          <cell r="H1830" t="str">
            <v>Est. Resultado</v>
          </cell>
          <cell r="I1830" t="str">
            <v>Resultado</v>
          </cell>
          <cell r="J1830" t="str">
            <v>3. Costo de Venta</v>
          </cell>
          <cell r="K1830" t="str">
            <v>2. Mantenimiento Mat Rodante</v>
          </cell>
          <cell r="L1830" t="str">
            <v>EBITDA</v>
          </cell>
          <cell r="M1830" t="str">
            <v>MARGEN BRUTO</v>
          </cell>
          <cell r="N1830" t="str">
            <v>GANANCIAS (PERDIDAS) ANTES DE IMPUESTOS</v>
          </cell>
          <cell r="O1830" t="str">
            <v>GANANCIA (PÉRDIDA) NETA</v>
          </cell>
          <cell r="P1830" t="str">
            <v>Resultado Ingresos y Gastos Integrales</v>
          </cell>
          <cell r="Q1830" t="str">
            <v>I. Ganancia (pérdida), antes de impuestos</v>
          </cell>
          <cell r="R1830" t="str">
            <v>a. Ganancia bruta</v>
          </cell>
          <cell r="S1830" t="str">
            <v>2. Costo de ventas</v>
          </cell>
          <cell r="T1830" t="str">
            <v>2. Mantenimiento Mat Rodante</v>
          </cell>
          <cell r="V1830" t="str">
            <v>II. Gastos</v>
          </cell>
          <cell r="W1830" t="str">
            <v>23. Bienes y Servicios para la Producción</v>
          </cell>
          <cell r="Z1830" t="str">
            <v>II. Costo Ventas</v>
          </cell>
          <cell r="AA1830" t="str">
            <v>2. Mantenimiento Mat Rodante</v>
          </cell>
          <cell r="AC1830" t="str">
            <v>II. Costo de Explotación</v>
          </cell>
          <cell r="AD1830" t="str">
            <v>2. Bienes y servicios Expl.</v>
          </cell>
          <cell r="AE1830" t="str">
            <v>2. Mantenimiento Mat. Rodante</v>
          </cell>
          <cell r="AG1830" t="str">
            <v xml:space="preserve"> </v>
          </cell>
          <cell r="AH1830" t="str">
            <v>6. Partidas significativas de gastos</v>
          </cell>
        </row>
        <row r="1831">
          <cell r="D1831">
            <v>0</v>
          </cell>
          <cell r="G1831" t="str">
            <v/>
          </cell>
          <cell r="H1831" t="str">
            <v>Est. Resultado</v>
          </cell>
          <cell r="I1831" t="str">
            <v>Resultado</v>
          </cell>
          <cell r="J1831" t="str">
            <v>3. Costo de Venta</v>
          </cell>
          <cell r="K1831" t="str">
            <v>2. Mantenimiento Mat Rodante</v>
          </cell>
          <cell r="L1831" t="str">
            <v>EBITDA</v>
          </cell>
          <cell r="M1831" t="str">
            <v>MARGEN BRUTO</v>
          </cell>
          <cell r="N1831" t="str">
            <v>GANANCIAS (PERDIDAS) ANTES DE IMPUESTOS</v>
          </cell>
          <cell r="O1831" t="str">
            <v>GANANCIA (PÉRDIDA) NETA</v>
          </cell>
          <cell r="P1831" t="str">
            <v>Resultado Ingresos y Gastos Integrales</v>
          </cell>
          <cell r="Q1831" t="str">
            <v>I. Ganancia (pérdida), antes de impuestos</v>
          </cell>
          <cell r="R1831" t="str">
            <v>a. Ganancia bruta</v>
          </cell>
          <cell r="S1831" t="str">
            <v>2. Costo de ventas</v>
          </cell>
          <cell r="T1831" t="str">
            <v>2. Mantenimiento Mat Rodante</v>
          </cell>
          <cell r="V1831" t="str">
            <v>II. Gastos</v>
          </cell>
          <cell r="W1831" t="str">
            <v>23. Bienes y Servicios para la Producción</v>
          </cell>
          <cell r="Z1831" t="str">
            <v>II. Costo Ventas</v>
          </cell>
          <cell r="AA1831" t="str">
            <v>2. Mantenimiento Mat Rodante</v>
          </cell>
          <cell r="AC1831" t="str">
            <v>II. Costo de Explotación</v>
          </cell>
          <cell r="AD1831" t="str">
            <v>2. Bienes y servicios Expl.</v>
          </cell>
          <cell r="AE1831" t="str">
            <v>2. Mantenimiento Mat. Rodante</v>
          </cell>
          <cell r="AG1831" t="str">
            <v xml:space="preserve"> </v>
          </cell>
          <cell r="AH1831" t="str">
            <v>6. Partidas significativas de gastos</v>
          </cell>
        </row>
        <row r="1832">
          <cell r="D1832">
            <v>0</v>
          </cell>
          <cell r="G1832" t="str">
            <v/>
          </cell>
          <cell r="H1832" t="str">
            <v>Est. Resultado</v>
          </cell>
          <cell r="I1832" t="str">
            <v>Resultado</v>
          </cell>
          <cell r="J1832" t="str">
            <v>3. Costo de Venta</v>
          </cell>
          <cell r="K1832" t="str">
            <v>2. Mantenimiento Mat Rodante</v>
          </cell>
          <cell r="L1832" t="str">
            <v>EBITDA</v>
          </cell>
          <cell r="M1832" t="str">
            <v>MARGEN BRUTO</v>
          </cell>
          <cell r="N1832" t="str">
            <v>GANANCIAS (PERDIDAS) ANTES DE IMPUESTOS</v>
          </cell>
          <cell r="O1832" t="str">
            <v>GANANCIA (PÉRDIDA) NETA</v>
          </cell>
          <cell r="P1832" t="str">
            <v>Resultado Ingresos y Gastos Integrales</v>
          </cell>
          <cell r="Q1832" t="str">
            <v>I. Ganancia (pérdida), antes de impuestos</v>
          </cell>
          <cell r="R1832" t="str">
            <v>a. Ganancia bruta</v>
          </cell>
          <cell r="S1832" t="str">
            <v>2. Costo de ventas</v>
          </cell>
          <cell r="T1832" t="str">
            <v>2. Mantenimiento Mat Rodante</v>
          </cell>
          <cell r="V1832" t="str">
            <v>II. Gastos</v>
          </cell>
          <cell r="W1832" t="str">
            <v>23. Bienes y Servicios para la Producción</v>
          </cell>
          <cell r="Z1832" t="str">
            <v>II. Costo Ventas</v>
          </cell>
          <cell r="AA1832" t="str">
            <v>2. Mantenimiento Mat Rodante</v>
          </cell>
          <cell r="AC1832" t="str">
            <v>II. Costo de Explotación</v>
          </cell>
          <cell r="AD1832" t="str">
            <v>2. Bienes y servicios Expl.</v>
          </cell>
          <cell r="AE1832" t="str">
            <v>2. Mantenimiento Mat. Rodante</v>
          </cell>
          <cell r="AG1832" t="str">
            <v xml:space="preserve"> </v>
          </cell>
          <cell r="AH1832" t="str">
            <v>6. Partidas significativas de gastos</v>
          </cell>
        </row>
        <row r="1833">
          <cell r="D1833" t="str">
            <v>Mantenimiento Mat Rodante</v>
          </cell>
          <cell r="E1833" t="str">
            <v>Mantenimiento Mat Rodante</v>
          </cell>
          <cell r="G1833" t="str">
            <v xml:space="preserve">Mantenimiento Mat Rodante  </v>
          </cell>
          <cell r="H1833" t="str">
            <v/>
          </cell>
          <cell r="I1833" t="str">
            <v/>
          </cell>
          <cell r="J1833" t="str">
            <v/>
          </cell>
          <cell r="L1833" t="str">
            <v/>
          </cell>
          <cell r="M1833" t="str">
            <v/>
          </cell>
          <cell r="N1833" t="str">
            <v/>
          </cell>
          <cell r="O1833" t="str">
            <v/>
          </cell>
          <cell r="P1833" t="str">
            <v/>
          </cell>
        </row>
        <row r="1834">
          <cell r="D1834" t="str">
            <v>4201100000</v>
          </cell>
          <cell r="E1834" t="str">
            <v>4201100000</v>
          </cell>
          <cell r="F1834" t="str">
            <v>Rep y Accesorio Vias</v>
          </cell>
          <cell r="G1834" t="str">
            <v>4201100000  Rep y Accesorio Vias</v>
          </cell>
          <cell r="H1834" t="str">
            <v>Est. Resultado</v>
          </cell>
          <cell r="I1834" t="str">
            <v>Resultado</v>
          </cell>
          <cell r="J1834" t="str">
            <v>3. Costo de Venta</v>
          </cell>
          <cell r="K1834" t="str">
            <v>3. Mantenimiento Infraestructura</v>
          </cell>
          <cell r="L1834" t="str">
            <v>EBITDA</v>
          </cell>
          <cell r="M1834" t="str">
            <v>MARGEN BRUTO</v>
          </cell>
          <cell r="N1834" t="str">
            <v>GANANCIAS (PERDIDAS) ANTES DE IMPUESTOS</v>
          </cell>
          <cell r="O1834" t="str">
            <v>GANANCIA (PÉRDIDA) NETA</v>
          </cell>
          <cell r="P1834" t="str">
            <v>Resultado Ingresos y Gastos Integrales</v>
          </cell>
          <cell r="Q1834" t="str">
            <v>I. Ganancia (pérdida), antes de impuestos</v>
          </cell>
          <cell r="R1834" t="str">
            <v>a. Ganancia bruta</v>
          </cell>
          <cell r="S1834" t="str">
            <v>2. Costo de ventas</v>
          </cell>
          <cell r="T1834" t="str">
            <v>3. Mantenimiento Infraestructura</v>
          </cell>
          <cell r="V1834" t="str">
            <v>II. Gastos</v>
          </cell>
          <cell r="W1834" t="str">
            <v>23. Bienes y Servicios para la Producción</v>
          </cell>
          <cell r="Z1834" t="str">
            <v>II. Costo Ventas</v>
          </cell>
          <cell r="AA1834" t="str">
            <v>3. Mantenimiento Infraestructura</v>
          </cell>
          <cell r="AC1834" t="str">
            <v>II. Costo de Explotación</v>
          </cell>
          <cell r="AD1834" t="str">
            <v>2. Bienes y servicios Expl.</v>
          </cell>
          <cell r="AE1834" t="str">
            <v>3. Mantenimiento Infraestructura</v>
          </cell>
          <cell r="AG1834" t="str">
            <v xml:space="preserve"> </v>
          </cell>
          <cell r="AH1834" t="str">
            <v>6. Partidas significativas de gastos</v>
          </cell>
        </row>
        <row r="1835">
          <cell r="D1835" t="str">
            <v>4201110000</v>
          </cell>
          <cell r="E1835" t="str">
            <v>4201110000</v>
          </cell>
          <cell r="F1835" t="str">
            <v>Rep/Acc Puente</v>
          </cell>
          <cell r="G1835" t="str">
            <v>4201110000  Rep/Acc Puente</v>
          </cell>
          <cell r="H1835" t="str">
            <v>Est. Resultado</v>
          </cell>
          <cell r="I1835" t="str">
            <v>Resultado</v>
          </cell>
          <cell r="J1835" t="str">
            <v>3. Costo de Venta</v>
          </cell>
          <cell r="K1835" t="str">
            <v>3. Mantenimiento Infraestructura</v>
          </cell>
          <cell r="L1835" t="str">
            <v>EBITDA</v>
          </cell>
          <cell r="M1835" t="str">
            <v>MARGEN BRUTO</v>
          </cell>
          <cell r="N1835" t="str">
            <v>GANANCIAS (PERDIDAS) ANTES DE IMPUESTOS</v>
          </cell>
          <cell r="O1835" t="str">
            <v>GANANCIA (PÉRDIDA) NETA</v>
          </cell>
          <cell r="P1835" t="str">
            <v>Resultado Ingresos y Gastos Integrales</v>
          </cell>
          <cell r="Q1835" t="str">
            <v>I. Ganancia (pérdida), antes de impuestos</v>
          </cell>
          <cell r="R1835" t="str">
            <v>a. Ganancia bruta</v>
          </cell>
          <cell r="S1835" t="str">
            <v>2. Costo de ventas</v>
          </cell>
          <cell r="T1835" t="str">
            <v>3. Mantenimiento Infraestructura</v>
          </cell>
          <cell r="V1835" t="str">
            <v>II. Gastos</v>
          </cell>
          <cell r="W1835" t="str">
            <v>23. Bienes y Servicios para la Producción</v>
          </cell>
          <cell r="Z1835" t="str">
            <v>II. Costo Ventas</v>
          </cell>
          <cell r="AA1835" t="str">
            <v>3. Mantenimiento Infraestructura</v>
          </cell>
          <cell r="AC1835" t="str">
            <v>II. Costo de Explotación</v>
          </cell>
          <cell r="AD1835" t="str">
            <v>2. Bienes y servicios Expl.</v>
          </cell>
          <cell r="AE1835" t="str">
            <v>3. Mantenimiento Infraestructura</v>
          </cell>
          <cell r="AG1835" t="str">
            <v xml:space="preserve"> </v>
          </cell>
          <cell r="AH1835" t="str">
            <v>6. Partidas significativas de gastos</v>
          </cell>
        </row>
        <row r="1836">
          <cell r="D1836" t="str">
            <v>4201170000</v>
          </cell>
          <cell r="E1836" t="str">
            <v>4201170000</v>
          </cell>
          <cell r="F1836" t="str">
            <v>Rep/Acc Maq/Equ Via</v>
          </cell>
          <cell r="G1836" t="str">
            <v>4201170000  Rep/Acc Maq/Equ Via</v>
          </cell>
          <cell r="H1836" t="str">
            <v>Est. Resultado</v>
          </cell>
          <cell r="I1836" t="str">
            <v>Resultado</v>
          </cell>
          <cell r="J1836" t="str">
            <v>3. Costo de Venta</v>
          </cell>
          <cell r="K1836" t="str">
            <v>3. Mantenimiento Infraestructura</v>
          </cell>
          <cell r="L1836" t="str">
            <v>EBITDA</v>
          </cell>
          <cell r="M1836" t="str">
            <v>MARGEN BRUTO</v>
          </cell>
          <cell r="N1836" t="str">
            <v>GANANCIAS (PERDIDAS) ANTES DE IMPUESTOS</v>
          </cell>
          <cell r="O1836" t="str">
            <v>GANANCIA (PÉRDIDA) NETA</v>
          </cell>
          <cell r="P1836" t="str">
            <v>Resultado Ingresos y Gastos Integrales</v>
          </cell>
          <cell r="Q1836" t="str">
            <v>I. Ganancia (pérdida), antes de impuestos</v>
          </cell>
          <cell r="R1836" t="str">
            <v>a. Ganancia bruta</v>
          </cell>
          <cell r="S1836" t="str">
            <v>2. Costo de ventas</v>
          </cell>
          <cell r="T1836" t="str">
            <v>3. Mantenimiento Infraestructura</v>
          </cell>
          <cell r="V1836" t="str">
            <v>II. Gastos</v>
          </cell>
          <cell r="W1836" t="str">
            <v>23. Bienes y Servicios para la Producción</v>
          </cell>
          <cell r="Z1836" t="str">
            <v>II. Costo Ventas</v>
          </cell>
          <cell r="AA1836" t="str">
            <v>3. Mantenimiento Infraestructura</v>
          </cell>
          <cell r="AC1836" t="str">
            <v>II. Costo de Explotación</v>
          </cell>
          <cell r="AD1836" t="str">
            <v>2. Bienes y servicios Expl.</v>
          </cell>
          <cell r="AE1836" t="str">
            <v>3. Mantenimiento Infraestructura</v>
          </cell>
          <cell r="AG1836" t="str">
            <v xml:space="preserve"> </v>
          </cell>
          <cell r="AH1836" t="str">
            <v>6. Partidas significativas de gastos</v>
          </cell>
        </row>
        <row r="1837">
          <cell r="D1837" t="str">
            <v>4201180000</v>
          </cell>
          <cell r="E1837" t="str">
            <v>4201180000</v>
          </cell>
          <cell r="F1837" t="str">
            <v>Rep/Acc Equip Maestr</v>
          </cell>
          <cell r="G1837" t="str">
            <v>4201180000  Rep/Acc Equip Maestr</v>
          </cell>
          <cell r="H1837" t="str">
            <v>Est. Resultado</v>
          </cell>
          <cell r="I1837" t="str">
            <v>Resultado</v>
          </cell>
          <cell r="J1837" t="str">
            <v>3. Costo de Venta</v>
          </cell>
          <cell r="K1837" t="str">
            <v>3. Mantenimiento Infraestructura</v>
          </cell>
          <cell r="L1837" t="str">
            <v>EBITDA</v>
          </cell>
          <cell r="M1837" t="str">
            <v>MARGEN BRUTO</v>
          </cell>
          <cell r="N1837" t="str">
            <v>GANANCIAS (PERDIDAS) ANTES DE IMPUESTOS</v>
          </cell>
          <cell r="O1837" t="str">
            <v>GANANCIA (PÉRDIDA) NETA</v>
          </cell>
          <cell r="P1837" t="str">
            <v>Resultado Ingresos y Gastos Integrales</v>
          </cell>
          <cell r="Q1837" t="str">
            <v>I. Ganancia (pérdida), antes de impuestos</v>
          </cell>
          <cell r="R1837" t="str">
            <v>a. Ganancia bruta</v>
          </cell>
          <cell r="S1837" t="str">
            <v>2. Costo de ventas</v>
          </cell>
          <cell r="T1837" t="str">
            <v>3. Mantenimiento Infraestructura</v>
          </cell>
          <cell r="V1837" t="str">
            <v>II. Gastos</v>
          </cell>
          <cell r="W1837" t="str">
            <v>23. Bienes y Servicios para la Producción</v>
          </cell>
          <cell r="Z1837" t="str">
            <v>II. Costo Ventas</v>
          </cell>
          <cell r="AA1837" t="str">
            <v>3. Mantenimiento Infraestructura</v>
          </cell>
          <cell r="AC1837" t="str">
            <v>II. Costo de Explotación</v>
          </cell>
          <cell r="AD1837" t="str">
            <v>2. Bienes y servicios Expl.</v>
          </cell>
          <cell r="AE1837" t="str">
            <v>3. Mantenimiento Infraestructura</v>
          </cell>
          <cell r="AG1837" t="str">
            <v xml:space="preserve"> </v>
          </cell>
          <cell r="AH1837" t="str">
            <v>6. Partidas significativas de gastos</v>
          </cell>
        </row>
        <row r="1838">
          <cell r="D1838" t="str">
            <v>4201640000</v>
          </cell>
          <cell r="E1838" t="str">
            <v>4201640000</v>
          </cell>
          <cell r="F1838" t="str">
            <v>Rep y Accesorio Otro Vehiculo</v>
          </cell>
          <cell r="G1838" t="str">
            <v>4201640000  Rep y Accesorio Otro Vehiculo</v>
          </cell>
          <cell r="H1838" t="str">
            <v>Est. Resultado</v>
          </cell>
          <cell r="I1838" t="str">
            <v>Resultado</v>
          </cell>
          <cell r="J1838" t="str">
            <v>3. Costo de Venta</v>
          </cell>
          <cell r="K1838" t="str">
            <v>3. Mantenimiento Infraestructura</v>
          </cell>
          <cell r="L1838" t="str">
            <v>EBITDA</v>
          </cell>
          <cell r="M1838" t="str">
            <v>MARGEN BRUTO</v>
          </cell>
          <cell r="N1838" t="str">
            <v>GANANCIAS (PERDIDAS) ANTES DE IMPUESTOS</v>
          </cell>
          <cell r="O1838" t="str">
            <v>GANANCIA (PÉRDIDA) NETA</v>
          </cell>
          <cell r="P1838" t="str">
            <v>Resultado Ingresos y Gastos Integrales</v>
          </cell>
          <cell r="Q1838" t="str">
            <v>I. Ganancia (pérdida), antes de impuestos</v>
          </cell>
          <cell r="R1838" t="str">
            <v>a. Ganancia bruta</v>
          </cell>
          <cell r="S1838" t="str">
            <v>2. Costo de ventas</v>
          </cell>
          <cell r="T1838" t="str">
            <v>3. Mantenimiento Infraestructura</v>
          </cell>
          <cell r="V1838" t="str">
            <v>II. Gastos</v>
          </cell>
          <cell r="W1838" t="str">
            <v>23. Bienes y Servicios para la Producción</v>
          </cell>
          <cell r="Z1838" t="str">
            <v>II. Costo Ventas</v>
          </cell>
          <cell r="AA1838" t="str">
            <v>3. Mantenimiento Infraestructura</v>
          </cell>
          <cell r="AC1838" t="str">
            <v>II. Costo de Explotación</v>
          </cell>
          <cell r="AD1838" t="str">
            <v>2. Bienes y servicios Expl.</v>
          </cell>
          <cell r="AE1838" t="str">
            <v>3. Mantenimiento Infraestructura</v>
          </cell>
          <cell r="AG1838" t="str">
            <v xml:space="preserve"> </v>
          </cell>
          <cell r="AH1838" t="str">
            <v>6. Partidas significativas de gastos</v>
          </cell>
        </row>
        <row r="1839">
          <cell r="D1839" t="str">
            <v>4201680000</v>
          </cell>
          <cell r="E1839" t="str">
            <v>4201680000</v>
          </cell>
          <cell r="F1839" t="str">
            <v>Material Edificios</v>
          </cell>
          <cell r="G1839" t="str">
            <v>4201680000  Material Edificios</v>
          </cell>
          <cell r="H1839" t="str">
            <v>Est. Resultado</v>
          </cell>
          <cell r="I1839" t="str">
            <v>Resultado</v>
          </cell>
          <cell r="J1839" t="str">
            <v>3. Costo de Venta</v>
          </cell>
          <cell r="K1839" t="str">
            <v>3. Mantenimiento Infraestructura</v>
          </cell>
          <cell r="L1839" t="str">
            <v>EBITDA</v>
          </cell>
          <cell r="M1839" t="str">
            <v>MARGEN BRUTO</v>
          </cell>
          <cell r="N1839" t="str">
            <v>GANANCIAS (PERDIDAS) ANTES DE IMPUESTOS</v>
          </cell>
          <cell r="O1839" t="str">
            <v>GANANCIA (PÉRDIDA) NETA</v>
          </cell>
          <cell r="P1839" t="str">
            <v>Resultado Ingresos y Gastos Integrales</v>
          </cell>
          <cell r="Q1839" t="str">
            <v>I. Ganancia (pérdida), antes de impuestos</v>
          </cell>
          <cell r="R1839" t="str">
            <v>a. Ganancia bruta</v>
          </cell>
          <cell r="S1839" t="str">
            <v>2. Costo de ventas</v>
          </cell>
          <cell r="T1839" t="str">
            <v>3. Mantenimiento Infraestructura</v>
          </cell>
          <cell r="V1839" t="str">
            <v>II. Gastos</v>
          </cell>
          <cell r="W1839" t="str">
            <v>23. Bienes y Servicios para la Producción</v>
          </cell>
          <cell r="Z1839" t="str">
            <v>II. Costo Ventas</v>
          </cell>
          <cell r="AA1839" t="str">
            <v>3. Mantenimiento Infraestructura</v>
          </cell>
          <cell r="AC1839" t="str">
            <v>II. Costo de Explotación</v>
          </cell>
          <cell r="AD1839" t="str">
            <v>2. Bienes y servicios Expl.</v>
          </cell>
          <cell r="AE1839" t="str">
            <v>3. Mantenimiento Infraestructura</v>
          </cell>
          <cell r="AG1839" t="str">
            <v xml:space="preserve"> </v>
          </cell>
          <cell r="AH1839" t="str">
            <v>6. Partidas significativas de gastos</v>
          </cell>
        </row>
        <row r="1840">
          <cell r="D1840" t="str">
            <v>4201700000</v>
          </cell>
          <cell r="E1840" t="str">
            <v>4201700000</v>
          </cell>
          <cell r="F1840" t="str">
            <v>Material Estaciones</v>
          </cell>
          <cell r="G1840" t="str">
            <v>4201700000  Material Estaciones</v>
          </cell>
          <cell r="H1840" t="str">
            <v>Est. Resultado</v>
          </cell>
          <cell r="I1840" t="str">
            <v>Resultado</v>
          </cell>
          <cell r="J1840" t="str">
            <v>3. Costo de Venta</v>
          </cell>
          <cell r="K1840" t="str">
            <v>3. Mantenimiento Infraestructura</v>
          </cell>
          <cell r="L1840" t="str">
            <v>EBITDA</v>
          </cell>
          <cell r="M1840" t="str">
            <v>MARGEN BRUTO</v>
          </cell>
          <cell r="N1840" t="str">
            <v>GANANCIAS (PERDIDAS) ANTES DE IMPUESTOS</v>
          </cell>
          <cell r="O1840" t="str">
            <v>GANANCIA (PÉRDIDA) NETA</v>
          </cell>
          <cell r="P1840" t="str">
            <v>Resultado Ingresos y Gastos Integrales</v>
          </cell>
          <cell r="Q1840" t="str">
            <v>I. Ganancia (pérdida), antes de impuestos</v>
          </cell>
          <cell r="R1840" t="str">
            <v>a. Ganancia bruta</v>
          </cell>
          <cell r="S1840" t="str">
            <v>2. Costo de ventas</v>
          </cell>
          <cell r="T1840" t="str">
            <v>3. Mantenimiento Infraestructura</v>
          </cell>
          <cell r="V1840" t="str">
            <v>II. Gastos</v>
          </cell>
          <cell r="W1840" t="str">
            <v>23. Bienes y Servicios para la Producción</v>
          </cell>
          <cell r="Z1840" t="str">
            <v>II. Costo Ventas</v>
          </cell>
          <cell r="AA1840" t="str">
            <v>3. Mantenimiento Infraestructura</v>
          </cell>
          <cell r="AC1840" t="str">
            <v>II. Costo de Explotación</v>
          </cell>
          <cell r="AD1840" t="str">
            <v>2. Bienes y servicios Expl.</v>
          </cell>
          <cell r="AE1840" t="str">
            <v>3. Mantenimiento Infraestructura</v>
          </cell>
          <cell r="AG1840" t="str">
            <v xml:space="preserve"> </v>
          </cell>
          <cell r="AH1840" t="str">
            <v>6. Partidas significativas de gastos</v>
          </cell>
        </row>
        <row r="1841">
          <cell r="D1841" t="str">
            <v>4220010000</v>
          </cell>
          <cell r="E1841" t="str">
            <v>4220010000</v>
          </cell>
          <cell r="F1841" t="str">
            <v>Serv Mantencion Vias</v>
          </cell>
          <cell r="G1841" t="str">
            <v>4220010000  Serv Mantencion Vias</v>
          </cell>
          <cell r="H1841" t="str">
            <v>Est. Resultado</v>
          </cell>
          <cell r="I1841" t="str">
            <v>Resultado</v>
          </cell>
          <cell r="J1841" t="str">
            <v>3. Costo de Venta</v>
          </cell>
          <cell r="K1841" t="str">
            <v>3. Mantenimiento Infraestructura</v>
          </cell>
          <cell r="L1841" t="str">
            <v>EBITDA</v>
          </cell>
          <cell r="M1841" t="str">
            <v>MARGEN BRUTO</v>
          </cell>
          <cell r="N1841" t="str">
            <v>GANANCIAS (PERDIDAS) ANTES DE IMPUESTOS</v>
          </cell>
          <cell r="O1841" t="str">
            <v>GANANCIA (PÉRDIDA) NETA</v>
          </cell>
          <cell r="P1841" t="str">
            <v>Resultado Ingresos y Gastos Integrales</v>
          </cell>
          <cell r="Q1841" t="str">
            <v>I. Ganancia (pérdida), antes de impuestos</v>
          </cell>
          <cell r="R1841" t="str">
            <v>a. Ganancia bruta</v>
          </cell>
          <cell r="S1841" t="str">
            <v>2. Costo de ventas</v>
          </cell>
          <cell r="T1841" t="str">
            <v>3. Mantenimiento Infraestructura</v>
          </cell>
          <cell r="V1841" t="str">
            <v>II. Gastos</v>
          </cell>
          <cell r="W1841" t="str">
            <v>23. Bienes y Servicios para la Producción</v>
          </cell>
          <cell r="Z1841" t="str">
            <v>II. Costo Ventas</v>
          </cell>
          <cell r="AA1841" t="str">
            <v>3. Mantenimiento Infraestructura</v>
          </cell>
          <cell r="AC1841" t="str">
            <v>II. Costo de Explotación</v>
          </cell>
          <cell r="AD1841" t="str">
            <v>2. Bienes y servicios Expl.</v>
          </cell>
          <cell r="AE1841" t="str">
            <v>3. Mantenimiento Infraestructura</v>
          </cell>
          <cell r="AG1841" t="str">
            <v xml:space="preserve"> </v>
          </cell>
          <cell r="AH1841" t="str">
            <v>6. Partidas significativas de gastos</v>
          </cell>
        </row>
        <row r="1842">
          <cell r="D1842" t="str">
            <v>4220020000</v>
          </cell>
          <cell r="E1842" t="str">
            <v>4220020000</v>
          </cell>
          <cell r="F1842" t="str">
            <v>Serv Mant Puentes</v>
          </cell>
          <cell r="G1842" t="str">
            <v>4220020000  Serv Mant Puentes</v>
          </cell>
          <cell r="H1842" t="str">
            <v>Est. Resultado</v>
          </cell>
          <cell r="I1842" t="str">
            <v>Resultado</v>
          </cell>
          <cell r="J1842" t="str">
            <v>3. Costo de Venta</v>
          </cell>
          <cell r="K1842" t="str">
            <v>3. Mantenimiento Infraestructura</v>
          </cell>
          <cell r="L1842" t="str">
            <v>EBITDA</v>
          </cell>
          <cell r="M1842" t="str">
            <v>MARGEN BRUTO</v>
          </cell>
          <cell r="N1842" t="str">
            <v>GANANCIAS (PERDIDAS) ANTES DE IMPUESTOS</v>
          </cell>
          <cell r="O1842" t="str">
            <v>GANANCIA (PÉRDIDA) NETA</v>
          </cell>
          <cell r="P1842" t="str">
            <v>Resultado Ingresos y Gastos Integrales</v>
          </cell>
          <cell r="Q1842" t="str">
            <v>I. Ganancia (pérdida), antes de impuestos</v>
          </cell>
          <cell r="R1842" t="str">
            <v>a. Ganancia bruta</v>
          </cell>
          <cell r="S1842" t="str">
            <v>2. Costo de ventas</v>
          </cell>
          <cell r="T1842" t="str">
            <v>3. Mantenimiento Infraestructura</v>
          </cell>
          <cell r="V1842" t="str">
            <v>II. Gastos</v>
          </cell>
          <cell r="W1842" t="str">
            <v>23. Bienes y Servicios para la Producción</v>
          </cell>
          <cell r="Z1842" t="str">
            <v>II. Costo Ventas</v>
          </cell>
          <cell r="AA1842" t="str">
            <v>3. Mantenimiento Infraestructura</v>
          </cell>
          <cell r="AC1842" t="str">
            <v>II. Costo de Explotación</v>
          </cell>
          <cell r="AD1842" t="str">
            <v>2. Bienes y servicios Expl.</v>
          </cell>
          <cell r="AE1842" t="str">
            <v>3. Mantenimiento Infraestructura</v>
          </cell>
          <cell r="AG1842" t="str">
            <v xml:space="preserve"> </v>
          </cell>
          <cell r="AH1842" t="str">
            <v>6. Partidas significativas de gastos</v>
          </cell>
        </row>
        <row r="1843">
          <cell r="D1843" t="str">
            <v>4220080000</v>
          </cell>
          <cell r="E1843" t="str">
            <v>4220080000</v>
          </cell>
          <cell r="F1843" t="str">
            <v>Serv Mantencion Maquina Vias</v>
          </cell>
          <cell r="G1843" t="str">
            <v>4220080000  Serv Mantencion Maquina Vias</v>
          </cell>
          <cell r="H1843" t="str">
            <v>Est. Resultado</v>
          </cell>
          <cell r="I1843" t="str">
            <v>Resultado</v>
          </cell>
          <cell r="J1843" t="str">
            <v>3. Costo de Venta</v>
          </cell>
          <cell r="K1843" t="str">
            <v>3. Mantenimiento Infraestructura</v>
          </cell>
          <cell r="L1843" t="str">
            <v>EBITDA</v>
          </cell>
          <cell r="M1843" t="str">
            <v>MARGEN BRUTO</v>
          </cell>
          <cell r="N1843" t="str">
            <v>GANANCIAS (PERDIDAS) ANTES DE IMPUESTOS</v>
          </cell>
          <cell r="O1843" t="str">
            <v>GANANCIA (PÉRDIDA) NETA</v>
          </cell>
          <cell r="P1843" t="str">
            <v>Resultado Ingresos y Gastos Integrales</v>
          </cell>
          <cell r="Q1843" t="str">
            <v>I. Ganancia (pérdida), antes de impuestos</v>
          </cell>
          <cell r="R1843" t="str">
            <v>a. Ganancia bruta</v>
          </cell>
          <cell r="S1843" t="str">
            <v>2. Costo de ventas</v>
          </cell>
          <cell r="T1843" t="str">
            <v>3. Mantenimiento Infraestructura</v>
          </cell>
          <cell r="V1843" t="str">
            <v>II. Gastos</v>
          </cell>
          <cell r="W1843" t="str">
            <v>23. Bienes y Servicios para la Producción</v>
          </cell>
          <cell r="Z1843" t="str">
            <v>II. Costo Ventas</v>
          </cell>
          <cell r="AA1843" t="str">
            <v>3. Mantenimiento Infraestructura</v>
          </cell>
          <cell r="AC1843" t="str">
            <v>II. Costo de Explotación</v>
          </cell>
          <cell r="AD1843" t="str">
            <v>2. Bienes y servicios Expl.</v>
          </cell>
          <cell r="AE1843" t="str">
            <v>3. Mantenimiento Infraestructura</v>
          </cell>
          <cell r="AG1843" t="str">
            <v xml:space="preserve"> </v>
          </cell>
          <cell r="AH1843" t="str">
            <v>6. Partidas significativas de gastos</v>
          </cell>
        </row>
        <row r="1844">
          <cell r="D1844" t="str">
            <v>4220090000</v>
          </cell>
          <cell r="E1844" t="str">
            <v>4220090000</v>
          </cell>
          <cell r="F1844" t="str">
            <v>Serv Mant Maq Maest</v>
          </cell>
          <cell r="G1844" t="str">
            <v>4220090000  Serv Mant Maq Maest</v>
          </cell>
          <cell r="H1844" t="str">
            <v>Est. Resultado</v>
          </cell>
          <cell r="I1844" t="str">
            <v>Resultado</v>
          </cell>
          <cell r="J1844" t="str">
            <v>3. Costo de Venta</v>
          </cell>
          <cell r="K1844" t="str">
            <v>3. Mantenimiento Infraestructura</v>
          </cell>
          <cell r="L1844" t="str">
            <v>EBITDA</v>
          </cell>
          <cell r="M1844" t="str">
            <v>MARGEN BRUTO</v>
          </cell>
          <cell r="N1844" t="str">
            <v>GANANCIAS (PERDIDAS) ANTES DE IMPUESTOS</v>
          </cell>
          <cell r="O1844" t="str">
            <v>GANANCIA (PÉRDIDA) NETA</v>
          </cell>
          <cell r="P1844" t="str">
            <v>Resultado Ingresos y Gastos Integrales</v>
          </cell>
          <cell r="Q1844" t="str">
            <v>I. Ganancia (pérdida), antes de impuestos</v>
          </cell>
          <cell r="R1844" t="str">
            <v>a. Ganancia bruta</v>
          </cell>
          <cell r="S1844" t="str">
            <v>2. Costo de ventas</v>
          </cell>
          <cell r="T1844" t="str">
            <v>3. Mantenimiento Infraestructura</v>
          </cell>
          <cell r="V1844" t="str">
            <v>II. Gastos</v>
          </cell>
          <cell r="W1844" t="str">
            <v>23. Bienes y Servicios para la Producción</v>
          </cell>
          <cell r="Z1844" t="str">
            <v>II. Costo Ventas</v>
          </cell>
          <cell r="AA1844" t="str">
            <v>3. Mantenimiento Infraestructura</v>
          </cell>
          <cell r="AC1844" t="str">
            <v>II. Costo de Explotación</v>
          </cell>
          <cell r="AD1844" t="str">
            <v>2. Bienes y servicios Expl.</v>
          </cell>
          <cell r="AE1844" t="str">
            <v>3. Mantenimiento Infraestructura</v>
          </cell>
          <cell r="AG1844" t="str">
            <v xml:space="preserve"> </v>
          </cell>
          <cell r="AH1844" t="str">
            <v>6. Partidas significativas de gastos</v>
          </cell>
        </row>
        <row r="1845">
          <cell r="D1845" t="str">
            <v>4220240000</v>
          </cell>
          <cell r="E1845" t="str">
            <v>4220240000</v>
          </cell>
          <cell r="F1845" t="str">
            <v>Serv Mantencion Edificios</v>
          </cell>
          <cell r="G1845" t="str">
            <v>4220240000  Serv Mantencion Edificios</v>
          </cell>
          <cell r="H1845" t="str">
            <v>Est. Resultado</v>
          </cell>
          <cell r="I1845" t="str">
            <v>Resultado</v>
          </cell>
          <cell r="J1845" t="str">
            <v>3. Costo de Venta</v>
          </cell>
          <cell r="K1845" t="str">
            <v>3. Mantenimiento Infraestructura</v>
          </cell>
          <cell r="L1845" t="str">
            <v>EBITDA</v>
          </cell>
          <cell r="M1845" t="str">
            <v>MARGEN BRUTO</v>
          </cell>
          <cell r="N1845" t="str">
            <v>GANANCIAS (PERDIDAS) ANTES DE IMPUESTOS</v>
          </cell>
          <cell r="O1845" t="str">
            <v>GANANCIA (PÉRDIDA) NETA</v>
          </cell>
          <cell r="P1845" t="str">
            <v>Resultado Ingresos y Gastos Integrales</v>
          </cell>
          <cell r="Q1845" t="str">
            <v>I. Ganancia (pérdida), antes de impuestos</v>
          </cell>
          <cell r="R1845" t="str">
            <v>a. Ganancia bruta</v>
          </cell>
          <cell r="S1845" t="str">
            <v>2. Costo de ventas</v>
          </cell>
          <cell r="T1845" t="str">
            <v>3. Mantenimiento Infraestructura</v>
          </cell>
          <cell r="V1845" t="str">
            <v>II. Gastos</v>
          </cell>
          <cell r="W1845" t="str">
            <v>23. Bienes y Servicios para la Producción</v>
          </cell>
          <cell r="Z1845" t="str">
            <v>II. Costo Ventas</v>
          </cell>
          <cell r="AA1845" t="str">
            <v>3. Mantenimiento Infraestructura</v>
          </cell>
          <cell r="AC1845" t="str">
            <v>II. Costo de Explotación</v>
          </cell>
          <cell r="AD1845" t="str">
            <v>2. Bienes y servicios Expl.</v>
          </cell>
          <cell r="AE1845" t="str">
            <v>3. Mantenimiento Infraestructura</v>
          </cell>
          <cell r="AG1845" t="str">
            <v xml:space="preserve"> </v>
          </cell>
          <cell r="AH1845" t="str">
            <v>6. Partidas significativas de gastos</v>
          </cell>
        </row>
        <row r="1846">
          <cell r="D1846" t="str">
            <v>4220250000</v>
          </cell>
          <cell r="E1846" t="str">
            <v>4220250000</v>
          </cell>
          <cell r="F1846" t="str">
            <v>Serv Mantencion Estaciones</v>
          </cell>
          <cell r="G1846" t="str">
            <v>4220250000  Serv Mantencion Estaciones</v>
          </cell>
          <cell r="H1846" t="str">
            <v>Est. Resultado</v>
          </cell>
          <cell r="I1846" t="str">
            <v>Resultado</v>
          </cell>
          <cell r="J1846" t="str">
            <v>3. Costo de Venta</v>
          </cell>
          <cell r="K1846" t="str">
            <v>3. Mantenimiento Infraestructura</v>
          </cell>
          <cell r="L1846" t="str">
            <v>EBITDA</v>
          </cell>
          <cell r="M1846" t="str">
            <v>MARGEN BRUTO</v>
          </cell>
          <cell r="N1846" t="str">
            <v>GANANCIAS (PERDIDAS) ANTES DE IMPUESTOS</v>
          </cell>
          <cell r="O1846" t="str">
            <v>GANANCIA (PÉRDIDA) NETA</v>
          </cell>
          <cell r="P1846" t="str">
            <v>Resultado Ingresos y Gastos Integrales</v>
          </cell>
          <cell r="Q1846" t="str">
            <v>I. Ganancia (pérdida), antes de impuestos</v>
          </cell>
          <cell r="R1846" t="str">
            <v>a. Ganancia bruta</v>
          </cell>
          <cell r="S1846" t="str">
            <v>2. Costo de ventas</v>
          </cell>
          <cell r="T1846" t="str">
            <v>3. Mantenimiento Infraestructura</v>
          </cell>
          <cell r="V1846" t="str">
            <v>II. Gastos</v>
          </cell>
          <cell r="W1846" t="str">
            <v>23. Bienes y Servicios para la Producción</v>
          </cell>
          <cell r="Z1846" t="str">
            <v>II. Costo Ventas</v>
          </cell>
          <cell r="AA1846" t="str">
            <v>3. Mantenimiento Infraestructura</v>
          </cell>
          <cell r="AC1846" t="str">
            <v>II. Costo de Explotación</v>
          </cell>
          <cell r="AD1846" t="str">
            <v>2. Bienes y servicios Expl.</v>
          </cell>
          <cell r="AE1846" t="str">
            <v>3. Mantenimiento Infraestructura</v>
          </cell>
          <cell r="AG1846" t="str">
            <v xml:space="preserve"> </v>
          </cell>
          <cell r="AH1846" t="str">
            <v>6. Partidas significativas de gastos</v>
          </cell>
        </row>
        <row r="1847">
          <cell r="D1847">
            <v>0</v>
          </cell>
          <cell r="G1847" t="str">
            <v/>
          </cell>
          <cell r="H1847" t="str">
            <v>Est. Resultado</v>
          </cell>
          <cell r="I1847" t="str">
            <v>Resultado</v>
          </cell>
          <cell r="J1847" t="str">
            <v>3. Costo de Venta</v>
          </cell>
          <cell r="K1847" t="str">
            <v>3. Mantenimiento Infraestructura</v>
          </cell>
          <cell r="L1847" t="str">
            <v>EBITDA</v>
          </cell>
          <cell r="M1847" t="str">
            <v>MARGEN BRUTO</v>
          </cell>
          <cell r="N1847" t="str">
            <v>GANANCIAS (PERDIDAS) ANTES DE IMPUESTOS</v>
          </cell>
          <cell r="O1847" t="str">
            <v>GANANCIA (PÉRDIDA) NETA</v>
          </cell>
          <cell r="P1847" t="str">
            <v>Resultado Ingresos y Gastos Integrales</v>
          </cell>
          <cell r="Q1847" t="str">
            <v>I. Ganancia (pérdida), antes de impuestos</v>
          </cell>
          <cell r="R1847" t="str">
            <v>a. Ganancia bruta</v>
          </cell>
          <cell r="S1847" t="str">
            <v>2. Costo de ventas</v>
          </cell>
          <cell r="T1847" t="str">
            <v>3. Mantenimiento Infraestructura</v>
          </cell>
          <cell r="V1847" t="str">
            <v>II. Gastos</v>
          </cell>
          <cell r="W1847" t="str">
            <v>23. Bienes y Servicios para la Producción</v>
          </cell>
          <cell r="Z1847" t="str">
            <v>II. Costo Ventas</v>
          </cell>
          <cell r="AA1847" t="str">
            <v>3. Mantenimiento Infraestructura</v>
          </cell>
          <cell r="AC1847" t="str">
            <v>II. Costo de Explotación</v>
          </cell>
          <cell r="AD1847" t="str">
            <v>2. Bienes y servicios Expl.</v>
          </cell>
          <cell r="AE1847" t="str">
            <v>3. Mantenimiento Infraestructura</v>
          </cell>
          <cell r="AG1847" t="str">
            <v xml:space="preserve"> </v>
          </cell>
          <cell r="AH1847" t="str">
            <v>6. Partidas significativas de gastos</v>
          </cell>
        </row>
        <row r="1848">
          <cell r="D1848">
            <v>0</v>
          </cell>
          <cell r="G1848" t="str">
            <v/>
          </cell>
          <cell r="H1848" t="str">
            <v>Est. Resultado</v>
          </cell>
          <cell r="I1848" t="str">
            <v>Resultado</v>
          </cell>
          <cell r="J1848" t="str">
            <v>3. Costo de Venta</v>
          </cell>
          <cell r="K1848" t="str">
            <v>3. Mantenimiento Infraestructura</v>
          </cell>
          <cell r="L1848" t="str">
            <v>EBITDA</v>
          </cell>
          <cell r="M1848" t="str">
            <v>MARGEN BRUTO</v>
          </cell>
          <cell r="N1848" t="str">
            <v>GANANCIAS (PERDIDAS) ANTES DE IMPUESTOS</v>
          </cell>
          <cell r="O1848" t="str">
            <v>GANANCIA (PÉRDIDA) NETA</v>
          </cell>
          <cell r="P1848" t="str">
            <v>Resultado Ingresos y Gastos Integrales</v>
          </cell>
          <cell r="Q1848" t="str">
            <v>I. Ganancia (pérdida), antes de impuestos</v>
          </cell>
          <cell r="R1848" t="str">
            <v>a. Ganancia bruta</v>
          </cell>
          <cell r="S1848" t="str">
            <v>2. Costo de ventas</v>
          </cell>
          <cell r="T1848" t="str">
            <v>3. Mantenimiento Infraestructura</v>
          </cell>
          <cell r="V1848" t="str">
            <v>II. Gastos</v>
          </cell>
          <cell r="W1848" t="str">
            <v>23. Bienes y Servicios para la Producción</v>
          </cell>
          <cell r="Z1848" t="str">
            <v>II. Costo Ventas</v>
          </cell>
          <cell r="AA1848" t="str">
            <v>3. Mantenimiento Infraestructura</v>
          </cell>
          <cell r="AC1848" t="str">
            <v>II. Costo de Explotación</v>
          </cell>
          <cell r="AD1848" t="str">
            <v>2. Bienes y servicios Expl.</v>
          </cell>
          <cell r="AE1848" t="str">
            <v>3. Mantenimiento Infraestructura</v>
          </cell>
          <cell r="AG1848" t="str">
            <v xml:space="preserve"> </v>
          </cell>
          <cell r="AH1848" t="str">
            <v>6. Partidas significativas de gastos</v>
          </cell>
        </row>
        <row r="1849">
          <cell r="D1849">
            <v>0</v>
          </cell>
          <cell r="G1849" t="str">
            <v/>
          </cell>
          <cell r="H1849" t="str">
            <v>Est. Resultado</v>
          </cell>
          <cell r="I1849" t="str">
            <v>Resultado</v>
          </cell>
          <cell r="J1849" t="str">
            <v>3. Costo de Venta</v>
          </cell>
          <cell r="K1849" t="str">
            <v>3. Mantenimiento Infraestructura</v>
          </cell>
          <cell r="L1849" t="str">
            <v>EBITDA</v>
          </cell>
          <cell r="M1849" t="str">
            <v>MARGEN BRUTO</v>
          </cell>
          <cell r="N1849" t="str">
            <v>GANANCIAS (PERDIDAS) ANTES DE IMPUESTOS</v>
          </cell>
          <cell r="O1849" t="str">
            <v>GANANCIA (PÉRDIDA) NETA</v>
          </cell>
          <cell r="P1849" t="str">
            <v>Resultado Ingresos y Gastos Integrales</v>
          </cell>
          <cell r="Q1849" t="str">
            <v>I. Ganancia (pérdida), antes de impuestos</v>
          </cell>
          <cell r="R1849" t="str">
            <v>a. Ganancia bruta</v>
          </cell>
          <cell r="S1849" t="str">
            <v>2. Costo de ventas</v>
          </cell>
          <cell r="T1849" t="str">
            <v>3. Mantenimiento Infraestructura</v>
          </cell>
          <cell r="V1849" t="str">
            <v>II. Gastos</v>
          </cell>
          <cell r="W1849" t="str">
            <v>23. Bienes y Servicios para la Producción</v>
          </cell>
          <cell r="Z1849" t="str">
            <v>II. Costo Ventas</v>
          </cell>
          <cell r="AA1849" t="str">
            <v>3. Mantenimiento Infraestructura</v>
          </cell>
          <cell r="AC1849" t="str">
            <v>II. Costo de Explotación</v>
          </cell>
          <cell r="AD1849" t="str">
            <v>2. Bienes y servicios Expl.</v>
          </cell>
          <cell r="AE1849" t="str">
            <v>3. Mantenimiento Infraestructura</v>
          </cell>
          <cell r="AG1849" t="str">
            <v xml:space="preserve"> </v>
          </cell>
          <cell r="AH1849" t="str">
            <v>6. Partidas significativas de gastos</v>
          </cell>
        </row>
        <row r="1850">
          <cell r="D1850">
            <v>0</v>
          </cell>
          <cell r="G1850" t="str">
            <v/>
          </cell>
          <cell r="H1850" t="str">
            <v>Est. Resultado</v>
          </cell>
          <cell r="I1850" t="str">
            <v>Resultado</v>
          </cell>
          <cell r="J1850" t="str">
            <v>3. Costo de Venta</v>
          </cell>
          <cell r="K1850" t="str">
            <v>3. Mantenimiento Infraestructura</v>
          </cell>
          <cell r="L1850" t="str">
            <v>EBITDA</v>
          </cell>
          <cell r="M1850" t="str">
            <v>MARGEN BRUTO</v>
          </cell>
          <cell r="N1850" t="str">
            <v>GANANCIAS (PERDIDAS) ANTES DE IMPUESTOS</v>
          </cell>
          <cell r="O1850" t="str">
            <v>GANANCIA (PÉRDIDA) NETA</v>
          </cell>
          <cell r="P1850" t="str">
            <v>Resultado Ingresos y Gastos Integrales</v>
          </cell>
          <cell r="Q1850" t="str">
            <v>I. Ganancia (pérdida), antes de impuestos</v>
          </cell>
          <cell r="R1850" t="str">
            <v>a. Ganancia bruta</v>
          </cell>
          <cell r="S1850" t="str">
            <v>2. Costo de ventas</v>
          </cell>
          <cell r="T1850" t="str">
            <v>3. Mantenimiento Infraestructura</v>
          </cell>
          <cell r="V1850" t="str">
            <v>II. Gastos</v>
          </cell>
          <cell r="W1850" t="str">
            <v>23. Bienes y Servicios para la Producción</v>
          </cell>
          <cell r="Z1850" t="str">
            <v>II. Costo Ventas</v>
          </cell>
          <cell r="AA1850" t="str">
            <v>3. Mantenimiento Infraestructura</v>
          </cell>
          <cell r="AC1850" t="str">
            <v>II. Costo de Explotación</v>
          </cell>
          <cell r="AD1850" t="str">
            <v>2. Bienes y servicios Expl.</v>
          </cell>
          <cell r="AE1850" t="str">
            <v>3. Mantenimiento Infraestructura</v>
          </cell>
          <cell r="AG1850" t="str">
            <v xml:space="preserve"> </v>
          </cell>
          <cell r="AH1850" t="str">
            <v>6. Partidas significativas de gastos</v>
          </cell>
        </row>
        <row r="1851">
          <cell r="D1851" t="str">
            <v>Mantenimiento Infraestructura</v>
          </cell>
          <cell r="E1851" t="str">
            <v>Mantenimiento Infraestructura</v>
          </cell>
          <cell r="G1851" t="str">
            <v xml:space="preserve">Mantenimiento Infraestructura  </v>
          </cell>
          <cell r="H1851" t="str">
            <v/>
          </cell>
          <cell r="I1851" t="str">
            <v/>
          </cell>
          <cell r="J1851" t="str">
            <v/>
          </cell>
          <cell r="L1851" t="str">
            <v/>
          </cell>
          <cell r="M1851" t="str">
            <v/>
          </cell>
          <cell r="N1851" t="str">
            <v/>
          </cell>
          <cell r="O1851" t="str">
            <v/>
          </cell>
          <cell r="P1851" t="str">
            <v/>
          </cell>
        </row>
        <row r="1852">
          <cell r="D1852">
            <v>0</v>
          </cell>
        </row>
        <row r="1853">
          <cell r="D1853" t="str">
            <v>4201120000</v>
          </cell>
          <cell r="E1853" t="str">
            <v>4201120000</v>
          </cell>
          <cell r="F1853" t="str">
            <v>Rep y Accesorio Linea Contacto</v>
          </cell>
          <cell r="G1853" t="str">
            <v>4201120000  Rep y Accesorio Linea Contacto</v>
          </cell>
          <cell r="H1853" t="str">
            <v>Est. Resultado</v>
          </cell>
          <cell r="I1853" t="str">
            <v>Resultado</v>
          </cell>
          <cell r="J1853" t="str">
            <v>3. Costo de Venta</v>
          </cell>
          <cell r="K1853" t="str">
            <v>4. Mantenimiento SEC y Tráfico</v>
          </cell>
          <cell r="L1853" t="str">
            <v>EBITDA</v>
          </cell>
          <cell r="M1853" t="str">
            <v>MARGEN BRUTO</v>
          </cell>
          <cell r="N1853" t="str">
            <v>GANANCIAS (PERDIDAS) ANTES DE IMPUESTOS</v>
          </cell>
          <cell r="O1853" t="str">
            <v>GANANCIA (PÉRDIDA) NETA</v>
          </cell>
          <cell r="P1853" t="str">
            <v>Resultado Ingresos y Gastos Integrales</v>
          </cell>
          <cell r="Q1853" t="str">
            <v>I. Ganancia (pérdida), antes de impuestos</v>
          </cell>
          <cell r="R1853" t="str">
            <v>a. Ganancia bruta</v>
          </cell>
          <cell r="S1853" t="str">
            <v>2. Costo de ventas</v>
          </cell>
          <cell r="T1853" t="str">
            <v>4. Mantenimiento SEC y Tráfico</v>
          </cell>
          <cell r="V1853" t="str">
            <v>II. Gastos</v>
          </cell>
          <cell r="W1853" t="str">
            <v>23. Bienes y Servicios para la Producción</v>
          </cell>
          <cell r="Z1853" t="str">
            <v>II. Costo Ventas</v>
          </cell>
          <cell r="AA1853" t="str">
            <v>4. Mantenimiento SEC y Tráfico</v>
          </cell>
          <cell r="AC1853" t="str">
            <v>II. Costo de Explotación</v>
          </cell>
          <cell r="AD1853" t="str">
            <v>2. Bienes y servicios Expl.</v>
          </cell>
          <cell r="AE1853" t="str">
            <v>4. Mantenimiento SEC y Tráfico</v>
          </cell>
          <cell r="AG1853" t="str">
            <v xml:space="preserve"> </v>
          </cell>
          <cell r="AH1853" t="str">
            <v>6. Partidas significativas de gastos</v>
          </cell>
        </row>
        <row r="1854">
          <cell r="D1854" t="str">
            <v>4201130000</v>
          </cell>
          <cell r="E1854" t="str">
            <v>4201130000</v>
          </cell>
          <cell r="F1854" t="str">
            <v>Rep/Acc Subestacion</v>
          </cell>
          <cell r="G1854" t="str">
            <v>4201130000  Rep/Acc Subestacion</v>
          </cell>
          <cell r="H1854" t="str">
            <v>Est. Resultado</v>
          </cell>
          <cell r="I1854" t="str">
            <v>Resultado</v>
          </cell>
          <cell r="J1854" t="str">
            <v>3. Costo de Venta</v>
          </cell>
          <cell r="K1854" t="str">
            <v>4. Mantenimiento SEC y Tráfico</v>
          </cell>
          <cell r="L1854" t="str">
            <v>EBITDA</v>
          </cell>
          <cell r="M1854" t="str">
            <v>MARGEN BRUTO</v>
          </cell>
          <cell r="N1854" t="str">
            <v>GANANCIAS (PERDIDAS) ANTES DE IMPUESTOS</v>
          </cell>
          <cell r="O1854" t="str">
            <v>GANANCIA (PÉRDIDA) NETA</v>
          </cell>
          <cell r="P1854" t="str">
            <v>Resultado Ingresos y Gastos Integrales</v>
          </cell>
          <cell r="Q1854" t="str">
            <v>I. Ganancia (pérdida), antes de impuestos</v>
          </cell>
          <cell r="R1854" t="str">
            <v>a. Ganancia bruta</v>
          </cell>
          <cell r="S1854" t="str">
            <v>2. Costo de ventas</v>
          </cell>
          <cell r="T1854" t="str">
            <v>4. Mantenimiento SEC y Tráfico</v>
          </cell>
          <cell r="V1854" t="str">
            <v>II. Gastos</v>
          </cell>
          <cell r="W1854" t="str">
            <v>23. Bienes y Servicios para la Producción</v>
          </cell>
          <cell r="Z1854" t="str">
            <v>II. Costo Ventas</v>
          </cell>
          <cell r="AA1854" t="str">
            <v>4. Mantenimiento SEC y Tráfico</v>
          </cell>
          <cell r="AC1854" t="str">
            <v>II. Costo de Explotación</v>
          </cell>
          <cell r="AD1854" t="str">
            <v>2. Bienes y servicios Expl.</v>
          </cell>
          <cell r="AE1854" t="str">
            <v>4. Mantenimiento SEC y Tráfico</v>
          </cell>
          <cell r="AG1854" t="str">
            <v xml:space="preserve"> </v>
          </cell>
          <cell r="AH1854" t="str">
            <v>6. Partidas significativas de gastos</v>
          </cell>
        </row>
        <row r="1855">
          <cell r="D1855" t="str">
            <v>4201140000</v>
          </cell>
          <cell r="E1855" t="str">
            <v>4201140000</v>
          </cell>
          <cell r="F1855" t="str">
            <v>Rep y Accesorio Señalizacion</v>
          </cell>
          <cell r="G1855" t="str">
            <v>4201140000  Rep y Accesorio Señalizacion</v>
          </cell>
          <cell r="H1855" t="str">
            <v>Est. Resultado</v>
          </cell>
          <cell r="I1855" t="str">
            <v>Resultado</v>
          </cell>
          <cell r="J1855" t="str">
            <v>3. Costo de Venta</v>
          </cell>
          <cell r="K1855" t="str">
            <v>4. Mantenimiento SEC y Tráfico</v>
          </cell>
          <cell r="L1855" t="str">
            <v>EBITDA</v>
          </cell>
          <cell r="M1855" t="str">
            <v>MARGEN BRUTO</v>
          </cell>
          <cell r="N1855" t="str">
            <v>GANANCIAS (PERDIDAS) ANTES DE IMPUESTOS</v>
          </cell>
          <cell r="O1855" t="str">
            <v>GANANCIA (PÉRDIDA) NETA</v>
          </cell>
          <cell r="P1855" t="str">
            <v>Resultado Ingresos y Gastos Integrales</v>
          </cell>
          <cell r="Q1855" t="str">
            <v>I. Ganancia (pérdida), antes de impuestos</v>
          </cell>
          <cell r="R1855" t="str">
            <v>a. Ganancia bruta</v>
          </cell>
          <cell r="S1855" t="str">
            <v>2. Costo de ventas</v>
          </cell>
          <cell r="T1855" t="str">
            <v>4. Mantenimiento SEC y Tráfico</v>
          </cell>
          <cell r="V1855" t="str">
            <v>II. Gastos</v>
          </cell>
          <cell r="W1855" t="str">
            <v>23. Bienes y Servicios para la Producción</v>
          </cell>
          <cell r="Z1855" t="str">
            <v>II. Costo Ventas</v>
          </cell>
          <cell r="AA1855" t="str">
            <v>4. Mantenimiento SEC y Tráfico</v>
          </cell>
          <cell r="AC1855" t="str">
            <v>II. Costo de Explotación</v>
          </cell>
          <cell r="AD1855" t="str">
            <v>2. Bienes y servicios Expl.</v>
          </cell>
          <cell r="AE1855" t="str">
            <v>4. Mantenimiento SEC y Tráfico</v>
          </cell>
          <cell r="AG1855" t="str">
            <v xml:space="preserve"> </v>
          </cell>
          <cell r="AH1855" t="str">
            <v>6. Partidas significativas de gastos</v>
          </cell>
        </row>
        <row r="1856">
          <cell r="D1856" t="str">
            <v>4201160000</v>
          </cell>
          <cell r="E1856" t="str">
            <v>4201160000</v>
          </cell>
          <cell r="F1856" t="str">
            <v>Rep/Acc Sist Comunic</v>
          </cell>
          <cell r="G1856" t="str">
            <v>4201160000  Rep/Acc Sist Comunic</v>
          </cell>
          <cell r="H1856" t="str">
            <v>Est. Resultado</v>
          </cell>
          <cell r="I1856" t="str">
            <v>Resultado</v>
          </cell>
          <cell r="J1856" t="str">
            <v>3. Costo de Venta</v>
          </cell>
          <cell r="K1856" t="str">
            <v>4. Mantenimiento SEC y Tráfico</v>
          </cell>
          <cell r="L1856" t="str">
            <v>EBITDA</v>
          </cell>
          <cell r="M1856" t="str">
            <v>MARGEN BRUTO</v>
          </cell>
          <cell r="N1856" t="str">
            <v>GANANCIAS (PERDIDAS) ANTES DE IMPUESTOS</v>
          </cell>
          <cell r="O1856" t="str">
            <v>GANANCIA (PÉRDIDA) NETA</v>
          </cell>
          <cell r="P1856" t="str">
            <v>Resultado Ingresos y Gastos Integrales</v>
          </cell>
          <cell r="Q1856" t="str">
            <v>I. Ganancia (pérdida), antes de impuestos</v>
          </cell>
          <cell r="R1856" t="str">
            <v>a. Ganancia bruta</v>
          </cell>
          <cell r="S1856" t="str">
            <v>2. Costo de ventas</v>
          </cell>
          <cell r="T1856" t="str">
            <v>4. Mantenimiento SEC y Tráfico</v>
          </cell>
          <cell r="V1856" t="str">
            <v>II. Gastos</v>
          </cell>
          <cell r="W1856" t="str">
            <v>23. Bienes y Servicios para la Producción</v>
          </cell>
          <cell r="Z1856" t="str">
            <v>II. Costo Ventas</v>
          </cell>
          <cell r="AA1856" t="str">
            <v>4. Mantenimiento SEC y Tráfico</v>
          </cell>
          <cell r="AC1856" t="str">
            <v>II. Costo de Explotación</v>
          </cell>
          <cell r="AD1856" t="str">
            <v>2. Bienes y servicios Expl.</v>
          </cell>
          <cell r="AE1856" t="str">
            <v>4. Mantenimiento SEC y Tráfico</v>
          </cell>
          <cell r="AG1856" t="str">
            <v xml:space="preserve"> </v>
          </cell>
          <cell r="AH1856" t="str">
            <v>6. Partidas significativas de gastos</v>
          </cell>
        </row>
        <row r="1857">
          <cell r="D1857" t="str">
            <v>4220030000</v>
          </cell>
          <cell r="E1857" t="str">
            <v>4220030000</v>
          </cell>
          <cell r="F1857" t="str">
            <v>Serv Mantencion Linea Contacto</v>
          </cell>
          <cell r="G1857" t="str">
            <v>4220030000  Serv Mantencion Linea Contacto</v>
          </cell>
          <cell r="H1857" t="str">
            <v>Est. Resultado</v>
          </cell>
          <cell r="I1857" t="str">
            <v>Resultado</v>
          </cell>
          <cell r="J1857" t="str">
            <v>3. Costo de Venta</v>
          </cell>
          <cell r="K1857" t="str">
            <v>4. Mantenimiento SEC y Tráfico</v>
          </cell>
          <cell r="L1857" t="str">
            <v>EBITDA</v>
          </cell>
          <cell r="M1857" t="str">
            <v>MARGEN BRUTO</v>
          </cell>
          <cell r="N1857" t="str">
            <v>GANANCIAS (PERDIDAS) ANTES DE IMPUESTOS</v>
          </cell>
          <cell r="O1857" t="str">
            <v>GANANCIA (PÉRDIDA) NETA</v>
          </cell>
          <cell r="P1857" t="str">
            <v>Resultado Ingresos y Gastos Integrales</v>
          </cell>
          <cell r="Q1857" t="str">
            <v>I. Ganancia (pérdida), antes de impuestos</v>
          </cell>
          <cell r="R1857" t="str">
            <v>a. Ganancia bruta</v>
          </cell>
          <cell r="S1857" t="str">
            <v>2. Costo de ventas</v>
          </cell>
          <cell r="T1857" t="str">
            <v>4. Mantenimiento SEC y Tráfico</v>
          </cell>
          <cell r="V1857" t="str">
            <v>II. Gastos</v>
          </cell>
          <cell r="W1857" t="str">
            <v>23. Bienes y Servicios para la Producción</v>
          </cell>
          <cell r="Z1857" t="str">
            <v>II. Costo Ventas</v>
          </cell>
          <cell r="AA1857" t="str">
            <v>4. Mantenimiento SEC y Tráfico</v>
          </cell>
          <cell r="AC1857" t="str">
            <v>II. Costo de Explotación</v>
          </cell>
          <cell r="AD1857" t="str">
            <v>2. Bienes y servicios Expl.</v>
          </cell>
          <cell r="AE1857" t="str">
            <v>4. Mantenimiento SEC y Tráfico</v>
          </cell>
          <cell r="AG1857" t="str">
            <v xml:space="preserve"> </v>
          </cell>
          <cell r="AH1857" t="str">
            <v>6. Partidas significativas de gastos</v>
          </cell>
        </row>
        <row r="1858">
          <cell r="D1858" t="str">
            <v>4220040000</v>
          </cell>
          <cell r="E1858" t="str">
            <v>4220040000</v>
          </cell>
          <cell r="F1858" t="str">
            <v>Serv Mant Sub Electr</v>
          </cell>
          <cell r="G1858" t="str">
            <v>4220040000  Serv Mant Sub Electr</v>
          </cell>
          <cell r="H1858" t="str">
            <v>Est. Resultado</v>
          </cell>
          <cell r="I1858" t="str">
            <v>Resultado</v>
          </cell>
          <cell r="J1858" t="str">
            <v>3. Costo de Venta</v>
          </cell>
          <cell r="K1858" t="str">
            <v>4. Mantenimiento SEC y Tráfico</v>
          </cell>
          <cell r="L1858" t="str">
            <v>EBITDA</v>
          </cell>
          <cell r="M1858" t="str">
            <v>MARGEN BRUTO</v>
          </cell>
          <cell r="N1858" t="str">
            <v>GANANCIAS (PERDIDAS) ANTES DE IMPUESTOS</v>
          </cell>
          <cell r="O1858" t="str">
            <v>GANANCIA (PÉRDIDA) NETA</v>
          </cell>
          <cell r="P1858" t="str">
            <v>Resultado Ingresos y Gastos Integrales</v>
          </cell>
          <cell r="Q1858" t="str">
            <v>I. Ganancia (pérdida), antes de impuestos</v>
          </cell>
          <cell r="R1858" t="str">
            <v>a. Ganancia bruta</v>
          </cell>
          <cell r="S1858" t="str">
            <v>2. Costo de ventas</v>
          </cell>
          <cell r="T1858" t="str">
            <v>4. Mantenimiento SEC y Tráfico</v>
          </cell>
          <cell r="V1858" t="str">
            <v>II. Gastos</v>
          </cell>
          <cell r="W1858" t="str">
            <v>23. Bienes y Servicios para la Producción</v>
          </cell>
          <cell r="Z1858" t="str">
            <v>II. Costo Ventas</v>
          </cell>
          <cell r="AA1858" t="str">
            <v>4. Mantenimiento SEC y Tráfico</v>
          </cell>
          <cell r="AC1858" t="str">
            <v>II. Costo de Explotación</v>
          </cell>
          <cell r="AD1858" t="str">
            <v>2. Bienes y servicios Expl.</v>
          </cell>
          <cell r="AE1858" t="str">
            <v>4. Mantenimiento SEC y Tráfico</v>
          </cell>
          <cell r="AG1858" t="str">
            <v xml:space="preserve"> </v>
          </cell>
          <cell r="AH1858" t="str">
            <v>6. Partidas significativas de gastos</v>
          </cell>
        </row>
        <row r="1859">
          <cell r="D1859" t="str">
            <v>4220045000</v>
          </cell>
          <cell r="E1859" t="str">
            <v>4220045000</v>
          </cell>
          <cell r="F1859" t="str">
            <v>Serv Mantencion Linea Alta</v>
          </cell>
          <cell r="G1859" t="str">
            <v>4220045000  Serv Mantencion Linea Alta</v>
          </cell>
          <cell r="H1859" t="str">
            <v>Est. Resultado</v>
          </cell>
          <cell r="I1859" t="str">
            <v>Resultado</v>
          </cell>
          <cell r="J1859" t="str">
            <v>3. Costo de Venta</v>
          </cell>
          <cell r="K1859" t="str">
            <v>4. Mantenimiento SEC y Tráfico</v>
          </cell>
          <cell r="L1859" t="str">
            <v>EBITDA</v>
          </cell>
          <cell r="M1859" t="str">
            <v>MARGEN BRUTO</v>
          </cell>
          <cell r="N1859" t="str">
            <v>GANANCIAS (PERDIDAS) ANTES DE IMPUESTOS</v>
          </cell>
          <cell r="O1859" t="str">
            <v>GANANCIA (PÉRDIDA) NETA</v>
          </cell>
          <cell r="P1859" t="str">
            <v>Resultado Ingresos y Gastos Integrales</v>
          </cell>
          <cell r="Q1859" t="str">
            <v>I. Ganancia (pérdida), antes de impuestos</v>
          </cell>
          <cell r="R1859" t="str">
            <v>a. Ganancia bruta</v>
          </cell>
          <cell r="S1859" t="str">
            <v>2. Costo de ventas</v>
          </cell>
          <cell r="T1859" t="str">
            <v>4. Mantenimiento SEC y Tráfico</v>
          </cell>
          <cell r="V1859" t="str">
            <v>II. Gastos</v>
          </cell>
          <cell r="W1859" t="str">
            <v>23. Bienes y Servicios para la Producción</v>
          </cell>
          <cell r="Z1859" t="str">
            <v>II. Costo Ventas</v>
          </cell>
          <cell r="AA1859" t="str">
            <v>4. Mantenimiento SEC y Tráfico</v>
          </cell>
          <cell r="AC1859" t="str">
            <v>II. Costo de Explotación</v>
          </cell>
          <cell r="AD1859" t="str">
            <v>2. Bienes y servicios Expl.</v>
          </cell>
          <cell r="AE1859" t="str">
            <v>4. Mantenimiento SEC y Tráfico</v>
          </cell>
          <cell r="AG1859" t="str">
            <v xml:space="preserve"> </v>
          </cell>
          <cell r="AH1859" t="str">
            <v>6. Partidas significativas de gastos</v>
          </cell>
        </row>
        <row r="1860">
          <cell r="D1860" t="str">
            <v>4220050000</v>
          </cell>
          <cell r="E1860" t="str">
            <v>4220050000</v>
          </cell>
          <cell r="F1860" t="str">
            <v>Serv Mantencion Señalizacion</v>
          </cell>
          <cell r="G1860" t="str">
            <v>4220050000  Serv Mantencion Señalizacion</v>
          </cell>
          <cell r="H1860" t="str">
            <v>Est. Resultado</v>
          </cell>
          <cell r="I1860" t="str">
            <v>Resultado</v>
          </cell>
          <cell r="J1860" t="str">
            <v>3. Costo de Venta</v>
          </cell>
          <cell r="K1860" t="str">
            <v>4. Mantenimiento SEC y Tráfico</v>
          </cell>
          <cell r="L1860" t="str">
            <v>EBITDA</v>
          </cell>
          <cell r="M1860" t="str">
            <v>MARGEN BRUTO</v>
          </cell>
          <cell r="N1860" t="str">
            <v>GANANCIAS (PERDIDAS) ANTES DE IMPUESTOS</v>
          </cell>
          <cell r="O1860" t="str">
            <v>GANANCIA (PÉRDIDA) NETA</v>
          </cell>
          <cell r="P1860" t="str">
            <v>Resultado Ingresos y Gastos Integrales</v>
          </cell>
          <cell r="Q1860" t="str">
            <v>I. Ganancia (pérdida), antes de impuestos</v>
          </cell>
          <cell r="R1860" t="str">
            <v>a. Ganancia bruta</v>
          </cell>
          <cell r="S1860" t="str">
            <v>2. Costo de ventas</v>
          </cell>
          <cell r="T1860" t="str">
            <v>4. Mantenimiento SEC y Tráfico</v>
          </cell>
          <cell r="V1860" t="str">
            <v>II. Gastos</v>
          </cell>
          <cell r="W1860" t="str">
            <v>23. Bienes y Servicios para la Producción</v>
          </cell>
          <cell r="Z1860" t="str">
            <v>II. Costo Ventas</v>
          </cell>
          <cell r="AA1860" t="str">
            <v>4. Mantenimiento SEC y Tráfico</v>
          </cell>
          <cell r="AC1860" t="str">
            <v>II. Costo de Explotación</v>
          </cell>
          <cell r="AD1860" t="str">
            <v>2. Bienes y servicios Expl.</v>
          </cell>
          <cell r="AE1860" t="str">
            <v>4. Mantenimiento SEC y Tráfico</v>
          </cell>
          <cell r="AG1860" t="str">
            <v xml:space="preserve"> </v>
          </cell>
          <cell r="AH1860" t="str">
            <v>6. Partidas significativas de gastos</v>
          </cell>
        </row>
        <row r="1861">
          <cell r="D1861" t="str">
            <v>4220060000</v>
          </cell>
          <cell r="E1861" t="str">
            <v>4220060000</v>
          </cell>
          <cell r="F1861" t="str">
            <v>Serv Mantencion Trafico</v>
          </cell>
          <cell r="G1861" t="str">
            <v>4220060000  Serv Mantencion Trafico</v>
          </cell>
          <cell r="H1861" t="str">
            <v>Est. Resultado</v>
          </cell>
          <cell r="I1861" t="str">
            <v>Resultado</v>
          </cell>
          <cell r="J1861" t="str">
            <v>3. Costo de Venta</v>
          </cell>
          <cell r="K1861" t="str">
            <v>4. Mantenimiento SEC y Tráfico</v>
          </cell>
          <cell r="L1861" t="str">
            <v>EBITDA</v>
          </cell>
          <cell r="M1861" t="str">
            <v>MARGEN BRUTO</v>
          </cell>
          <cell r="N1861" t="str">
            <v>GANANCIAS (PERDIDAS) ANTES DE IMPUESTOS</v>
          </cell>
          <cell r="O1861" t="str">
            <v>GANANCIA (PÉRDIDA) NETA</v>
          </cell>
          <cell r="P1861" t="str">
            <v>Resultado Ingresos y Gastos Integrales</v>
          </cell>
          <cell r="Q1861" t="str">
            <v>I. Ganancia (pérdida), antes de impuestos</v>
          </cell>
          <cell r="R1861" t="str">
            <v>a. Ganancia bruta</v>
          </cell>
          <cell r="S1861" t="str">
            <v>2. Costo de ventas</v>
          </cell>
          <cell r="T1861" t="str">
            <v>4. Mantenimiento SEC y Tráfico</v>
          </cell>
          <cell r="V1861" t="str">
            <v>II. Gastos</v>
          </cell>
          <cell r="W1861" t="str">
            <v>23. Bienes y Servicios para la Producción</v>
          </cell>
          <cell r="Z1861" t="str">
            <v>II. Costo Ventas</v>
          </cell>
          <cell r="AA1861" t="str">
            <v>4. Mantenimiento SEC y Tráfico</v>
          </cell>
          <cell r="AC1861" t="str">
            <v>II. Costo de Explotación</v>
          </cell>
          <cell r="AD1861" t="str">
            <v>2. Bienes y servicios Expl.</v>
          </cell>
          <cell r="AE1861" t="str">
            <v>4. Mantenimiento SEC y Tráfico</v>
          </cell>
          <cell r="AG1861" t="str">
            <v xml:space="preserve"> </v>
          </cell>
          <cell r="AH1861" t="str">
            <v>6. Partidas significativas de gastos</v>
          </cell>
        </row>
        <row r="1862">
          <cell r="D1862" t="str">
            <v>4220070000</v>
          </cell>
          <cell r="E1862" t="str">
            <v>4220070000</v>
          </cell>
          <cell r="F1862" t="str">
            <v>Serv Mant Comunicac</v>
          </cell>
          <cell r="G1862" t="str">
            <v>4220070000  Serv Mant Comunicac</v>
          </cell>
          <cell r="H1862" t="str">
            <v>Est. Resultado</v>
          </cell>
          <cell r="I1862" t="str">
            <v>Resultado</v>
          </cell>
          <cell r="J1862" t="str">
            <v>3. Costo de Venta</v>
          </cell>
          <cell r="K1862" t="str">
            <v>4. Mantenimiento SEC y Tráfico</v>
          </cell>
          <cell r="L1862" t="str">
            <v>EBITDA</v>
          </cell>
          <cell r="M1862" t="str">
            <v>MARGEN BRUTO</v>
          </cell>
          <cell r="N1862" t="str">
            <v>GANANCIAS (PERDIDAS) ANTES DE IMPUESTOS</v>
          </cell>
          <cell r="O1862" t="str">
            <v>GANANCIA (PÉRDIDA) NETA</v>
          </cell>
          <cell r="P1862" t="str">
            <v>Resultado Ingresos y Gastos Integrales</v>
          </cell>
          <cell r="Q1862" t="str">
            <v>I. Ganancia (pérdida), antes de impuestos</v>
          </cell>
          <cell r="R1862" t="str">
            <v>a. Ganancia bruta</v>
          </cell>
          <cell r="S1862" t="str">
            <v>2. Costo de ventas</v>
          </cell>
          <cell r="T1862" t="str">
            <v>4. Mantenimiento SEC y Tráfico</v>
          </cell>
          <cell r="V1862" t="str">
            <v>II. Gastos</v>
          </cell>
          <cell r="W1862" t="str">
            <v>23. Bienes y Servicios para la Producción</v>
          </cell>
          <cell r="Z1862" t="str">
            <v>II. Costo Ventas</v>
          </cell>
          <cell r="AA1862" t="str">
            <v>4. Mantenimiento SEC y Tráfico</v>
          </cell>
          <cell r="AC1862" t="str">
            <v>II. Costo de Explotación</v>
          </cell>
          <cell r="AD1862" t="str">
            <v>2. Bienes y servicios Expl.</v>
          </cell>
          <cell r="AE1862" t="str">
            <v>4. Mantenimiento SEC y Tráfico</v>
          </cell>
          <cell r="AG1862" t="str">
            <v xml:space="preserve"> </v>
          </cell>
          <cell r="AH1862" t="str">
            <v>6. Partidas significativas de gastos</v>
          </cell>
        </row>
        <row r="1863">
          <cell r="D1863" t="str">
            <v>4230440000</v>
          </cell>
          <cell r="E1863" t="str">
            <v>4230440000</v>
          </cell>
          <cell r="F1863" t="str">
            <v>Serv Pago Adm Trafico MERVAL</v>
          </cell>
          <cell r="G1863" t="str">
            <v>4230440000  Serv Pago Adm Trafico MERVAL</v>
          </cell>
          <cell r="H1863" t="str">
            <v>Est. Resultado</v>
          </cell>
          <cell r="I1863" t="str">
            <v>Resultado</v>
          </cell>
          <cell r="J1863" t="str">
            <v>3. Costo de Venta</v>
          </cell>
          <cell r="K1863" t="str">
            <v>4. Mantenimiento SEC y Tráfico</v>
          </cell>
          <cell r="L1863" t="str">
            <v>EBITDA</v>
          </cell>
          <cell r="M1863" t="str">
            <v>MARGEN BRUTO</v>
          </cell>
          <cell r="N1863" t="str">
            <v>GANANCIAS (PERDIDAS) ANTES DE IMPUESTOS</v>
          </cell>
          <cell r="O1863" t="str">
            <v>GANANCIA (PÉRDIDA) NETA</v>
          </cell>
          <cell r="P1863" t="str">
            <v>Resultado Ingresos y Gastos Integrales</v>
          </cell>
          <cell r="Q1863" t="str">
            <v>I. Ganancia (pérdida), antes de impuestos</v>
          </cell>
          <cell r="R1863" t="str">
            <v>a. Ganancia bruta</v>
          </cell>
          <cell r="S1863" t="str">
            <v>2. Costo de ventas</v>
          </cell>
          <cell r="T1863" t="str">
            <v>4. Mantenimiento SEC y Tráfico</v>
          </cell>
          <cell r="V1863" t="str">
            <v>II. Gastos</v>
          </cell>
          <cell r="W1863" t="str">
            <v>23. Bienes y Servicios para la Producción</v>
          </cell>
          <cell r="Z1863" t="str">
            <v>II. Costo Ventas</v>
          </cell>
          <cell r="AA1863" t="str">
            <v>4. Mantenimiento SEC y Tráfico</v>
          </cell>
          <cell r="AC1863" t="str">
            <v>II. Costo de Explotación</v>
          </cell>
          <cell r="AD1863" t="str">
            <v>2. Bienes y servicios Expl.</v>
          </cell>
          <cell r="AE1863" t="str">
            <v>4. Mantenimiento SEC y Tráfico</v>
          </cell>
          <cell r="AG1863" t="str">
            <v xml:space="preserve"> </v>
          </cell>
          <cell r="AH1863" t="str">
            <v>6. Partidas significativas de gastos</v>
          </cell>
        </row>
        <row r="1864">
          <cell r="D1864" t="str">
            <v>4270150000</v>
          </cell>
          <cell r="E1864" t="str">
            <v>4270150000</v>
          </cell>
          <cell r="F1864" t="str">
            <v>Sist Administracion Trafico</v>
          </cell>
          <cell r="G1864" t="str">
            <v>4270150000  Sist Administracion Trafico</v>
          </cell>
          <cell r="H1864" t="str">
            <v>Est. Resultado</v>
          </cell>
          <cell r="I1864" t="str">
            <v>Resultado</v>
          </cell>
          <cell r="J1864" t="str">
            <v>3. Costo de Venta</v>
          </cell>
          <cell r="K1864" t="str">
            <v>4. Mantenimiento SEC y Tráfico</v>
          </cell>
          <cell r="L1864" t="str">
            <v>EBITDA</v>
          </cell>
          <cell r="M1864" t="str">
            <v>MARGEN BRUTO</v>
          </cell>
          <cell r="N1864" t="str">
            <v>GANANCIAS (PERDIDAS) ANTES DE IMPUESTOS</v>
          </cell>
          <cell r="O1864" t="str">
            <v>GANANCIA (PÉRDIDA) NETA</v>
          </cell>
          <cell r="P1864" t="str">
            <v>Resultado Ingresos y Gastos Integrales</v>
          </cell>
          <cell r="Q1864" t="str">
            <v>I. Ganancia (pérdida), antes de impuestos</v>
          </cell>
          <cell r="R1864" t="str">
            <v>a. Ganancia bruta</v>
          </cell>
          <cell r="S1864" t="str">
            <v>2. Costo de ventas</v>
          </cell>
          <cell r="T1864" t="str">
            <v>4. Mantenimiento SEC y Tráfico</v>
          </cell>
          <cell r="V1864" t="str">
            <v>II. Gastos</v>
          </cell>
          <cell r="W1864" t="str">
            <v>23. Bienes y Servicios para la Producción</v>
          </cell>
          <cell r="Z1864" t="str">
            <v>II. Costo Ventas</v>
          </cell>
          <cell r="AA1864" t="str">
            <v>4. Mantenimiento SEC y Tráfico</v>
          </cell>
          <cell r="AC1864" t="str">
            <v>II. Costo de Explotación</v>
          </cell>
          <cell r="AD1864" t="str">
            <v>2. Bienes y servicios Expl.</v>
          </cell>
          <cell r="AE1864" t="str">
            <v>4. Mantenimiento SEC y Tráfico</v>
          </cell>
          <cell r="AG1864" t="str">
            <v xml:space="preserve"> </v>
          </cell>
          <cell r="AH1864" t="str">
            <v>6. Partidas significativas de gastos</v>
          </cell>
        </row>
        <row r="1865">
          <cell r="D1865" t="str">
            <v>4270500000</v>
          </cell>
          <cell r="E1865" t="str">
            <v>4270500000</v>
          </cell>
          <cell r="F1865" t="str">
            <v>Sist AUV FEPASA</v>
          </cell>
          <cell r="G1865" t="str">
            <v>4270500000  Sist AUV FEPASA</v>
          </cell>
          <cell r="H1865" t="str">
            <v>Est. Resultado</v>
          </cell>
          <cell r="I1865" t="str">
            <v>Resultado</v>
          </cell>
          <cell r="J1865" t="str">
            <v>3. Costo de Venta</v>
          </cell>
          <cell r="K1865" t="str">
            <v>4. Mantenimiento SEC y Tráfico</v>
          </cell>
          <cell r="L1865" t="str">
            <v>EBITDA</v>
          </cell>
          <cell r="M1865" t="str">
            <v>MARGEN BRUTO</v>
          </cell>
          <cell r="N1865" t="str">
            <v>GANANCIAS (PERDIDAS) ANTES DE IMPUESTOS</v>
          </cell>
          <cell r="O1865" t="str">
            <v>GANANCIA (PÉRDIDA) NETA</v>
          </cell>
          <cell r="P1865" t="str">
            <v>Resultado Ingresos y Gastos Integrales</v>
          </cell>
          <cell r="Q1865" t="str">
            <v>I. Ganancia (pérdida), antes de impuestos</v>
          </cell>
          <cell r="R1865" t="str">
            <v>a. Ganancia bruta</v>
          </cell>
          <cell r="S1865" t="str">
            <v>2. Costo de ventas</v>
          </cell>
          <cell r="T1865" t="str">
            <v>4. Mantenimiento SEC y Tráfico</v>
          </cell>
          <cell r="V1865" t="str">
            <v>II. Gastos</v>
          </cell>
          <cell r="W1865" t="str">
            <v>23. Bienes y Servicios para la Producción</v>
          </cell>
          <cell r="Z1865" t="str">
            <v>II. Costo Ventas</v>
          </cell>
          <cell r="AA1865" t="str">
            <v>4. Mantenimiento SEC y Tráfico</v>
          </cell>
          <cell r="AC1865" t="str">
            <v>II. Costo de Explotación</v>
          </cell>
          <cell r="AD1865" t="str">
            <v>2. Bienes y servicios Expl.</v>
          </cell>
          <cell r="AE1865" t="str">
            <v>4. Mantenimiento SEC y Tráfico</v>
          </cell>
          <cell r="AG1865" t="str">
            <v xml:space="preserve"> </v>
          </cell>
          <cell r="AH1865" t="str">
            <v>6. Partidas significativas de gastos</v>
          </cell>
        </row>
        <row r="1866">
          <cell r="D1866">
            <v>0</v>
          </cell>
          <cell r="G1866" t="str">
            <v/>
          </cell>
          <cell r="H1866" t="str">
            <v>Est. Resultado</v>
          </cell>
          <cell r="I1866" t="str">
            <v>Resultado</v>
          </cell>
          <cell r="J1866" t="str">
            <v>3. Costo de Venta</v>
          </cell>
          <cell r="K1866" t="str">
            <v>4. Mantenimiento SEC y Tráfico</v>
          </cell>
          <cell r="L1866" t="str">
            <v>EBITDA</v>
          </cell>
          <cell r="M1866" t="str">
            <v>MARGEN BRUTO</v>
          </cell>
          <cell r="N1866" t="str">
            <v>GANANCIAS (PERDIDAS) ANTES DE IMPUESTOS</v>
          </cell>
          <cell r="O1866" t="str">
            <v>GANANCIA (PÉRDIDA) NETA</v>
          </cell>
          <cell r="P1866" t="str">
            <v>Resultado Ingresos y Gastos Integrales</v>
          </cell>
          <cell r="Q1866" t="str">
            <v>I. Ganancia (pérdida), antes de impuestos</v>
          </cell>
          <cell r="R1866" t="str">
            <v>a. Ganancia bruta</v>
          </cell>
          <cell r="S1866" t="str">
            <v>2. Costo de ventas</v>
          </cell>
          <cell r="T1866" t="str">
            <v>4. Mantenimiento SEC y Tráfico</v>
          </cell>
          <cell r="V1866" t="str">
            <v>II. Gastos</v>
          </cell>
          <cell r="W1866" t="str">
            <v>23. Bienes y Servicios para la Producción</v>
          </cell>
          <cell r="Z1866" t="str">
            <v>II. Costo Ventas</v>
          </cell>
          <cell r="AA1866" t="str">
            <v>4. Mantenimiento SEC y Tráfico</v>
          </cell>
          <cell r="AC1866" t="str">
            <v>II. Costo de Explotación</v>
          </cell>
          <cell r="AD1866" t="str">
            <v>2. Bienes y servicios Expl.</v>
          </cell>
          <cell r="AE1866" t="str">
            <v>4. Mantenimiento SEC y Tráfico</v>
          </cell>
          <cell r="AG1866" t="str">
            <v xml:space="preserve"> </v>
          </cell>
          <cell r="AH1866" t="str">
            <v>6. Partidas significativas de gastos</v>
          </cell>
        </row>
        <row r="1867">
          <cell r="D1867">
            <v>0</v>
          </cell>
          <cell r="G1867" t="str">
            <v/>
          </cell>
          <cell r="H1867" t="str">
            <v>Est. Resultado</v>
          </cell>
          <cell r="I1867" t="str">
            <v>Resultado</v>
          </cell>
          <cell r="J1867" t="str">
            <v>3. Costo de Venta</v>
          </cell>
          <cell r="K1867" t="str">
            <v>4. Mantenimiento SEC y Tráfico</v>
          </cell>
          <cell r="L1867" t="str">
            <v>EBITDA</v>
          </cell>
          <cell r="M1867" t="str">
            <v>MARGEN BRUTO</v>
          </cell>
          <cell r="N1867" t="str">
            <v>GANANCIAS (PERDIDAS) ANTES DE IMPUESTOS</v>
          </cell>
          <cell r="O1867" t="str">
            <v>GANANCIA (PÉRDIDA) NETA</v>
          </cell>
          <cell r="P1867" t="str">
            <v>Resultado Ingresos y Gastos Integrales</v>
          </cell>
          <cell r="Q1867" t="str">
            <v>I. Ganancia (pérdida), antes de impuestos</v>
          </cell>
          <cell r="R1867" t="str">
            <v>a. Ganancia bruta</v>
          </cell>
          <cell r="S1867" t="str">
            <v>2. Costo de ventas</v>
          </cell>
          <cell r="T1867" t="str">
            <v>4. Mantenimiento SEC y Tráfico</v>
          </cell>
          <cell r="V1867" t="str">
            <v>II. Gastos</v>
          </cell>
          <cell r="W1867" t="str">
            <v>23. Bienes y Servicios para la Producción</v>
          </cell>
          <cell r="Z1867" t="str">
            <v>II. Costo Ventas</v>
          </cell>
          <cell r="AA1867" t="str">
            <v>4. Mantenimiento SEC y Tráfico</v>
          </cell>
          <cell r="AC1867" t="str">
            <v>II. Costo de Explotación</v>
          </cell>
          <cell r="AD1867" t="str">
            <v>2. Bienes y servicios Expl.</v>
          </cell>
          <cell r="AE1867" t="str">
            <v>4. Mantenimiento SEC y Tráfico</v>
          </cell>
          <cell r="AG1867" t="str">
            <v xml:space="preserve"> </v>
          </cell>
          <cell r="AH1867" t="str">
            <v>6. Partidas significativas de gastos</v>
          </cell>
        </row>
        <row r="1868">
          <cell r="D1868" t="str">
            <v>Gasto SEC y Tráfico</v>
          </cell>
          <cell r="E1868" t="str">
            <v>Gasto SEC y Tráfico</v>
          </cell>
        </row>
        <row r="1869">
          <cell r="D1869">
            <v>0</v>
          </cell>
        </row>
        <row r="1870">
          <cell r="D1870" t="str">
            <v>4230200000</v>
          </cell>
          <cell r="E1870" t="str">
            <v>4230200000</v>
          </cell>
          <cell r="F1870" t="str">
            <v>Serv Guarda Cruces</v>
          </cell>
          <cell r="G1870" t="str">
            <v>4230200000  Serv Guarda Cruces</v>
          </cell>
          <cell r="H1870" t="str">
            <v>Est. Resultado</v>
          </cell>
          <cell r="I1870" t="str">
            <v>Resultado</v>
          </cell>
          <cell r="J1870" t="str">
            <v>3. Costo de Venta</v>
          </cell>
          <cell r="K1870" t="str">
            <v>5. Serv Guardia y Guarda Cruce</v>
          </cell>
          <cell r="L1870" t="str">
            <v>EBITDA</v>
          </cell>
          <cell r="M1870" t="str">
            <v>MARGEN BRUTO</v>
          </cell>
          <cell r="N1870" t="str">
            <v>GANANCIAS (PERDIDAS) ANTES DE IMPUESTOS</v>
          </cell>
          <cell r="O1870" t="str">
            <v>GANANCIA (PÉRDIDA) NETA</v>
          </cell>
          <cell r="P1870" t="str">
            <v>Resultado Ingresos y Gastos Integrales</v>
          </cell>
          <cell r="Q1870" t="str">
            <v>I. Ganancia (pérdida), antes de impuestos</v>
          </cell>
          <cell r="R1870" t="str">
            <v>a. Ganancia bruta</v>
          </cell>
          <cell r="S1870" t="str">
            <v>2. Costo de ventas</v>
          </cell>
          <cell r="T1870" t="str">
            <v>5. Serv Guardia y Guarda Cruce</v>
          </cell>
          <cell r="V1870" t="str">
            <v>II. Gastos</v>
          </cell>
          <cell r="W1870" t="str">
            <v>23. Bienes y Servicios para la Producción</v>
          </cell>
          <cell r="Z1870" t="str">
            <v>II. Costo Ventas</v>
          </cell>
          <cell r="AA1870" t="str">
            <v>5. Serv Guardia y Guarda Cruce</v>
          </cell>
          <cell r="AC1870" t="str">
            <v>II. Costo de Explotación</v>
          </cell>
          <cell r="AD1870" t="str">
            <v>2. Bienes y servicios Expl.</v>
          </cell>
          <cell r="AE1870" t="str">
            <v>5. Serv Guardia y Guarda Cruce</v>
          </cell>
          <cell r="AG1870" t="str">
            <v xml:space="preserve"> </v>
          </cell>
          <cell r="AH1870" t="str">
            <v>6. Partidas significativas de gastos</v>
          </cell>
        </row>
        <row r="1871">
          <cell r="D1871" t="str">
            <v>4230210000</v>
          </cell>
          <cell r="E1871" t="str">
            <v>4230210000</v>
          </cell>
          <cell r="F1871" t="str">
            <v>Serv Guardia Seguridad</v>
          </cell>
          <cell r="G1871" t="str">
            <v>4230210000  Serv Guardia Seguridad</v>
          </cell>
          <cell r="H1871" t="str">
            <v>Est. Resultado</v>
          </cell>
          <cell r="I1871" t="str">
            <v>Resultado</v>
          </cell>
          <cell r="J1871" t="str">
            <v>3. Costo de Venta</v>
          </cell>
          <cell r="K1871" t="str">
            <v>5. Serv Guardia y Guarda Cruce</v>
          </cell>
          <cell r="L1871" t="str">
            <v>EBITDA</v>
          </cell>
          <cell r="M1871" t="str">
            <v>MARGEN BRUTO</v>
          </cell>
          <cell r="N1871" t="str">
            <v>GANANCIAS (PERDIDAS) ANTES DE IMPUESTOS</v>
          </cell>
          <cell r="O1871" t="str">
            <v>GANANCIA (PÉRDIDA) NETA</v>
          </cell>
          <cell r="P1871" t="str">
            <v>Resultado Ingresos y Gastos Integrales</v>
          </cell>
          <cell r="Q1871" t="str">
            <v>I. Ganancia (pérdida), antes de impuestos</v>
          </cell>
          <cell r="R1871" t="str">
            <v>a. Ganancia bruta</v>
          </cell>
          <cell r="S1871" t="str">
            <v>2. Costo de ventas</v>
          </cell>
          <cell r="T1871" t="str">
            <v>5. Serv Guardia y Guarda Cruce</v>
          </cell>
          <cell r="V1871" t="str">
            <v>II. Gastos</v>
          </cell>
          <cell r="W1871" t="str">
            <v>23. Bienes y Servicios para la Producción</v>
          </cell>
          <cell r="Z1871" t="str">
            <v>II. Costo Ventas</v>
          </cell>
          <cell r="AA1871" t="str">
            <v>5. Serv Guardia y Guarda Cruce</v>
          </cell>
          <cell r="AC1871" t="str">
            <v>II. Costo de Explotación</v>
          </cell>
          <cell r="AD1871" t="str">
            <v>2. Bienes y servicios Expl.</v>
          </cell>
          <cell r="AE1871" t="str">
            <v>5. Serv Guardia y Guarda Cruce</v>
          </cell>
          <cell r="AG1871" t="str">
            <v xml:space="preserve"> </v>
          </cell>
          <cell r="AH1871" t="str">
            <v>6. Partidas significativas de gastos</v>
          </cell>
        </row>
        <row r="1872">
          <cell r="D1872">
            <v>0</v>
          </cell>
          <cell r="G1872" t="str">
            <v/>
          </cell>
          <cell r="H1872" t="str">
            <v>Est. Resultado</v>
          </cell>
          <cell r="I1872" t="str">
            <v>Resultado</v>
          </cell>
          <cell r="J1872" t="str">
            <v>3. Costo de Venta</v>
          </cell>
          <cell r="K1872" t="str">
            <v>5. Serv Guardia y Guarda Cruce</v>
          </cell>
          <cell r="L1872" t="str">
            <v>EBITDA</v>
          </cell>
          <cell r="M1872" t="str">
            <v>MARGEN BRUTO</v>
          </cell>
          <cell r="N1872" t="str">
            <v>GANANCIAS (PERDIDAS) ANTES DE IMPUESTOS</v>
          </cell>
          <cell r="O1872" t="str">
            <v>GANANCIA (PÉRDIDA) NETA</v>
          </cell>
          <cell r="P1872" t="str">
            <v>Resultado Ingresos y Gastos Integrales</v>
          </cell>
          <cell r="Q1872" t="str">
            <v>I. Ganancia (pérdida), antes de impuestos</v>
          </cell>
          <cell r="R1872" t="str">
            <v>a. Ganancia bruta</v>
          </cell>
          <cell r="S1872" t="str">
            <v>2. Costo de ventas</v>
          </cell>
          <cell r="T1872" t="str">
            <v>5. Serv Guardia y Guarda Cruce</v>
          </cell>
          <cell r="V1872" t="str">
            <v>II. Gastos</v>
          </cell>
          <cell r="W1872" t="str">
            <v>23. Bienes y Servicios para la Producción</v>
          </cell>
          <cell r="Z1872" t="str">
            <v>II. Costo Ventas</v>
          </cell>
          <cell r="AA1872" t="str">
            <v>5. Serv Guardia y Guarda Cruce</v>
          </cell>
          <cell r="AC1872" t="str">
            <v>II. Costo de Explotación</v>
          </cell>
          <cell r="AD1872" t="str">
            <v>2. Bienes y servicios Expl.</v>
          </cell>
          <cell r="AE1872" t="str">
            <v>5. Serv Guardia y Guarda Cruce</v>
          </cell>
          <cell r="AG1872" t="str">
            <v xml:space="preserve"> </v>
          </cell>
          <cell r="AH1872" t="str">
            <v>6. Partidas significativas de gastos</v>
          </cell>
        </row>
        <row r="1873">
          <cell r="D1873">
            <v>0</v>
          </cell>
          <cell r="G1873" t="str">
            <v/>
          </cell>
          <cell r="H1873" t="str">
            <v>Est. Resultado</v>
          </cell>
          <cell r="I1873" t="str">
            <v>Resultado</v>
          </cell>
          <cell r="J1873" t="str">
            <v>3. Costo de Venta</v>
          </cell>
          <cell r="K1873" t="str">
            <v>5. Serv Guardia y Guarda Cruce</v>
          </cell>
          <cell r="L1873" t="str">
            <v>EBITDA</v>
          </cell>
          <cell r="M1873" t="str">
            <v>MARGEN BRUTO</v>
          </cell>
          <cell r="N1873" t="str">
            <v>GANANCIAS (PERDIDAS) ANTES DE IMPUESTOS</v>
          </cell>
          <cell r="O1873" t="str">
            <v>GANANCIA (PÉRDIDA) NETA</v>
          </cell>
          <cell r="P1873" t="str">
            <v>Resultado Ingresos y Gastos Integrales</v>
          </cell>
          <cell r="Q1873" t="str">
            <v>I. Ganancia (pérdida), antes de impuestos</v>
          </cell>
          <cell r="R1873" t="str">
            <v>a. Ganancia bruta</v>
          </cell>
          <cell r="S1873" t="str">
            <v>2. Costo de ventas</v>
          </cell>
          <cell r="T1873" t="str">
            <v>5. Serv Guardia y Guarda Cruce</v>
          </cell>
          <cell r="V1873" t="str">
            <v>II. Gastos</v>
          </cell>
          <cell r="W1873" t="str">
            <v>23. Bienes y Servicios para la Producción</v>
          </cell>
          <cell r="Z1873" t="str">
            <v>II. Costo Ventas</v>
          </cell>
          <cell r="AA1873" t="str">
            <v>5. Serv Guardia y Guarda Cruce</v>
          </cell>
          <cell r="AC1873" t="str">
            <v>II. Costo de Explotación</v>
          </cell>
          <cell r="AD1873" t="str">
            <v>2. Bienes y servicios Expl.</v>
          </cell>
          <cell r="AE1873" t="str">
            <v>5. Serv Guardia y Guarda Cruce</v>
          </cell>
          <cell r="AG1873" t="str">
            <v xml:space="preserve"> </v>
          </cell>
          <cell r="AH1873" t="str">
            <v>6. Partidas significativas de gastos</v>
          </cell>
        </row>
        <row r="1874">
          <cell r="D1874">
            <v>0</v>
          </cell>
          <cell r="G1874" t="str">
            <v/>
          </cell>
          <cell r="H1874" t="str">
            <v>Est. Resultado</v>
          </cell>
          <cell r="I1874" t="str">
            <v>Resultado</v>
          </cell>
          <cell r="J1874" t="str">
            <v>3. Costo de Venta</v>
          </cell>
          <cell r="K1874" t="str">
            <v>5. Serv Guardia y Guarda Cruce</v>
          </cell>
          <cell r="L1874" t="str">
            <v>EBITDA</v>
          </cell>
          <cell r="M1874" t="str">
            <v>MARGEN BRUTO</v>
          </cell>
          <cell r="N1874" t="str">
            <v>GANANCIAS (PERDIDAS) ANTES DE IMPUESTOS</v>
          </cell>
          <cell r="O1874" t="str">
            <v>GANANCIA (PÉRDIDA) NETA</v>
          </cell>
          <cell r="P1874" t="str">
            <v>Resultado Ingresos y Gastos Integrales</v>
          </cell>
          <cell r="Q1874" t="str">
            <v>I. Ganancia (pérdida), antes de impuestos</v>
          </cell>
          <cell r="R1874" t="str">
            <v>a. Ganancia bruta</v>
          </cell>
          <cell r="S1874" t="str">
            <v>2. Costo de ventas</v>
          </cell>
          <cell r="T1874" t="str">
            <v>5. Serv Guardia y Guarda Cruce</v>
          </cell>
          <cell r="V1874" t="str">
            <v>II. Gastos</v>
          </cell>
          <cell r="W1874" t="str">
            <v>23. Bienes y Servicios para la Producción</v>
          </cell>
          <cell r="Z1874" t="str">
            <v>II. Costo Ventas</v>
          </cell>
          <cell r="AA1874" t="str">
            <v>5. Serv Guardia y Guarda Cruce</v>
          </cell>
          <cell r="AC1874" t="str">
            <v>II. Costo de Explotación</v>
          </cell>
          <cell r="AD1874" t="str">
            <v>2. Bienes y servicios Expl.</v>
          </cell>
          <cell r="AE1874" t="str">
            <v>5. Serv Guardia y Guarda Cruce</v>
          </cell>
          <cell r="AG1874" t="str">
            <v xml:space="preserve"> </v>
          </cell>
          <cell r="AH1874" t="str">
            <v>6. Partidas significativas de gastos</v>
          </cell>
        </row>
        <row r="1875">
          <cell r="D1875" t="str">
            <v>Gasto Guardias y Guarda Cruces</v>
          </cell>
          <cell r="E1875" t="str">
            <v>Gasto Guardias y Guarda Cruces</v>
          </cell>
        </row>
        <row r="1876">
          <cell r="D1876">
            <v>0</v>
          </cell>
        </row>
        <row r="1877">
          <cell r="D1877" t="str">
            <v>4210400000</v>
          </cell>
          <cell r="E1877" t="str">
            <v>4210400000</v>
          </cell>
          <cell r="F1877" t="str">
            <v>Servicios Diversos</v>
          </cell>
          <cell r="G1877" t="str">
            <v>4210400000  Servicios Diversos</v>
          </cell>
          <cell r="H1877" t="str">
            <v>Est. Resultado</v>
          </cell>
          <cell r="I1877" t="str">
            <v>Resultado</v>
          </cell>
          <cell r="J1877" t="str">
            <v>3. Costo de Venta</v>
          </cell>
          <cell r="K1877" t="str">
            <v>6. Serv Terceros y Ventas</v>
          </cell>
          <cell r="L1877" t="str">
            <v>EBITDA</v>
          </cell>
          <cell r="M1877" t="str">
            <v>MARGEN BRUTO</v>
          </cell>
          <cell r="N1877" t="str">
            <v>GANANCIAS (PERDIDAS) ANTES DE IMPUESTOS</v>
          </cell>
          <cell r="O1877" t="str">
            <v>GANANCIA (PÉRDIDA) NETA</v>
          </cell>
          <cell r="P1877" t="str">
            <v>Resultado Ingresos y Gastos Integrales</v>
          </cell>
          <cell r="Q1877" t="str">
            <v>I. Ganancia (pérdida), antes de impuestos</v>
          </cell>
          <cell r="R1877" t="str">
            <v>a. Ganancia bruta</v>
          </cell>
          <cell r="S1877" t="str">
            <v>2. Costo de ventas</v>
          </cell>
          <cell r="T1877" t="str">
            <v>6. Serv Terceros y Ventas</v>
          </cell>
          <cell r="V1877" t="str">
            <v>II. Gastos</v>
          </cell>
          <cell r="W1877" t="str">
            <v>23. Bienes y Servicios para la Producción</v>
          </cell>
          <cell r="Z1877" t="str">
            <v>II. Costo Ventas</v>
          </cell>
          <cell r="AA1877" t="str">
            <v>6. Serv Terceros y Ventas</v>
          </cell>
          <cell r="AC1877" t="str">
            <v>II. Costo de Explotación</v>
          </cell>
          <cell r="AD1877" t="str">
            <v>2. Bienes y servicios Expl.</v>
          </cell>
          <cell r="AE1877" t="str">
            <v>6. Serv Terceros y Ventas</v>
          </cell>
          <cell r="AG1877" t="str">
            <v xml:space="preserve"> </v>
          </cell>
          <cell r="AH1877" t="str">
            <v>6. Partidas significativas de gastos</v>
          </cell>
        </row>
        <row r="1878">
          <cell r="D1878" t="str">
            <v>4250100000</v>
          </cell>
          <cell r="E1878" t="str">
            <v>4250100000</v>
          </cell>
          <cell r="F1878" t="str">
            <v>Impresion Boletos</v>
          </cell>
          <cell r="G1878" t="str">
            <v>4250100000  Impresion Boletos</v>
          </cell>
          <cell r="H1878" t="str">
            <v>Est. Resultado</v>
          </cell>
          <cell r="I1878" t="str">
            <v>Resultado</v>
          </cell>
          <cell r="J1878" t="str">
            <v>3. Costo de Venta</v>
          </cell>
          <cell r="K1878" t="str">
            <v>6. Serv Terceros y Ventas</v>
          </cell>
          <cell r="L1878" t="str">
            <v>EBITDA</v>
          </cell>
          <cell r="M1878" t="str">
            <v>MARGEN BRUTO</v>
          </cell>
          <cell r="N1878" t="str">
            <v>GANANCIAS (PERDIDAS) ANTES DE IMPUESTOS</v>
          </cell>
          <cell r="O1878" t="str">
            <v>GANANCIA (PÉRDIDA) NETA</v>
          </cell>
          <cell r="P1878" t="str">
            <v>Resultado Ingresos y Gastos Integrales</v>
          </cell>
          <cell r="Q1878" t="str">
            <v>I. Ganancia (pérdida), antes de impuestos</v>
          </cell>
          <cell r="R1878" t="str">
            <v>a. Ganancia bruta</v>
          </cell>
          <cell r="S1878" t="str">
            <v>2. Costo de ventas</v>
          </cell>
          <cell r="T1878" t="str">
            <v>6. Serv Terceros y Ventas</v>
          </cell>
          <cell r="V1878" t="str">
            <v>II. Gastos</v>
          </cell>
          <cell r="W1878" t="str">
            <v>23. Bienes y Servicios para la Producción</v>
          </cell>
          <cell r="Z1878" t="str">
            <v>II. Costo Ventas</v>
          </cell>
          <cell r="AA1878" t="str">
            <v>6. Serv Terceros y Ventas</v>
          </cell>
          <cell r="AC1878" t="str">
            <v>II. Costo de Explotación</v>
          </cell>
          <cell r="AD1878" t="str">
            <v>2. Bienes y servicios Expl.</v>
          </cell>
          <cell r="AE1878" t="str">
            <v>6. Serv Terceros y Ventas</v>
          </cell>
          <cell r="AG1878" t="str">
            <v xml:space="preserve"> </v>
          </cell>
          <cell r="AH1878" t="str">
            <v>6. Partidas significativas de gastos</v>
          </cell>
        </row>
        <row r="1879">
          <cell r="D1879" t="str">
            <v>4250200000</v>
          </cell>
          <cell r="E1879" t="str">
            <v>4250200000</v>
          </cell>
          <cell r="F1879" t="str">
            <v>Devolucion Pasaje</v>
          </cell>
          <cell r="G1879" t="str">
            <v>4250200000  Devolucion Pasaje</v>
          </cell>
          <cell r="H1879" t="str">
            <v>Est. Resultado</v>
          </cell>
          <cell r="I1879" t="str">
            <v>Resultado</v>
          </cell>
          <cell r="J1879" t="str">
            <v>3. Costo de Venta</v>
          </cell>
          <cell r="K1879" t="str">
            <v>6. Serv Terceros y Ventas</v>
          </cell>
          <cell r="L1879" t="str">
            <v>EBITDA</v>
          </cell>
          <cell r="M1879" t="str">
            <v>MARGEN BRUTO</v>
          </cell>
          <cell r="N1879" t="str">
            <v>GANANCIAS (PERDIDAS) ANTES DE IMPUESTOS</v>
          </cell>
          <cell r="O1879" t="str">
            <v>GANANCIA (PÉRDIDA) NETA</v>
          </cell>
          <cell r="P1879" t="str">
            <v>Resultado Ingresos y Gastos Integrales</v>
          </cell>
          <cell r="Q1879" t="str">
            <v>I. Ganancia (pérdida), antes de impuestos</v>
          </cell>
          <cell r="R1879" t="str">
            <v>a. Ganancia bruta</v>
          </cell>
          <cell r="S1879" t="str">
            <v>2. Costo de ventas</v>
          </cell>
          <cell r="T1879" t="str">
            <v>6. Serv Terceros y Ventas</v>
          </cell>
          <cell r="V1879" t="str">
            <v>II. Gastos</v>
          </cell>
          <cell r="W1879" t="str">
            <v>23. Bienes y Servicios para la Producción</v>
          </cell>
          <cell r="Z1879" t="str">
            <v>II. Costo Ventas</v>
          </cell>
          <cell r="AA1879" t="str">
            <v>6. Serv Terceros y Ventas</v>
          </cell>
          <cell r="AC1879" t="str">
            <v>II. Costo de Explotación</v>
          </cell>
          <cell r="AD1879" t="str">
            <v>2. Bienes y servicios Expl.</v>
          </cell>
          <cell r="AE1879" t="str">
            <v>6. Serv Terceros y Ventas</v>
          </cell>
          <cell r="AG1879" t="str">
            <v xml:space="preserve"> </v>
          </cell>
          <cell r="AH1879" t="str">
            <v>6. Partidas significativas de gastos</v>
          </cell>
        </row>
        <row r="1880">
          <cell r="D1880" t="str">
            <v>4250250000</v>
          </cell>
          <cell r="E1880" t="str">
            <v>4250250000</v>
          </cell>
          <cell r="F1880" t="str">
            <v>Orden Interna Pasaje</v>
          </cell>
          <cell r="G1880" t="str">
            <v>4250250000  Orden Interna Pasaje</v>
          </cell>
          <cell r="H1880" t="str">
            <v>Est. Resultado</v>
          </cell>
          <cell r="I1880" t="str">
            <v>Resultado</v>
          </cell>
          <cell r="J1880" t="str">
            <v>3. Costo de Venta</v>
          </cell>
          <cell r="K1880" t="str">
            <v>6. Serv Terceros y Ventas</v>
          </cell>
          <cell r="L1880" t="str">
            <v>EBITDA</v>
          </cell>
          <cell r="M1880" t="str">
            <v>MARGEN BRUTO</v>
          </cell>
          <cell r="N1880" t="str">
            <v>GANANCIAS (PERDIDAS) ANTES DE IMPUESTOS</v>
          </cell>
          <cell r="O1880" t="str">
            <v>GANANCIA (PÉRDIDA) NETA</v>
          </cell>
          <cell r="P1880" t="str">
            <v>Resultado Ingresos y Gastos Integrales</v>
          </cell>
          <cell r="Q1880" t="str">
            <v>I. Ganancia (pérdida), antes de impuestos</v>
          </cell>
          <cell r="R1880" t="str">
            <v>a. Ganancia bruta</v>
          </cell>
          <cell r="S1880" t="str">
            <v>2. Costo de ventas</v>
          </cell>
          <cell r="T1880" t="str">
            <v>6. Serv Terceros y Ventas</v>
          </cell>
          <cell r="V1880" t="str">
            <v>II. Gastos</v>
          </cell>
          <cell r="W1880" t="str">
            <v>23. Bienes y Servicios para la Producción</v>
          </cell>
          <cell r="Z1880" t="str">
            <v>II. Costo Ventas</v>
          </cell>
          <cell r="AA1880" t="str">
            <v>6. Serv Terceros y Ventas</v>
          </cell>
          <cell r="AC1880" t="str">
            <v>II. Costo de Explotación</v>
          </cell>
          <cell r="AD1880" t="str">
            <v>2. Bienes y servicios Expl.</v>
          </cell>
          <cell r="AE1880" t="str">
            <v>6. Serv Terceros y Ventas</v>
          </cell>
          <cell r="AG1880" t="str">
            <v xml:space="preserve"> </v>
          </cell>
          <cell r="AH1880" t="str">
            <v>6. Partidas significativas de gastos</v>
          </cell>
        </row>
        <row r="1881">
          <cell r="D1881" t="str">
            <v>4250300000</v>
          </cell>
          <cell r="E1881" t="str">
            <v>4250300000</v>
          </cell>
          <cell r="F1881" t="str">
            <v>Comision Venta Pasaje</v>
          </cell>
          <cell r="G1881" t="str">
            <v>4250300000  Comision Venta Pasaje</v>
          </cell>
          <cell r="H1881" t="str">
            <v>Est. Resultado</v>
          </cell>
          <cell r="I1881" t="str">
            <v>Resultado</v>
          </cell>
          <cell r="J1881" t="str">
            <v>3. Costo de Venta</v>
          </cell>
          <cell r="K1881" t="str">
            <v>6. Serv Terceros y Ventas</v>
          </cell>
          <cell r="L1881" t="str">
            <v>EBITDA</v>
          </cell>
          <cell r="M1881" t="str">
            <v>MARGEN BRUTO</v>
          </cell>
          <cell r="N1881" t="str">
            <v>GANANCIAS (PERDIDAS) ANTES DE IMPUESTOS</v>
          </cell>
          <cell r="O1881" t="str">
            <v>GANANCIA (PÉRDIDA) NETA</v>
          </cell>
          <cell r="P1881" t="str">
            <v>Resultado Ingresos y Gastos Integrales</v>
          </cell>
          <cell r="Q1881" t="str">
            <v>I. Ganancia (pérdida), antes de impuestos</v>
          </cell>
          <cell r="R1881" t="str">
            <v>a. Ganancia bruta</v>
          </cell>
          <cell r="S1881" t="str">
            <v>2. Costo de ventas</v>
          </cell>
          <cell r="T1881" t="str">
            <v>6. Serv Terceros y Ventas</v>
          </cell>
          <cell r="V1881" t="str">
            <v>II. Gastos</v>
          </cell>
          <cell r="W1881" t="str">
            <v>23. Bienes y Servicios para la Producción</v>
          </cell>
          <cell r="Z1881" t="str">
            <v>II. Costo Ventas</v>
          </cell>
          <cell r="AA1881" t="str">
            <v>6. Serv Terceros y Ventas</v>
          </cell>
          <cell r="AC1881" t="str">
            <v>II. Costo de Explotación</v>
          </cell>
          <cell r="AD1881" t="str">
            <v>2. Bienes y servicios Expl.</v>
          </cell>
          <cell r="AE1881" t="str">
            <v>6. Serv Terceros y Ventas</v>
          </cell>
          <cell r="AG1881" t="str">
            <v xml:space="preserve"> </v>
          </cell>
          <cell r="AH1881" t="str">
            <v>6. Partidas significativas de gastos</v>
          </cell>
        </row>
        <row r="1882">
          <cell r="D1882" t="str">
            <v>4250450000</v>
          </cell>
          <cell r="E1882" t="str">
            <v>4250450000</v>
          </cell>
          <cell r="F1882" t="str">
            <v>Serv Venta Pasajes</v>
          </cell>
          <cell r="G1882" t="str">
            <v>4250450000  Serv Venta Pasajes</v>
          </cell>
          <cell r="H1882" t="str">
            <v>Est. Resultado</v>
          </cell>
          <cell r="I1882" t="str">
            <v>Resultado</v>
          </cell>
          <cell r="J1882" t="str">
            <v>3. Costo de Venta</v>
          </cell>
          <cell r="K1882" t="str">
            <v>6. Serv Terceros y Ventas</v>
          </cell>
          <cell r="L1882" t="str">
            <v>EBITDA</v>
          </cell>
          <cell r="M1882" t="str">
            <v>MARGEN BRUTO</v>
          </cell>
          <cell r="N1882" t="str">
            <v>GANANCIAS (PERDIDAS) ANTES DE IMPUESTOS</v>
          </cell>
          <cell r="O1882" t="str">
            <v>GANANCIA (PÉRDIDA) NETA</v>
          </cell>
          <cell r="P1882" t="str">
            <v>Resultado Ingresos y Gastos Integrales</v>
          </cell>
          <cell r="Q1882" t="str">
            <v>I. Ganancia (pérdida), antes de impuestos</v>
          </cell>
          <cell r="R1882" t="str">
            <v>a. Ganancia bruta</v>
          </cell>
          <cell r="S1882" t="str">
            <v>2. Costo de ventas</v>
          </cell>
          <cell r="T1882" t="str">
            <v>6. Serv Terceros y Ventas</v>
          </cell>
          <cell r="V1882" t="str">
            <v>II. Gastos</v>
          </cell>
          <cell r="W1882" t="str">
            <v>23. Bienes y Servicios para la Producción</v>
          </cell>
          <cell r="Z1882" t="str">
            <v>II. Costo Ventas</v>
          </cell>
          <cell r="AA1882" t="str">
            <v>6. Serv Terceros y Ventas</v>
          </cell>
          <cell r="AC1882" t="str">
            <v>II. Costo de Explotación</v>
          </cell>
          <cell r="AD1882" t="str">
            <v>2. Bienes y servicios Expl.</v>
          </cell>
          <cell r="AE1882" t="str">
            <v>6. Serv Terceros y Ventas</v>
          </cell>
          <cell r="AG1882" t="str">
            <v xml:space="preserve"> </v>
          </cell>
          <cell r="AH1882" t="str">
            <v>6. Partidas significativas de gastos</v>
          </cell>
        </row>
        <row r="1883">
          <cell r="D1883" t="str">
            <v>4250500000</v>
          </cell>
          <cell r="E1883" t="str">
            <v>4250500000</v>
          </cell>
          <cell r="F1883" t="str">
            <v>Arriendo Local Venta Pasaje</v>
          </cell>
          <cell r="G1883" t="str">
            <v>4250500000  Arriendo Local Venta Pasaje</v>
          </cell>
          <cell r="H1883" t="str">
            <v>Est. Resultado</v>
          </cell>
          <cell r="I1883" t="str">
            <v>Resultado</v>
          </cell>
          <cell r="J1883" t="str">
            <v>3. Costo de Venta</v>
          </cell>
          <cell r="K1883" t="str">
            <v>6. Serv Terceros y Ventas</v>
          </cell>
          <cell r="L1883" t="str">
            <v>EBITDA</v>
          </cell>
          <cell r="M1883" t="str">
            <v>MARGEN BRUTO</v>
          </cell>
          <cell r="N1883" t="str">
            <v>GANANCIAS (PERDIDAS) ANTES DE IMPUESTOS</v>
          </cell>
          <cell r="O1883" t="str">
            <v>GANANCIA (PÉRDIDA) NETA</v>
          </cell>
          <cell r="P1883" t="str">
            <v>Resultado Ingresos y Gastos Integrales</v>
          </cell>
          <cell r="Q1883" t="str">
            <v>I. Ganancia (pérdida), antes de impuestos</v>
          </cell>
          <cell r="R1883" t="str">
            <v>a. Ganancia bruta</v>
          </cell>
          <cell r="S1883" t="str">
            <v>2. Costo de ventas</v>
          </cell>
          <cell r="T1883" t="str">
            <v>6. Serv Terceros y Ventas</v>
          </cell>
          <cell r="V1883" t="str">
            <v>II. Gastos</v>
          </cell>
          <cell r="W1883" t="str">
            <v>23. Bienes y Servicios para la Producción</v>
          </cell>
          <cell r="Z1883" t="str">
            <v>II. Costo Ventas</v>
          </cell>
          <cell r="AA1883" t="str">
            <v>6. Serv Terceros y Ventas</v>
          </cell>
          <cell r="AC1883" t="str">
            <v>II. Costo de Explotación</v>
          </cell>
          <cell r="AD1883" t="str">
            <v>2. Bienes y servicios Expl.</v>
          </cell>
          <cell r="AE1883" t="str">
            <v>6. Serv Terceros y Ventas</v>
          </cell>
          <cell r="AG1883" t="str">
            <v xml:space="preserve"> </v>
          </cell>
          <cell r="AH1883" t="str">
            <v>6. Partidas significativas de gastos</v>
          </cell>
        </row>
        <row r="1884">
          <cell r="D1884" t="str">
            <v>4250700000</v>
          </cell>
          <cell r="E1884" t="str">
            <v>4250700000</v>
          </cell>
          <cell r="F1884" t="str">
            <v>Transp Pax Chill-CCP</v>
          </cell>
          <cell r="G1884" t="str">
            <v>4250700000  Transp Pax Chill-CCP</v>
          </cell>
          <cell r="H1884" t="str">
            <v>Est. Resultado</v>
          </cell>
          <cell r="I1884" t="str">
            <v>Resultado</v>
          </cell>
          <cell r="J1884" t="str">
            <v>3. Costo de Venta</v>
          </cell>
          <cell r="K1884" t="str">
            <v>6. Serv Terceros y Ventas</v>
          </cell>
          <cell r="L1884" t="str">
            <v>EBITDA</v>
          </cell>
          <cell r="M1884" t="str">
            <v>MARGEN BRUTO</v>
          </cell>
          <cell r="N1884" t="str">
            <v>GANANCIAS (PERDIDAS) ANTES DE IMPUESTOS</v>
          </cell>
          <cell r="O1884" t="str">
            <v>GANANCIA (PÉRDIDA) NETA</v>
          </cell>
          <cell r="P1884" t="str">
            <v>Resultado Ingresos y Gastos Integrales</v>
          </cell>
          <cell r="Q1884" t="str">
            <v>I. Ganancia (pérdida), antes de impuestos</v>
          </cell>
          <cell r="R1884" t="str">
            <v>a. Ganancia bruta</v>
          </cell>
          <cell r="S1884" t="str">
            <v>2. Costo de ventas</v>
          </cell>
          <cell r="T1884" t="str">
            <v>6. Serv Terceros y Ventas</v>
          </cell>
          <cell r="V1884" t="str">
            <v>II. Gastos</v>
          </cell>
          <cell r="W1884" t="str">
            <v>23. Bienes y Servicios para la Producción</v>
          </cell>
          <cell r="Z1884" t="str">
            <v>II. Costo Ventas</v>
          </cell>
          <cell r="AA1884" t="str">
            <v>6. Serv Terceros y Ventas</v>
          </cell>
          <cell r="AC1884" t="str">
            <v>II. Costo de Explotación</v>
          </cell>
          <cell r="AD1884" t="str">
            <v>2. Bienes y servicios Expl.</v>
          </cell>
          <cell r="AE1884" t="str">
            <v>6. Serv Terceros y Ventas</v>
          </cell>
          <cell r="AG1884" t="str">
            <v xml:space="preserve"> </v>
          </cell>
          <cell r="AH1884" t="str">
            <v>6. Partidas significativas de gastos</v>
          </cell>
        </row>
        <row r="1885">
          <cell r="D1885" t="str">
            <v>4250750000</v>
          </cell>
          <cell r="E1885" t="str">
            <v>4250750000</v>
          </cell>
          <cell r="F1885" t="str">
            <v>Tranp Valores y Ch</v>
          </cell>
          <cell r="G1885" t="str">
            <v>4250750000  Tranp Valores y Ch</v>
          </cell>
          <cell r="H1885" t="str">
            <v>Est. Resultado</v>
          </cell>
          <cell r="I1885" t="str">
            <v>Resultado</v>
          </cell>
          <cell r="J1885" t="str">
            <v>3. Costo de Venta</v>
          </cell>
          <cell r="K1885" t="str">
            <v>6. Serv Terceros y Ventas</v>
          </cell>
          <cell r="L1885" t="str">
            <v>EBITDA</v>
          </cell>
          <cell r="M1885" t="str">
            <v>MARGEN BRUTO</v>
          </cell>
          <cell r="N1885" t="str">
            <v>GANANCIAS (PERDIDAS) ANTES DE IMPUESTOS</v>
          </cell>
          <cell r="O1885" t="str">
            <v>GANANCIA (PÉRDIDA) NETA</v>
          </cell>
          <cell r="P1885" t="str">
            <v>Resultado Ingresos y Gastos Integrales</v>
          </cell>
          <cell r="Q1885" t="str">
            <v>I. Ganancia (pérdida), antes de impuestos</v>
          </cell>
          <cell r="R1885" t="str">
            <v>a. Ganancia bruta</v>
          </cell>
          <cell r="S1885" t="str">
            <v>2. Costo de ventas</v>
          </cell>
          <cell r="T1885" t="str">
            <v>6. Serv Terceros y Ventas</v>
          </cell>
          <cell r="V1885" t="str">
            <v>II. Gastos</v>
          </cell>
          <cell r="W1885" t="str">
            <v>23. Bienes y Servicios para la Producción</v>
          </cell>
          <cell r="Z1885" t="str">
            <v>II. Costo Ventas</v>
          </cell>
          <cell r="AA1885" t="str">
            <v>6. Serv Terceros y Ventas</v>
          </cell>
          <cell r="AC1885" t="str">
            <v>II. Costo de Explotación</v>
          </cell>
          <cell r="AD1885" t="str">
            <v>2. Bienes y servicios Expl.</v>
          </cell>
          <cell r="AE1885" t="str">
            <v>6. Serv Terceros y Ventas</v>
          </cell>
          <cell r="AG1885" t="str">
            <v xml:space="preserve"> </v>
          </cell>
          <cell r="AH1885" t="str">
            <v>6. Partidas significativas de gastos</v>
          </cell>
        </row>
        <row r="1886">
          <cell r="D1886" t="str">
            <v>4250750010</v>
          </cell>
          <cell r="E1886" t="str">
            <v>4250750010</v>
          </cell>
          <cell r="F1886" t="str">
            <v>Comision Tarjetas</v>
          </cell>
          <cell r="G1886" t="str">
            <v>4250750010  Comision Tarjetas</v>
          </cell>
          <cell r="H1886" t="str">
            <v>Est. Resultado</v>
          </cell>
          <cell r="I1886" t="str">
            <v>Resultado</v>
          </cell>
          <cell r="J1886" t="str">
            <v>3. Costo de Venta</v>
          </cell>
          <cell r="K1886" t="str">
            <v>6. Serv Terceros y Ventas</v>
          </cell>
          <cell r="L1886" t="str">
            <v>EBITDA</v>
          </cell>
          <cell r="M1886" t="str">
            <v>MARGEN BRUTO</v>
          </cell>
          <cell r="N1886" t="str">
            <v>GANANCIAS (PERDIDAS) ANTES DE IMPUESTOS</v>
          </cell>
          <cell r="O1886" t="str">
            <v>GANANCIA (PÉRDIDA) NETA</v>
          </cell>
          <cell r="P1886" t="str">
            <v>Resultado Ingresos y Gastos Integrales</v>
          </cell>
          <cell r="Q1886" t="str">
            <v>I. Ganancia (pérdida), antes de impuestos</v>
          </cell>
          <cell r="R1886" t="str">
            <v>a. Ganancia bruta</v>
          </cell>
          <cell r="S1886" t="str">
            <v>2. Costo de ventas</v>
          </cell>
          <cell r="T1886" t="str">
            <v>6. Serv Terceros y Ventas</v>
          </cell>
          <cell r="V1886" t="str">
            <v>II. Gastos</v>
          </cell>
          <cell r="W1886" t="str">
            <v>23. Bienes y Servicios para la Producción</v>
          </cell>
          <cell r="Z1886" t="str">
            <v>II. Costo Ventas</v>
          </cell>
          <cell r="AA1886" t="str">
            <v>6. Serv Terceros y Ventas</v>
          </cell>
          <cell r="AC1886" t="str">
            <v>II. Costo de Explotación</v>
          </cell>
          <cell r="AD1886" t="str">
            <v>2. Bienes y servicios Expl.</v>
          </cell>
          <cell r="AE1886" t="str">
            <v>6. Serv Terceros y Ventas</v>
          </cell>
          <cell r="AG1886" t="str">
            <v xml:space="preserve"> </v>
          </cell>
          <cell r="AH1886" t="str">
            <v>6. Partidas significativas de gastos</v>
          </cell>
        </row>
        <row r="1887">
          <cell r="D1887" t="str">
            <v>4290200000</v>
          </cell>
          <cell r="E1887" t="str">
            <v>4290200000</v>
          </cell>
          <cell r="F1887" t="str">
            <v>Arriendo Vehiculos</v>
          </cell>
          <cell r="G1887" t="str">
            <v>4290200000  Arriendo Vehiculos</v>
          </cell>
          <cell r="H1887" t="str">
            <v>Est. Resultado</v>
          </cell>
          <cell r="I1887" t="str">
            <v>Resultado</v>
          </cell>
          <cell r="J1887" t="str">
            <v>3. Costo de Venta</v>
          </cell>
          <cell r="K1887" t="str">
            <v>6. Serv Terceros y Ventas</v>
          </cell>
          <cell r="L1887" t="str">
            <v>EBITDA</v>
          </cell>
          <cell r="M1887" t="str">
            <v>MARGEN BRUTO</v>
          </cell>
          <cell r="N1887" t="str">
            <v>GANANCIAS (PERDIDAS) ANTES DE IMPUESTOS</v>
          </cell>
          <cell r="O1887" t="str">
            <v>GANANCIA (PÉRDIDA) NETA</v>
          </cell>
          <cell r="P1887" t="str">
            <v>Resultado Ingresos y Gastos Integrales</v>
          </cell>
          <cell r="Q1887" t="str">
            <v>I. Ganancia (pérdida), antes de impuestos</v>
          </cell>
          <cell r="R1887" t="str">
            <v>a. Ganancia bruta</v>
          </cell>
          <cell r="S1887" t="str">
            <v>2. Costo de ventas</v>
          </cell>
          <cell r="T1887" t="str">
            <v>6. Serv Terceros y Ventas</v>
          </cell>
          <cell r="V1887" t="str">
            <v>II. Gastos</v>
          </cell>
          <cell r="W1887" t="str">
            <v>23. Bienes y Servicios para la Producción</v>
          </cell>
          <cell r="Z1887" t="str">
            <v>II. Costo Ventas</v>
          </cell>
          <cell r="AA1887" t="str">
            <v>6. Serv Terceros y Ventas</v>
          </cell>
          <cell r="AC1887" t="str">
            <v>II. Costo de Explotación</v>
          </cell>
          <cell r="AD1887" t="str">
            <v>2. Bienes y servicios Expl.</v>
          </cell>
          <cell r="AE1887" t="str">
            <v>6. Serv Terceros y Ventas</v>
          </cell>
          <cell r="AG1887" t="str">
            <v xml:space="preserve"> </v>
          </cell>
          <cell r="AH1887" t="str">
            <v>6. Partidas significativas de gastos</v>
          </cell>
        </row>
        <row r="1888">
          <cell r="D1888" t="str">
            <v>4290300000</v>
          </cell>
          <cell r="E1888" t="str">
            <v>4290300000</v>
          </cell>
          <cell r="F1888" t="str">
            <v>Arriendo Maquinaria</v>
          </cell>
          <cell r="G1888" t="str">
            <v>4290300000  Arriendo Maquinaria</v>
          </cell>
          <cell r="H1888" t="str">
            <v>Est. Resultado</v>
          </cell>
          <cell r="I1888" t="str">
            <v>Resultado</v>
          </cell>
          <cell r="J1888" t="str">
            <v>3. Costo de Venta</v>
          </cell>
          <cell r="K1888" t="str">
            <v>6. Serv Terceros y Ventas</v>
          </cell>
          <cell r="L1888" t="str">
            <v>EBITDA</v>
          </cell>
          <cell r="M1888" t="str">
            <v>MARGEN BRUTO</v>
          </cell>
          <cell r="N1888" t="str">
            <v>GANANCIAS (PERDIDAS) ANTES DE IMPUESTOS</v>
          </cell>
          <cell r="O1888" t="str">
            <v>GANANCIA (PÉRDIDA) NETA</v>
          </cell>
          <cell r="P1888" t="str">
            <v>Resultado Ingresos y Gastos Integrales</v>
          </cell>
          <cell r="Q1888" t="str">
            <v>I. Ganancia (pérdida), antes de impuestos</v>
          </cell>
          <cell r="R1888" t="str">
            <v>a. Ganancia bruta</v>
          </cell>
          <cell r="S1888" t="str">
            <v>2. Costo de ventas</v>
          </cell>
          <cell r="T1888" t="str">
            <v>6. Serv Terceros y Ventas</v>
          </cell>
          <cell r="V1888" t="str">
            <v>II. Gastos</v>
          </cell>
          <cell r="W1888" t="str">
            <v>23. Bienes y Servicios para la Producción</v>
          </cell>
          <cell r="Z1888" t="str">
            <v>II. Costo Ventas</v>
          </cell>
          <cell r="AA1888" t="str">
            <v>6. Serv Terceros y Ventas</v>
          </cell>
          <cell r="AC1888" t="str">
            <v>II. Costo de Explotación</v>
          </cell>
          <cell r="AD1888" t="str">
            <v>2. Bienes y servicios Expl.</v>
          </cell>
          <cell r="AE1888" t="str">
            <v>6. Serv Terceros y Ventas</v>
          </cell>
          <cell r="AG1888" t="str">
            <v xml:space="preserve"> </v>
          </cell>
          <cell r="AH1888" t="str">
            <v>6. Partidas significativas de gastos</v>
          </cell>
        </row>
        <row r="1889">
          <cell r="D1889" t="str">
            <v>4100100010</v>
          </cell>
          <cell r="E1889" t="str">
            <v>4100100010</v>
          </cell>
          <cell r="F1889" t="str">
            <v>Sueldo Personal EFE</v>
          </cell>
          <cell r="G1889" t="str">
            <v>4100100010  Sueldo Personal EFE</v>
          </cell>
          <cell r="H1889" t="str">
            <v>Est. Resultado</v>
          </cell>
          <cell r="I1889" t="str">
            <v>Resultado</v>
          </cell>
          <cell r="J1889" t="str">
            <v>3. Costo de Venta</v>
          </cell>
          <cell r="K1889" t="str">
            <v>6. Serv Terceros y Ventas</v>
          </cell>
          <cell r="L1889" t="str">
            <v>EBITDA</v>
          </cell>
          <cell r="M1889" t="str">
            <v>MARGEN BRUTO</v>
          </cell>
          <cell r="N1889" t="str">
            <v>GANANCIAS (PERDIDAS) ANTES DE IMPUESTOS</v>
          </cell>
          <cell r="O1889" t="str">
            <v>GANANCIA (PÉRDIDA) NETA</v>
          </cell>
          <cell r="P1889" t="str">
            <v>Resultado Ingresos y Gastos Integrales</v>
          </cell>
          <cell r="Q1889" t="str">
            <v>I. Ganancia (pérdida), antes de impuestos</v>
          </cell>
          <cell r="R1889" t="str">
            <v>a. Ganancia bruta</v>
          </cell>
          <cell r="S1889" t="str">
            <v>2. Costo de ventas</v>
          </cell>
          <cell r="T1889" t="str">
            <v>6. Serv Terceros y Ventas</v>
          </cell>
          <cell r="V1889" t="str">
            <v>II. Gastos</v>
          </cell>
          <cell r="W1889" t="str">
            <v>23. Bienes y Servicios para la Producción</v>
          </cell>
          <cell r="Z1889" t="str">
            <v>II. Costo Ventas</v>
          </cell>
          <cell r="AA1889" t="str">
            <v>6. Serv Terceros y Ventas</v>
          </cell>
          <cell r="AC1889" t="str">
            <v>II. Costo de Explotación</v>
          </cell>
          <cell r="AD1889" t="str">
            <v>2. Bienes y servicios Expl.</v>
          </cell>
          <cell r="AE1889" t="str">
            <v>6. Serv Terceros y Ventas</v>
          </cell>
          <cell r="AH1889" t="str">
            <v>6. Partidas significativas de gastos</v>
          </cell>
        </row>
        <row r="1890">
          <cell r="D1890" t="str">
            <v>4250450020</v>
          </cell>
          <cell r="E1890" t="str">
            <v>4250450020</v>
          </cell>
          <cell r="F1890" t="str">
            <v>Torniquete Biotren</v>
          </cell>
          <cell r="G1890" t="str">
            <v>4250450020  Torniquete Biotren</v>
          </cell>
          <cell r="H1890" t="str">
            <v>Est. Resultado</v>
          </cell>
          <cell r="I1890" t="str">
            <v>Resultado</v>
          </cell>
          <cell r="J1890" t="str">
            <v>3. Costo de Venta</v>
          </cell>
          <cell r="K1890" t="str">
            <v>6. Serv Terceros y Ventas</v>
          </cell>
          <cell r="L1890" t="str">
            <v>EBITDA</v>
          </cell>
          <cell r="M1890" t="str">
            <v>MARGEN BRUTO</v>
          </cell>
          <cell r="N1890" t="str">
            <v>GANANCIAS (PERDIDAS) ANTES DE IMPUESTOS</v>
          </cell>
          <cell r="O1890" t="str">
            <v>GANANCIA (PÉRDIDA) NETA</v>
          </cell>
          <cell r="P1890" t="str">
            <v>Resultado Ingresos y Gastos Integrales</v>
          </cell>
          <cell r="Q1890" t="str">
            <v>I. Ganancia (pérdida), antes de impuestos</v>
          </cell>
          <cell r="R1890" t="str">
            <v>a. Ganancia bruta</v>
          </cell>
          <cell r="S1890" t="str">
            <v>2. Costo de ventas</v>
          </cell>
          <cell r="T1890" t="str">
            <v>6. Serv Terceros y Ventas</v>
          </cell>
          <cell r="V1890" t="str">
            <v>II. Gastos</v>
          </cell>
          <cell r="W1890" t="str">
            <v>23. Bienes y Servicios para la Producción</v>
          </cell>
          <cell r="Z1890" t="str">
            <v>II. Costo Ventas</v>
          </cell>
          <cell r="AA1890" t="str">
            <v>6. Serv Terceros y Ventas</v>
          </cell>
          <cell r="AC1890" t="str">
            <v>II. Costo de Explotación</v>
          </cell>
          <cell r="AD1890" t="str">
            <v>2. Bienes y servicios Expl.</v>
          </cell>
          <cell r="AE1890" t="str">
            <v>6. Serv Terceros y Ventas</v>
          </cell>
          <cell r="AH1890" t="str">
            <v>6. Partidas significativas de gastos</v>
          </cell>
        </row>
        <row r="1891">
          <cell r="D1891" t="str">
            <v>4230510000</v>
          </cell>
          <cell r="E1891" t="str">
            <v>4230510000</v>
          </cell>
          <cell r="F1891" t="str">
            <v>Transb Alim Emerg</v>
          </cell>
          <cell r="G1891" t="str">
            <v>4230510000  Transb Alim Emerg</v>
          </cell>
          <cell r="H1891" t="str">
            <v>Est. Resultado</v>
          </cell>
          <cell r="I1891" t="str">
            <v>Resultado</v>
          </cell>
          <cell r="J1891" t="str">
            <v>3. Costo de Venta</v>
          </cell>
          <cell r="K1891" t="str">
            <v>6. Serv Terceros y Ventas</v>
          </cell>
          <cell r="L1891" t="str">
            <v>EBITDA</v>
          </cell>
          <cell r="M1891" t="str">
            <v>MARGEN BRUTO</v>
          </cell>
          <cell r="N1891" t="str">
            <v>GANANCIAS (PERDIDAS) ANTES DE IMPUESTOS</v>
          </cell>
          <cell r="O1891" t="str">
            <v>GANANCIA (PÉRDIDA) NETA</v>
          </cell>
          <cell r="P1891" t="str">
            <v>Resultado Ingresos y Gastos Integrales</v>
          </cell>
          <cell r="Q1891" t="str">
            <v>I. Ganancia (pérdida), antes de impuestos</v>
          </cell>
          <cell r="R1891" t="str">
            <v>a. Ganancia bruta</v>
          </cell>
          <cell r="S1891" t="str">
            <v>2. Costo de ventas</v>
          </cell>
          <cell r="T1891" t="str">
            <v>6. Serv Terceros y Ventas</v>
          </cell>
          <cell r="V1891" t="str">
            <v>II. Gastos</v>
          </cell>
          <cell r="W1891" t="str">
            <v>23. Bienes y Servicios para la Producción</v>
          </cell>
          <cell r="Z1891" t="str">
            <v>II. Costo Ventas</v>
          </cell>
          <cell r="AA1891" t="str">
            <v>6. Serv Terceros y Ventas</v>
          </cell>
          <cell r="AC1891" t="str">
            <v>II. Costo de Explotación</v>
          </cell>
          <cell r="AD1891" t="str">
            <v>2. Bienes y servicios Expl.</v>
          </cell>
          <cell r="AE1891" t="str">
            <v>6. Serv Terceros y Ventas</v>
          </cell>
          <cell r="AH1891" t="str">
            <v>6. Partidas significativas de gastos</v>
          </cell>
        </row>
        <row r="1892">
          <cell r="D1892" t="str">
            <v>4290100000</v>
          </cell>
          <cell r="E1892" t="str">
            <v>4290100000</v>
          </cell>
          <cell r="F1892" t="str">
            <v>Arriendo Equipo Rodante</v>
          </cell>
          <cell r="G1892" t="str">
            <v>4290100000  Arriendo Equipo Rodante</v>
          </cell>
          <cell r="H1892" t="str">
            <v>Est. Resultado</v>
          </cell>
          <cell r="I1892" t="str">
            <v>Resultado</v>
          </cell>
          <cell r="J1892" t="str">
            <v>3. Costo de Venta</v>
          </cell>
          <cell r="K1892" t="str">
            <v>6. Serv Terceros y Ventas</v>
          </cell>
          <cell r="L1892" t="str">
            <v>EBITDA</v>
          </cell>
          <cell r="M1892" t="str">
            <v>MARGEN BRUTO</v>
          </cell>
          <cell r="N1892" t="str">
            <v>GANANCIAS (PERDIDAS) ANTES DE IMPUESTOS</v>
          </cell>
          <cell r="O1892" t="str">
            <v>GANANCIA (PÉRDIDA) NETA</v>
          </cell>
          <cell r="P1892" t="str">
            <v>Resultado Ingresos y Gastos Integrales</v>
          </cell>
          <cell r="Q1892" t="str">
            <v>I. Ganancia (pérdida), antes de impuestos</v>
          </cell>
          <cell r="R1892" t="str">
            <v>a. Ganancia bruta</v>
          </cell>
          <cell r="S1892" t="str">
            <v>2. Costo de ventas</v>
          </cell>
          <cell r="T1892" t="str">
            <v>6. Serv Terceros y Ventas</v>
          </cell>
          <cell r="V1892" t="str">
            <v>II. Gastos</v>
          </cell>
          <cell r="W1892" t="str">
            <v>23. Bienes y Servicios para la Producción</v>
          </cell>
          <cell r="Z1892" t="str">
            <v>II. Costo Ventas</v>
          </cell>
          <cell r="AA1892" t="str">
            <v>6. Serv Terceros y Ventas</v>
          </cell>
          <cell r="AC1892" t="str">
            <v>II. Costo de Explotación</v>
          </cell>
          <cell r="AD1892" t="str">
            <v>2. Bienes y servicios Expl.</v>
          </cell>
          <cell r="AE1892" t="str">
            <v>6. Serv Terceros y Ventas</v>
          </cell>
          <cell r="AH1892" t="str">
            <v>6. Partidas significativas de gastos</v>
          </cell>
        </row>
        <row r="1893">
          <cell r="D1893">
            <v>0</v>
          </cell>
          <cell r="G1893" t="str">
            <v/>
          </cell>
          <cell r="H1893" t="str">
            <v>Est. Resultado</v>
          </cell>
          <cell r="I1893" t="str">
            <v>Resultado</v>
          </cell>
          <cell r="J1893" t="str">
            <v>3. Costo de Venta</v>
          </cell>
          <cell r="K1893" t="str">
            <v>6. Serv Terceros y Ventas</v>
          </cell>
          <cell r="L1893" t="str">
            <v>EBITDA</v>
          </cell>
          <cell r="M1893" t="str">
            <v>MARGEN BRUTO</v>
          </cell>
          <cell r="N1893" t="str">
            <v>GANANCIAS (PERDIDAS) ANTES DE IMPUESTOS</v>
          </cell>
          <cell r="O1893" t="str">
            <v>GANANCIA (PÉRDIDA) NETA</v>
          </cell>
          <cell r="P1893" t="str">
            <v>Resultado Ingresos y Gastos Integrales</v>
          </cell>
          <cell r="Q1893" t="str">
            <v>I. Ganancia (pérdida), antes de impuestos</v>
          </cell>
          <cell r="R1893" t="str">
            <v>a. Ganancia bruta</v>
          </cell>
          <cell r="S1893" t="str">
            <v>2. Costo de ventas</v>
          </cell>
          <cell r="T1893" t="str">
            <v>6. Serv Terceros y Ventas</v>
          </cell>
          <cell r="V1893" t="str">
            <v>II. Gastos</v>
          </cell>
          <cell r="W1893" t="str">
            <v>23. Bienes y Servicios para la Producción</v>
          </cell>
          <cell r="Z1893" t="str">
            <v>II. Costo Ventas</v>
          </cell>
          <cell r="AA1893" t="str">
            <v>6. Serv Terceros y Ventas</v>
          </cell>
          <cell r="AC1893" t="str">
            <v>II. Costo de Explotación</v>
          </cell>
          <cell r="AD1893" t="str">
            <v>2. Bienes y servicios Expl.</v>
          </cell>
          <cell r="AE1893" t="str">
            <v>6. Serv Terceros y Ventas</v>
          </cell>
          <cell r="AH1893" t="str">
            <v>6. Partidas significativas de gastos</v>
          </cell>
        </row>
        <row r="1894">
          <cell r="D1894">
            <v>0</v>
          </cell>
          <cell r="G1894" t="str">
            <v/>
          </cell>
          <cell r="H1894" t="str">
            <v>Est. Resultado</v>
          </cell>
          <cell r="I1894" t="str">
            <v>Resultado</v>
          </cell>
          <cell r="J1894" t="str">
            <v>3. Costo de Venta</v>
          </cell>
          <cell r="K1894" t="str">
            <v>6. Serv Terceros y Ventas</v>
          </cell>
          <cell r="L1894" t="str">
            <v>EBITDA</v>
          </cell>
          <cell r="M1894" t="str">
            <v>MARGEN BRUTO</v>
          </cell>
          <cell r="N1894" t="str">
            <v>GANANCIAS (PERDIDAS) ANTES DE IMPUESTOS</v>
          </cell>
          <cell r="O1894" t="str">
            <v>GANANCIA (PÉRDIDA) NETA</v>
          </cell>
          <cell r="P1894" t="str">
            <v>Resultado Ingresos y Gastos Integrales</v>
          </cell>
          <cell r="Q1894" t="str">
            <v>I. Ganancia (pérdida), antes de impuestos</v>
          </cell>
          <cell r="R1894" t="str">
            <v>a. Ganancia bruta</v>
          </cell>
          <cell r="S1894" t="str">
            <v>2. Costo de ventas</v>
          </cell>
          <cell r="T1894" t="str">
            <v>6. Serv Terceros y Ventas</v>
          </cell>
          <cell r="V1894" t="str">
            <v>II. Gastos</v>
          </cell>
          <cell r="W1894" t="str">
            <v>23. Bienes y Servicios para la Producción</v>
          </cell>
          <cell r="Z1894" t="str">
            <v>II. Costo Ventas</v>
          </cell>
          <cell r="AA1894" t="str">
            <v>6. Serv Terceros y Ventas</v>
          </cell>
          <cell r="AC1894" t="str">
            <v>II. Costo de Explotación</v>
          </cell>
          <cell r="AD1894" t="str">
            <v>2. Bienes y servicios Expl.</v>
          </cell>
          <cell r="AE1894" t="str">
            <v>6. Serv Terceros y Ventas</v>
          </cell>
          <cell r="AH1894" t="str">
            <v>6. Partidas significativas de gastos</v>
          </cell>
        </row>
        <row r="1895">
          <cell r="D1895">
            <v>0</v>
          </cell>
          <cell r="G1895" t="str">
            <v/>
          </cell>
          <cell r="H1895" t="str">
            <v>Est. Resultado</v>
          </cell>
          <cell r="I1895" t="str">
            <v>Resultado</v>
          </cell>
          <cell r="J1895" t="str">
            <v>3. Costo de Venta</v>
          </cell>
          <cell r="K1895" t="str">
            <v>6. Serv Terceros y Ventas</v>
          </cell>
          <cell r="L1895" t="str">
            <v>EBITDA</v>
          </cell>
          <cell r="M1895" t="str">
            <v>MARGEN BRUTO</v>
          </cell>
          <cell r="N1895" t="str">
            <v>GANANCIAS (PERDIDAS) ANTES DE IMPUESTOS</v>
          </cell>
          <cell r="O1895" t="str">
            <v>GANANCIA (PÉRDIDA) NETA</v>
          </cell>
          <cell r="P1895" t="str">
            <v>Resultado Ingresos y Gastos Integrales</v>
          </cell>
          <cell r="Q1895" t="str">
            <v>I. Ganancia (pérdida), antes de impuestos</v>
          </cell>
          <cell r="R1895" t="str">
            <v>a. Ganancia bruta</v>
          </cell>
          <cell r="S1895" t="str">
            <v>2. Costo de ventas</v>
          </cell>
          <cell r="T1895" t="str">
            <v>6. Serv Terceros y Ventas</v>
          </cell>
          <cell r="V1895" t="str">
            <v>II. Gastos</v>
          </cell>
          <cell r="W1895" t="str">
            <v>23. Bienes y Servicios para la Producción</v>
          </cell>
          <cell r="Z1895" t="str">
            <v>II. Costo Ventas</v>
          </cell>
          <cell r="AA1895" t="str">
            <v>6. Serv Terceros y Ventas</v>
          </cell>
          <cell r="AC1895" t="str">
            <v>II. Costo de Explotación</v>
          </cell>
          <cell r="AD1895" t="str">
            <v>2. Bienes y servicios Expl.</v>
          </cell>
          <cell r="AE1895" t="str">
            <v>6. Serv Terceros y Ventas</v>
          </cell>
          <cell r="AH1895" t="str">
            <v>6. Partidas significativas de gastos</v>
          </cell>
        </row>
        <row r="1896">
          <cell r="D1896" t="str">
            <v>Serv Terceros y Ventas</v>
          </cell>
          <cell r="E1896" t="str">
            <v>Serv Terceros y Ventas</v>
          </cell>
          <cell r="G1896" t="str">
            <v xml:space="preserve">Serv Terceros y Ventas  </v>
          </cell>
          <cell r="H1896" t="str">
            <v/>
          </cell>
          <cell r="I1896" t="str">
            <v/>
          </cell>
          <cell r="L1896" t="str">
            <v/>
          </cell>
          <cell r="M1896" t="str">
            <v/>
          </cell>
          <cell r="N1896" t="str">
            <v/>
          </cell>
          <cell r="O1896" t="str">
            <v/>
          </cell>
          <cell r="P1896" t="str">
            <v/>
          </cell>
        </row>
        <row r="1897">
          <cell r="D1897" t="str">
            <v>COSTO DE VENTA</v>
          </cell>
          <cell r="E1897" t="str">
            <v>COSTO DE VENTA</v>
          </cell>
          <cell r="G1897" t="str">
            <v xml:space="preserve">COSTO DE VENTA  </v>
          </cell>
          <cell r="H1897" t="str">
            <v/>
          </cell>
          <cell r="I1897" t="str">
            <v/>
          </cell>
          <cell r="L1897" t="str">
            <v/>
          </cell>
          <cell r="M1897" t="str">
            <v/>
          </cell>
          <cell r="N1897" t="str">
            <v/>
          </cell>
          <cell r="O1897" t="str">
            <v/>
          </cell>
          <cell r="P1897" t="str">
            <v/>
          </cell>
        </row>
        <row r="1898">
          <cell r="D1898" t="str">
            <v>4360100000</v>
          </cell>
          <cell r="E1898" t="str">
            <v>4360100000</v>
          </cell>
          <cell r="F1898" t="str">
            <v>Deprec Bienes Operac</v>
          </cell>
          <cell r="G1898" t="str">
            <v>4360100000  Deprec Bienes Operac</v>
          </cell>
          <cell r="H1898" t="str">
            <v>Est. Resultado</v>
          </cell>
          <cell r="I1898" t="str">
            <v>Resultado</v>
          </cell>
          <cell r="J1898" t="str">
            <v>4. Depreciación</v>
          </cell>
          <cell r="K1898" t="str">
            <v>1. Depreciación</v>
          </cell>
          <cell r="L1898" t="str">
            <v>EBITDA</v>
          </cell>
          <cell r="M1898" t="str">
            <v>MARGEN BRUTO</v>
          </cell>
          <cell r="N1898" t="str">
            <v>GANANCIAS (PERDIDAS) ANTES DE IMPUESTOS</v>
          </cell>
          <cell r="O1898" t="str">
            <v>GANANCIA (PÉRDIDA) NETA</v>
          </cell>
          <cell r="P1898" t="str">
            <v>Resultado Ingresos y Gastos Integrales</v>
          </cell>
          <cell r="Q1898" t="str">
            <v>I. Ganancia (pérdida), antes de impuestos</v>
          </cell>
          <cell r="R1898" t="str">
            <v>a. Ganancia bruta</v>
          </cell>
          <cell r="S1898" t="str">
            <v>2. Costo de ventas</v>
          </cell>
          <cell r="T1898" t="str">
            <v>10. Depreciación</v>
          </cell>
          <cell r="Z1898" t="str">
            <v>II. Costo Ventas</v>
          </cell>
          <cell r="AA1898" t="str">
            <v>8. Depreciación</v>
          </cell>
          <cell r="AC1898" t="str">
            <v>IV. Depreciación</v>
          </cell>
          <cell r="AD1898" t="str">
            <v>1. Depreciación</v>
          </cell>
          <cell r="AE1898" t="str">
            <v>1. Depreciación A.F.</v>
          </cell>
          <cell r="AH1898" t="str">
            <v>4. Depreciaciones y amortizaciones</v>
          </cell>
        </row>
        <row r="1899">
          <cell r="D1899" t="str">
            <v>4360300000</v>
          </cell>
          <cell r="E1899" t="str">
            <v>4360300000</v>
          </cell>
          <cell r="F1899" t="str">
            <v>Deprec Vias Operac</v>
          </cell>
          <cell r="G1899" t="str">
            <v>4360300000  Deprec Vias Operac</v>
          </cell>
          <cell r="H1899" t="str">
            <v>Est. Resultado</v>
          </cell>
          <cell r="I1899" t="str">
            <v>Resultado</v>
          </cell>
          <cell r="J1899" t="str">
            <v>4. Depreciación</v>
          </cell>
          <cell r="K1899" t="str">
            <v>1. Depreciación</v>
          </cell>
          <cell r="L1899" t="str">
            <v>EBITDA</v>
          </cell>
          <cell r="M1899" t="str">
            <v>MARGEN BRUTO</v>
          </cell>
          <cell r="N1899" t="str">
            <v>GANANCIAS (PERDIDAS) ANTES DE IMPUESTOS</v>
          </cell>
          <cell r="O1899" t="str">
            <v>GANANCIA (PÉRDIDA) NETA</v>
          </cell>
          <cell r="P1899" t="str">
            <v>Resultado Ingresos y Gastos Integrales</v>
          </cell>
          <cell r="Q1899" t="str">
            <v>I. Ganancia (pérdida), antes de impuestos</v>
          </cell>
          <cell r="R1899" t="str">
            <v>a. Ganancia bruta</v>
          </cell>
          <cell r="S1899" t="str">
            <v>2. Costo de ventas</v>
          </cell>
          <cell r="T1899" t="str">
            <v>10. Depreciación</v>
          </cell>
          <cell r="Z1899" t="str">
            <v>II. Costo Ventas</v>
          </cell>
          <cell r="AA1899" t="str">
            <v>8. Depreciación</v>
          </cell>
          <cell r="AC1899" t="str">
            <v>IV. Depreciación</v>
          </cell>
          <cell r="AD1899" t="str">
            <v>1. Depreciación</v>
          </cell>
          <cell r="AE1899" t="str">
            <v>1. Depreciación A.F.</v>
          </cell>
          <cell r="AH1899" t="str">
            <v>4. Depreciaciones y amortizaciones</v>
          </cell>
        </row>
        <row r="1900">
          <cell r="D1900" t="str">
            <v>4360310000</v>
          </cell>
          <cell r="E1900" t="str">
            <v>4360310000</v>
          </cell>
          <cell r="F1900" t="str">
            <v>Deprec Vias Operac Comp.</v>
          </cell>
          <cell r="G1900" t="str">
            <v>4360310000  Deprec Vias Operac Comp.</v>
          </cell>
          <cell r="H1900" t="str">
            <v>Est. Resultado</v>
          </cell>
          <cell r="I1900" t="str">
            <v>Resultado</v>
          </cell>
          <cell r="J1900" t="str">
            <v>4. Depreciación</v>
          </cell>
          <cell r="K1900" t="str">
            <v>1. Depreciación</v>
          </cell>
          <cell r="L1900" t="str">
            <v>EBITDA</v>
          </cell>
          <cell r="M1900" t="str">
            <v>MARGEN BRUTO</v>
          </cell>
          <cell r="N1900" t="str">
            <v>GANANCIAS (PERDIDAS) ANTES DE IMPUESTOS</v>
          </cell>
          <cell r="O1900" t="str">
            <v>GANANCIA (PÉRDIDA) NETA</v>
          </cell>
          <cell r="P1900" t="str">
            <v>Resultado Ingresos y Gastos Integrales</v>
          </cell>
          <cell r="Q1900" t="str">
            <v>I. Ganancia (pérdida), antes de impuestos</v>
          </cell>
          <cell r="R1900" t="str">
            <v>a. Ganancia bruta</v>
          </cell>
          <cell r="S1900" t="str">
            <v>2. Costo de ventas</v>
          </cell>
          <cell r="T1900" t="str">
            <v>10. Depreciación</v>
          </cell>
          <cell r="Z1900" t="str">
            <v>II. Costo Ventas</v>
          </cell>
          <cell r="AA1900" t="str">
            <v>8. Depreciación</v>
          </cell>
          <cell r="AC1900" t="str">
            <v>IV. Depreciación</v>
          </cell>
          <cell r="AD1900" t="str">
            <v>1. Depreciación</v>
          </cell>
          <cell r="AE1900" t="str">
            <v>1. Depreciación A.F.</v>
          </cell>
          <cell r="AH1900" t="str">
            <v>4. Depreciaciones y amortizaciones</v>
          </cell>
        </row>
        <row r="1901">
          <cell r="D1901" t="str">
            <v>4360400000</v>
          </cell>
          <cell r="E1901" t="str">
            <v>4360400000</v>
          </cell>
          <cell r="F1901" t="str">
            <v>Depreciacion Locomotora 269</v>
          </cell>
          <cell r="G1901" t="str">
            <v>4360400000  Depreciacion Locomotora 269</v>
          </cell>
          <cell r="H1901" t="str">
            <v>Est. Resultado</v>
          </cell>
          <cell r="I1901" t="str">
            <v>Resultado</v>
          </cell>
          <cell r="J1901" t="str">
            <v>4. Depreciación</v>
          </cell>
          <cell r="K1901" t="str">
            <v>1. Depreciación</v>
          </cell>
          <cell r="L1901" t="str">
            <v>EBITDA</v>
          </cell>
          <cell r="M1901" t="str">
            <v>MARGEN BRUTO</v>
          </cell>
          <cell r="N1901" t="str">
            <v>GANANCIAS (PERDIDAS) ANTES DE IMPUESTOS</v>
          </cell>
          <cell r="O1901" t="str">
            <v>GANANCIA (PÉRDIDA) NETA</v>
          </cell>
          <cell r="P1901" t="str">
            <v>Resultado Ingresos y Gastos Integrales</v>
          </cell>
          <cell r="Q1901" t="str">
            <v>I. Ganancia (pérdida), antes de impuestos</v>
          </cell>
          <cell r="R1901" t="str">
            <v>a. Ganancia bruta</v>
          </cell>
          <cell r="S1901" t="str">
            <v>2. Costo de ventas</v>
          </cell>
          <cell r="T1901" t="str">
            <v>10. Depreciación</v>
          </cell>
          <cell r="Z1901" t="str">
            <v>II. Costo Ventas</v>
          </cell>
          <cell r="AA1901" t="str">
            <v>8. Depreciación</v>
          </cell>
          <cell r="AC1901" t="str">
            <v>IV. Depreciación</v>
          </cell>
          <cell r="AD1901" t="str">
            <v>1. Depreciación</v>
          </cell>
          <cell r="AE1901" t="str">
            <v>1. Depreciación A.F.</v>
          </cell>
          <cell r="AH1901" t="str">
            <v>4. Depreciaciones y amortizaciones</v>
          </cell>
        </row>
        <row r="1902">
          <cell r="D1902" t="str">
            <v>4360490000</v>
          </cell>
          <cell r="E1902" t="str">
            <v>4360490000</v>
          </cell>
          <cell r="F1902" t="str">
            <v>Depreciacion Automotores UT440</v>
          </cell>
          <cell r="G1902" t="str">
            <v>4360490000  Depreciacion Automotores UT440</v>
          </cell>
          <cell r="H1902" t="str">
            <v>Est. Resultado</v>
          </cell>
          <cell r="I1902" t="str">
            <v>Resultado</v>
          </cell>
          <cell r="J1902" t="str">
            <v>4. Depreciación</v>
          </cell>
          <cell r="K1902" t="str">
            <v>1. Depreciación</v>
          </cell>
          <cell r="L1902" t="str">
            <v>EBITDA</v>
          </cell>
          <cell r="M1902" t="str">
            <v>MARGEN BRUTO</v>
          </cell>
          <cell r="N1902" t="str">
            <v>GANANCIAS (PERDIDAS) ANTES DE IMPUESTOS</v>
          </cell>
          <cell r="O1902" t="str">
            <v>GANANCIA (PÉRDIDA) NETA</v>
          </cell>
          <cell r="P1902" t="str">
            <v>Resultado Ingresos y Gastos Integrales</v>
          </cell>
          <cell r="Q1902" t="str">
            <v>I. Ganancia (pérdida), antes de impuestos</v>
          </cell>
          <cell r="R1902" t="str">
            <v>a. Ganancia bruta</v>
          </cell>
          <cell r="S1902" t="str">
            <v>2. Costo de ventas</v>
          </cell>
          <cell r="T1902" t="str">
            <v>10. Depreciación</v>
          </cell>
          <cell r="Z1902" t="str">
            <v>II. Costo Ventas</v>
          </cell>
          <cell r="AA1902" t="str">
            <v>8. Depreciación</v>
          </cell>
          <cell r="AC1902" t="str">
            <v>IV. Depreciación</v>
          </cell>
          <cell r="AD1902" t="str">
            <v>1. Depreciación</v>
          </cell>
          <cell r="AE1902" t="str">
            <v>1. Depreciación A.F.</v>
          </cell>
          <cell r="AH1902" t="str">
            <v>4. Depreciaciones y amortizaciones</v>
          </cell>
        </row>
        <row r="1903">
          <cell r="D1903" t="str">
            <v>4360500000</v>
          </cell>
          <cell r="E1903" t="str">
            <v>4360500000</v>
          </cell>
          <cell r="F1903" t="str">
            <v>Depreciacion Retasacion Tecnica</v>
          </cell>
          <cell r="G1903" t="str">
            <v>4360500000  Depreciacion Retasacion Tecnica</v>
          </cell>
          <cell r="H1903" t="str">
            <v>Est. Resultado</v>
          </cell>
          <cell r="I1903" t="str">
            <v>Resultado</v>
          </cell>
          <cell r="J1903" t="str">
            <v>4. Depreciación</v>
          </cell>
          <cell r="K1903" t="str">
            <v>1. Depreciación</v>
          </cell>
          <cell r="L1903" t="str">
            <v>EBITDA</v>
          </cell>
          <cell r="M1903" t="str">
            <v>MARGEN BRUTO</v>
          </cell>
          <cell r="N1903" t="str">
            <v>GANANCIAS (PERDIDAS) ANTES DE IMPUESTOS</v>
          </cell>
          <cell r="O1903" t="str">
            <v>GANANCIA (PÉRDIDA) NETA</v>
          </cell>
          <cell r="P1903" t="str">
            <v>Resultado Ingresos y Gastos Integrales</v>
          </cell>
          <cell r="Q1903" t="str">
            <v>I. Ganancia (pérdida), antes de impuestos</v>
          </cell>
          <cell r="R1903" t="str">
            <v>a. Ganancia bruta</v>
          </cell>
          <cell r="S1903" t="str">
            <v>2. Costo de ventas</v>
          </cell>
          <cell r="T1903" t="str">
            <v>10. Depreciación</v>
          </cell>
          <cell r="Z1903" t="str">
            <v>II. Costo Ventas</v>
          </cell>
          <cell r="AA1903" t="str">
            <v>8. Depreciación</v>
          </cell>
          <cell r="AC1903" t="str">
            <v>IV. Depreciación</v>
          </cell>
          <cell r="AD1903" t="str">
            <v>1. Depreciación</v>
          </cell>
          <cell r="AE1903" t="str">
            <v>1. Depreciación A.F.</v>
          </cell>
          <cell r="AH1903" t="str">
            <v>4. Depreciaciones y amortizaciones</v>
          </cell>
        </row>
        <row r="1904">
          <cell r="D1904" t="str">
            <v>4360530000</v>
          </cell>
          <cell r="E1904" t="str">
            <v>4360530000</v>
          </cell>
          <cell r="F1904" t="str">
            <v>Depreciacion Automotor UT444</v>
          </cell>
          <cell r="G1904" t="str">
            <v>4360530000  Depreciacion Automotor UT444</v>
          </cell>
          <cell r="H1904" t="str">
            <v>Est. Resultado</v>
          </cell>
          <cell r="I1904" t="str">
            <v>Resultado</v>
          </cell>
          <cell r="J1904" t="str">
            <v>4. Depreciación</v>
          </cell>
          <cell r="K1904" t="str">
            <v>1. Depreciación</v>
          </cell>
          <cell r="L1904" t="str">
            <v>EBITDA</v>
          </cell>
          <cell r="M1904" t="str">
            <v>MARGEN BRUTO</v>
          </cell>
          <cell r="N1904" t="str">
            <v>GANANCIAS (PERDIDAS) ANTES DE IMPUESTOS</v>
          </cell>
          <cell r="O1904" t="str">
            <v>GANANCIA (PÉRDIDA) NETA</v>
          </cell>
          <cell r="P1904" t="str">
            <v>Resultado Ingresos y Gastos Integrales</v>
          </cell>
          <cell r="Q1904" t="str">
            <v>I. Ganancia (pérdida), antes de impuestos</v>
          </cell>
          <cell r="R1904" t="str">
            <v>a. Ganancia bruta</v>
          </cell>
          <cell r="S1904" t="str">
            <v>2. Costo de ventas</v>
          </cell>
          <cell r="T1904" t="str">
            <v>10. Depreciación</v>
          </cell>
          <cell r="Z1904" t="str">
            <v>II. Costo Ventas</v>
          </cell>
          <cell r="AA1904" t="str">
            <v>8. Depreciación</v>
          </cell>
          <cell r="AC1904" t="str">
            <v>IV. Depreciación</v>
          </cell>
          <cell r="AD1904" t="str">
            <v>1. Depreciación</v>
          </cell>
          <cell r="AE1904" t="str">
            <v>1. Depreciación A.F.</v>
          </cell>
          <cell r="AH1904" t="str">
            <v>4. Depreciaciones y amortizaciones</v>
          </cell>
        </row>
        <row r="1905">
          <cell r="D1905" t="str">
            <v>4360200000</v>
          </cell>
          <cell r="E1905" t="str">
            <v>4360200000</v>
          </cell>
          <cell r="F1905" t="str">
            <v>Deprec Bienes fuera de la operación</v>
          </cell>
          <cell r="G1905" t="str">
            <v>4360200000  Deprec Bienes fuera de la operación</v>
          </cell>
          <cell r="H1905" t="str">
            <v>Est. Resultado</v>
          </cell>
          <cell r="I1905" t="str">
            <v>Resultado</v>
          </cell>
          <cell r="J1905" t="str">
            <v>4. Depreciación</v>
          </cell>
          <cell r="K1905" t="str">
            <v>1. Depreciación</v>
          </cell>
          <cell r="L1905" t="str">
            <v>EBITDA</v>
          </cell>
          <cell r="M1905" t="str">
            <v>MARGEN BRUTO</v>
          </cell>
          <cell r="N1905" t="str">
            <v>GANANCIAS (PERDIDAS) ANTES DE IMPUESTOS</v>
          </cell>
          <cell r="O1905" t="str">
            <v>GANANCIA (PÉRDIDA) NETA</v>
          </cell>
          <cell r="P1905" t="str">
            <v>Resultado Ingresos y Gastos Integrales</v>
          </cell>
          <cell r="Q1905" t="str">
            <v>I. Ganancia (pérdida), antes de impuestos</v>
          </cell>
          <cell r="R1905" t="str">
            <v>a. Ganancia bruta</v>
          </cell>
          <cell r="S1905" t="str">
            <v>2. Costo de ventas</v>
          </cell>
          <cell r="T1905" t="str">
            <v>10. Depreciación</v>
          </cell>
          <cell r="Z1905" t="str">
            <v>II. Costo Ventas</v>
          </cell>
          <cell r="AA1905" t="str">
            <v>8. Depreciación</v>
          </cell>
          <cell r="AC1905" t="str">
            <v>IV. Depreciación</v>
          </cell>
          <cell r="AD1905" t="str">
            <v>1. Depreciación</v>
          </cell>
          <cell r="AE1905" t="str">
            <v>1. Depreciación A.F.</v>
          </cell>
          <cell r="AH1905" t="str">
            <v>4. Depreciaciones y amortizaciones</v>
          </cell>
        </row>
        <row r="1906">
          <cell r="D1906">
            <v>0</v>
          </cell>
          <cell r="G1906" t="str">
            <v/>
          </cell>
          <cell r="H1906" t="str">
            <v>Est. Resultado</v>
          </cell>
          <cell r="I1906" t="str">
            <v>Resultado</v>
          </cell>
          <cell r="J1906" t="str">
            <v>4. Depreciación</v>
          </cell>
          <cell r="K1906" t="str">
            <v>1. Depreciación</v>
          </cell>
          <cell r="L1906" t="str">
            <v>EBITDA</v>
          </cell>
          <cell r="M1906" t="str">
            <v>MARGEN BRUTO</v>
          </cell>
          <cell r="N1906" t="str">
            <v>GANANCIAS (PERDIDAS) ANTES DE IMPUESTOS</v>
          </cell>
          <cell r="O1906" t="str">
            <v>GANANCIA (PÉRDIDA) NETA</v>
          </cell>
          <cell r="P1906" t="str">
            <v>Resultado Ingresos y Gastos Integrales</v>
          </cell>
          <cell r="Q1906" t="str">
            <v>I. Ganancia (pérdida), antes de impuestos</v>
          </cell>
          <cell r="R1906" t="str">
            <v>a. Ganancia bruta</v>
          </cell>
          <cell r="S1906" t="str">
            <v>2. Costo de ventas</v>
          </cell>
          <cell r="T1906" t="str">
            <v>10. Depreciación</v>
          </cell>
          <cell r="Z1906" t="str">
            <v>II. Costo Ventas</v>
          </cell>
          <cell r="AA1906" t="str">
            <v>8. Depreciación</v>
          </cell>
          <cell r="AC1906" t="str">
            <v>IV. Depreciación</v>
          </cell>
          <cell r="AD1906" t="str">
            <v>1. Depreciación</v>
          </cell>
          <cell r="AE1906" t="str">
            <v>1. Depreciación A.F.</v>
          </cell>
          <cell r="AH1906" t="str">
            <v>4. Depreciaciones y amortizaciones</v>
          </cell>
        </row>
        <row r="1907">
          <cell r="D1907">
            <v>0</v>
          </cell>
          <cell r="G1907" t="str">
            <v/>
          </cell>
          <cell r="H1907" t="str">
            <v>Est. Resultado</v>
          </cell>
          <cell r="I1907" t="str">
            <v>Resultado</v>
          </cell>
          <cell r="J1907" t="str">
            <v>4. Depreciación</v>
          </cell>
          <cell r="K1907" t="str">
            <v>1. Depreciación</v>
          </cell>
          <cell r="L1907" t="str">
            <v>EBITDA</v>
          </cell>
          <cell r="M1907" t="str">
            <v>MARGEN BRUTO</v>
          </cell>
          <cell r="N1907" t="str">
            <v>GANANCIAS (PERDIDAS) ANTES DE IMPUESTOS</v>
          </cell>
          <cell r="O1907" t="str">
            <v>GANANCIA (PÉRDIDA) NETA</v>
          </cell>
          <cell r="P1907" t="str">
            <v>Resultado Ingresos y Gastos Integrales</v>
          </cell>
          <cell r="Q1907" t="str">
            <v>I. Ganancia (pérdida), antes de impuestos</v>
          </cell>
          <cell r="R1907" t="str">
            <v>a. Ganancia bruta</v>
          </cell>
          <cell r="S1907" t="str">
            <v>2. Costo de ventas</v>
          </cell>
          <cell r="T1907" t="str">
            <v>10. Depreciación</v>
          </cell>
          <cell r="Z1907" t="str">
            <v>II. Costo Ventas</v>
          </cell>
          <cell r="AA1907" t="str">
            <v>8. Depreciación</v>
          </cell>
          <cell r="AC1907" t="str">
            <v>IV. Depreciación</v>
          </cell>
          <cell r="AD1907" t="str">
            <v>1. Depreciación</v>
          </cell>
          <cell r="AE1907" t="str">
            <v>1. Depreciación A.F.</v>
          </cell>
          <cell r="AH1907" t="str">
            <v>4. Depreciaciones y amortizaciones</v>
          </cell>
        </row>
        <row r="1908">
          <cell r="D1908" t="str">
            <v>Depreciación</v>
          </cell>
          <cell r="E1908" t="str">
            <v>Depreciación</v>
          </cell>
          <cell r="G1908" t="str">
            <v xml:space="preserve">Depreciación  </v>
          </cell>
          <cell r="H1908" t="str">
            <v/>
          </cell>
          <cell r="I1908" t="str">
            <v/>
          </cell>
          <cell r="J1908" t="str">
            <v/>
          </cell>
          <cell r="K1908" t="str">
            <v/>
          </cell>
          <cell r="L1908" t="str">
            <v/>
          </cell>
          <cell r="N1908" t="str">
            <v/>
          </cell>
          <cell r="O1908" t="str">
            <v/>
          </cell>
          <cell r="P1908" t="str">
            <v/>
          </cell>
        </row>
        <row r="1909">
          <cell r="D1909" t="str">
            <v>4340600000</v>
          </cell>
          <cell r="E1909" t="str">
            <v>4340600000</v>
          </cell>
          <cell r="F1909" t="str">
            <v>IVA no Recuperable</v>
          </cell>
          <cell r="G1909" t="str">
            <v>4340600000  IVA no Recuperable</v>
          </cell>
          <cell r="H1909" t="str">
            <v>Est. Resultado</v>
          </cell>
          <cell r="I1909" t="str">
            <v>Resultado</v>
          </cell>
          <cell r="J1909" t="str">
            <v>5. IVA explotación</v>
          </cell>
          <cell r="K1909" t="str">
            <v>1. IVA Explotación</v>
          </cell>
          <cell r="L1909" t="str">
            <v>EBITDA</v>
          </cell>
          <cell r="M1909" t="str">
            <v>MARGEN BRUTO</v>
          </cell>
          <cell r="N1909" t="str">
            <v>GANANCIAS (PERDIDAS) ANTES DE IMPUESTOS</v>
          </cell>
          <cell r="O1909" t="str">
            <v>GANANCIA (PÉRDIDA) NETA</v>
          </cell>
          <cell r="P1909" t="str">
            <v>Resultado Ingresos y Gastos Integrales</v>
          </cell>
          <cell r="Q1909" t="str">
            <v>I. Ganancia (pérdida), antes de impuestos</v>
          </cell>
          <cell r="R1909" t="str">
            <v>b. Ganancia (pérdida)</v>
          </cell>
          <cell r="S1909" t="str">
            <v>6. Otros gastos, por función</v>
          </cell>
          <cell r="T1909" t="str">
            <v>1. IVA Explotación</v>
          </cell>
          <cell r="V1909" t="str">
            <v>II. Gastos</v>
          </cell>
          <cell r="Z1909" t="str">
            <v>III. Gastos de Administración</v>
          </cell>
          <cell r="AA1909" t="str">
            <v>7. Serv. Adm. E Impuestos</v>
          </cell>
          <cell r="AC1909" t="str">
            <v>II. Costo de Explotación</v>
          </cell>
          <cell r="AD1909" t="str">
            <v>2. Bienes y servicios Expl.</v>
          </cell>
          <cell r="AE1909" t="str">
            <v>7. Serv. Adm. E Impuestos</v>
          </cell>
          <cell r="AH1909" t="str">
            <v>6. Partidas significativas de gastos</v>
          </cell>
        </row>
        <row r="1910">
          <cell r="D1910">
            <v>0</v>
          </cell>
          <cell r="G1910" t="str">
            <v/>
          </cell>
          <cell r="H1910" t="str">
            <v>Est. Resultado</v>
          </cell>
          <cell r="I1910" t="str">
            <v>Resultado</v>
          </cell>
          <cell r="J1910" t="str">
            <v>5. IVA explotación</v>
          </cell>
          <cell r="K1910" t="str">
            <v>1. IVA Explotación</v>
          </cell>
          <cell r="L1910" t="str">
            <v>EBITDA</v>
          </cell>
          <cell r="M1910" t="str">
            <v>MARGEN BRUTO</v>
          </cell>
          <cell r="N1910" t="str">
            <v>GANANCIAS (PERDIDAS) ANTES DE IMPUESTOS</v>
          </cell>
          <cell r="O1910" t="str">
            <v>GANANCIA (PÉRDIDA) NETA</v>
          </cell>
          <cell r="P1910" t="str">
            <v>Resultado Ingresos y Gastos Integrales</v>
          </cell>
          <cell r="Q1910" t="str">
            <v>I. Ganancia (pérdida), antes de impuestos</v>
          </cell>
          <cell r="R1910" t="str">
            <v>b. Ganancia (pérdida)</v>
          </cell>
          <cell r="S1910" t="str">
            <v>6. Otros gastos, por función</v>
          </cell>
          <cell r="T1910" t="str">
            <v>1. IVA Explotación</v>
          </cell>
          <cell r="V1910" t="str">
            <v>II. Gastos</v>
          </cell>
          <cell r="Z1910" t="str">
            <v>III. Gastos de Administración</v>
          </cell>
          <cell r="AA1910" t="str">
            <v>7. Serv. Adm. E Impuestos</v>
          </cell>
          <cell r="AC1910" t="str">
            <v>II. Costo de Explotación</v>
          </cell>
          <cell r="AD1910" t="str">
            <v>2. Bienes y servicios Expl.</v>
          </cell>
          <cell r="AE1910" t="str">
            <v>7. Serv. Adm. E Impuestos</v>
          </cell>
          <cell r="AH1910" t="str">
            <v>6. Partidas significativas de gastos</v>
          </cell>
        </row>
        <row r="1911">
          <cell r="D1911">
            <v>0</v>
          </cell>
          <cell r="G1911" t="str">
            <v/>
          </cell>
          <cell r="H1911" t="str">
            <v>Est. Resultado</v>
          </cell>
          <cell r="I1911" t="str">
            <v>Resultado</v>
          </cell>
          <cell r="J1911" t="str">
            <v>5. IVA explotación</v>
          </cell>
          <cell r="K1911" t="str">
            <v>1. IVA Explotación</v>
          </cell>
          <cell r="L1911" t="str">
            <v>EBITDA</v>
          </cell>
          <cell r="M1911" t="str">
            <v>MARGEN BRUTO</v>
          </cell>
          <cell r="N1911" t="str">
            <v>GANANCIAS (PERDIDAS) ANTES DE IMPUESTOS</v>
          </cell>
          <cell r="O1911" t="str">
            <v>GANANCIA (PÉRDIDA) NETA</v>
          </cell>
          <cell r="P1911" t="str">
            <v>Resultado Ingresos y Gastos Integrales</v>
          </cell>
          <cell r="Q1911" t="str">
            <v>I. Ganancia (pérdida), antes de impuestos</v>
          </cell>
          <cell r="R1911" t="str">
            <v>b. Ganancia (pérdida)</v>
          </cell>
          <cell r="S1911" t="str">
            <v>6. Otros gastos, por función</v>
          </cell>
          <cell r="T1911" t="str">
            <v>1. IVA Explotación</v>
          </cell>
          <cell r="V1911" t="str">
            <v>II. Gastos</v>
          </cell>
          <cell r="Z1911" t="str">
            <v>III. Gastos de Administración</v>
          </cell>
          <cell r="AA1911" t="str">
            <v>7. Serv. Adm. E Impuestos</v>
          </cell>
          <cell r="AC1911" t="str">
            <v>II. Costo de Explotación</v>
          </cell>
          <cell r="AD1911" t="str">
            <v>2. Bienes y servicios Expl.</v>
          </cell>
          <cell r="AE1911" t="str">
            <v>7. Serv. Adm. E Impuestos</v>
          </cell>
          <cell r="AH1911" t="str">
            <v>6. Partidas significativas de gastos</v>
          </cell>
        </row>
        <row r="1912">
          <cell r="D1912" t="str">
            <v>IVA Explotación</v>
          </cell>
          <cell r="E1912" t="str">
            <v>IVA Explotación</v>
          </cell>
          <cell r="G1912" t="str">
            <v xml:space="preserve">IVA Explotación  </v>
          </cell>
          <cell r="H1912" t="str">
            <v/>
          </cell>
          <cell r="I1912" t="str">
            <v/>
          </cell>
          <cell r="K1912" t="str">
            <v/>
          </cell>
          <cell r="L1912" t="str">
            <v/>
          </cell>
          <cell r="N1912" t="str">
            <v/>
          </cell>
          <cell r="O1912" t="str">
            <v/>
          </cell>
          <cell r="P1912" t="str">
            <v/>
          </cell>
          <cell r="Z1912" t="str">
            <v/>
          </cell>
        </row>
        <row r="1913">
          <cell r="D1913" t="str">
            <v>MARGEN BRUTO</v>
          </cell>
          <cell r="E1913" t="str">
            <v>MARGEN BRUTO</v>
          </cell>
          <cell r="G1913" t="str">
            <v xml:space="preserve">MARGEN BRUTO  </v>
          </cell>
          <cell r="H1913" t="str">
            <v/>
          </cell>
          <cell r="I1913" t="str">
            <v/>
          </cell>
          <cell r="L1913" t="str">
            <v/>
          </cell>
          <cell r="N1913" t="str">
            <v/>
          </cell>
          <cell r="O1913" t="str">
            <v/>
          </cell>
          <cell r="P1913" t="str">
            <v/>
          </cell>
          <cell r="Z1913" t="str">
            <v/>
          </cell>
        </row>
        <row r="1914">
          <cell r="D1914" t="str">
            <v>4100100000</v>
          </cell>
          <cell r="E1914" t="str">
            <v>4100100000</v>
          </cell>
          <cell r="F1914" t="str">
            <v>Sueldo Base</v>
          </cell>
          <cell r="G1914" t="str">
            <v>4100100000  Sueldo Base</v>
          </cell>
          <cell r="H1914" t="str">
            <v>Est. Resultado</v>
          </cell>
          <cell r="I1914" t="str">
            <v>Resultado</v>
          </cell>
          <cell r="J1914" t="str">
            <v>6. Costo Personal Administración</v>
          </cell>
          <cell r="K1914" t="str">
            <v>1. Remuneraciones Fijas</v>
          </cell>
          <cell r="L1914" t="str">
            <v>EBITDA</v>
          </cell>
          <cell r="N1914" t="str">
            <v>GANANCIAS (PERDIDAS) ANTES DE IMPUESTOS</v>
          </cell>
          <cell r="O1914" t="str">
            <v>GANANCIA (PÉRDIDA) NETA</v>
          </cell>
          <cell r="P1914" t="str">
            <v>Resultado Ingresos y Gastos Integrales</v>
          </cell>
          <cell r="Q1914" t="str">
            <v>I. Ganancia (pérdida), antes de impuestos</v>
          </cell>
          <cell r="R1914" t="str">
            <v>b. Ganancia (pérdida)</v>
          </cell>
          <cell r="S1914" t="str">
            <v>5. Gasto de administración</v>
          </cell>
          <cell r="T1914" t="str">
            <v>1. Remuneraciones Fijas</v>
          </cell>
          <cell r="V1914" t="str">
            <v>II. Gastos</v>
          </cell>
          <cell r="W1914" t="str">
            <v>21. Gastos en Personal</v>
          </cell>
          <cell r="Z1914" t="str">
            <v>III. Gastos de Administración</v>
          </cell>
          <cell r="AA1914" t="str">
            <v>9. Personal Administrativo</v>
          </cell>
          <cell r="AB1914" t="str">
            <v>1. Remu Fijas</v>
          </cell>
          <cell r="AC1914" t="str">
            <v>III. Gasto Administración</v>
          </cell>
          <cell r="AD1914" t="str">
            <v>1. Personal Administrativo</v>
          </cell>
          <cell r="AE1914" t="str">
            <v>1. Remuneraciones Adm.</v>
          </cell>
          <cell r="AG1914" t="str">
            <v xml:space="preserve"> </v>
          </cell>
          <cell r="AH1914" t="str">
            <v>6. Partidas significativas de gastos</v>
          </cell>
        </row>
        <row r="1915">
          <cell r="D1915" t="str">
            <v>4100110000</v>
          </cell>
          <cell r="E1915" t="str">
            <v>4100110000</v>
          </cell>
          <cell r="F1915" t="str">
            <v>Asignacion Antiguedad</v>
          </cell>
          <cell r="G1915" t="str">
            <v>4100110000  Asignacion Antiguedad</v>
          </cell>
          <cell r="H1915" t="str">
            <v>Est. Resultado</v>
          </cell>
          <cell r="I1915" t="str">
            <v>Resultado</v>
          </cell>
          <cell r="J1915" t="str">
            <v>6. Costo Personal Administración</v>
          </cell>
          <cell r="K1915" t="str">
            <v>1. Remuneraciones Fijas</v>
          </cell>
          <cell r="L1915" t="str">
            <v>EBITDA</v>
          </cell>
          <cell r="N1915" t="str">
            <v>GANANCIAS (PERDIDAS) ANTES DE IMPUESTOS</v>
          </cell>
          <cell r="O1915" t="str">
            <v>GANANCIA (PÉRDIDA) NETA</v>
          </cell>
          <cell r="P1915" t="str">
            <v>Resultado Ingresos y Gastos Integrales</v>
          </cell>
          <cell r="Q1915" t="str">
            <v>I. Ganancia (pérdida), antes de impuestos</v>
          </cell>
          <cell r="R1915" t="str">
            <v>b. Ganancia (pérdida)</v>
          </cell>
          <cell r="S1915" t="str">
            <v>5. Gasto de administración</v>
          </cell>
          <cell r="T1915" t="str">
            <v>1. Remuneraciones Fijas</v>
          </cell>
          <cell r="V1915" t="str">
            <v>II. Gastos</v>
          </cell>
          <cell r="W1915" t="str">
            <v>21. Gastos en Personal</v>
          </cell>
          <cell r="Z1915" t="str">
            <v>III. Gastos de Administración</v>
          </cell>
          <cell r="AA1915" t="str">
            <v>9. Personal Administrativo</v>
          </cell>
          <cell r="AB1915" t="str">
            <v>1. Remu Fijas</v>
          </cell>
          <cell r="AC1915" t="str">
            <v>III. Gasto Administración</v>
          </cell>
          <cell r="AD1915" t="str">
            <v>1. Personal Administrativo</v>
          </cell>
          <cell r="AE1915" t="str">
            <v>1. Remuneraciones Adm.</v>
          </cell>
          <cell r="AG1915" t="str">
            <v xml:space="preserve"> </v>
          </cell>
          <cell r="AH1915" t="str">
            <v>6. Partidas significativas de gastos</v>
          </cell>
        </row>
        <row r="1916">
          <cell r="D1916" t="str">
            <v>4100120000</v>
          </cell>
          <cell r="E1916" t="str">
            <v>4100120000</v>
          </cell>
          <cell r="F1916" t="str">
            <v>Asignacion Zona</v>
          </cell>
          <cell r="G1916" t="str">
            <v>4100120000  Asignacion Zona</v>
          </cell>
          <cell r="H1916" t="str">
            <v>Est. Resultado</v>
          </cell>
          <cell r="I1916" t="str">
            <v>Resultado</v>
          </cell>
          <cell r="J1916" t="str">
            <v>6. Costo Personal Administración</v>
          </cell>
          <cell r="K1916" t="str">
            <v>1. Remuneraciones Fijas</v>
          </cell>
          <cell r="L1916" t="str">
            <v>EBITDA</v>
          </cell>
          <cell r="N1916" t="str">
            <v>GANANCIAS (PERDIDAS) ANTES DE IMPUESTOS</v>
          </cell>
          <cell r="O1916" t="str">
            <v>GANANCIA (PÉRDIDA) NETA</v>
          </cell>
          <cell r="P1916" t="str">
            <v>Resultado Ingresos y Gastos Integrales</v>
          </cell>
          <cell r="Q1916" t="str">
            <v>I. Ganancia (pérdida), antes de impuestos</v>
          </cell>
          <cell r="R1916" t="str">
            <v>b. Ganancia (pérdida)</v>
          </cell>
          <cell r="S1916" t="str">
            <v>5. Gasto de administración</v>
          </cell>
          <cell r="T1916" t="str">
            <v>1. Remuneraciones Fijas</v>
          </cell>
          <cell r="V1916" t="str">
            <v>II. Gastos</v>
          </cell>
          <cell r="W1916" t="str">
            <v>21. Gastos en Personal</v>
          </cell>
          <cell r="Z1916" t="str">
            <v>III. Gastos de Administración</v>
          </cell>
          <cell r="AA1916" t="str">
            <v>9. Personal Administrativo</v>
          </cell>
          <cell r="AB1916" t="str">
            <v>1. Remu Fijas</v>
          </cell>
          <cell r="AC1916" t="str">
            <v>III. Gasto Administración</v>
          </cell>
          <cell r="AD1916" t="str">
            <v>1. Personal Administrativo</v>
          </cell>
          <cell r="AE1916" t="str">
            <v>1. Remuneraciones Adm.</v>
          </cell>
          <cell r="AG1916" t="str">
            <v xml:space="preserve"> </v>
          </cell>
          <cell r="AH1916" t="str">
            <v>6. Partidas significativas de gastos</v>
          </cell>
        </row>
        <row r="1917">
          <cell r="D1917" t="str">
            <v>4100130000</v>
          </cell>
          <cell r="E1917" t="str">
            <v>4100130000</v>
          </cell>
          <cell r="F1917" t="str">
            <v>Asignacion Alimentacion</v>
          </cell>
          <cell r="G1917" t="str">
            <v>4100130000  Asignacion Alimentacion</v>
          </cell>
          <cell r="H1917" t="str">
            <v>Est. Resultado</v>
          </cell>
          <cell r="I1917" t="str">
            <v>Resultado</v>
          </cell>
          <cell r="J1917" t="str">
            <v>6. Costo Personal Administración</v>
          </cell>
          <cell r="K1917" t="str">
            <v>1. Remuneraciones Fijas</v>
          </cell>
          <cell r="L1917" t="str">
            <v>EBITDA</v>
          </cell>
          <cell r="N1917" t="str">
            <v>GANANCIAS (PERDIDAS) ANTES DE IMPUESTOS</v>
          </cell>
          <cell r="O1917" t="str">
            <v>GANANCIA (PÉRDIDA) NETA</v>
          </cell>
          <cell r="P1917" t="str">
            <v>Resultado Ingresos y Gastos Integrales</v>
          </cell>
          <cell r="Q1917" t="str">
            <v>I. Ganancia (pérdida), antes de impuestos</v>
          </cell>
          <cell r="R1917" t="str">
            <v>b. Ganancia (pérdida)</v>
          </cell>
          <cell r="S1917" t="str">
            <v>5. Gasto de administración</v>
          </cell>
          <cell r="T1917" t="str">
            <v>1. Remuneraciones Fijas</v>
          </cell>
          <cell r="V1917" t="str">
            <v>II. Gastos</v>
          </cell>
          <cell r="W1917" t="str">
            <v>21. Gastos en Personal</v>
          </cell>
          <cell r="Z1917" t="str">
            <v>III. Gastos de Administración</v>
          </cell>
          <cell r="AA1917" t="str">
            <v>9. Personal Administrativo</v>
          </cell>
          <cell r="AB1917" t="str">
            <v>1. Remu Fijas</v>
          </cell>
          <cell r="AC1917" t="str">
            <v>III. Gasto Administración</v>
          </cell>
          <cell r="AD1917" t="str">
            <v>1. Personal Administrativo</v>
          </cell>
          <cell r="AE1917" t="str">
            <v>1. Remuneraciones Adm.</v>
          </cell>
          <cell r="AG1917" t="str">
            <v xml:space="preserve"> </v>
          </cell>
          <cell r="AH1917" t="str">
            <v>6. Partidas significativas de gastos</v>
          </cell>
        </row>
        <row r="1918">
          <cell r="D1918" t="str">
            <v>4100140000</v>
          </cell>
          <cell r="E1918" t="str">
            <v>4100140000</v>
          </cell>
          <cell r="F1918" t="str">
            <v>Asignacion Movilizacion</v>
          </cell>
          <cell r="G1918" t="str">
            <v>4100140000  Asignacion Movilizacion</v>
          </cell>
          <cell r="H1918" t="str">
            <v>Est. Resultado</v>
          </cell>
          <cell r="I1918" t="str">
            <v>Resultado</v>
          </cell>
          <cell r="J1918" t="str">
            <v>6. Costo Personal Administración</v>
          </cell>
          <cell r="K1918" t="str">
            <v>1. Remuneraciones Fijas</v>
          </cell>
          <cell r="L1918" t="str">
            <v>EBITDA</v>
          </cell>
          <cell r="N1918" t="str">
            <v>GANANCIAS (PERDIDAS) ANTES DE IMPUESTOS</v>
          </cell>
          <cell r="O1918" t="str">
            <v>GANANCIA (PÉRDIDA) NETA</v>
          </cell>
          <cell r="P1918" t="str">
            <v>Resultado Ingresos y Gastos Integrales</v>
          </cell>
          <cell r="Q1918" t="str">
            <v>I. Ganancia (pérdida), antes de impuestos</v>
          </cell>
          <cell r="R1918" t="str">
            <v>b. Ganancia (pérdida)</v>
          </cell>
          <cell r="S1918" t="str">
            <v>5. Gasto de administración</v>
          </cell>
          <cell r="T1918" t="str">
            <v>1. Remuneraciones Fijas</v>
          </cell>
          <cell r="V1918" t="str">
            <v>II. Gastos</v>
          </cell>
          <cell r="W1918" t="str">
            <v>21. Gastos en Personal</v>
          </cell>
          <cell r="Z1918" t="str">
            <v>III. Gastos de Administración</v>
          </cell>
          <cell r="AA1918" t="str">
            <v>9. Personal Administrativo</v>
          </cell>
          <cell r="AB1918" t="str">
            <v>1. Remu Fijas</v>
          </cell>
          <cell r="AC1918" t="str">
            <v>III. Gasto Administración</v>
          </cell>
          <cell r="AD1918" t="str">
            <v>1. Personal Administrativo</v>
          </cell>
          <cell r="AE1918" t="str">
            <v>1. Remuneraciones Adm.</v>
          </cell>
          <cell r="AG1918" t="str">
            <v xml:space="preserve"> </v>
          </cell>
          <cell r="AH1918" t="str">
            <v>6. Partidas significativas de gastos</v>
          </cell>
        </row>
        <row r="1919">
          <cell r="D1919" t="str">
            <v>4100150000</v>
          </cell>
          <cell r="E1919" t="str">
            <v>4100150000</v>
          </cell>
          <cell r="F1919" t="str">
            <v>Perdida de Caja</v>
          </cell>
          <cell r="G1919" t="str">
            <v>4100150000  Perdida de Caja</v>
          </cell>
          <cell r="H1919" t="str">
            <v>Est. Resultado</v>
          </cell>
          <cell r="I1919" t="str">
            <v>Resultado</v>
          </cell>
          <cell r="J1919" t="str">
            <v>6. Costo Personal Administración</v>
          </cell>
          <cell r="K1919" t="str">
            <v>1. Remuneraciones Fijas</v>
          </cell>
          <cell r="L1919" t="str">
            <v>EBITDA</v>
          </cell>
          <cell r="N1919" t="str">
            <v>GANANCIAS (PERDIDAS) ANTES DE IMPUESTOS</v>
          </cell>
          <cell r="O1919" t="str">
            <v>GANANCIA (PÉRDIDA) NETA</v>
          </cell>
          <cell r="P1919" t="str">
            <v>Resultado Ingresos y Gastos Integrales</v>
          </cell>
          <cell r="Q1919" t="str">
            <v>I. Ganancia (pérdida), antes de impuestos</v>
          </cell>
          <cell r="R1919" t="str">
            <v>b. Ganancia (pérdida)</v>
          </cell>
          <cell r="S1919" t="str">
            <v>5. Gasto de administración</v>
          </cell>
          <cell r="T1919" t="str">
            <v>1. Remuneraciones Fijas</v>
          </cell>
          <cell r="V1919" t="str">
            <v>II. Gastos</v>
          </cell>
          <cell r="W1919" t="str">
            <v>21. Gastos en Personal</v>
          </cell>
          <cell r="Z1919" t="str">
            <v>III. Gastos de Administración</v>
          </cell>
          <cell r="AA1919" t="str">
            <v>9. Personal Administrativo</v>
          </cell>
          <cell r="AB1919" t="str">
            <v>1. Remu Fijas</v>
          </cell>
          <cell r="AC1919" t="str">
            <v>III. Gasto Administración</v>
          </cell>
          <cell r="AD1919" t="str">
            <v>1. Personal Administrativo</v>
          </cell>
          <cell r="AE1919" t="str">
            <v>1. Remuneraciones Adm.</v>
          </cell>
          <cell r="AG1919" t="str">
            <v xml:space="preserve"> </v>
          </cell>
          <cell r="AH1919" t="str">
            <v>6. Partidas significativas de gastos</v>
          </cell>
        </row>
        <row r="1920">
          <cell r="D1920" t="str">
            <v>4100190000</v>
          </cell>
          <cell r="E1920" t="str">
            <v>4100190000</v>
          </cell>
          <cell r="F1920" t="str">
            <v>Otras Asignaciones Fijas</v>
          </cell>
          <cell r="G1920" t="str">
            <v>4100190000  Otras Asignaciones Fijas</v>
          </cell>
          <cell r="H1920" t="str">
            <v>Est. Resultado</v>
          </cell>
          <cell r="I1920" t="str">
            <v>Resultado</v>
          </cell>
          <cell r="J1920" t="str">
            <v>6. Costo Personal Administración</v>
          </cell>
          <cell r="K1920" t="str">
            <v>1. Remuneraciones Fijas</v>
          </cell>
          <cell r="L1920" t="str">
            <v>EBITDA</v>
          </cell>
          <cell r="N1920" t="str">
            <v>GANANCIAS (PERDIDAS) ANTES DE IMPUESTOS</v>
          </cell>
          <cell r="O1920" t="str">
            <v>GANANCIA (PÉRDIDA) NETA</v>
          </cell>
          <cell r="P1920" t="str">
            <v>Resultado Ingresos y Gastos Integrales</v>
          </cell>
          <cell r="Q1920" t="str">
            <v>I. Ganancia (pérdida), antes de impuestos</v>
          </cell>
          <cell r="R1920" t="str">
            <v>b. Ganancia (pérdida)</v>
          </cell>
          <cell r="S1920" t="str">
            <v>5. Gasto de administración</v>
          </cell>
          <cell r="T1920" t="str">
            <v>1. Remuneraciones Fijas</v>
          </cell>
          <cell r="V1920" t="str">
            <v>II. Gastos</v>
          </cell>
          <cell r="W1920" t="str">
            <v>21. Gastos en Personal</v>
          </cell>
          <cell r="Z1920" t="str">
            <v>III. Gastos de Administración</v>
          </cell>
          <cell r="AA1920" t="str">
            <v>9. Personal Administrativo</v>
          </cell>
          <cell r="AB1920" t="str">
            <v>1. Remu Fijas</v>
          </cell>
          <cell r="AC1920" t="str">
            <v>III. Gasto Administración</v>
          </cell>
          <cell r="AD1920" t="str">
            <v>1. Personal Administrativo</v>
          </cell>
          <cell r="AE1920" t="str">
            <v>1. Remuneraciones Adm.</v>
          </cell>
          <cell r="AG1920" t="str">
            <v xml:space="preserve"> </v>
          </cell>
          <cell r="AH1920" t="str">
            <v>6. Partidas significativas de gastos</v>
          </cell>
        </row>
        <row r="1921">
          <cell r="D1921" t="str">
            <v>4100210000</v>
          </cell>
          <cell r="E1921" t="str">
            <v>4100210000</v>
          </cell>
          <cell r="F1921" t="str">
            <v>Aguinaldos</v>
          </cell>
          <cell r="G1921" t="str">
            <v>4100210000  Aguinaldos</v>
          </cell>
          <cell r="H1921" t="str">
            <v>Est. Resultado</v>
          </cell>
          <cell r="I1921" t="str">
            <v>Resultado</v>
          </cell>
          <cell r="J1921" t="str">
            <v>6. Costo Personal Administración</v>
          </cell>
          <cell r="K1921" t="str">
            <v>1. Remuneraciones Fijas</v>
          </cell>
          <cell r="L1921" t="str">
            <v>EBITDA</v>
          </cell>
          <cell r="N1921" t="str">
            <v>GANANCIAS (PERDIDAS) ANTES DE IMPUESTOS</v>
          </cell>
          <cell r="O1921" t="str">
            <v>GANANCIA (PÉRDIDA) NETA</v>
          </cell>
          <cell r="P1921" t="str">
            <v>Resultado Ingresos y Gastos Integrales</v>
          </cell>
          <cell r="Q1921" t="str">
            <v>I. Ganancia (pérdida), antes de impuestos</v>
          </cell>
          <cell r="R1921" t="str">
            <v>b. Ganancia (pérdida)</v>
          </cell>
          <cell r="S1921" t="str">
            <v>5. Gasto de administración</v>
          </cell>
          <cell r="T1921" t="str">
            <v>1. Remuneraciones Fijas</v>
          </cell>
          <cell r="V1921" t="str">
            <v>II. Gastos</v>
          </cell>
          <cell r="W1921" t="str">
            <v>21. Gastos en Personal</v>
          </cell>
          <cell r="Z1921" t="str">
            <v>III. Gastos de Administración</v>
          </cell>
          <cell r="AA1921" t="str">
            <v>9. Personal Administrativo</v>
          </cell>
          <cell r="AB1921" t="str">
            <v>1. Remu Fijas</v>
          </cell>
          <cell r="AC1921" t="str">
            <v>III. Gasto Administración</v>
          </cell>
          <cell r="AD1921" t="str">
            <v>1. Personal Administrativo</v>
          </cell>
          <cell r="AE1921" t="str">
            <v>1. Remuneraciones Adm.</v>
          </cell>
          <cell r="AG1921" t="str">
            <v xml:space="preserve"> </v>
          </cell>
          <cell r="AH1921" t="str">
            <v>6. Partidas significativas de gastos</v>
          </cell>
        </row>
        <row r="1922">
          <cell r="D1922" t="str">
            <v>4100900000</v>
          </cell>
          <cell r="E1922" t="str">
            <v>4100900000</v>
          </cell>
          <cell r="F1922" t="str">
            <v>Capitalización remuneraciones</v>
          </cell>
          <cell r="G1922" t="str">
            <v>4100900000  Capitalización remuneraciones</v>
          </cell>
          <cell r="H1922" t="str">
            <v>Est. Resultado</v>
          </cell>
          <cell r="I1922" t="str">
            <v>Resultado</v>
          </cell>
          <cell r="J1922" t="str">
            <v>6. Costo Personal Administración</v>
          </cell>
          <cell r="K1922" t="str">
            <v>1. Remuneraciones Fijas</v>
          </cell>
          <cell r="L1922" t="str">
            <v>EBITDA</v>
          </cell>
          <cell r="N1922" t="str">
            <v>GANANCIAS (PERDIDAS) ANTES DE IMPUESTOS</v>
          </cell>
          <cell r="O1922" t="str">
            <v>GANANCIA (PÉRDIDA) NETA</v>
          </cell>
          <cell r="P1922" t="str">
            <v>Resultado Ingresos y Gastos Integrales</v>
          </cell>
          <cell r="Q1922" t="str">
            <v>I. Ganancia (pérdida), antes de impuestos</v>
          </cell>
          <cell r="R1922" t="str">
            <v>b. Ganancia (pérdida)</v>
          </cell>
          <cell r="S1922" t="str">
            <v>5. Gasto de administración</v>
          </cell>
          <cell r="T1922" t="str">
            <v>1. Remuneraciones Fijas</v>
          </cell>
          <cell r="V1922" t="str">
            <v>II. Gastos</v>
          </cell>
          <cell r="W1922" t="str">
            <v>21. Gastos en Personal</v>
          </cell>
          <cell r="Z1922" t="str">
            <v>III. Gastos de Administración</v>
          </cell>
          <cell r="AA1922" t="str">
            <v>9. Personal Administrativo</v>
          </cell>
          <cell r="AB1922" t="str">
            <v>1. Remu Fijas</v>
          </cell>
          <cell r="AC1922" t="str">
            <v>III. Gasto Administración</v>
          </cell>
          <cell r="AD1922" t="str">
            <v>1. Personal Administrativo</v>
          </cell>
          <cell r="AE1922" t="str">
            <v>1. Remuneraciones Adm.</v>
          </cell>
          <cell r="AG1922" t="str">
            <v xml:space="preserve"> </v>
          </cell>
          <cell r="AH1922" t="str">
            <v>6. Partidas significativas de gastos</v>
          </cell>
        </row>
        <row r="1923">
          <cell r="D1923">
            <v>0</v>
          </cell>
          <cell r="G1923" t="str">
            <v/>
          </cell>
          <cell r="H1923" t="str">
            <v>Est. Resultado</v>
          </cell>
          <cell r="I1923" t="str">
            <v>Resultado</v>
          </cell>
          <cell r="J1923" t="str">
            <v>6. Costo Personal Administración</v>
          </cell>
          <cell r="K1923" t="str">
            <v>1. Remuneraciones Fijas</v>
          </cell>
          <cell r="L1923" t="str">
            <v>EBITDA</v>
          </cell>
          <cell r="N1923" t="str">
            <v>GANANCIAS (PERDIDAS) ANTES DE IMPUESTOS</v>
          </cell>
          <cell r="O1923" t="str">
            <v>GANANCIA (PÉRDIDA) NETA</v>
          </cell>
          <cell r="P1923" t="str">
            <v>Resultado Ingresos y Gastos Integrales</v>
          </cell>
          <cell r="Q1923" t="str">
            <v>I. Ganancia (pérdida), antes de impuestos</v>
          </cell>
          <cell r="R1923" t="str">
            <v>b. Ganancia (pérdida)</v>
          </cell>
          <cell r="S1923" t="str">
            <v>5. Gasto de administración</v>
          </cell>
          <cell r="T1923" t="str">
            <v>1. Remuneraciones Fijas</v>
          </cell>
          <cell r="V1923" t="str">
            <v>II. Gastos</v>
          </cell>
          <cell r="W1923" t="str">
            <v>21. Gastos en Personal</v>
          </cell>
          <cell r="Z1923" t="str">
            <v>III. Gastos de Administración</v>
          </cell>
          <cell r="AA1923" t="str">
            <v>9. Personal Administrativo</v>
          </cell>
          <cell r="AB1923" t="str">
            <v>1. Remu Fijas</v>
          </cell>
          <cell r="AC1923" t="str">
            <v>III. Gasto Administración</v>
          </cell>
          <cell r="AD1923" t="str">
            <v>1. Personal Administrativo</v>
          </cell>
          <cell r="AE1923" t="str">
            <v>1. Remuneraciones Adm.</v>
          </cell>
          <cell r="AG1923" t="str">
            <v xml:space="preserve"> </v>
          </cell>
          <cell r="AH1923" t="str">
            <v>6. Partidas significativas de gastos</v>
          </cell>
        </row>
        <row r="1924">
          <cell r="D1924">
            <v>0</v>
          </cell>
          <cell r="G1924" t="str">
            <v/>
          </cell>
          <cell r="H1924" t="str">
            <v>Est. Resultado</v>
          </cell>
          <cell r="I1924" t="str">
            <v>Resultado</v>
          </cell>
          <cell r="J1924" t="str">
            <v>6. Costo Personal Administración</v>
          </cell>
          <cell r="K1924" t="str">
            <v>1. Remuneraciones Fijas</v>
          </cell>
          <cell r="L1924" t="str">
            <v>EBITDA</v>
          </cell>
          <cell r="N1924" t="str">
            <v>GANANCIAS (PERDIDAS) ANTES DE IMPUESTOS</v>
          </cell>
          <cell r="O1924" t="str">
            <v>GANANCIA (PÉRDIDA) NETA</v>
          </cell>
          <cell r="P1924" t="str">
            <v>Resultado Ingresos y Gastos Integrales</v>
          </cell>
          <cell r="Q1924" t="str">
            <v>I. Ganancia (pérdida), antes de impuestos</v>
          </cell>
          <cell r="R1924" t="str">
            <v>b. Ganancia (pérdida)</v>
          </cell>
          <cell r="S1924" t="str">
            <v>5. Gasto de administración</v>
          </cell>
          <cell r="T1924" t="str">
            <v>1. Remuneraciones Fijas</v>
          </cell>
          <cell r="V1924" t="str">
            <v>II. Gastos</v>
          </cell>
          <cell r="W1924" t="str">
            <v>21. Gastos en Personal</v>
          </cell>
          <cell r="Z1924" t="str">
            <v>III. Gastos de Administración</v>
          </cell>
          <cell r="AA1924" t="str">
            <v>9. Personal Administrativo</v>
          </cell>
          <cell r="AB1924" t="str">
            <v>1. Remu Fijas</v>
          </cell>
          <cell r="AC1924" t="str">
            <v>III. Gasto Administración</v>
          </cell>
          <cell r="AD1924" t="str">
            <v>1. Personal Administrativo</v>
          </cell>
          <cell r="AE1924" t="str">
            <v>1. Remuneraciones Adm.</v>
          </cell>
          <cell r="AG1924" t="str">
            <v xml:space="preserve"> </v>
          </cell>
          <cell r="AH1924" t="str">
            <v>6. Partidas significativas de gastos</v>
          </cell>
        </row>
        <row r="1925">
          <cell r="D1925">
            <v>0</v>
          </cell>
          <cell r="G1925" t="str">
            <v/>
          </cell>
          <cell r="H1925" t="str">
            <v>Est. Resultado</v>
          </cell>
          <cell r="I1925" t="str">
            <v>Resultado</v>
          </cell>
          <cell r="J1925" t="str">
            <v>6. Costo Personal Administración</v>
          </cell>
          <cell r="K1925" t="str">
            <v>1. Remuneraciones Fijas</v>
          </cell>
          <cell r="L1925" t="str">
            <v>EBITDA</v>
          </cell>
          <cell r="N1925" t="str">
            <v>GANANCIAS (PERDIDAS) ANTES DE IMPUESTOS</v>
          </cell>
          <cell r="O1925" t="str">
            <v>GANANCIA (PÉRDIDA) NETA</v>
          </cell>
          <cell r="P1925" t="str">
            <v>Resultado Ingresos y Gastos Integrales</v>
          </cell>
          <cell r="Q1925" t="str">
            <v>I. Ganancia (pérdida), antes de impuestos</v>
          </cell>
          <cell r="R1925" t="str">
            <v>b. Ganancia (pérdida)</v>
          </cell>
          <cell r="S1925" t="str">
            <v>5. Gasto de administración</v>
          </cell>
          <cell r="T1925" t="str">
            <v>1. Remuneraciones Fijas</v>
          </cell>
          <cell r="V1925" t="str">
            <v>II. Gastos</v>
          </cell>
          <cell r="W1925" t="str">
            <v>21. Gastos en Personal</v>
          </cell>
          <cell r="Z1925" t="str">
            <v>III. Gastos de Administración</v>
          </cell>
          <cell r="AA1925" t="str">
            <v>9. Personal Administrativo</v>
          </cell>
          <cell r="AB1925" t="str">
            <v>1. Remu Fijas</v>
          </cell>
          <cell r="AC1925" t="str">
            <v>III. Gasto Administración</v>
          </cell>
          <cell r="AD1925" t="str">
            <v>1. Personal Administrativo</v>
          </cell>
          <cell r="AE1925" t="str">
            <v>1. Remuneraciones Adm.</v>
          </cell>
          <cell r="AG1925" t="str">
            <v xml:space="preserve"> </v>
          </cell>
          <cell r="AH1925" t="str">
            <v>6. Partidas significativas de gastos</v>
          </cell>
        </row>
        <row r="1926">
          <cell r="D1926" t="str">
            <v>Remuneraciones Fijas</v>
          </cell>
          <cell r="E1926" t="str">
            <v>Remuneraciones Fijas</v>
          </cell>
          <cell r="G1926" t="str">
            <v xml:space="preserve">Remuneraciones Fijas  </v>
          </cell>
          <cell r="H1926" t="str">
            <v/>
          </cell>
          <cell r="I1926" t="str">
            <v/>
          </cell>
          <cell r="J1926" t="str">
            <v/>
          </cell>
          <cell r="L1926" t="str">
            <v/>
          </cell>
          <cell r="N1926" t="str">
            <v/>
          </cell>
          <cell r="O1926" t="str">
            <v/>
          </cell>
          <cell r="P1926" t="str">
            <v/>
          </cell>
        </row>
        <row r="1927">
          <cell r="D1927" t="str">
            <v>4101100000</v>
          </cell>
          <cell r="E1927" t="str">
            <v>4101100000</v>
          </cell>
          <cell r="F1927" t="str">
            <v>Prima Ord-Extraord</v>
          </cell>
          <cell r="G1927" t="str">
            <v>4101100000  Prima Ord-Extraord</v>
          </cell>
          <cell r="H1927" t="str">
            <v>Est. Resultado</v>
          </cell>
          <cell r="I1927" t="str">
            <v>Resultado</v>
          </cell>
          <cell r="J1927" t="str">
            <v>6. Costo Personal Administración</v>
          </cell>
          <cell r="K1927" t="str">
            <v>2. Remuneraciones Variables</v>
          </cell>
          <cell r="L1927" t="str">
            <v>EBITDA</v>
          </cell>
          <cell r="N1927" t="str">
            <v>GANANCIAS (PERDIDAS) ANTES DE IMPUESTOS</v>
          </cell>
          <cell r="O1927" t="str">
            <v>GANANCIA (PÉRDIDA) NETA</v>
          </cell>
          <cell r="P1927" t="str">
            <v>Resultado Ingresos y Gastos Integrales</v>
          </cell>
          <cell r="Q1927" t="str">
            <v>I. Ganancia (pérdida), antes de impuestos</v>
          </cell>
          <cell r="R1927" t="str">
            <v>b. Ganancia (pérdida)</v>
          </cell>
          <cell r="S1927" t="str">
            <v>5. Gasto de administración</v>
          </cell>
          <cell r="T1927" t="str">
            <v>2. Remuneraciones Variables</v>
          </cell>
          <cell r="V1927" t="str">
            <v>II. Gastos</v>
          </cell>
          <cell r="W1927" t="str">
            <v>21. Gastos en Personal</v>
          </cell>
          <cell r="Z1927" t="str">
            <v>III. Gastos de Administración</v>
          </cell>
          <cell r="AA1927" t="str">
            <v>9. Personal Administrativo</v>
          </cell>
          <cell r="AB1927" t="str">
            <v>2. Remu Variable</v>
          </cell>
          <cell r="AC1927" t="str">
            <v>III. Gasto Administración</v>
          </cell>
          <cell r="AD1927" t="str">
            <v>1. Personal Administrativo</v>
          </cell>
          <cell r="AE1927" t="str">
            <v>1. Remuneraciones Adm.</v>
          </cell>
          <cell r="AG1927" t="str">
            <v xml:space="preserve"> </v>
          </cell>
          <cell r="AH1927" t="str">
            <v>6. Partidas significativas de gastos</v>
          </cell>
        </row>
        <row r="1928">
          <cell r="D1928" t="str">
            <v>4101600000</v>
          </cell>
          <cell r="E1928" t="str">
            <v>4101600000</v>
          </cell>
          <cell r="F1928" t="str">
            <v>Bono Variable</v>
          </cell>
          <cell r="G1928" t="str">
            <v>4101600000  Bono Variable</v>
          </cell>
          <cell r="H1928" t="str">
            <v>Est. Resultado</v>
          </cell>
          <cell r="I1928" t="str">
            <v>Resultado</v>
          </cell>
          <cell r="J1928" t="str">
            <v>6. Costo Personal Administración</v>
          </cell>
          <cell r="K1928" t="str">
            <v>2. Remuneraciones Variables</v>
          </cell>
          <cell r="L1928" t="str">
            <v>EBITDA</v>
          </cell>
          <cell r="N1928" t="str">
            <v>GANANCIAS (PERDIDAS) ANTES DE IMPUESTOS</v>
          </cell>
          <cell r="O1928" t="str">
            <v>GANANCIA (PÉRDIDA) NETA</v>
          </cell>
          <cell r="P1928" t="str">
            <v>Resultado Ingresos y Gastos Integrales</v>
          </cell>
          <cell r="Q1928" t="str">
            <v>I. Ganancia (pérdida), antes de impuestos</v>
          </cell>
          <cell r="R1928" t="str">
            <v>b. Ganancia (pérdida)</v>
          </cell>
          <cell r="S1928" t="str">
            <v>5. Gasto de administración</v>
          </cell>
          <cell r="T1928" t="str">
            <v>2. Remuneraciones Variables</v>
          </cell>
          <cell r="V1928" t="str">
            <v>II. Gastos</v>
          </cell>
          <cell r="W1928" t="str">
            <v>21. Gastos en Personal</v>
          </cell>
          <cell r="Z1928" t="str">
            <v>III. Gastos de Administración</v>
          </cell>
          <cell r="AA1928" t="str">
            <v>9. Personal Administrativo</v>
          </cell>
          <cell r="AB1928" t="str">
            <v>2. Remu Variable</v>
          </cell>
          <cell r="AC1928" t="str">
            <v>III. Gasto Administración</v>
          </cell>
          <cell r="AD1928" t="str">
            <v>1. Personal Administrativo</v>
          </cell>
          <cell r="AE1928" t="str">
            <v>1. Remuneraciones Adm.</v>
          </cell>
          <cell r="AG1928" t="str">
            <v xml:space="preserve"> </v>
          </cell>
          <cell r="AH1928" t="str">
            <v>6. Partidas significativas de gastos</v>
          </cell>
        </row>
        <row r="1929">
          <cell r="D1929" t="str">
            <v>4101900000</v>
          </cell>
          <cell r="E1929" t="str">
            <v>4101900000</v>
          </cell>
          <cell r="F1929" t="str">
            <v>Asignacion Variable</v>
          </cell>
          <cell r="G1929" t="str">
            <v>4101900000  Asignacion Variable</v>
          </cell>
          <cell r="H1929" t="str">
            <v>Est. Resultado</v>
          </cell>
          <cell r="I1929" t="str">
            <v>Resultado</v>
          </cell>
          <cell r="J1929" t="str">
            <v>6. Costo Personal Administración</v>
          </cell>
          <cell r="K1929" t="str">
            <v>2. Remuneraciones Variables</v>
          </cell>
          <cell r="L1929" t="str">
            <v>EBITDA</v>
          </cell>
          <cell r="N1929" t="str">
            <v>GANANCIAS (PERDIDAS) ANTES DE IMPUESTOS</v>
          </cell>
          <cell r="O1929" t="str">
            <v>GANANCIA (PÉRDIDA) NETA</v>
          </cell>
          <cell r="P1929" t="str">
            <v>Resultado Ingresos y Gastos Integrales</v>
          </cell>
          <cell r="Q1929" t="str">
            <v>I. Ganancia (pérdida), antes de impuestos</v>
          </cell>
          <cell r="R1929" t="str">
            <v>b. Ganancia (pérdida)</v>
          </cell>
          <cell r="S1929" t="str">
            <v>5. Gasto de administración</v>
          </cell>
          <cell r="T1929" t="str">
            <v>2. Remuneraciones Variables</v>
          </cell>
          <cell r="V1929" t="str">
            <v>II. Gastos</v>
          </cell>
          <cell r="W1929" t="str">
            <v>21. Gastos en Personal</v>
          </cell>
          <cell r="Z1929" t="str">
            <v>III. Gastos de Administración</v>
          </cell>
          <cell r="AA1929" t="str">
            <v>9. Personal Administrativo</v>
          </cell>
          <cell r="AB1929" t="str">
            <v>2. Remu Variable</v>
          </cell>
          <cell r="AC1929" t="str">
            <v>III. Gasto Administración</v>
          </cell>
          <cell r="AD1929" t="str">
            <v>1. Personal Administrativo</v>
          </cell>
          <cell r="AE1929" t="str">
            <v>1. Remuneraciones Adm.</v>
          </cell>
          <cell r="AG1929" t="str">
            <v xml:space="preserve"> </v>
          </cell>
          <cell r="AH1929" t="str">
            <v>6. Partidas significativas de gastos</v>
          </cell>
        </row>
        <row r="1930">
          <cell r="D1930" t="str">
            <v>4102100000</v>
          </cell>
          <cell r="E1930" t="str">
            <v>4102100000</v>
          </cell>
          <cell r="F1930" t="str">
            <v>Horas Extraordinarias</v>
          </cell>
          <cell r="G1930" t="str">
            <v>4102100000  Horas Extraordinarias</v>
          </cell>
          <cell r="H1930" t="str">
            <v>Est. Resultado</v>
          </cell>
          <cell r="I1930" t="str">
            <v>Resultado</v>
          </cell>
          <cell r="J1930" t="str">
            <v>6. Costo Personal Administración</v>
          </cell>
          <cell r="K1930" t="str">
            <v>2. Remuneraciones Variables</v>
          </cell>
          <cell r="L1930" t="str">
            <v>EBITDA</v>
          </cell>
          <cell r="N1930" t="str">
            <v>GANANCIAS (PERDIDAS) ANTES DE IMPUESTOS</v>
          </cell>
          <cell r="O1930" t="str">
            <v>GANANCIA (PÉRDIDA) NETA</v>
          </cell>
          <cell r="P1930" t="str">
            <v>Resultado Ingresos y Gastos Integrales</v>
          </cell>
          <cell r="Q1930" t="str">
            <v>I. Ganancia (pérdida), antes de impuestos</v>
          </cell>
          <cell r="R1930" t="str">
            <v>b. Ganancia (pérdida)</v>
          </cell>
          <cell r="S1930" t="str">
            <v>5. Gasto de administración</v>
          </cell>
          <cell r="T1930" t="str">
            <v>2. Remuneraciones Variables</v>
          </cell>
          <cell r="V1930" t="str">
            <v>II. Gastos</v>
          </cell>
          <cell r="W1930" t="str">
            <v>21. Gastos en Personal</v>
          </cell>
          <cell r="Z1930" t="str">
            <v>III. Gastos de Administración</v>
          </cell>
          <cell r="AA1930" t="str">
            <v>9. Personal Administrativo</v>
          </cell>
          <cell r="AB1930" t="str">
            <v>2. Remu Variable</v>
          </cell>
          <cell r="AC1930" t="str">
            <v>III. Gasto Administración</v>
          </cell>
          <cell r="AD1930" t="str">
            <v>1. Personal Administrativo</v>
          </cell>
          <cell r="AE1930" t="str">
            <v>1. Remuneraciones Adm.</v>
          </cell>
          <cell r="AG1930" t="str">
            <v xml:space="preserve"> </v>
          </cell>
          <cell r="AH1930" t="str">
            <v>6. Partidas significativas de gastos</v>
          </cell>
        </row>
        <row r="1931">
          <cell r="D1931" t="str">
            <v>4103100000</v>
          </cell>
          <cell r="E1931" t="str">
            <v>4103100000</v>
          </cell>
          <cell r="F1931" t="str">
            <v>Viaticos</v>
          </cell>
          <cell r="G1931" t="str">
            <v>4103100000  Viaticos</v>
          </cell>
          <cell r="H1931" t="str">
            <v>Est. Resultado</v>
          </cell>
          <cell r="I1931" t="str">
            <v>Resultado</v>
          </cell>
          <cell r="J1931" t="str">
            <v>6. Costo Personal Administración</v>
          </cell>
          <cell r="K1931" t="str">
            <v>2. Remuneraciones Variables</v>
          </cell>
          <cell r="L1931" t="str">
            <v>EBITDA</v>
          </cell>
          <cell r="N1931" t="str">
            <v>GANANCIAS (PERDIDAS) ANTES DE IMPUESTOS</v>
          </cell>
          <cell r="O1931" t="str">
            <v>GANANCIA (PÉRDIDA) NETA</v>
          </cell>
          <cell r="P1931" t="str">
            <v>Resultado Ingresos y Gastos Integrales</v>
          </cell>
          <cell r="Q1931" t="str">
            <v>I. Ganancia (pérdida), antes de impuestos</v>
          </cell>
          <cell r="R1931" t="str">
            <v>b. Ganancia (pérdida)</v>
          </cell>
          <cell r="S1931" t="str">
            <v>5. Gasto de administración</v>
          </cell>
          <cell r="T1931" t="str">
            <v>2. Remuneraciones Variables</v>
          </cell>
          <cell r="V1931" t="str">
            <v>II. Gastos</v>
          </cell>
          <cell r="W1931" t="str">
            <v>21. Gastos en Personal</v>
          </cell>
          <cell r="Z1931" t="str">
            <v>III. Gastos de Administración</v>
          </cell>
          <cell r="AA1931" t="str">
            <v>9. Personal Administrativo</v>
          </cell>
          <cell r="AB1931" t="str">
            <v>2. Remu Variable</v>
          </cell>
          <cell r="AC1931" t="str">
            <v>III. Gasto Administración</v>
          </cell>
          <cell r="AD1931" t="str">
            <v>1. Personal Administrativo</v>
          </cell>
          <cell r="AE1931" t="str">
            <v>1. Remuneraciones Adm.</v>
          </cell>
          <cell r="AG1931" t="str">
            <v xml:space="preserve"> </v>
          </cell>
          <cell r="AH1931" t="str">
            <v>6. Partidas significativas de gastos</v>
          </cell>
        </row>
        <row r="1932">
          <cell r="D1932" t="str">
            <v>4101900010</v>
          </cell>
          <cell r="E1932" t="str">
            <v>4101900010</v>
          </cell>
          <cell r="F1932" t="str">
            <v>Bono por Desempeño y Resultado</v>
          </cell>
          <cell r="G1932" t="str">
            <v>4101900010  Bono por Desempeño y Resultado</v>
          </cell>
          <cell r="H1932" t="str">
            <v>Est. Resultado</v>
          </cell>
          <cell r="I1932" t="str">
            <v>Resultado</v>
          </cell>
          <cell r="J1932" t="str">
            <v>6. Costo Personal Administración</v>
          </cell>
          <cell r="K1932" t="str">
            <v>2. Remuneraciones Variables</v>
          </cell>
          <cell r="L1932" t="str">
            <v>EBITDA</v>
          </cell>
          <cell r="N1932" t="str">
            <v>GANANCIAS (PERDIDAS) ANTES DE IMPUESTOS</v>
          </cell>
          <cell r="O1932" t="str">
            <v>GANANCIA (PÉRDIDA) NETA</v>
          </cell>
          <cell r="P1932" t="str">
            <v>Resultado Ingresos y Gastos Integrales</v>
          </cell>
          <cell r="Q1932" t="str">
            <v>I. Ganancia (pérdida), antes de impuestos</v>
          </cell>
          <cell r="R1932" t="str">
            <v>b. Ganancia (pérdida)</v>
          </cell>
          <cell r="S1932" t="str">
            <v>5. Gasto de administración</v>
          </cell>
          <cell r="T1932" t="str">
            <v>2. Remuneraciones Variables</v>
          </cell>
          <cell r="V1932" t="str">
            <v>II. Gastos</v>
          </cell>
          <cell r="W1932" t="str">
            <v>21. Gastos en Personal</v>
          </cell>
          <cell r="Z1932" t="str">
            <v>III. Gastos de Administración</v>
          </cell>
          <cell r="AA1932" t="str">
            <v>9. Personal Administrativo</v>
          </cell>
          <cell r="AB1932" t="str">
            <v>2. Remu Variable</v>
          </cell>
          <cell r="AC1932" t="str">
            <v>III. Gasto Administración</v>
          </cell>
          <cell r="AD1932" t="str">
            <v>1. Personal Administrativo</v>
          </cell>
          <cell r="AE1932" t="str">
            <v>1. Remuneraciones Adm.</v>
          </cell>
          <cell r="AH1932" t="str">
            <v>6. Partidas significativas de gastos</v>
          </cell>
        </row>
        <row r="1933">
          <cell r="D1933">
            <v>0</v>
          </cell>
          <cell r="G1933" t="str">
            <v/>
          </cell>
          <cell r="H1933" t="str">
            <v>Est. Resultado</v>
          </cell>
          <cell r="I1933" t="str">
            <v>Resultado</v>
          </cell>
          <cell r="J1933" t="str">
            <v>6. Costo Personal Administración</v>
          </cell>
          <cell r="K1933" t="str">
            <v>2. Remuneraciones Variables</v>
          </cell>
          <cell r="L1933" t="str">
            <v>EBITDA</v>
          </cell>
          <cell r="N1933" t="str">
            <v>GANANCIAS (PERDIDAS) ANTES DE IMPUESTOS</v>
          </cell>
          <cell r="O1933" t="str">
            <v>GANANCIA (PÉRDIDA) NETA</v>
          </cell>
          <cell r="P1933" t="str">
            <v>Resultado Ingresos y Gastos Integrales</v>
          </cell>
          <cell r="Q1933" t="str">
            <v>I. Ganancia (pérdida), antes de impuestos</v>
          </cell>
          <cell r="R1933" t="str">
            <v>b. Ganancia (pérdida)</v>
          </cell>
          <cell r="S1933" t="str">
            <v>5. Gasto de administración</v>
          </cell>
          <cell r="T1933" t="str">
            <v>2. Remuneraciones Variables</v>
          </cell>
          <cell r="V1933" t="str">
            <v>II. Gastos</v>
          </cell>
          <cell r="W1933" t="str">
            <v>21. Gastos en Personal</v>
          </cell>
          <cell r="Z1933" t="str">
            <v>III. Gastos de Administración</v>
          </cell>
          <cell r="AA1933" t="str">
            <v>9. Personal Administrativo</v>
          </cell>
          <cell r="AB1933" t="str">
            <v>2. Remu Variable</v>
          </cell>
          <cell r="AC1933" t="str">
            <v>III. Gasto Administración</v>
          </cell>
          <cell r="AD1933" t="str">
            <v>1. Personal Administrativo</v>
          </cell>
          <cell r="AE1933" t="str">
            <v>1. Remuneraciones Adm.</v>
          </cell>
          <cell r="AH1933" t="str">
            <v>6. Partidas significativas de gastos</v>
          </cell>
        </row>
        <row r="1934">
          <cell r="D1934">
            <v>0</v>
          </cell>
          <cell r="G1934" t="str">
            <v/>
          </cell>
          <cell r="H1934" t="str">
            <v>Est. Resultado</v>
          </cell>
          <cell r="I1934" t="str">
            <v>Resultado</v>
          </cell>
          <cell r="J1934" t="str">
            <v>6. Costo Personal Administración</v>
          </cell>
          <cell r="K1934" t="str">
            <v>2. Remuneraciones Variables</v>
          </cell>
          <cell r="L1934" t="str">
            <v>EBITDA</v>
          </cell>
          <cell r="N1934" t="str">
            <v>GANANCIAS (PERDIDAS) ANTES DE IMPUESTOS</v>
          </cell>
          <cell r="O1934" t="str">
            <v>GANANCIA (PÉRDIDA) NETA</v>
          </cell>
          <cell r="P1934" t="str">
            <v>Resultado Ingresos y Gastos Integrales</v>
          </cell>
          <cell r="Q1934" t="str">
            <v>I. Ganancia (pérdida), antes de impuestos</v>
          </cell>
          <cell r="R1934" t="str">
            <v>b. Ganancia (pérdida)</v>
          </cell>
          <cell r="S1934" t="str">
            <v>5. Gasto de administración</v>
          </cell>
          <cell r="T1934" t="str">
            <v>2. Remuneraciones Variables</v>
          </cell>
          <cell r="V1934" t="str">
            <v>II. Gastos</v>
          </cell>
          <cell r="W1934" t="str">
            <v>21. Gastos en Personal</v>
          </cell>
          <cell r="Z1934" t="str">
            <v>III. Gastos de Administración</v>
          </cell>
          <cell r="AA1934" t="str">
            <v>9. Personal Administrativo</v>
          </cell>
          <cell r="AB1934" t="str">
            <v>2. Remu Variable</v>
          </cell>
          <cell r="AC1934" t="str">
            <v>III. Gasto Administración</v>
          </cell>
          <cell r="AD1934" t="str">
            <v>1. Personal Administrativo</v>
          </cell>
          <cell r="AE1934" t="str">
            <v>1. Remuneraciones Adm.</v>
          </cell>
          <cell r="AH1934" t="str">
            <v>6. Partidas significativas de gastos</v>
          </cell>
        </row>
        <row r="1935">
          <cell r="D1935">
            <v>0</v>
          </cell>
          <cell r="G1935" t="str">
            <v/>
          </cell>
          <cell r="H1935" t="str">
            <v>Est. Resultado</v>
          </cell>
          <cell r="I1935" t="str">
            <v>Resultado</v>
          </cell>
          <cell r="J1935" t="str">
            <v>6. Costo Personal Administración</v>
          </cell>
          <cell r="K1935" t="str">
            <v>2. Remuneraciones Variables</v>
          </cell>
          <cell r="L1935" t="str">
            <v>EBITDA</v>
          </cell>
          <cell r="N1935" t="str">
            <v>GANANCIAS (PERDIDAS) ANTES DE IMPUESTOS</v>
          </cell>
          <cell r="O1935" t="str">
            <v>GANANCIA (PÉRDIDA) NETA</v>
          </cell>
          <cell r="P1935" t="str">
            <v>Resultado Ingresos y Gastos Integrales</v>
          </cell>
          <cell r="Q1935" t="str">
            <v>I. Ganancia (pérdida), antes de impuestos</v>
          </cell>
          <cell r="R1935" t="str">
            <v>b. Ganancia (pérdida)</v>
          </cell>
          <cell r="S1935" t="str">
            <v>5. Gasto de administración</v>
          </cell>
          <cell r="T1935" t="str">
            <v>2. Remuneraciones Variables</v>
          </cell>
          <cell r="V1935" t="str">
            <v>II. Gastos</v>
          </cell>
          <cell r="W1935" t="str">
            <v>21. Gastos en Personal</v>
          </cell>
          <cell r="Z1935" t="str">
            <v>III. Gastos de Administración</v>
          </cell>
          <cell r="AA1935" t="str">
            <v>9. Personal Administrativo</v>
          </cell>
          <cell r="AB1935" t="str">
            <v>2. Remu Variable</v>
          </cell>
          <cell r="AC1935" t="str">
            <v>III. Gasto Administración</v>
          </cell>
          <cell r="AD1935" t="str">
            <v>1. Personal Administrativo</v>
          </cell>
          <cell r="AE1935" t="str">
            <v>1. Remuneraciones Adm.</v>
          </cell>
          <cell r="AH1935" t="str">
            <v>6. Partidas significativas de gastos</v>
          </cell>
        </row>
        <row r="1936">
          <cell r="D1936" t="str">
            <v>Remuneraciones Variables</v>
          </cell>
          <cell r="E1936" t="str">
            <v>Remuneraciones Variables</v>
          </cell>
          <cell r="G1936" t="str">
            <v xml:space="preserve">Remuneraciones Variables  </v>
          </cell>
          <cell r="H1936" t="str">
            <v/>
          </cell>
          <cell r="I1936" t="str">
            <v/>
          </cell>
          <cell r="J1936" t="str">
            <v/>
          </cell>
          <cell r="L1936" t="str">
            <v/>
          </cell>
          <cell r="N1936" t="str">
            <v/>
          </cell>
          <cell r="O1936" t="str">
            <v/>
          </cell>
          <cell r="P1936" t="str">
            <v/>
          </cell>
        </row>
        <row r="1937">
          <cell r="D1937" t="str">
            <v>4106100000</v>
          </cell>
          <cell r="E1937" t="str">
            <v>4106100000</v>
          </cell>
          <cell r="F1937" t="str">
            <v>Finiquitos y/o Desahucios</v>
          </cell>
          <cell r="G1937" t="str">
            <v>4106100000  Finiquitos y/o Desahucios</v>
          </cell>
          <cell r="H1937" t="str">
            <v>Est. Resultado</v>
          </cell>
          <cell r="I1937" t="str">
            <v>Resultado</v>
          </cell>
          <cell r="J1937" t="str">
            <v>6. Costo Personal Administración</v>
          </cell>
          <cell r="K1937" t="str">
            <v>3. Provisiones e indemnizaciones</v>
          </cell>
          <cell r="L1937" t="str">
            <v>EBITDA</v>
          </cell>
          <cell r="N1937" t="str">
            <v>GANANCIAS (PERDIDAS) ANTES DE IMPUESTOS</v>
          </cell>
          <cell r="O1937" t="str">
            <v>GANANCIA (PÉRDIDA) NETA</v>
          </cell>
          <cell r="P1937" t="str">
            <v>Resultado Ingresos y Gastos Integrales</v>
          </cell>
          <cell r="Q1937" t="str">
            <v>I. Ganancia (pérdida), antes de impuestos</v>
          </cell>
          <cell r="R1937" t="str">
            <v>b. Ganancia (pérdida)</v>
          </cell>
          <cell r="S1937" t="str">
            <v>5. Gasto de administración</v>
          </cell>
          <cell r="T1937" t="str">
            <v>3. Provisiones e indemnizaciones</v>
          </cell>
          <cell r="V1937" t="str">
            <v>II. Gastos</v>
          </cell>
          <cell r="W1937" t="str">
            <v>24. Desahucios y otras Indemnizaciones</v>
          </cell>
          <cell r="Z1937" t="str">
            <v>III. Gastos de Administración</v>
          </cell>
          <cell r="AA1937" t="str">
            <v>9. Personal Administrativo</v>
          </cell>
          <cell r="AB1937" t="str">
            <v>2. Remu Variable</v>
          </cell>
          <cell r="AC1937" t="str">
            <v>III. Gasto Administración</v>
          </cell>
          <cell r="AD1937" t="str">
            <v>1. Personal Administrativo</v>
          </cell>
          <cell r="AE1937" t="str">
            <v>1. Remuneraciones Adm.</v>
          </cell>
          <cell r="AG1937" t="str">
            <v xml:space="preserve"> </v>
          </cell>
          <cell r="AH1937" t="str">
            <v>6. Partidas significativas de gastos</v>
          </cell>
        </row>
        <row r="1938">
          <cell r="D1938" t="str">
            <v>4106200000</v>
          </cell>
          <cell r="E1938" t="str">
            <v>4106200000</v>
          </cell>
          <cell r="F1938" t="str">
            <v>Prov Ind Año Serv</v>
          </cell>
          <cell r="G1938" t="str">
            <v>4106200000  Prov Ind Año Serv</v>
          </cell>
          <cell r="H1938" t="str">
            <v>Est. Resultado</v>
          </cell>
          <cell r="I1938" t="str">
            <v>Resultado</v>
          </cell>
          <cell r="J1938" t="str">
            <v>6. Costo Personal Administración</v>
          </cell>
          <cell r="K1938" t="str">
            <v>3. Provisiones e indemnizaciones</v>
          </cell>
          <cell r="L1938" t="str">
            <v>EBITDA</v>
          </cell>
          <cell r="N1938" t="str">
            <v>GANANCIAS (PERDIDAS) ANTES DE IMPUESTOS</v>
          </cell>
          <cell r="O1938" t="str">
            <v>GANANCIA (PÉRDIDA) NETA</v>
          </cell>
          <cell r="P1938" t="str">
            <v>Resultado Ingresos y Gastos Integrales</v>
          </cell>
          <cell r="Q1938" t="str">
            <v>I. Ganancia (pérdida), antes de impuestos</v>
          </cell>
          <cell r="R1938" t="str">
            <v>b. Ganancia (pérdida)</v>
          </cell>
          <cell r="S1938" t="str">
            <v>5. Gasto de administración</v>
          </cell>
          <cell r="T1938" t="str">
            <v>3. Provisiones e indemnizaciones</v>
          </cell>
          <cell r="Z1938" t="str">
            <v>III. Gastos de Administración</v>
          </cell>
          <cell r="AA1938" t="str">
            <v>9. Personal Administrativo</v>
          </cell>
          <cell r="AB1938" t="str">
            <v>2. Remu Variable</v>
          </cell>
          <cell r="AC1938" t="str">
            <v>III. Gasto Administración</v>
          </cell>
          <cell r="AD1938" t="str">
            <v>1. Personal Administrativo</v>
          </cell>
          <cell r="AE1938" t="str">
            <v>1. Remuneraciones Adm.</v>
          </cell>
          <cell r="AG1938" t="str">
            <v xml:space="preserve"> </v>
          </cell>
          <cell r="AH1938" t="str">
            <v>6. Partidas significativas de gastos</v>
          </cell>
        </row>
        <row r="1939">
          <cell r="D1939" t="str">
            <v>4106300000</v>
          </cell>
          <cell r="E1939" t="str">
            <v>4106300000</v>
          </cell>
          <cell r="F1939" t="str">
            <v>Provision de Feriados</v>
          </cell>
          <cell r="G1939" t="str">
            <v>4106300000  Provision de Feriados</v>
          </cell>
          <cell r="H1939" t="str">
            <v>Est. Resultado</v>
          </cell>
          <cell r="I1939" t="str">
            <v>Resultado</v>
          </cell>
          <cell r="J1939" t="str">
            <v>6. Costo Personal Administración</v>
          </cell>
          <cell r="K1939" t="str">
            <v>3. Provisiones e indemnizaciones</v>
          </cell>
          <cell r="L1939" t="str">
            <v>EBITDA</v>
          </cell>
          <cell r="N1939" t="str">
            <v>GANANCIAS (PERDIDAS) ANTES DE IMPUESTOS</v>
          </cell>
          <cell r="O1939" t="str">
            <v>GANANCIA (PÉRDIDA) NETA</v>
          </cell>
          <cell r="P1939" t="str">
            <v>Resultado Ingresos y Gastos Integrales</v>
          </cell>
          <cell r="Q1939" t="str">
            <v>I. Ganancia (pérdida), antes de impuestos</v>
          </cell>
          <cell r="R1939" t="str">
            <v>b. Ganancia (pérdida)</v>
          </cell>
          <cell r="S1939" t="str">
            <v>5. Gasto de administración</v>
          </cell>
          <cell r="T1939" t="str">
            <v>3. Provisiones e indemnizaciones</v>
          </cell>
          <cell r="Z1939" t="str">
            <v>III. Gastos de Administración</v>
          </cell>
          <cell r="AA1939" t="str">
            <v>9. Personal Administrativo</v>
          </cell>
          <cell r="AB1939" t="str">
            <v>2. Remu Variable</v>
          </cell>
          <cell r="AC1939" t="str">
            <v>III. Gasto Administración</v>
          </cell>
          <cell r="AD1939" t="str">
            <v>1. Personal Administrativo</v>
          </cell>
          <cell r="AE1939" t="str">
            <v>1. Remuneraciones Adm.</v>
          </cell>
          <cell r="AG1939" t="str">
            <v xml:space="preserve"> </v>
          </cell>
          <cell r="AH1939" t="str">
            <v>6. Partidas significativas de gastos</v>
          </cell>
        </row>
        <row r="1940">
          <cell r="D1940" t="str">
            <v>4106400000</v>
          </cell>
          <cell r="E1940" t="str">
            <v>4106400000</v>
          </cell>
          <cell r="F1940" t="str">
            <v>Indemnizaciones Especiales</v>
          </cell>
          <cell r="G1940" t="str">
            <v>4106400000  Indemnizaciones Especiales</v>
          </cell>
          <cell r="H1940" t="str">
            <v>Est. Resultado</v>
          </cell>
          <cell r="I1940" t="str">
            <v>Resultado</v>
          </cell>
          <cell r="J1940" t="str">
            <v>6. Costo Personal Administración</v>
          </cell>
          <cell r="K1940" t="str">
            <v>3. Provisiones e indemnizaciones</v>
          </cell>
          <cell r="L1940" t="str">
            <v>EBITDA</v>
          </cell>
          <cell r="N1940" t="str">
            <v>GANANCIAS (PERDIDAS) ANTES DE IMPUESTOS</v>
          </cell>
          <cell r="O1940" t="str">
            <v>GANANCIA (PÉRDIDA) NETA</v>
          </cell>
          <cell r="P1940" t="str">
            <v>Resultado Ingresos y Gastos Integrales</v>
          </cell>
          <cell r="Q1940" t="str">
            <v>I. Ganancia (pérdida), antes de impuestos</v>
          </cell>
          <cell r="R1940" t="str">
            <v>b. Ganancia (pérdida)</v>
          </cell>
          <cell r="S1940" t="str">
            <v>5. Gasto de administración</v>
          </cell>
          <cell r="T1940" t="str">
            <v>3. Provisiones e indemnizaciones</v>
          </cell>
          <cell r="V1940" t="str">
            <v>II. Gastos</v>
          </cell>
          <cell r="W1940" t="str">
            <v>24. Desahucios y otras Indemnizaciones</v>
          </cell>
          <cell r="Z1940" t="str">
            <v>III. Gastos de Administración</v>
          </cell>
          <cell r="AA1940" t="str">
            <v>9. Personal Administrativo</v>
          </cell>
          <cell r="AB1940" t="str">
            <v>2. Remu Variable</v>
          </cell>
          <cell r="AC1940" t="str">
            <v>III. Gasto Administración</v>
          </cell>
          <cell r="AD1940" t="str">
            <v>1. Personal Administrativo</v>
          </cell>
          <cell r="AE1940" t="str">
            <v>1. Remuneraciones Adm.</v>
          </cell>
          <cell r="AG1940" t="str">
            <v xml:space="preserve"> </v>
          </cell>
          <cell r="AH1940" t="str">
            <v>6. Partidas significativas de gastos</v>
          </cell>
        </row>
        <row r="1941">
          <cell r="D1941" t="str">
            <v>4106600000</v>
          </cell>
          <cell r="E1941" t="str">
            <v>4106600000</v>
          </cell>
          <cell r="F1941" t="str">
            <v>Indemnización por años de servicio</v>
          </cell>
          <cell r="G1941" t="str">
            <v>4106600000  Indemnización por años de servicio</v>
          </cell>
          <cell r="H1941" t="str">
            <v>Est. Resultado</v>
          </cell>
          <cell r="I1941" t="str">
            <v>Resultado</v>
          </cell>
          <cell r="J1941" t="str">
            <v>6. Costo Personal Administración</v>
          </cell>
          <cell r="K1941" t="str">
            <v>3. Provisiones e indemnizaciones</v>
          </cell>
          <cell r="L1941" t="str">
            <v>EBITDA</v>
          </cell>
          <cell r="N1941" t="str">
            <v>GANANCIAS (PERDIDAS) ANTES DE IMPUESTOS</v>
          </cell>
          <cell r="O1941" t="str">
            <v>GANANCIA (PÉRDIDA) NETA</v>
          </cell>
          <cell r="P1941" t="str">
            <v>Resultado Ingresos y Gastos Integrales</v>
          </cell>
          <cell r="Q1941" t="str">
            <v>I. Ganancia (pérdida), antes de impuestos</v>
          </cell>
          <cell r="R1941" t="str">
            <v>b. Ganancia (pérdida)</v>
          </cell>
          <cell r="S1941" t="str">
            <v>5. Gasto de administración</v>
          </cell>
          <cell r="T1941" t="str">
            <v>3. Provisiones e indemnizaciones</v>
          </cell>
          <cell r="V1941" t="str">
            <v>II. Gastos</v>
          </cell>
          <cell r="W1941" t="str">
            <v>24. Desahucios y otras Indemnizaciones</v>
          </cell>
          <cell r="Z1941" t="str">
            <v>III. Gastos de Administración</v>
          </cell>
          <cell r="AA1941" t="str">
            <v>9. Personal Administrativo</v>
          </cell>
          <cell r="AB1941" t="str">
            <v>2. Remu Variable</v>
          </cell>
          <cell r="AC1941" t="str">
            <v>III. Gasto Administración</v>
          </cell>
          <cell r="AD1941" t="str">
            <v>1. Personal Administrativo</v>
          </cell>
          <cell r="AE1941" t="str">
            <v>1. Remuneraciones Adm.</v>
          </cell>
          <cell r="AG1941" t="str">
            <v xml:space="preserve"> </v>
          </cell>
          <cell r="AH1941" t="str">
            <v>6. Partidas significativas de gastos</v>
          </cell>
        </row>
        <row r="1942">
          <cell r="D1942" t="str">
            <v>4106700000</v>
          </cell>
          <cell r="E1942" t="str">
            <v>4106700000</v>
          </cell>
          <cell r="F1942" t="str">
            <v>Indemnización voluntaria</v>
          </cell>
          <cell r="G1942" t="str">
            <v>4106700000  Indemnización voluntaria</v>
          </cell>
          <cell r="H1942" t="str">
            <v>Est. Resultado</v>
          </cell>
          <cell r="I1942" t="str">
            <v>Resultado</v>
          </cell>
          <cell r="J1942" t="str">
            <v>6. Costo Personal Administración</v>
          </cell>
          <cell r="K1942" t="str">
            <v>3. Provisiones e indemnizaciones</v>
          </cell>
          <cell r="L1942" t="str">
            <v>EBITDA</v>
          </cell>
          <cell r="N1942" t="str">
            <v>GANANCIAS (PERDIDAS) ANTES DE IMPUESTOS</v>
          </cell>
          <cell r="O1942" t="str">
            <v>GANANCIA (PÉRDIDA) NETA</v>
          </cell>
          <cell r="P1942" t="str">
            <v>Resultado Ingresos y Gastos Integrales</v>
          </cell>
          <cell r="Q1942" t="str">
            <v>I. Ganancia (pérdida), antes de impuestos</v>
          </cell>
          <cell r="R1942" t="str">
            <v>b. Ganancia (pérdida)</v>
          </cell>
          <cell r="S1942" t="str">
            <v>5. Gasto de administración</v>
          </cell>
          <cell r="T1942" t="str">
            <v>3. Provisiones e indemnizaciones</v>
          </cell>
          <cell r="V1942" t="str">
            <v>II. Gastos</v>
          </cell>
          <cell r="W1942" t="str">
            <v>24. Desahucios y otras Indemnizaciones</v>
          </cell>
          <cell r="Z1942" t="str">
            <v>III. Gastos de Administración</v>
          </cell>
          <cell r="AA1942" t="str">
            <v>9. Personal Administrativo</v>
          </cell>
          <cell r="AB1942" t="str">
            <v>2. Remu Variable</v>
          </cell>
          <cell r="AC1942" t="str">
            <v>III. Gasto Administración</v>
          </cell>
          <cell r="AD1942" t="str">
            <v>1. Personal Administrativo</v>
          </cell>
          <cell r="AE1942" t="str">
            <v>1. Remuneraciones Adm.</v>
          </cell>
          <cell r="AG1942" t="str">
            <v xml:space="preserve"> </v>
          </cell>
          <cell r="AH1942" t="str">
            <v>6. Partidas significativas de gastos</v>
          </cell>
        </row>
        <row r="1943">
          <cell r="D1943">
            <v>0</v>
          </cell>
          <cell r="G1943" t="str">
            <v/>
          </cell>
        </row>
        <row r="1944">
          <cell r="D1944">
            <v>0</v>
          </cell>
          <cell r="G1944" t="str">
            <v/>
          </cell>
        </row>
        <row r="1945">
          <cell r="D1945" t="str">
            <v>Provisiones e indemnizaciones</v>
          </cell>
          <cell r="E1945" t="str">
            <v>Provisiones e indemnizaciones</v>
          </cell>
          <cell r="G1945" t="str">
            <v xml:space="preserve">Provisiones e indemnizaciones  </v>
          </cell>
          <cell r="H1945" t="str">
            <v/>
          </cell>
          <cell r="I1945" t="str">
            <v/>
          </cell>
          <cell r="L1945" t="str">
            <v/>
          </cell>
          <cell r="N1945" t="str">
            <v/>
          </cell>
          <cell r="O1945" t="str">
            <v/>
          </cell>
          <cell r="P1945" t="str">
            <v/>
          </cell>
        </row>
        <row r="1946">
          <cell r="D1946" t="str">
            <v>COSTO PERSONAL ADMINISTRACION</v>
          </cell>
          <cell r="E1946" t="str">
            <v>COSTO PERSONAL ADMINISTRACION</v>
          </cell>
          <cell r="G1946" t="str">
            <v xml:space="preserve">COSTO PERSONAL ADMINISTRACION  </v>
          </cell>
          <cell r="H1946" t="str">
            <v/>
          </cell>
          <cell r="I1946" t="str">
            <v/>
          </cell>
          <cell r="L1946" t="str">
            <v/>
          </cell>
          <cell r="N1946" t="str">
            <v/>
          </cell>
          <cell r="O1946" t="str">
            <v/>
          </cell>
          <cell r="P1946" t="str">
            <v/>
          </cell>
        </row>
        <row r="1947">
          <cell r="D1947" t="str">
            <v>4104100000</v>
          </cell>
          <cell r="E1947" t="str">
            <v>4104100000</v>
          </cell>
          <cell r="F1947" t="str">
            <v>Honorarios Persona Natural</v>
          </cell>
          <cell r="G1947" t="str">
            <v>4104100000  Honorarios Persona Natural</v>
          </cell>
          <cell r="H1947" t="str">
            <v>Est. Resultado</v>
          </cell>
          <cell r="I1947" t="str">
            <v>Resultado</v>
          </cell>
          <cell r="J1947" t="str">
            <v>7. Gastos de Administración</v>
          </cell>
          <cell r="K1947" t="str">
            <v>1. Honorarios</v>
          </cell>
          <cell r="L1947" t="str">
            <v>EBITDA</v>
          </cell>
          <cell r="N1947" t="str">
            <v>GANANCIAS (PERDIDAS) ANTES DE IMPUESTOS</v>
          </cell>
          <cell r="O1947" t="str">
            <v>GANANCIA (PÉRDIDA) NETA</v>
          </cell>
          <cell r="P1947" t="str">
            <v>Resultado Ingresos y Gastos Integrales</v>
          </cell>
          <cell r="Q1947" t="str">
            <v>I. Ganancia (pérdida), antes de impuestos</v>
          </cell>
          <cell r="R1947" t="str">
            <v>b. Ganancia (pérdida)</v>
          </cell>
          <cell r="S1947" t="str">
            <v>5. Gasto de administración</v>
          </cell>
          <cell r="T1947" t="str">
            <v>5. Honorarios</v>
          </cell>
          <cell r="V1947" t="str">
            <v>II. Gastos</v>
          </cell>
          <cell r="W1947" t="str">
            <v>21. Gastos en Personal</v>
          </cell>
          <cell r="Z1947" t="str">
            <v>III. Gastos de Administración</v>
          </cell>
          <cell r="AA1947" t="str">
            <v>6. Gastos Generales</v>
          </cell>
          <cell r="AC1947" t="str">
            <v>III. Gasto Administración</v>
          </cell>
          <cell r="AD1947" t="str">
            <v>2. Bienes y servicios Adm.</v>
          </cell>
          <cell r="AE1947" t="str">
            <v>6. Gastos Generales</v>
          </cell>
          <cell r="AG1947" t="str">
            <v xml:space="preserve"> </v>
          </cell>
          <cell r="AH1947" t="str">
            <v>6. Partidas significativas de gastos</v>
          </cell>
        </row>
        <row r="1948">
          <cell r="D1948">
            <v>0</v>
          </cell>
          <cell r="G1948" t="str">
            <v/>
          </cell>
          <cell r="H1948" t="str">
            <v>Est. Resultado</v>
          </cell>
          <cell r="I1948" t="str">
            <v>Resultado</v>
          </cell>
          <cell r="J1948" t="str">
            <v>7. Gastos de Administración</v>
          </cell>
          <cell r="K1948" t="str">
            <v>1. Honorarios</v>
          </cell>
          <cell r="L1948" t="str">
            <v>EBITDA</v>
          </cell>
          <cell r="N1948" t="str">
            <v>GANANCIAS (PERDIDAS) ANTES DE IMPUESTOS</v>
          </cell>
          <cell r="O1948" t="str">
            <v>GANANCIA (PÉRDIDA) NETA</v>
          </cell>
          <cell r="P1948" t="str">
            <v>Resultado Ingresos y Gastos Integrales</v>
          </cell>
          <cell r="Q1948" t="str">
            <v>I. Ganancia (pérdida), antes de impuestos</v>
          </cell>
          <cell r="R1948" t="str">
            <v>b. Ganancia (pérdida)</v>
          </cell>
          <cell r="S1948" t="str">
            <v>5. Gasto de administración</v>
          </cell>
          <cell r="T1948" t="str">
            <v>5. Honorarios</v>
          </cell>
          <cell r="V1948" t="str">
            <v>II. Gastos</v>
          </cell>
          <cell r="W1948" t="str">
            <v>21. Gastos en Personal</v>
          </cell>
          <cell r="Z1948" t="str">
            <v>III. Gastos de Administración</v>
          </cell>
          <cell r="AA1948" t="str">
            <v>6. Gastos Generales</v>
          </cell>
          <cell r="AC1948" t="str">
            <v>III. Gasto Administración</v>
          </cell>
          <cell r="AD1948" t="str">
            <v>2. Bienes y servicios Adm.</v>
          </cell>
          <cell r="AE1948" t="str">
            <v>6. Gastos Generales</v>
          </cell>
          <cell r="AG1948" t="str">
            <v xml:space="preserve"> </v>
          </cell>
          <cell r="AH1948" t="str">
            <v>6. Partidas significativas de gastos</v>
          </cell>
        </row>
        <row r="1949">
          <cell r="D1949">
            <v>0</v>
          </cell>
          <cell r="G1949" t="str">
            <v/>
          </cell>
          <cell r="H1949" t="str">
            <v>Est. Resultado</v>
          </cell>
          <cell r="I1949" t="str">
            <v>Resultado</v>
          </cell>
          <cell r="J1949" t="str">
            <v>7. Gastos de Administración</v>
          </cell>
          <cell r="K1949" t="str">
            <v>1. Honorarios</v>
          </cell>
          <cell r="L1949" t="str">
            <v>EBITDA</v>
          </cell>
          <cell r="N1949" t="str">
            <v>GANANCIAS (PERDIDAS) ANTES DE IMPUESTOS</v>
          </cell>
          <cell r="O1949" t="str">
            <v>GANANCIA (PÉRDIDA) NETA</v>
          </cell>
          <cell r="P1949" t="str">
            <v>Resultado Ingresos y Gastos Integrales</v>
          </cell>
          <cell r="Q1949" t="str">
            <v>I. Ganancia (pérdida), antes de impuestos</v>
          </cell>
          <cell r="R1949" t="str">
            <v>b. Ganancia (pérdida)</v>
          </cell>
          <cell r="S1949" t="str">
            <v>5. Gasto de administración</v>
          </cell>
          <cell r="T1949" t="str">
            <v>5. Honorarios</v>
          </cell>
          <cell r="V1949" t="str">
            <v>II. Gastos</v>
          </cell>
          <cell r="W1949" t="str">
            <v>21. Gastos en Personal</v>
          </cell>
          <cell r="Z1949" t="str">
            <v>III. Gastos de Administración</v>
          </cell>
          <cell r="AA1949" t="str">
            <v>6. Gastos Generales</v>
          </cell>
          <cell r="AC1949" t="str">
            <v>III. Gasto Administración</v>
          </cell>
          <cell r="AD1949" t="str">
            <v>2. Bienes y servicios Adm.</v>
          </cell>
          <cell r="AE1949" t="str">
            <v>6. Gastos Generales</v>
          </cell>
          <cell r="AG1949" t="str">
            <v xml:space="preserve"> </v>
          </cell>
          <cell r="AH1949" t="str">
            <v>6. Partidas significativas de gastos</v>
          </cell>
        </row>
        <row r="1950">
          <cell r="D1950">
            <v>0</v>
          </cell>
          <cell r="G1950" t="str">
            <v/>
          </cell>
          <cell r="H1950" t="str">
            <v>Est. Resultado</v>
          </cell>
          <cell r="I1950" t="str">
            <v>Resultado</v>
          </cell>
          <cell r="J1950" t="str">
            <v>7. Gastos de Administración</v>
          </cell>
          <cell r="K1950" t="str">
            <v>1. Honorarios</v>
          </cell>
          <cell r="L1950" t="str">
            <v>EBITDA</v>
          </cell>
          <cell r="N1950" t="str">
            <v>GANANCIAS (PERDIDAS) ANTES DE IMPUESTOS</v>
          </cell>
          <cell r="O1950" t="str">
            <v>GANANCIA (PÉRDIDA) NETA</v>
          </cell>
          <cell r="P1950" t="str">
            <v>Resultado Ingresos y Gastos Integrales</v>
          </cell>
          <cell r="Q1950" t="str">
            <v>I. Ganancia (pérdida), antes de impuestos</v>
          </cell>
          <cell r="R1950" t="str">
            <v>b. Ganancia (pérdida)</v>
          </cell>
          <cell r="S1950" t="str">
            <v>5. Gasto de administración</v>
          </cell>
          <cell r="T1950" t="str">
            <v>5. Honorarios</v>
          </cell>
          <cell r="V1950" t="str">
            <v>II. Gastos</v>
          </cell>
          <cell r="W1950" t="str">
            <v>21. Gastos en Personal</v>
          </cell>
          <cell r="Z1950" t="str">
            <v>III. Gastos de Administración</v>
          </cell>
          <cell r="AA1950" t="str">
            <v>6. Gastos Generales</v>
          </cell>
          <cell r="AC1950" t="str">
            <v>III. Gasto Administración</v>
          </cell>
          <cell r="AD1950" t="str">
            <v>2. Bienes y servicios Adm.</v>
          </cell>
          <cell r="AE1950" t="str">
            <v>6. Gastos Generales</v>
          </cell>
          <cell r="AG1950" t="str">
            <v xml:space="preserve"> </v>
          </cell>
          <cell r="AH1950" t="str">
            <v>6. Partidas significativas de gastos</v>
          </cell>
        </row>
        <row r="1951">
          <cell r="D1951" t="str">
            <v>Honorarios</v>
          </cell>
          <cell r="E1951" t="str">
            <v>Honorarios</v>
          </cell>
          <cell r="G1951" t="str">
            <v xml:space="preserve">Honorarios  </v>
          </cell>
          <cell r="H1951" t="str">
            <v/>
          </cell>
          <cell r="I1951" t="str">
            <v/>
          </cell>
          <cell r="J1951" t="str">
            <v/>
          </cell>
          <cell r="L1951" t="str">
            <v/>
          </cell>
          <cell r="N1951" t="str">
            <v/>
          </cell>
          <cell r="O1951" t="str">
            <v/>
          </cell>
          <cell r="P1951" t="str">
            <v/>
          </cell>
        </row>
        <row r="1952">
          <cell r="D1952" t="str">
            <v>4105100000</v>
          </cell>
          <cell r="E1952" t="str">
            <v>4105100000</v>
          </cell>
          <cell r="F1952" t="str">
            <v>Aporte Patronal</v>
          </cell>
          <cell r="G1952" t="str">
            <v>4105100000  Aporte Patronal</v>
          </cell>
          <cell r="H1952" t="str">
            <v>Est. Resultado</v>
          </cell>
          <cell r="I1952" t="str">
            <v>Resultado</v>
          </cell>
          <cell r="J1952" t="str">
            <v>7. Gastos de Administración</v>
          </cell>
          <cell r="K1952" t="str">
            <v>2. Otros Gastos en Personal</v>
          </cell>
          <cell r="L1952" t="str">
            <v>EBITDA</v>
          </cell>
          <cell r="N1952" t="str">
            <v>GANANCIAS (PERDIDAS) ANTES DE IMPUESTOS</v>
          </cell>
          <cell r="O1952" t="str">
            <v>GANANCIA (PÉRDIDA) NETA</v>
          </cell>
          <cell r="P1952" t="str">
            <v>Resultado Ingresos y Gastos Integrales</v>
          </cell>
          <cell r="Q1952" t="str">
            <v>I. Ganancia (pérdida), antes de impuestos</v>
          </cell>
          <cell r="R1952" t="str">
            <v>b. Ganancia (pérdida)</v>
          </cell>
          <cell r="S1952" t="str">
            <v>5. Gasto de administración</v>
          </cell>
          <cell r="T1952" t="str">
            <v>4. Otros Gastos en Personal</v>
          </cell>
          <cell r="V1952" t="str">
            <v>II. Gastos</v>
          </cell>
          <cell r="W1952" t="str">
            <v>21. Gastos en Personal</v>
          </cell>
          <cell r="Z1952" t="str">
            <v>III. Gastos de Administración</v>
          </cell>
          <cell r="AA1952" t="str">
            <v>8. Otros Gastos en Personal</v>
          </cell>
          <cell r="AC1952" t="str">
            <v>III. Gasto Administración</v>
          </cell>
          <cell r="AD1952" t="str">
            <v>1. Personal Administrativo</v>
          </cell>
          <cell r="AE1952" t="str">
            <v>2. Otros Gastos en Personal</v>
          </cell>
          <cell r="AG1952" t="str">
            <v xml:space="preserve"> </v>
          </cell>
          <cell r="AH1952" t="str">
            <v>6. Partidas significativas de gastos</v>
          </cell>
        </row>
        <row r="1953">
          <cell r="D1953" t="str">
            <v>4105150000</v>
          </cell>
          <cell r="E1953" t="str">
            <v>4105150000</v>
          </cell>
          <cell r="F1953" t="str">
            <v>Seguro Ley Nº16744</v>
          </cell>
          <cell r="G1953" t="str">
            <v>4105150000  Seguro Ley Nº16744</v>
          </cell>
          <cell r="H1953" t="str">
            <v>Est. Resultado</v>
          </cell>
          <cell r="I1953" t="str">
            <v>Resultado</v>
          </cell>
          <cell r="J1953" t="str">
            <v>7. Gastos de Administración</v>
          </cell>
          <cell r="K1953" t="str">
            <v>2. Otros Gastos en Personal</v>
          </cell>
          <cell r="L1953" t="str">
            <v>EBITDA</v>
          </cell>
          <cell r="N1953" t="str">
            <v>GANANCIAS (PERDIDAS) ANTES DE IMPUESTOS</v>
          </cell>
          <cell r="O1953" t="str">
            <v>GANANCIA (PÉRDIDA) NETA</v>
          </cell>
          <cell r="P1953" t="str">
            <v>Resultado Ingresos y Gastos Integrales</v>
          </cell>
          <cell r="Q1953" t="str">
            <v>I. Ganancia (pérdida), antes de impuestos</v>
          </cell>
          <cell r="R1953" t="str">
            <v>b. Ganancia (pérdida)</v>
          </cell>
          <cell r="S1953" t="str">
            <v>5. Gasto de administración</v>
          </cell>
          <cell r="T1953" t="str">
            <v>4. Otros Gastos en Personal</v>
          </cell>
          <cell r="V1953" t="str">
            <v>II. Gastos</v>
          </cell>
          <cell r="W1953" t="str">
            <v>21. Gastos en Personal</v>
          </cell>
          <cell r="Z1953" t="str">
            <v>III. Gastos de Administración</v>
          </cell>
          <cell r="AA1953" t="str">
            <v>8. Otros Gastos en Personal</v>
          </cell>
          <cell r="AC1953" t="str">
            <v>III. Gasto Administración</v>
          </cell>
          <cell r="AD1953" t="str">
            <v>1. Personal Administrativo</v>
          </cell>
          <cell r="AE1953" t="str">
            <v>2. Otros Gastos en Personal</v>
          </cell>
          <cell r="AG1953" t="str">
            <v xml:space="preserve"> </v>
          </cell>
          <cell r="AH1953" t="str">
            <v>6. Partidas significativas de gastos</v>
          </cell>
        </row>
        <row r="1954">
          <cell r="D1954" t="str">
            <v>4105200000</v>
          </cell>
          <cell r="E1954" t="str">
            <v>4105200000</v>
          </cell>
          <cell r="F1954" t="str">
            <v>Capacitacion</v>
          </cell>
          <cell r="G1954" t="str">
            <v>4105200000  Capacitacion</v>
          </cell>
          <cell r="H1954" t="str">
            <v>Est. Resultado</v>
          </cell>
          <cell r="I1954" t="str">
            <v>Resultado</v>
          </cell>
          <cell r="J1954" t="str">
            <v>7. Gastos de Administración</v>
          </cell>
          <cell r="K1954" t="str">
            <v>2. Otros Gastos en Personal</v>
          </cell>
          <cell r="L1954" t="str">
            <v>EBITDA</v>
          </cell>
          <cell r="N1954" t="str">
            <v>GANANCIAS (PERDIDAS) ANTES DE IMPUESTOS</v>
          </cell>
          <cell r="O1954" t="str">
            <v>GANANCIA (PÉRDIDA) NETA</v>
          </cell>
          <cell r="P1954" t="str">
            <v>Resultado Ingresos y Gastos Integrales</v>
          </cell>
          <cell r="Q1954" t="str">
            <v>I. Ganancia (pérdida), antes de impuestos</v>
          </cell>
          <cell r="R1954" t="str">
            <v>b. Ganancia (pérdida)</v>
          </cell>
          <cell r="S1954" t="str">
            <v>5. Gasto de administración</v>
          </cell>
          <cell r="T1954" t="str">
            <v>4. Otros Gastos en Personal</v>
          </cell>
          <cell r="V1954" t="str">
            <v>II. Gastos</v>
          </cell>
          <cell r="W1954" t="str">
            <v>21. Gastos en Personal</v>
          </cell>
          <cell r="Z1954" t="str">
            <v>III. Gastos de Administración</v>
          </cell>
          <cell r="AA1954" t="str">
            <v>8. Otros Gastos en Personal</v>
          </cell>
          <cell r="AC1954" t="str">
            <v>III. Gasto Administración</v>
          </cell>
          <cell r="AD1954" t="str">
            <v>1. Personal Administrativo</v>
          </cell>
          <cell r="AE1954" t="str">
            <v>2. Otros Gastos en Personal</v>
          </cell>
          <cell r="AG1954" t="str">
            <v xml:space="preserve"> </v>
          </cell>
          <cell r="AH1954" t="str">
            <v>6. Partidas significativas de gastos</v>
          </cell>
        </row>
        <row r="1955">
          <cell r="D1955" t="str">
            <v>4105250000</v>
          </cell>
          <cell r="E1955" t="str">
            <v>4105250000</v>
          </cell>
          <cell r="F1955" t="str">
            <v>Seguro del Personal</v>
          </cell>
          <cell r="G1955" t="str">
            <v>4105250000  Seguro del Personal</v>
          </cell>
          <cell r="H1955" t="str">
            <v>Est. Resultado</v>
          </cell>
          <cell r="I1955" t="str">
            <v>Resultado</v>
          </cell>
          <cell r="J1955" t="str">
            <v>7. Gastos de Administración</v>
          </cell>
          <cell r="K1955" t="str">
            <v>2. Otros Gastos en Personal</v>
          </cell>
          <cell r="L1955" t="str">
            <v>EBITDA</v>
          </cell>
          <cell r="N1955" t="str">
            <v>GANANCIAS (PERDIDAS) ANTES DE IMPUESTOS</v>
          </cell>
          <cell r="O1955" t="str">
            <v>GANANCIA (PÉRDIDA) NETA</v>
          </cell>
          <cell r="P1955" t="str">
            <v>Resultado Ingresos y Gastos Integrales</v>
          </cell>
          <cell r="Q1955" t="str">
            <v>I. Ganancia (pérdida), antes de impuestos</v>
          </cell>
          <cell r="R1955" t="str">
            <v>b. Ganancia (pérdida)</v>
          </cell>
          <cell r="S1955" t="str">
            <v>5. Gasto de administración</v>
          </cell>
          <cell r="T1955" t="str">
            <v>4. Otros Gastos en Personal</v>
          </cell>
          <cell r="V1955" t="str">
            <v>II. Gastos</v>
          </cell>
          <cell r="W1955" t="str">
            <v>21. Gastos en Personal</v>
          </cell>
          <cell r="Z1955" t="str">
            <v>III. Gastos de Administración</v>
          </cell>
          <cell r="AA1955" t="str">
            <v>8. Otros Gastos en Personal</v>
          </cell>
          <cell r="AC1955" t="str">
            <v>III. Gasto Administración</v>
          </cell>
          <cell r="AD1955" t="str">
            <v>1. Personal Administrativo</v>
          </cell>
          <cell r="AE1955" t="str">
            <v>2. Otros Gastos en Personal</v>
          </cell>
          <cell r="AG1955" t="str">
            <v xml:space="preserve"> </v>
          </cell>
          <cell r="AH1955" t="str">
            <v>6. Partidas significativas de gastos</v>
          </cell>
        </row>
        <row r="1956">
          <cell r="D1956" t="str">
            <v>4105300000</v>
          </cell>
          <cell r="E1956" t="str">
            <v>4105300000</v>
          </cell>
          <cell r="F1956" t="str">
            <v>Salud Isapre</v>
          </cell>
          <cell r="G1956" t="str">
            <v>4105300000  Salud Isapre</v>
          </cell>
          <cell r="H1956" t="str">
            <v>Est. Resultado</v>
          </cell>
          <cell r="I1956" t="str">
            <v>Resultado</v>
          </cell>
          <cell r="J1956" t="str">
            <v>7. Gastos de Administración</v>
          </cell>
          <cell r="K1956" t="str">
            <v>2. Otros Gastos en Personal</v>
          </cell>
          <cell r="L1956" t="str">
            <v>EBITDA</v>
          </cell>
          <cell r="N1956" t="str">
            <v>GANANCIAS (PERDIDAS) ANTES DE IMPUESTOS</v>
          </cell>
          <cell r="O1956" t="str">
            <v>GANANCIA (PÉRDIDA) NETA</v>
          </cell>
          <cell r="P1956" t="str">
            <v>Resultado Ingresos y Gastos Integrales</v>
          </cell>
          <cell r="Q1956" t="str">
            <v>I. Ganancia (pérdida), antes de impuestos</v>
          </cell>
          <cell r="R1956" t="str">
            <v>b. Ganancia (pérdida)</v>
          </cell>
          <cell r="S1956" t="str">
            <v>5. Gasto de administración</v>
          </cell>
          <cell r="T1956" t="str">
            <v>4. Otros Gastos en Personal</v>
          </cell>
          <cell r="V1956" t="str">
            <v>II. Gastos</v>
          </cell>
          <cell r="W1956" t="str">
            <v>21. Gastos en Personal</v>
          </cell>
          <cell r="Z1956" t="str">
            <v>III. Gastos de Administración</v>
          </cell>
          <cell r="AA1956" t="str">
            <v>8. Otros Gastos en Personal</v>
          </cell>
          <cell r="AC1956" t="str">
            <v>III. Gasto Administración</v>
          </cell>
          <cell r="AD1956" t="str">
            <v>1. Personal Administrativo</v>
          </cell>
          <cell r="AE1956" t="str">
            <v>2. Otros Gastos en Personal</v>
          </cell>
          <cell r="AG1956" t="str">
            <v xml:space="preserve"> </v>
          </cell>
          <cell r="AH1956" t="str">
            <v>6. Partidas significativas de gastos</v>
          </cell>
        </row>
        <row r="1957">
          <cell r="D1957" t="str">
            <v>4105350000</v>
          </cell>
          <cell r="E1957" t="str">
            <v>4105350000</v>
          </cell>
          <cell r="F1957" t="str">
            <v>Elem Segur Personal</v>
          </cell>
          <cell r="G1957" t="str">
            <v>4105350000  Elem Segur Personal</v>
          </cell>
          <cell r="H1957" t="str">
            <v>Est. Resultado</v>
          </cell>
          <cell r="I1957" t="str">
            <v>Resultado</v>
          </cell>
          <cell r="J1957" t="str">
            <v>7. Gastos de Administración</v>
          </cell>
          <cell r="K1957" t="str">
            <v>2. Otros Gastos en Personal</v>
          </cell>
          <cell r="L1957" t="str">
            <v>EBITDA</v>
          </cell>
          <cell r="N1957" t="str">
            <v>GANANCIAS (PERDIDAS) ANTES DE IMPUESTOS</v>
          </cell>
          <cell r="O1957" t="str">
            <v>GANANCIA (PÉRDIDA) NETA</v>
          </cell>
          <cell r="P1957" t="str">
            <v>Resultado Ingresos y Gastos Integrales</v>
          </cell>
          <cell r="Q1957" t="str">
            <v>I. Ganancia (pérdida), antes de impuestos</v>
          </cell>
          <cell r="R1957" t="str">
            <v>b. Ganancia (pérdida)</v>
          </cell>
          <cell r="S1957" t="str">
            <v>5. Gasto de administración</v>
          </cell>
          <cell r="T1957" t="str">
            <v>4. Otros Gastos en Personal</v>
          </cell>
          <cell r="V1957" t="str">
            <v>II. Gastos</v>
          </cell>
          <cell r="W1957" t="str">
            <v>21. Gastos en Personal</v>
          </cell>
          <cell r="Z1957" t="str">
            <v>III. Gastos de Administración</v>
          </cell>
          <cell r="AA1957" t="str">
            <v>8. Otros Gastos en Personal</v>
          </cell>
          <cell r="AC1957" t="str">
            <v>III. Gasto Administración</v>
          </cell>
          <cell r="AD1957" t="str">
            <v>1. Personal Administrativo</v>
          </cell>
          <cell r="AE1957" t="str">
            <v>2. Otros Gastos en Personal</v>
          </cell>
          <cell r="AG1957" t="str">
            <v xml:space="preserve"> </v>
          </cell>
          <cell r="AH1957" t="str">
            <v>6. Partidas significativas de gastos</v>
          </cell>
        </row>
        <row r="1958">
          <cell r="D1958" t="str">
            <v>4105450000</v>
          </cell>
          <cell r="E1958" t="str">
            <v>4105450000</v>
          </cell>
          <cell r="F1958" t="str">
            <v>Sala Cuna</v>
          </cell>
          <cell r="G1958" t="str">
            <v>4105450000  Sala Cuna</v>
          </cell>
          <cell r="H1958" t="str">
            <v>Est. Resultado</v>
          </cell>
          <cell r="I1958" t="str">
            <v>Resultado</v>
          </cell>
          <cell r="J1958" t="str">
            <v>7. Gastos de Administración</v>
          </cell>
          <cell r="K1958" t="str">
            <v>2. Otros Gastos en Personal</v>
          </cell>
          <cell r="L1958" t="str">
            <v>EBITDA</v>
          </cell>
          <cell r="N1958" t="str">
            <v>GANANCIAS (PERDIDAS) ANTES DE IMPUESTOS</v>
          </cell>
          <cell r="O1958" t="str">
            <v>GANANCIA (PÉRDIDA) NETA</v>
          </cell>
          <cell r="P1958" t="str">
            <v>Resultado Ingresos y Gastos Integrales</v>
          </cell>
          <cell r="Q1958" t="str">
            <v>I. Ganancia (pérdida), antes de impuestos</v>
          </cell>
          <cell r="R1958" t="str">
            <v>b. Ganancia (pérdida)</v>
          </cell>
          <cell r="S1958" t="str">
            <v>5. Gasto de administración</v>
          </cell>
          <cell r="T1958" t="str">
            <v>4. Otros Gastos en Personal</v>
          </cell>
          <cell r="V1958" t="str">
            <v>II. Gastos</v>
          </cell>
          <cell r="W1958" t="str">
            <v>21. Gastos en Personal</v>
          </cell>
          <cell r="Z1958" t="str">
            <v>III. Gastos de Administración</v>
          </cell>
          <cell r="AA1958" t="str">
            <v>8. Otros Gastos en Personal</v>
          </cell>
          <cell r="AC1958" t="str">
            <v>III. Gasto Administración</v>
          </cell>
          <cell r="AD1958" t="str">
            <v>1. Personal Administrativo</v>
          </cell>
          <cell r="AE1958" t="str">
            <v>2. Otros Gastos en Personal</v>
          </cell>
          <cell r="AG1958" t="str">
            <v xml:space="preserve"> </v>
          </cell>
          <cell r="AH1958" t="str">
            <v>6. Partidas significativas de gastos</v>
          </cell>
        </row>
        <row r="1959">
          <cell r="D1959" t="str">
            <v>4105500000</v>
          </cell>
          <cell r="E1959" t="str">
            <v>4105500000</v>
          </cell>
          <cell r="F1959" t="str">
            <v>Estudiante en Practica</v>
          </cell>
          <cell r="G1959" t="str">
            <v>4105500000  Estudiante en Practica</v>
          </cell>
          <cell r="H1959" t="str">
            <v>Est. Resultado</v>
          </cell>
          <cell r="I1959" t="str">
            <v>Resultado</v>
          </cell>
          <cell r="J1959" t="str">
            <v>7. Gastos de Administración</v>
          </cell>
          <cell r="K1959" t="str">
            <v>2. Otros Gastos en Personal</v>
          </cell>
          <cell r="L1959" t="str">
            <v>EBITDA</v>
          </cell>
          <cell r="N1959" t="str">
            <v>GANANCIAS (PERDIDAS) ANTES DE IMPUESTOS</v>
          </cell>
          <cell r="O1959" t="str">
            <v>GANANCIA (PÉRDIDA) NETA</v>
          </cell>
          <cell r="P1959" t="str">
            <v>Resultado Ingresos y Gastos Integrales</v>
          </cell>
          <cell r="Q1959" t="str">
            <v>I. Ganancia (pérdida), antes de impuestos</v>
          </cell>
          <cell r="R1959" t="str">
            <v>b. Ganancia (pérdida)</v>
          </cell>
          <cell r="S1959" t="str">
            <v>5. Gasto de administración</v>
          </cell>
          <cell r="T1959" t="str">
            <v>4. Otros Gastos en Personal</v>
          </cell>
          <cell r="V1959" t="str">
            <v>II. Gastos</v>
          </cell>
          <cell r="W1959" t="str">
            <v>21. Gastos en Personal</v>
          </cell>
          <cell r="Z1959" t="str">
            <v>III. Gastos de Administración</v>
          </cell>
          <cell r="AA1959" t="str">
            <v>8. Otros Gastos en Personal</v>
          </cell>
          <cell r="AC1959" t="str">
            <v>III. Gasto Administración</v>
          </cell>
          <cell r="AD1959" t="str">
            <v>1. Personal Administrativo</v>
          </cell>
          <cell r="AE1959" t="str">
            <v>2. Otros Gastos en Personal</v>
          </cell>
          <cell r="AG1959" t="str">
            <v xml:space="preserve"> </v>
          </cell>
          <cell r="AH1959" t="str">
            <v>6. Partidas significativas de gastos</v>
          </cell>
        </row>
        <row r="1960">
          <cell r="D1960" t="str">
            <v>4105550000</v>
          </cell>
          <cell r="E1960" t="str">
            <v>4105550000</v>
          </cell>
          <cell r="F1960" t="str">
            <v>Contrato con Hoteles</v>
          </cell>
          <cell r="G1960" t="str">
            <v>4105550000  Contrato con Hoteles</v>
          </cell>
          <cell r="H1960" t="str">
            <v>Est. Resultado</v>
          </cell>
          <cell r="I1960" t="str">
            <v>Resultado</v>
          </cell>
          <cell r="J1960" t="str">
            <v>7. Gastos de Administración</v>
          </cell>
          <cell r="K1960" t="str">
            <v>2. Otros Gastos en Personal</v>
          </cell>
          <cell r="L1960" t="str">
            <v>EBITDA</v>
          </cell>
          <cell r="N1960" t="str">
            <v>GANANCIAS (PERDIDAS) ANTES DE IMPUESTOS</v>
          </cell>
          <cell r="O1960" t="str">
            <v>GANANCIA (PÉRDIDA) NETA</v>
          </cell>
          <cell r="P1960" t="str">
            <v>Resultado Ingresos y Gastos Integrales</v>
          </cell>
          <cell r="Q1960" t="str">
            <v>I. Ganancia (pérdida), antes de impuestos</v>
          </cell>
          <cell r="R1960" t="str">
            <v>b. Ganancia (pérdida)</v>
          </cell>
          <cell r="S1960" t="str">
            <v>5. Gasto de administración</v>
          </cell>
          <cell r="T1960" t="str">
            <v>4. Otros Gastos en Personal</v>
          </cell>
          <cell r="V1960" t="str">
            <v>II. Gastos</v>
          </cell>
          <cell r="W1960" t="str">
            <v>21. Gastos en Personal</v>
          </cell>
          <cell r="Z1960" t="str">
            <v>III. Gastos de Administración</v>
          </cell>
          <cell r="AA1960" t="str">
            <v>8. Otros Gastos en Personal</v>
          </cell>
          <cell r="AC1960" t="str">
            <v>III. Gasto Administración</v>
          </cell>
          <cell r="AD1960" t="str">
            <v>1. Personal Administrativo</v>
          </cell>
          <cell r="AE1960" t="str">
            <v>2. Otros Gastos en Personal</v>
          </cell>
          <cell r="AG1960" t="str">
            <v xml:space="preserve"> </v>
          </cell>
          <cell r="AH1960" t="str">
            <v>6. Partidas significativas de gastos</v>
          </cell>
        </row>
        <row r="1961">
          <cell r="D1961" t="str">
            <v>4105600000</v>
          </cell>
          <cell r="E1961" t="str">
            <v>4105600000</v>
          </cell>
          <cell r="F1961" t="str">
            <v>Servicio de Bienestar</v>
          </cell>
          <cell r="G1961" t="str">
            <v>4105600000  Servicio de Bienestar</v>
          </cell>
          <cell r="H1961" t="str">
            <v>Est. Resultado</v>
          </cell>
          <cell r="I1961" t="str">
            <v>Resultado</v>
          </cell>
          <cell r="J1961" t="str">
            <v>7. Gastos de Administración</v>
          </cell>
          <cell r="K1961" t="str">
            <v>2. Otros Gastos en Personal</v>
          </cell>
          <cell r="L1961" t="str">
            <v>EBITDA</v>
          </cell>
          <cell r="N1961" t="str">
            <v>GANANCIAS (PERDIDAS) ANTES DE IMPUESTOS</v>
          </cell>
          <cell r="O1961" t="str">
            <v>GANANCIA (PÉRDIDA) NETA</v>
          </cell>
          <cell r="P1961" t="str">
            <v>Resultado Ingresos y Gastos Integrales</v>
          </cell>
          <cell r="Q1961" t="str">
            <v>I. Ganancia (pérdida), antes de impuestos</v>
          </cell>
          <cell r="R1961" t="str">
            <v>b. Ganancia (pérdida)</v>
          </cell>
          <cell r="S1961" t="str">
            <v>5. Gasto de administración</v>
          </cell>
          <cell r="T1961" t="str">
            <v>4. Otros Gastos en Personal</v>
          </cell>
          <cell r="V1961" t="str">
            <v>II. Gastos</v>
          </cell>
          <cell r="W1961" t="str">
            <v>21. Gastos en Personal</v>
          </cell>
          <cell r="Z1961" t="str">
            <v>III. Gastos de Administración</v>
          </cell>
          <cell r="AA1961" t="str">
            <v>8. Otros Gastos en Personal</v>
          </cell>
          <cell r="AC1961" t="str">
            <v>III. Gasto Administración</v>
          </cell>
          <cell r="AD1961" t="str">
            <v>1. Personal Administrativo</v>
          </cell>
          <cell r="AE1961" t="str">
            <v>2. Otros Gastos en Personal</v>
          </cell>
          <cell r="AG1961" t="str">
            <v xml:space="preserve"> </v>
          </cell>
          <cell r="AH1961" t="str">
            <v>6. Partidas significativas de gastos</v>
          </cell>
        </row>
        <row r="1962">
          <cell r="D1962" t="str">
            <v>4105650000</v>
          </cell>
          <cell r="E1962" t="str">
            <v>4105650000</v>
          </cell>
          <cell r="F1962" t="str">
            <v>Eventos del Personal</v>
          </cell>
          <cell r="G1962" t="str">
            <v>4105650000  Eventos del Personal</v>
          </cell>
          <cell r="H1962" t="str">
            <v>Est. Resultado</v>
          </cell>
          <cell r="I1962" t="str">
            <v>Resultado</v>
          </cell>
          <cell r="J1962" t="str">
            <v>7. Gastos de Administración</v>
          </cell>
          <cell r="K1962" t="str">
            <v>2. Otros Gastos en Personal</v>
          </cell>
          <cell r="L1962" t="str">
            <v>EBITDA</v>
          </cell>
          <cell r="N1962" t="str">
            <v>GANANCIAS (PERDIDAS) ANTES DE IMPUESTOS</v>
          </cell>
          <cell r="O1962" t="str">
            <v>GANANCIA (PÉRDIDA) NETA</v>
          </cell>
          <cell r="P1962" t="str">
            <v>Resultado Ingresos y Gastos Integrales</v>
          </cell>
          <cell r="Q1962" t="str">
            <v>I. Ganancia (pérdida), antes de impuestos</v>
          </cell>
          <cell r="R1962" t="str">
            <v>b. Ganancia (pérdida)</v>
          </cell>
          <cell r="S1962" t="str">
            <v>5. Gasto de administración</v>
          </cell>
          <cell r="T1962" t="str">
            <v>4. Otros Gastos en Personal</v>
          </cell>
          <cell r="V1962" t="str">
            <v>II. Gastos</v>
          </cell>
          <cell r="W1962" t="str">
            <v>21. Gastos en Personal</v>
          </cell>
          <cell r="Z1962" t="str">
            <v>III. Gastos de Administración</v>
          </cell>
          <cell r="AA1962" t="str">
            <v>8. Otros Gastos en Personal</v>
          </cell>
          <cell r="AC1962" t="str">
            <v>III. Gasto Administración</v>
          </cell>
          <cell r="AD1962" t="str">
            <v>1. Personal Administrativo</v>
          </cell>
          <cell r="AE1962" t="str">
            <v>2. Otros Gastos en Personal</v>
          </cell>
          <cell r="AG1962" t="str">
            <v xml:space="preserve"> </v>
          </cell>
          <cell r="AH1962" t="str">
            <v>6. Partidas significativas de gastos</v>
          </cell>
        </row>
        <row r="1963">
          <cell r="D1963" t="str">
            <v>4105700000</v>
          </cell>
          <cell r="E1963" t="str">
            <v>4105700000</v>
          </cell>
          <cell r="F1963" t="str">
            <v>Hogares Personal</v>
          </cell>
          <cell r="G1963" t="str">
            <v>4105700000  Hogares Personal</v>
          </cell>
          <cell r="H1963" t="str">
            <v>Est. Resultado</v>
          </cell>
          <cell r="I1963" t="str">
            <v>Resultado</v>
          </cell>
          <cell r="J1963" t="str">
            <v>7. Gastos de Administración</v>
          </cell>
          <cell r="K1963" t="str">
            <v>2. Otros Gastos en Personal</v>
          </cell>
          <cell r="L1963" t="str">
            <v>EBITDA</v>
          </cell>
          <cell r="N1963" t="str">
            <v>GANANCIAS (PERDIDAS) ANTES DE IMPUESTOS</v>
          </cell>
          <cell r="O1963" t="str">
            <v>GANANCIA (PÉRDIDA) NETA</v>
          </cell>
          <cell r="P1963" t="str">
            <v>Resultado Ingresos y Gastos Integrales</v>
          </cell>
          <cell r="Q1963" t="str">
            <v>I. Ganancia (pérdida), antes de impuestos</v>
          </cell>
          <cell r="R1963" t="str">
            <v>b. Ganancia (pérdida)</v>
          </cell>
          <cell r="S1963" t="str">
            <v>5. Gasto de administración</v>
          </cell>
          <cell r="T1963" t="str">
            <v>4. Otros Gastos en Personal</v>
          </cell>
          <cell r="V1963" t="str">
            <v>II. Gastos</v>
          </cell>
          <cell r="W1963" t="str">
            <v>21. Gastos en Personal</v>
          </cell>
          <cell r="Z1963" t="str">
            <v>III. Gastos de Administración</v>
          </cell>
          <cell r="AA1963" t="str">
            <v>8. Otros Gastos en Personal</v>
          </cell>
          <cell r="AC1963" t="str">
            <v>III. Gasto Administración</v>
          </cell>
          <cell r="AD1963" t="str">
            <v>1. Personal Administrativo</v>
          </cell>
          <cell r="AE1963" t="str">
            <v>2. Otros Gastos en Personal</v>
          </cell>
          <cell r="AG1963" t="str">
            <v xml:space="preserve"> </v>
          </cell>
          <cell r="AH1963" t="str">
            <v>6. Partidas significativas de gastos</v>
          </cell>
        </row>
        <row r="1964">
          <cell r="D1964" t="str">
            <v>4105800000</v>
          </cell>
          <cell r="E1964" t="str">
            <v>4105800000</v>
          </cell>
          <cell r="F1964" t="str">
            <v>Uniformes</v>
          </cell>
          <cell r="G1964" t="str">
            <v>4105800000  Uniformes</v>
          </cell>
          <cell r="H1964" t="str">
            <v>Est. Resultado</v>
          </cell>
          <cell r="I1964" t="str">
            <v>Resultado</v>
          </cell>
          <cell r="J1964" t="str">
            <v>7. Gastos de Administración</v>
          </cell>
          <cell r="K1964" t="str">
            <v>2. Otros Gastos en Personal</v>
          </cell>
          <cell r="L1964" t="str">
            <v>EBITDA</v>
          </cell>
          <cell r="N1964" t="str">
            <v>GANANCIAS (PERDIDAS) ANTES DE IMPUESTOS</v>
          </cell>
          <cell r="O1964" t="str">
            <v>GANANCIA (PÉRDIDA) NETA</v>
          </cell>
          <cell r="P1964" t="str">
            <v>Resultado Ingresos y Gastos Integrales</v>
          </cell>
          <cell r="Q1964" t="str">
            <v>I. Ganancia (pérdida), antes de impuestos</v>
          </cell>
          <cell r="R1964" t="str">
            <v>b. Ganancia (pérdida)</v>
          </cell>
          <cell r="S1964" t="str">
            <v>5. Gasto de administración</v>
          </cell>
          <cell r="T1964" t="str">
            <v>4. Otros Gastos en Personal</v>
          </cell>
          <cell r="V1964" t="str">
            <v>II. Gastos</v>
          </cell>
          <cell r="W1964" t="str">
            <v>21. Gastos en Personal</v>
          </cell>
          <cell r="Z1964" t="str">
            <v>III. Gastos de Administración</v>
          </cell>
          <cell r="AA1964" t="str">
            <v>8. Otros Gastos en Personal</v>
          </cell>
          <cell r="AC1964" t="str">
            <v>III. Gasto Administración</v>
          </cell>
          <cell r="AD1964" t="str">
            <v>1. Personal Administrativo</v>
          </cell>
          <cell r="AE1964" t="str">
            <v>2. Otros Gastos en Personal</v>
          </cell>
          <cell r="AG1964" t="str">
            <v xml:space="preserve"> </v>
          </cell>
          <cell r="AH1964" t="str">
            <v>6. Partidas significativas de gastos</v>
          </cell>
        </row>
        <row r="1965">
          <cell r="D1965" t="str">
            <v>4105900000</v>
          </cell>
          <cell r="E1965" t="str">
            <v>4105900000</v>
          </cell>
          <cell r="F1965" t="str">
            <v>Seguro de Cesantia</v>
          </cell>
          <cell r="G1965" t="str">
            <v>4105900000  Seguro de Cesantia</v>
          </cell>
          <cell r="H1965" t="str">
            <v>Est. Resultado</v>
          </cell>
          <cell r="I1965" t="str">
            <v>Resultado</v>
          </cell>
          <cell r="J1965" t="str">
            <v>7. Gastos de Administración</v>
          </cell>
          <cell r="K1965" t="str">
            <v>2. Otros Gastos en Personal</v>
          </cell>
          <cell r="L1965" t="str">
            <v>EBITDA</v>
          </cell>
          <cell r="N1965" t="str">
            <v>GANANCIAS (PERDIDAS) ANTES DE IMPUESTOS</v>
          </cell>
          <cell r="O1965" t="str">
            <v>GANANCIA (PÉRDIDA) NETA</v>
          </cell>
          <cell r="P1965" t="str">
            <v>Resultado Ingresos y Gastos Integrales</v>
          </cell>
          <cell r="Q1965" t="str">
            <v>I. Ganancia (pérdida), antes de impuestos</v>
          </cell>
          <cell r="R1965" t="str">
            <v>b. Ganancia (pérdida)</v>
          </cell>
          <cell r="S1965" t="str">
            <v>5. Gasto de administración</v>
          </cell>
          <cell r="T1965" t="str">
            <v>4. Otros Gastos en Personal</v>
          </cell>
          <cell r="V1965" t="str">
            <v>II. Gastos</v>
          </cell>
          <cell r="W1965" t="str">
            <v>21. Gastos en Personal</v>
          </cell>
          <cell r="Z1965" t="str">
            <v>III. Gastos de Administración</v>
          </cell>
          <cell r="AA1965" t="str">
            <v>8. Otros Gastos en Personal</v>
          </cell>
          <cell r="AC1965" t="str">
            <v>III. Gasto Administración</v>
          </cell>
          <cell r="AD1965" t="str">
            <v>1. Personal Administrativo</v>
          </cell>
          <cell r="AE1965" t="str">
            <v>2. Otros Gastos en Personal</v>
          </cell>
          <cell r="AG1965" t="str">
            <v xml:space="preserve"> </v>
          </cell>
          <cell r="AH1965" t="str">
            <v>6. Partidas significativas de gastos</v>
          </cell>
        </row>
        <row r="1966">
          <cell r="D1966">
            <v>0</v>
          </cell>
          <cell r="G1966" t="str">
            <v/>
          </cell>
        </row>
        <row r="1967">
          <cell r="D1967">
            <v>0</v>
          </cell>
          <cell r="G1967" t="str">
            <v/>
          </cell>
        </row>
        <row r="1968">
          <cell r="D1968">
            <v>0</v>
          </cell>
          <cell r="G1968" t="str">
            <v/>
          </cell>
        </row>
        <row r="1969">
          <cell r="D1969" t="str">
            <v>Otros Gastos en Personal</v>
          </cell>
          <cell r="E1969" t="str">
            <v>Otros Gastos en Personal</v>
          </cell>
          <cell r="G1969" t="str">
            <v xml:space="preserve">Otros Gastos en Personal  </v>
          </cell>
          <cell r="H1969" t="str">
            <v/>
          </cell>
          <cell r="I1969" t="str">
            <v/>
          </cell>
          <cell r="J1969" t="str">
            <v/>
          </cell>
          <cell r="L1969" t="str">
            <v/>
          </cell>
          <cell r="N1969" t="str">
            <v/>
          </cell>
          <cell r="O1969" t="str">
            <v/>
          </cell>
          <cell r="P1969" t="str">
            <v/>
          </cell>
        </row>
        <row r="1970">
          <cell r="D1970" t="str">
            <v>4160100000</v>
          </cell>
          <cell r="E1970" t="str">
            <v>4160100000</v>
          </cell>
          <cell r="F1970" t="str">
            <v>Dietas Directorio</v>
          </cell>
          <cell r="G1970" t="str">
            <v>4160100000  Dietas Directorio</v>
          </cell>
          <cell r="H1970" t="str">
            <v>Est. Resultado</v>
          </cell>
          <cell r="I1970" t="str">
            <v>Resultado</v>
          </cell>
          <cell r="J1970" t="str">
            <v>7. Gastos de Administración</v>
          </cell>
          <cell r="K1970" t="str">
            <v>3. Directorio</v>
          </cell>
          <cell r="L1970" t="str">
            <v>EBITDA</v>
          </cell>
          <cell r="N1970" t="str">
            <v>GANANCIAS (PERDIDAS) ANTES DE IMPUESTOS</v>
          </cell>
          <cell r="O1970" t="str">
            <v>GANANCIA (PÉRDIDA) NETA</v>
          </cell>
          <cell r="P1970" t="str">
            <v>Resultado Ingresos y Gastos Integrales</v>
          </cell>
          <cell r="Q1970" t="str">
            <v>I. Ganancia (pérdida), antes de impuestos</v>
          </cell>
          <cell r="R1970" t="str">
            <v>b. Ganancia (pérdida)</v>
          </cell>
          <cell r="S1970" t="str">
            <v>5. Gasto de administración</v>
          </cell>
          <cell r="T1970" t="str">
            <v>6. Directorio</v>
          </cell>
          <cell r="V1970" t="str">
            <v>II. Gastos</v>
          </cell>
          <cell r="W1970" t="str">
            <v>21. Gastos en Personal</v>
          </cell>
          <cell r="Z1970" t="str">
            <v>III. Gastos de Administración</v>
          </cell>
          <cell r="AA1970" t="str">
            <v>6. Gastos Generales</v>
          </cell>
          <cell r="AC1970" t="str">
            <v>III. Gasto Administración</v>
          </cell>
          <cell r="AD1970" t="str">
            <v>2. Bienes y servicios Adm.</v>
          </cell>
          <cell r="AE1970" t="str">
            <v>6. Gastos Generales</v>
          </cell>
          <cell r="AG1970" t="str">
            <v xml:space="preserve"> </v>
          </cell>
          <cell r="AH1970" t="str">
            <v>6. Partidas significativas de gastos</v>
          </cell>
        </row>
        <row r="1971">
          <cell r="D1971" t="str">
            <v>4160300000</v>
          </cell>
          <cell r="E1971" t="str">
            <v>4160300000</v>
          </cell>
          <cell r="F1971" t="str">
            <v>Otros Gasto Directorio</v>
          </cell>
          <cell r="G1971" t="str">
            <v>4160300000  Otros Gasto Directorio</v>
          </cell>
          <cell r="H1971" t="str">
            <v>Est. Resultado</v>
          </cell>
          <cell r="I1971" t="str">
            <v>Resultado</v>
          </cell>
          <cell r="J1971" t="str">
            <v>7. Gastos de Administración</v>
          </cell>
          <cell r="K1971" t="str">
            <v>3. Directorio</v>
          </cell>
          <cell r="L1971" t="str">
            <v>EBITDA</v>
          </cell>
          <cell r="N1971" t="str">
            <v>GANANCIAS (PERDIDAS) ANTES DE IMPUESTOS</v>
          </cell>
          <cell r="O1971" t="str">
            <v>GANANCIA (PÉRDIDA) NETA</v>
          </cell>
          <cell r="P1971" t="str">
            <v>Resultado Ingresos y Gastos Integrales</v>
          </cell>
          <cell r="Q1971" t="str">
            <v>I. Ganancia (pérdida), antes de impuestos</v>
          </cell>
          <cell r="R1971" t="str">
            <v>b. Ganancia (pérdida)</v>
          </cell>
          <cell r="S1971" t="str">
            <v>5. Gasto de administración</v>
          </cell>
          <cell r="T1971" t="str">
            <v>6. Directorio</v>
          </cell>
          <cell r="V1971" t="str">
            <v>II. Gastos</v>
          </cell>
          <cell r="W1971" t="str">
            <v>21. Gastos en Personal</v>
          </cell>
          <cell r="Z1971" t="str">
            <v>III. Gastos de Administración</v>
          </cell>
          <cell r="AA1971" t="str">
            <v>6. Gastos Generales</v>
          </cell>
          <cell r="AC1971" t="str">
            <v>III. Gasto Administración</v>
          </cell>
          <cell r="AD1971" t="str">
            <v>2. Bienes y servicios Adm.</v>
          </cell>
          <cell r="AE1971" t="str">
            <v>6. Gastos Generales</v>
          </cell>
          <cell r="AG1971" t="str">
            <v xml:space="preserve"> </v>
          </cell>
          <cell r="AH1971" t="str">
            <v>6. Partidas significativas de gastos</v>
          </cell>
        </row>
        <row r="1972">
          <cell r="D1972">
            <v>0</v>
          </cell>
          <cell r="G1972" t="str">
            <v/>
          </cell>
        </row>
        <row r="1973">
          <cell r="D1973">
            <v>0</v>
          </cell>
          <cell r="G1973" t="str">
            <v/>
          </cell>
        </row>
        <row r="1974">
          <cell r="D1974">
            <v>0</v>
          </cell>
          <cell r="G1974" t="str">
            <v/>
          </cell>
        </row>
        <row r="1975">
          <cell r="D1975" t="str">
            <v>Directorio</v>
          </cell>
          <cell r="E1975" t="str">
            <v>Directorio</v>
          </cell>
          <cell r="G1975" t="str">
            <v xml:space="preserve">Directorio  </v>
          </cell>
          <cell r="H1975" t="str">
            <v/>
          </cell>
          <cell r="I1975" t="str">
            <v/>
          </cell>
          <cell r="J1975" t="str">
            <v/>
          </cell>
          <cell r="L1975" t="str">
            <v/>
          </cell>
          <cell r="N1975" t="str">
            <v/>
          </cell>
          <cell r="O1975" t="str">
            <v/>
          </cell>
          <cell r="P1975" t="str">
            <v/>
          </cell>
        </row>
        <row r="1976">
          <cell r="D1976" t="str">
            <v>4210100000</v>
          </cell>
          <cell r="E1976" t="str">
            <v>4210100000</v>
          </cell>
          <cell r="F1976" t="str">
            <v>Serv y Asesorias Estudio</v>
          </cell>
          <cell r="G1976" t="str">
            <v>4210100000  Serv y Asesorias Estudio</v>
          </cell>
          <cell r="H1976" t="str">
            <v>Est. Resultado</v>
          </cell>
          <cell r="I1976" t="str">
            <v>Resultado</v>
          </cell>
          <cell r="J1976" t="str">
            <v>7. Gastos de Administración</v>
          </cell>
          <cell r="K1976" t="str">
            <v>4. Investigacion y Desarrollo</v>
          </cell>
          <cell r="L1976" t="str">
            <v>EBITDA</v>
          </cell>
          <cell r="N1976" t="str">
            <v>GANANCIAS (PERDIDAS) ANTES DE IMPUESTOS</v>
          </cell>
          <cell r="O1976" t="str">
            <v>GANANCIA (PÉRDIDA) NETA</v>
          </cell>
          <cell r="P1976" t="str">
            <v>Resultado Ingresos y Gastos Integrales</v>
          </cell>
          <cell r="Q1976" t="str">
            <v>I. Ganancia (pérdida), antes de impuestos</v>
          </cell>
          <cell r="R1976" t="str">
            <v>b. Ganancia (pérdida)</v>
          </cell>
          <cell r="S1976" t="str">
            <v>5. Gasto de administración</v>
          </cell>
          <cell r="T1976" t="str">
            <v>7. Investigacion y Desarrollo</v>
          </cell>
          <cell r="V1976" t="str">
            <v>II. Gastos</v>
          </cell>
          <cell r="W1976" t="str">
            <v>23. Bienes y Servicios para Producción</v>
          </cell>
          <cell r="Z1976" t="str">
            <v>III. Gastos de Administración</v>
          </cell>
          <cell r="AA1976" t="str">
            <v>1. Investigacion y Desarrollo</v>
          </cell>
          <cell r="AC1976" t="str">
            <v>III. Gasto Administración</v>
          </cell>
          <cell r="AD1976" t="str">
            <v>2. Bienes y servicios Adm.</v>
          </cell>
          <cell r="AE1976" t="str">
            <v>1. Investigacion y Desarrollo</v>
          </cell>
          <cell r="AG1976" t="str">
            <v xml:space="preserve"> </v>
          </cell>
          <cell r="AH1976" t="str">
            <v>6. Partidas significativas de gastos</v>
          </cell>
        </row>
        <row r="1977">
          <cell r="D1977" t="str">
            <v>4210200000</v>
          </cell>
          <cell r="E1977" t="str">
            <v>4210200000</v>
          </cell>
          <cell r="F1977" t="str">
            <v>Serv y Asesorias Externo</v>
          </cell>
          <cell r="G1977" t="str">
            <v>4210200000  Serv y Asesorias Externo</v>
          </cell>
          <cell r="H1977" t="str">
            <v>Est. Resultado</v>
          </cell>
          <cell r="I1977" t="str">
            <v>Resultado</v>
          </cell>
          <cell r="J1977" t="str">
            <v>7. Gastos de Administración</v>
          </cell>
          <cell r="K1977" t="str">
            <v>4. Investigacion y Desarrollo</v>
          </cell>
          <cell r="L1977" t="str">
            <v>EBITDA</v>
          </cell>
          <cell r="N1977" t="str">
            <v>GANANCIAS (PERDIDAS) ANTES DE IMPUESTOS</v>
          </cell>
          <cell r="O1977" t="str">
            <v>GANANCIA (PÉRDIDA) NETA</v>
          </cell>
          <cell r="P1977" t="str">
            <v>Resultado Ingresos y Gastos Integrales</v>
          </cell>
          <cell r="Q1977" t="str">
            <v>I. Ganancia (pérdida), antes de impuestos</v>
          </cell>
          <cell r="R1977" t="str">
            <v>b. Ganancia (pérdida)</v>
          </cell>
          <cell r="S1977" t="str">
            <v>5. Gasto de administración</v>
          </cell>
          <cell r="T1977" t="str">
            <v>7. Investigacion y Desarrollo</v>
          </cell>
          <cell r="V1977" t="str">
            <v>II. Gastos</v>
          </cell>
          <cell r="W1977" t="str">
            <v>23. Bienes y Servicios para Producción</v>
          </cell>
          <cell r="Z1977" t="str">
            <v>III. Gastos de Administración</v>
          </cell>
          <cell r="AA1977" t="str">
            <v>1. Investigacion y Desarrollo</v>
          </cell>
          <cell r="AC1977" t="str">
            <v>III. Gasto Administración</v>
          </cell>
          <cell r="AD1977" t="str">
            <v>2. Bienes y servicios Adm.</v>
          </cell>
          <cell r="AE1977" t="str">
            <v>1. Investigacion y Desarrollo</v>
          </cell>
          <cell r="AG1977" t="str">
            <v xml:space="preserve"> </v>
          </cell>
          <cell r="AH1977" t="str">
            <v>6. Partidas significativas de gastos</v>
          </cell>
        </row>
        <row r="1978">
          <cell r="D1978" t="str">
            <v>4210300000</v>
          </cell>
          <cell r="E1978" t="str">
            <v>4210300000</v>
          </cell>
          <cell r="F1978" t="str">
            <v>Servicio Auditoria</v>
          </cell>
          <cell r="G1978" t="str">
            <v>4210300000  Servicio Auditoria</v>
          </cell>
          <cell r="H1978" t="str">
            <v>Est. Resultado</v>
          </cell>
          <cell r="I1978" t="str">
            <v>Resultado</v>
          </cell>
          <cell r="J1978" t="str">
            <v>7. Gastos de Administración</v>
          </cell>
          <cell r="K1978" t="str">
            <v>4. Investigacion y Desarrollo</v>
          </cell>
          <cell r="L1978" t="str">
            <v>EBITDA</v>
          </cell>
          <cell r="N1978" t="str">
            <v>GANANCIAS (PERDIDAS) ANTES DE IMPUESTOS</v>
          </cell>
          <cell r="O1978" t="str">
            <v>GANANCIA (PÉRDIDA) NETA</v>
          </cell>
          <cell r="P1978" t="str">
            <v>Resultado Ingresos y Gastos Integrales</v>
          </cell>
          <cell r="Q1978" t="str">
            <v>I. Ganancia (pérdida), antes de impuestos</v>
          </cell>
          <cell r="R1978" t="str">
            <v>b. Ganancia (pérdida)</v>
          </cell>
          <cell r="S1978" t="str">
            <v>5. Gasto de administración</v>
          </cell>
          <cell r="T1978" t="str">
            <v>7. Investigacion y Desarrollo</v>
          </cell>
          <cell r="V1978" t="str">
            <v>II. Gastos</v>
          </cell>
          <cell r="W1978" t="str">
            <v>23. Bienes y Servicios para Producción</v>
          </cell>
          <cell r="Z1978" t="str">
            <v>III. Gastos de Administración</v>
          </cell>
          <cell r="AA1978" t="str">
            <v>1. Investigacion y Desarrollo</v>
          </cell>
          <cell r="AC1978" t="str">
            <v>III. Gasto Administración</v>
          </cell>
          <cell r="AD1978" t="str">
            <v>2. Bienes y servicios Adm.</v>
          </cell>
          <cell r="AE1978" t="str">
            <v>1. Investigacion y Desarrollo</v>
          </cell>
          <cell r="AG1978" t="str">
            <v xml:space="preserve"> </v>
          </cell>
          <cell r="AH1978" t="str">
            <v>6. Partidas significativas de gastos</v>
          </cell>
        </row>
        <row r="1979">
          <cell r="D1979">
            <v>0</v>
          </cell>
          <cell r="G1979" t="str">
            <v/>
          </cell>
          <cell r="H1979" t="str">
            <v>Est. Resultado</v>
          </cell>
          <cell r="I1979" t="str">
            <v>Resultado</v>
          </cell>
          <cell r="J1979" t="str">
            <v>7. Gastos de Administración</v>
          </cell>
          <cell r="K1979" t="str">
            <v>4. Investigacion y Desarrollo</v>
          </cell>
          <cell r="L1979" t="str">
            <v>EBITDA</v>
          </cell>
          <cell r="N1979" t="str">
            <v>GANANCIAS (PERDIDAS) ANTES DE IMPUESTOS</v>
          </cell>
          <cell r="O1979" t="str">
            <v>GANANCIA (PÉRDIDA) NETA</v>
          </cell>
          <cell r="P1979" t="str">
            <v>Resultado Ingresos y Gastos Integrales</v>
          </cell>
          <cell r="Q1979" t="str">
            <v>I. Ganancia (pérdida), antes de impuestos</v>
          </cell>
          <cell r="R1979" t="str">
            <v>b. Ganancia (pérdida)</v>
          </cell>
          <cell r="S1979" t="str">
            <v>5. Gasto de administración</v>
          </cell>
          <cell r="T1979" t="str">
            <v>7. Investigacion y Desarrollo</v>
          </cell>
          <cell r="V1979" t="str">
            <v>II. Gastos</v>
          </cell>
          <cell r="W1979" t="str">
            <v>23. Bienes y Servicios para Producción</v>
          </cell>
          <cell r="Z1979" t="str">
            <v>III. Gastos de Administración</v>
          </cell>
          <cell r="AA1979" t="str">
            <v>1. Investigacion y Desarrollo</v>
          </cell>
          <cell r="AC1979" t="str">
            <v>III. Gasto Administración</v>
          </cell>
          <cell r="AD1979" t="str">
            <v>2. Bienes y servicios Adm.</v>
          </cell>
          <cell r="AE1979" t="str">
            <v>1. Investigacion y Desarrollo</v>
          </cell>
          <cell r="AG1979" t="str">
            <v xml:space="preserve"> </v>
          </cell>
          <cell r="AH1979" t="str">
            <v>6. Partidas significativas de gastos</v>
          </cell>
        </row>
        <row r="1980">
          <cell r="D1980">
            <v>0</v>
          </cell>
          <cell r="G1980" t="str">
            <v/>
          </cell>
          <cell r="H1980" t="str">
            <v>Est. Resultado</v>
          </cell>
          <cell r="I1980" t="str">
            <v>Resultado</v>
          </cell>
          <cell r="J1980" t="str">
            <v>7. Gastos de Administración</v>
          </cell>
          <cell r="K1980" t="str">
            <v>4. Investigacion y Desarrollo</v>
          </cell>
          <cell r="L1980" t="str">
            <v>EBITDA</v>
          </cell>
          <cell r="N1980" t="str">
            <v>GANANCIAS (PERDIDAS) ANTES DE IMPUESTOS</v>
          </cell>
          <cell r="O1980" t="str">
            <v>GANANCIA (PÉRDIDA) NETA</v>
          </cell>
          <cell r="P1980" t="str">
            <v>Resultado Ingresos y Gastos Integrales</v>
          </cell>
          <cell r="Q1980" t="str">
            <v>I. Ganancia (pérdida), antes de impuestos</v>
          </cell>
          <cell r="R1980" t="str">
            <v>b. Ganancia (pérdida)</v>
          </cell>
          <cell r="S1980" t="str">
            <v>5. Gasto de administración</v>
          </cell>
          <cell r="T1980" t="str">
            <v>7. Investigacion y Desarrollo</v>
          </cell>
          <cell r="V1980" t="str">
            <v>II. Gastos</v>
          </cell>
          <cell r="W1980" t="str">
            <v>23. Bienes y Servicios para Producción</v>
          </cell>
          <cell r="Z1980" t="str">
            <v>III. Gastos de Administración</v>
          </cell>
          <cell r="AA1980" t="str">
            <v>1. Investigacion y Desarrollo</v>
          </cell>
          <cell r="AC1980" t="str">
            <v>III. Gasto Administración</v>
          </cell>
          <cell r="AD1980" t="str">
            <v>2. Bienes y servicios Adm.</v>
          </cell>
          <cell r="AE1980" t="str">
            <v>1. Investigacion y Desarrollo</v>
          </cell>
          <cell r="AG1980" t="str">
            <v xml:space="preserve"> </v>
          </cell>
          <cell r="AH1980" t="str">
            <v>6. Partidas significativas de gastos</v>
          </cell>
        </row>
        <row r="1981">
          <cell r="D1981">
            <v>0</v>
          </cell>
          <cell r="G1981" t="str">
            <v/>
          </cell>
          <cell r="H1981" t="str">
            <v>Est. Resultado</v>
          </cell>
          <cell r="I1981" t="str">
            <v>Resultado</v>
          </cell>
          <cell r="J1981" t="str">
            <v>7. Gastos de Administración</v>
          </cell>
          <cell r="K1981" t="str">
            <v>4. Investigacion y Desarrollo</v>
          </cell>
          <cell r="L1981" t="str">
            <v>EBITDA</v>
          </cell>
          <cell r="N1981" t="str">
            <v>GANANCIAS (PERDIDAS) ANTES DE IMPUESTOS</v>
          </cell>
          <cell r="O1981" t="str">
            <v>GANANCIA (PÉRDIDA) NETA</v>
          </cell>
          <cell r="P1981" t="str">
            <v>Resultado Ingresos y Gastos Integrales</v>
          </cell>
          <cell r="Q1981" t="str">
            <v>I. Ganancia (pérdida), antes de impuestos</v>
          </cell>
          <cell r="R1981" t="str">
            <v>b. Ganancia (pérdida)</v>
          </cell>
          <cell r="S1981" t="str">
            <v>5. Gasto de administración</v>
          </cell>
          <cell r="T1981" t="str">
            <v>7. Investigacion y Desarrollo</v>
          </cell>
          <cell r="V1981" t="str">
            <v>II. Gastos</v>
          </cell>
          <cell r="W1981" t="str">
            <v>23. Bienes y Servicios para Producción</v>
          </cell>
          <cell r="Z1981" t="str">
            <v>III. Gastos de Administración</v>
          </cell>
          <cell r="AA1981" t="str">
            <v>1. Investigacion y Desarrollo</v>
          </cell>
          <cell r="AC1981" t="str">
            <v>III. Gasto Administración</v>
          </cell>
          <cell r="AD1981" t="str">
            <v>2. Bienes y servicios Adm.</v>
          </cell>
          <cell r="AE1981" t="str">
            <v>1. Investigacion y Desarrollo</v>
          </cell>
          <cell r="AG1981" t="str">
            <v xml:space="preserve"> </v>
          </cell>
          <cell r="AH1981" t="str">
            <v>6. Partidas significativas de gastos</v>
          </cell>
        </row>
        <row r="1982">
          <cell r="D1982" t="str">
            <v>Investigacion y Desarrollo</v>
          </cell>
          <cell r="E1982" t="str">
            <v>Investigacion y Desarrollo</v>
          </cell>
          <cell r="G1982" t="str">
            <v xml:space="preserve">Investigacion y Desarrollo  </v>
          </cell>
          <cell r="H1982" t="str">
            <v/>
          </cell>
          <cell r="I1982" t="str">
            <v/>
          </cell>
          <cell r="J1982" t="str">
            <v/>
          </cell>
          <cell r="L1982" t="str">
            <v/>
          </cell>
          <cell r="N1982" t="str">
            <v/>
          </cell>
          <cell r="O1982" t="str">
            <v/>
          </cell>
          <cell r="P1982" t="str">
            <v/>
          </cell>
        </row>
        <row r="1983">
          <cell r="D1983" t="str">
            <v>4240100000</v>
          </cell>
          <cell r="E1983" t="str">
            <v>4240100000</v>
          </cell>
          <cell r="F1983" t="str">
            <v>Relaciones Publicas</v>
          </cell>
          <cell r="G1983" t="str">
            <v>4240100000  Relaciones Publicas</v>
          </cell>
          <cell r="H1983" t="str">
            <v>Est. Resultado</v>
          </cell>
          <cell r="I1983" t="str">
            <v>Resultado</v>
          </cell>
          <cell r="J1983" t="str">
            <v>7. Gastos de Administración</v>
          </cell>
          <cell r="K1983" t="str">
            <v>5. Costo Mercadotecnia</v>
          </cell>
          <cell r="L1983" t="str">
            <v>EBITDA</v>
          </cell>
          <cell r="N1983" t="str">
            <v>GANANCIAS (PERDIDAS) ANTES DE IMPUESTOS</v>
          </cell>
          <cell r="O1983" t="str">
            <v>GANANCIA (PÉRDIDA) NETA</v>
          </cell>
          <cell r="P1983" t="str">
            <v>Resultado Ingresos y Gastos Integrales</v>
          </cell>
          <cell r="Q1983" t="str">
            <v>I. Ganancia (pérdida), antes de impuestos</v>
          </cell>
          <cell r="R1983" t="str">
            <v>b. Ganancia (pérdida)</v>
          </cell>
          <cell r="S1983" t="str">
            <v>5. Gasto de administración</v>
          </cell>
          <cell r="T1983" t="str">
            <v>8. Costo Mercadotecnia</v>
          </cell>
          <cell r="V1983" t="str">
            <v>II. Gastos</v>
          </cell>
          <cell r="W1983" t="str">
            <v>23. Bienes y Servicios para Producción</v>
          </cell>
          <cell r="Z1983" t="str">
            <v>III. Gastos de Administración</v>
          </cell>
          <cell r="AA1983" t="str">
            <v>2. Mercadotecnia</v>
          </cell>
          <cell r="AC1983" t="str">
            <v>III. Gasto Administración</v>
          </cell>
          <cell r="AD1983" t="str">
            <v>2. Bienes y servicios Adm.</v>
          </cell>
          <cell r="AE1983" t="str">
            <v>2. Mercadotecnia</v>
          </cell>
          <cell r="AG1983" t="str">
            <v xml:space="preserve"> </v>
          </cell>
          <cell r="AH1983" t="str">
            <v>6. Partidas significativas de gastos</v>
          </cell>
        </row>
        <row r="1984">
          <cell r="D1984" t="str">
            <v>4240200000</v>
          </cell>
          <cell r="E1984" t="str">
            <v>4240200000</v>
          </cell>
          <cell r="F1984" t="str">
            <v>Publicidad en Medios</v>
          </cell>
          <cell r="G1984" t="str">
            <v>4240200000  Publicidad en Medios</v>
          </cell>
          <cell r="H1984" t="str">
            <v>Est. Resultado</v>
          </cell>
          <cell r="I1984" t="str">
            <v>Resultado</v>
          </cell>
          <cell r="J1984" t="str">
            <v>7. Gastos de Administración</v>
          </cell>
          <cell r="K1984" t="str">
            <v>5. Costo Mercadotecnia</v>
          </cell>
          <cell r="L1984" t="str">
            <v>EBITDA</v>
          </cell>
          <cell r="N1984" t="str">
            <v>GANANCIAS (PERDIDAS) ANTES DE IMPUESTOS</v>
          </cell>
          <cell r="O1984" t="str">
            <v>GANANCIA (PÉRDIDA) NETA</v>
          </cell>
          <cell r="P1984" t="str">
            <v>Resultado Ingresos y Gastos Integrales</v>
          </cell>
          <cell r="Q1984" t="str">
            <v>I. Ganancia (pérdida), antes de impuestos</v>
          </cell>
          <cell r="R1984" t="str">
            <v>b. Ganancia (pérdida)</v>
          </cell>
          <cell r="S1984" t="str">
            <v>5. Gasto de administración</v>
          </cell>
          <cell r="T1984" t="str">
            <v>8. Costo Mercadotecnia</v>
          </cell>
          <cell r="V1984" t="str">
            <v>II. Gastos</v>
          </cell>
          <cell r="W1984" t="str">
            <v>23. Bienes y Servicios para Producción</v>
          </cell>
          <cell r="Z1984" t="str">
            <v>III. Gastos de Administración</v>
          </cell>
          <cell r="AA1984" t="str">
            <v>2. Mercadotecnia</v>
          </cell>
          <cell r="AC1984" t="str">
            <v>III. Gasto Administración</v>
          </cell>
          <cell r="AD1984" t="str">
            <v>2. Bienes y servicios Adm.</v>
          </cell>
          <cell r="AE1984" t="str">
            <v>2. Mercadotecnia</v>
          </cell>
          <cell r="AG1984" t="str">
            <v xml:space="preserve"> </v>
          </cell>
          <cell r="AH1984" t="str">
            <v>6. Partidas significativas de gastos</v>
          </cell>
        </row>
        <row r="1985">
          <cell r="D1985" t="str">
            <v>4240300000</v>
          </cell>
          <cell r="E1985" t="str">
            <v>4240300000</v>
          </cell>
          <cell r="F1985" t="str">
            <v>Material Publicitario</v>
          </cell>
          <cell r="G1985" t="str">
            <v>4240300000  Material Publicitario</v>
          </cell>
          <cell r="H1985" t="str">
            <v>Est. Resultado</v>
          </cell>
          <cell r="I1985" t="str">
            <v>Resultado</v>
          </cell>
          <cell r="J1985" t="str">
            <v>7. Gastos de Administración</v>
          </cell>
          <cell r="K1985" t="str">
            <v>5. Costo Mercadotecnia</v>
          </cell>
          <cell r="L1985" t="str">
            <v>EBITDA</v>
          </cell>
          <cell r="N1985" t="str">
            <v>GANANCIAS (PERDIDAS) ANTES DE IMPUESTOS</v>
          </cell>
          <cell r="O1985" t="str">
            <v>GANANCIA (PÉRDIDA) NETA</v>
          </cell>
          <cell r="P1985" t="str">
            <v>Resultado Ingresos y Gastos Integrales</v>
          </cell>
          <cell r="Q1985" t="str">
            <v>I. Ganancia (pérdida), antes de impuestos</v>
          </cell>
          <cell r="R1985" t="str">
            <v>b. Ganancia (pérdida)</v>
          </cell>
          <cell r="S1985" t="str">
            <v>5. Gasto de administración</v>
          </cell>
          <cell r="T1985" t="str">
            <v>8. Costo Mercadotecnia</v>
          </cell>
          <cell r="V1985" t="str">
            <v>II. Gastos</v>
          </cell>
          <cell r="W1985" t="str">
            <v>23. Bienes y Servicios para Producción</v>
          </cell>
          <cell r="Z1985" t="str">
            <v>III. Gastos de Administración</v>
          </cell>
          <cell r="AA1985" t="str">
            <v>2. Mercadotecnia</v>
          </cell>
          <cell r="AC1985" t="str">
            <v>III. Gasto Administración</v>
          </cell>
          <cell r="AD1985" t="str">
            <v>2. Bienes y servicios Adm.</v>
          </cell>
          <cell r="AE1985" t="str">
            <v>2. Mercadotecnia</v>
          </cell>
          <cell r="AG1985" t="str">
            <v xml:space="preserve"> </v>
          </cell>
          <cell r="AH1985" t="str">
            <v>6. Partidas significativas de gastos</v>
          </cell>
        </row>
        <row r="1986">
          <cell r="D1986" t="str">
            <v>4240400000</v>
          </cell>
          <cell r="E1986" t="str">
            <v>4240400000</v>
          </cell>
          <cell r="F1986" t="str">
            <v>Promociones</v>
          </cell>
          <cell r="G1986" t="str">
            <v>4240400000  Promociones</v>
          </cell>
          <cell r="H1986" t="str">
            <v>Est. Resultado</v>
          </cell>
          <cell r="I1986" t="str">
            <v>Resultado</v>
          </cell>
          <cell r="J1986" t="str">
            <v>7. Gastos de Administración</v>
          </cell>
          <cell r="K1986" t="str">
            <v>5. Costo Mercadotecnia</v>
          </cell>
          <cell r="L1986" t="str">
            <v>EBITDA</v>
          </cell>
          <cell r="N1986" t="str">
            <v>GANANCIAS (PERDIDAS) ANTES DE IMPUESTOS</v>
          </cell>
          <cell r="O1986" t="str">
            <v>GANANCIA (PÉRDIDA) NETA</v>
          </cell>
          <cell r="P1986" t="str">
            <v>Resultado Ingresos y Gastos Integrales</v>
          </cell>
          <cell r="Q1986" t="str">
            <v>I. Ganancia (pérdida), antes de impuestos</v>
          </cell>
          <cell r="R1986" t="str">
            <v>b. Ganancia (pérdida)</v>
          </cell>
          <cell r="S1986" t="str">
            <v>5. Gasto de administración</v>
          </cell>
          <cell r="T1986" t="str">
            <v>8. Costo Mercadotecnia</v>
          </cell>
          <cell r="V1986" t="str">
            <v>II. Gastos</v>
          </cell>
          <cell r="W1986" t="str">
            <v>23. Bienes y Servicios para Producción</v>
          </cell>
          <cell r="Z1986" t="str">
            <v>III. Gastos de Administración</v>
          </cell>
          <cell r="AA1986" t="str">
            <v>2. Mercadotecnia</v>
          </cell>
          <cell r="AC1986" t="str">
            <v>III. Gasto Administración</v>
          </cell>
          <cell r="AD1986" t="str">
            <v>2. Bienes y servicios Adm.</v>
          </cell>
          <cell r="AE1986" t="str">
            <v>2. Mercadotecnia</v>
          </cell>
          <cell r="AG1986" t="str">
            <v xml:space="preserve"> </v>
          </cell>
          <cell r="AH1986" t="str">
            <v>6. Partidas significativas de gastos</v>
          </cell>
        </row>
        <row r="1987">
          <cell r="D1987" t="str">
            <v>4240500000</v>
          </cell>
          <cell r="E1987" t="str">
            <v>4240500000</v>
          </cell>
          <cell r="F1987" t="str">
            <v>Contrato Marketing</v>
          </cell>
          <cell r="G1987" t="str">
            <v>4240500000  Contrato Marketing</v>
          </cell>
          <cell r="H1987" t="str">
            <v>Est. Resultado</v>
          </cell>
          <cell r="I1987" t="str">
            <v>Resultado</v>
          </cell>
          <cell r="J1987" t="str">
            <v>7. Gastos de Administración</v>
          </cell>
          <cell r="K1987" t="str">
            <v>5. Costo Mercadotecnia</v>
          </cell>
          <cell r="L1987" t="str">
            <v>EBITDA</v>
          </cell>
          <cell r="N1987" t="str">
            <v>GANANCIAS (PERDIDAS) ANTES DE IMPUESTOS</v>
          </cell>
          <cell r="O1987" t="str">
            <v>GANANCIA (PÉRDIDA) NETA</v>
          </cell>
          <cell r="P1987" t="str">
            <v>Resultado Ingresos y Gastos Integrales</v>
          </cell>
          <cell r="Q1987" t="str">
            <v>I. Ganancia (pérdida), antes de impuestos</v>
          </cell>
          <cell r="R1987" t="str">
            <v>b. Ganancia (pérdida)</v>
          </cell>
          <cell r="S1987" t="str">
            <v>5. Gasto de administración</v>
          </cell>
          <cell r="T1987" t="str">
            <v>8. Costo Mercadotecnia</v>
          </cell>
          <cell r="V1987" t="str">
            <v>II. Gastos</v>
          </cell>
          <cell r="W1987" t="str">
            <v>23. Bienes y Servicios para Producción</v>
          </cell>
          <cell r="Z1987" t="str">
            <v>III. Gastos de Administración</v>
          </cell>
          <cell r="AA1987" t="str">
            <v>2. Mercadotecnia</v>
          </cell>
          <cell r="AC1987" t="str">
            <v>III. Gasto Administración</v>
          </cell>
          <cell r="AD1987" t="str">
            <v>2. Bienes y servicios Adm.</v>
          </cell>
          <cell r="AE1987" t="str">
            <v>2. Mercadotecnia</v>
          </cell>
          <cell r="AG1987" t="str">
            <v xml:space="preserve"> </v>
          </cell>
          <cell r="AH1987" t="str">
            <v>6. Partidas significativas de gastos</v>
          </cell>
        </row>
        <row r="1988">
          <cell r="D1988" t="str">
            <v>4240700000</v>
          </cell>
          <cell r="E1988" t="str">
            <v>4240700000</v>
          </cell>
          <cell r="F1988" t="str">
            <v>Servicio Señaletica</v>
          </cell>
          <cell r="G1988" t="str">
            <v>4240700000  Servicio Señaletica</v>
          </cell>
          <cell r="H1988" t="str">
            <v>Est. Resultado</v>
          </cell>
          <cell r="I1988" t="str">
            <v>Resultado</v>
          </cell>
          <cell r="J1988" t="str">
            <v>7. Gastos de Administración</v>
          </cell>
          <cell r="K1988" t="str">
            <v>5. Costo Mercadotecnia</v>
          </cell>
          <cell r="L1988" t="str">
            <v>EBITDA</v>
          </cell>
          <cell r="N1988" t="str">
            <v>GANANCIAS (PERDIDAS) ANTES DE IMPUESTOS</v>
          </cell>
          <cell r="O1988" t="str">
            <v>GANANCIA (PÉRDIDA) NETA</v>
          </cell>
          <cell r="P1988" t="str">
            <v>Resultado Ingresos y Gastos Integrales</v>
          </cell>
          <cell r="Q1988" t="str">
            <v>I. Ganancia (pérdida), antes de impuestos</v>
          </cell>
          <cell r="R1988" t="str">
            <v>b. Ganancia (pérdida)</v>
          </cell>
          <cell r="S1988" t="str">
            <v>5. Gasto de administración</v>
          </cell>
          <cell r="T1988" t="str">
            <v>8. Costo Mercadotecnia</v>
          </cell>
          <cell r="V1988" t="str">
            <v>II. Gastos</v>
          </cell>
          <cell r="W1988" t="str">
            <v>23. Bienes y Servicios para Producción</v>
          </cell>
          <cell r="Z1988" t="str">
            <v>III. Gastos de Administración</v>
          </cell>
          <cell r="AA1988" t="str">
            <v>2. Mercadotecnia</v>
          </cell>
          <cell r="AC1988" t="str">
            <v>III. Gasto Administración</v>
          </cell>
          <cell r="AD1988" t="str">
            <v>2. Bienes y servicios Adm.</v>
          </cell>
          <cell r="AE1988" t="str">
            <v>2. Mercadotecnia</v>
          </cell>
          <cell r="AG1988" t="str">
            <v xml:space="preserve"> </v>
          </cell>
          <cell r="AH1988" t="str">
            <v>6. Partidas significativas de gastos</v>
          </cell>
        </row>
        <row r="1989">
          <cell r="D1989" t="str">
            <v>4280700000</v>
          </cell>
          <cell r="E1989" t="str">
            <v>4280700000</v>
          </cell>
          <cell r="F1989" t="str">
            <v>Impresion y Suscripcion</v>
          </cell>
          <cell r="G1989" t="str">
            <v>4280700000  Impresion y Suscripcion</v>
          </cell>
          <cell r="H1989" t="str">
            <v>Est. Resultado</v>
          </cell>
          <cell r="I1989" t="str">
            <v>Resultado</v>
          </cell>
          <cell r="J1989" t="str">
            <v>7. Gastos de Administración</v>
          </cell>
          <cell r="K1989" t="str">
            <v>5. Costo Mercadotecnia</v>
          </cell>
          <cell r="L1989" t="str">
            <v>EBITDA</v>
          </cell>
          <cell r="N1989" t="str">
            <v>GANANCIAS (PERDIDAS) ANTES DE IMPUESTOS</v>
          </cell>
          <cell r="O1989" t="str">
            <v>GANANCIA (PÉRDIDA) NETA</v>
          </cell>
          <cell r="P1989" t="str">
            <v>Resultado Ingresos y Gastos Integrales</v>
          </cell>
          <cell r="Q1989" t="str">
            <v>I. Ganancia (pérdida), antes de impuestos</v>
          </cell>
          <cell r="R1989" t="str">
            <v>b. Ganancia (pérdida)</v>
          </cell>
          <cell r="S1989" t="str">
            <v>5. Gasto de administración</v>
          </cell>
          <cell r="T1989" t="str">
            <v>8. Costo Mercadotecnia</v>
          </cell>
          <cell r="V1989" t="str">
            <v>II. Gastos</v>
          </cell>
          <cell r="W1989" t="str">
            <v>23. Bienes y Servicios para Producción</v>
          </cell>
          <cell r="Z1989" t="str">
            <v>III. Gastos de Administración</v>
          </cell>
          <cell r="AA1989" t="str">
            <v>2. Mercadotecnia</v>
          </cell>
          <cell r="AC1989" t="str">
            <v>III. Gasto Administración</v>
          </cell>
          <cell r="AD1989" t="str">
            <v>2. Bienes y servicios Adm.</v>
          </cell>
          <cell r="AE1989" t="str">
            <v>2. Mercadotecnia</v>
          </cell>
          <cell r="AG1989" t="str">
            <v xml:space="preserve"> </v>
          </cell>
          <cell r="AH1989" t="str">
            <v>6. Partidas significativas de gastos</v>
          </cell>
        </row>
        <row r="1990">
          <cell r="D1990">
            <v>0</v>
          </cell>
          <cell r="G1990" t="str">
            <v/>
          </cell>
          <cell r="H1990" t="str">
            <v>Est. Resultado</v>
          </cell>
          <cell r="I1990" t="str">
            <v>Resultado</v>
          </cell>
          <cell r="J1990" t="str">
            <v>7. Gastos de Administración</v>
          </cell>
          <cell r="K1990" t="str">
            <v>5. Costo Mercadotecnia</v>
          </cell>
          <cell r="L1990" t="str">
            <v>EBITDA</v>
          </cell>
          <cell r="N1990" t="str">
            <v>GANANCIAS (PERDIDAS) ANTES DE IMPUESTOS</v>
          </cell>
          <cell r="O1990" t="str">
            <v>GANANCIA (PÉRDIDA) NETA</v>
          </cell>
          <cell r="P1990" t="str">
            <v>Resultado Ingresos y Gastos Integrales</v>
          </cell>
          <cell r="Q1990" t="str">
            <v>I. Ganancia (pérdida), antes de impuestos</v>
          </cell>
          <cell r="R1990" t="str">
            <v>b. Ganancia (pérdida)</v>
          </cell>
          <cell r="S1990" t="str">
            <v>5. Gasto de administración</v>
          </cell>
          <cell r="T1990" t="str">
            <v>8. Costo Mercadotecnia</v>
          </cell>
          <cell r="V1990" t="str">
            <v>II. Gastos</v>
          </cell>
          <cell r="W1990" t="str">
            <v>23. Bienes y Servicios para Producción</v>
          </cell>
          <cell r="Z1990" t="str">
            <v>III. Gastos de Administración</v>
          </cell>
          <cell r="AA1990" t="str">
            <v>2. Mercadotecnia</v>
          </cell>
          <cell r="AC1990" t="str">
            <v>III. Gasto Administración</v>
          </cell>
          <cell r="AD1990" t="str">
            <v>2. Bienes y servicios Adm.</v>
          </cell>
          <cell r="AE1990" t="str">
            <v>2. Mercadotecnia</v>
          </cell>
          <cell r="AG1990" t="str">
            <v xml:space="preserve"> </v>
          </cell>
          <cell r="AH1990" t="str">
            <v>6. Partidas significativas de gastos</v>
          </cell>
        </row>
        <row r="1991">
          <cell r="D1991">
            <v>0</v>
          </cell>
          <cell r="G1991" t="str">
            <v/>
          </cell>
          <cell r="H1991" t="str">
            <v>Est. Resultado</v>
          </cell>
          <cell r="I1991" t="str">
            <v>Resultado</v>
          </cell>
          <cell r="J1991" t="str">
            <v>7. Gastos de Administración</v>
          </cell>
          <cell r="K1991" t="str">
            <v>5. Costo Mercadotecnia</v>
          </cell>
          <cell r="L1991" t="str">
            <v>EBITDA</v>
          </cell>
          <cell r="N1991" t="str">
            <v>GANANCIAS (PERDIDAS) ANTES DE IMPUESTOS</v>
          </cell>
          <cell r="O1991" t="str">
            <v>GANANCIA (PÉRDIDA) NETA</v>
          </cell>
          <cell r="P1991" t="str">
            <v>Resultado Ingresos y Gastos Integrales</v>
          </cell>
          <cell r="Q1991" t="str">
            <v>I. Ganancia (pérdida), antes de impuestos</v>
          </cell>
          <cell r="R1991" t="str">
            <v>b. Ganancia (pérdida)</v>
          </cell>
          <cell r="S1991" t="str">
            <v>5. Gasto de administración</v>
          </cell>
          <cell r="T1991" t="str">
            <v>8. Costo Mercadotecnia</v>
          </cell>
          <cell r="V1991" t="str">
            <v>II. Gastos</v>
          </cell>
          <cell r="W1991" t="str">
            <v>23. Bienes y Servicios para Producción</v>
          </cell>
          <cell r="Z1991" t="str">
            <v>III. Gastos de Administración</v>
          </cell>
          <cell r="AA1991" t="str">
            <v>2. Mercadotecnia</v>
          </cell>
          <cell r="AC1991" t="str">
            <v>III. Gasto Administración</v>
          </cell>
          <cell r="AD1991" t="str">
            <v>2. Bienes y servicios Adm.</v>
          </cell>
          <cell r="AE1991" t="str">
            <v>2. Mercadotecnia</v>
          </cell>
          <cell r="AG1991" t="str">
            <v xml:space="preserve"> </v>
          </cell>
          <cell r="AH1991" t="str">
            <v>6. Partidas significativas de gastos</v>
          </cell>
        </row>
        <row r="1992">
          <cell r="D1992">
            <v>0</v>
          </cell>
          <cell r="G1992" t="str">
            <v/>
          </cell>
          <cell r="H1992" t="str">
            <v>Est. Resultado</v>
          </cell>
          <cell r="I1992" t="str">
            <v>Resultado</v>
          </cell>
          <cell r="J1992" t="str">
            <v>7. Gastos de Administración</v>
          </cell>
          <cell r="K1992" t="str">
            <v>5. Costo Mercadotecnia</v>
          </cell>
          <cell r="L1992" t="str">
            <v>EBITDA</v>
          </cell>
          <cell r="N1992" t="str">
            <v>GANANCIAS (PERDIDAS) ANTES DE IMPUESTOS</v>
          </cell>
          <cell r="O1992" t="str">
            <v>GANANCIA (PÉRDIDA) NETA</v>
          </cell>
          <cell r="P1992" t="str">
            <v>Resultado Ingresos y Gastos Integrales</v>
          </cell>
          <cell r="Q1992" t="str">
            <v>I. Ganancia (pérdida), antes de impuestos</v>
          </cell>
          <cell r="R1992" t="str">
            <v>b. Ganancia (pérdida)</v>
          </cell>
          <cell r="S1992" t="str">
            <v>5. Gasto de administración</v>
          </cell>
          <cell r="T1992" t="str">
            <v>8. Costo Mercadotecnia</v>
          </cell>
          <cell r="V1992" t="str">
            <v>II. Gastos</v>
          </cell>
          <cell r="W1992" t="str">
            <v>23. Bienes y Servicios para Producción</v>
          </cell>
          <cell r="Z1992" t="str">
            <v>III. Gastos de Administración</v>
          </cell>
          <cell r="AA1992" t="str">
            <v>2. Mercadotecnia</v>
          </cell>
          <cell r="AC1992" t="str">
            <v>III. Gasto Administración</v>
          </cell>
          <cell r="AD1992" t="str">
            <v>2. Bienes y servicios Adm.</v>
          </cell>
          <cell r="AE1992" t="str">
            <v>2. Mercadotecnia</v>
          </cell>
          <cell r="AG1992" t="str">
            <v xml:space="preserve"> </v>
          </cell>
          <cell r="AH1992" t="str">
            <v>6. Partidas significativas de gastos</v>
          </cell>
        </row>
        <row r="1993">
          <cell r="D1993" t="str">
            <v>Costo Mercadotecnia</v>
          </cell>
          <cell r="E1993" t="str">
            <v>Costo Mercadotecnia</v>
          </cell>
          <cell r="G1993" t="str">
            <v xml:space="preserve">Costo Mercadotecnia  </v>
          </cell>
          <cell r="H1993" t="str">
            <v/>
          </cell>
          <cell r="I1993" t="str">
            <v/>
          </cell>
          <cell r="J1993" t="str">
            <v/>
          </cell>
          <cell r="L1993" t="str">
            <v/>
          </cell>
          <cell r="N1993" t="str">
            <v/>
          </cell>
          <cell r="O1993" t="str">
            <v/>
          </cell>
          <cell r="P1993" t="str">
            <v/>
          </cell>
        </row>
        <row r="1994">
          <cell r="D1994" t="str">
            <v>4210400010</v>
          </cell>
          <cell r="E1994" t="str">
            <v>4210400010</v>
          </cell>
          <cell r="F1994" t="str">
            <v>Gasto Unidad Negocio</v>
          </cell>
          <cell r="G1994" t="str">
            <v>4210400010  Gasto Unidad Negocio</v>
          </cell>
          <cell r="H1994" t="str">
            <v>Est. Resultado</v>
          </cell>
          <cell r="I1994" t="str">
            <v>Resultado</v>
          </cell>
          <cell r="J1994" t="str">
            <v>7. Gastos de Administración</v>
          </cell>
          <cell r="K1994" t="str">
            <v>6. Serv Administración</v>
          </cell>
          <cell r="L1994" t="str">
            <v>EBITDA</v>
          </cell>
          <cell r="N1994" t="str">
            <v>GANANCIAS (PERDIDAS) ANTES DE IMPUESTOS</v>
          </cell>
          <cell r="O1994" t="str">
            <v>GANANCIA (PÉRDIDA) NETA</v>
          </cell>
          <cell r="P1994" t="str">
            <v>Resultado Ingresos y Gastos Integrales</v>
          </cell>
          <cell r="Q1994" t="str">
            <v>I. Ganancia (pérdida), antes de impuestos</v>
          </cell>
          <cell r="R1994" t="str">
            <v>b. Ganancia (pérdida)</v>
          </cell>
          <cell r="S1994" t="str">
            <v>5. Gasto de administración</v>
          </cell>
          <cell r="T1994" t="str">
            <v>12. Serv Administración</v>
          </cell>
          <cell r="V1994" t="str">
            <v>II. Gastos</v>
          </cell>
          <cell r="W1994" t="str">
            <v>23. Bienes y Servicios para Producción</v>
          </cell>
          <cell r="Z1994" t="str">
            <v>III. Gastos de Administración</v>
          </cell>
          <cell r="AA1994" t="str">
            <v>7. Serv. Adm. E Impuestos</v>
          </cell>
          <cell r="AC1994" t="str">
            <v>III. Gasto Administración</v>
          </cell>
          <cell r="AD1994" t="str">
            <v>2. Bienes y servicios Adm.</v>
          </cell>
          <cell r="AE1994" t="str">
            <v>7. Serv. Adm. E Impuestos</v>
          </cell>
          <cell r="AG1994" t="str">
            <v xml:space="preserve"> </v>
          </cell>
          <cell r="AH1994" t="str">
            <v>6. Partidas significativas de gastos</v>
          </cell>
        </row>
        <row r="1995">
          <cell r="D1995" t="str">
            <v>4210400020</v>
          </cell>
          <cell r="E1995" t="str">
            <v>4210400020</v>
          </cell>
          <cell r="F1995" t="str">
            <v>Serv Fiscalia</v>
          </cell>
          <cell r="G1995" t="str">
            <v>4210400020  Serv Fiscalia</v>
          </cell>
          <cell r="H1995" t="str">
            <v>Est. Resultado</v>
          </cell>
          <cell r="I1995" t="str">
            <v>Resultado</v>
          </cell>
          <cell r="J1995" t="str">
            <v>7. Gastos de Administración</v>
          </cell>
          <cell r="K1995" t="str">
            <v>6. Serv Administración</v>
          </cell>
          <cell r="L1995" t="str">
            <v>EBITDA</v>
          </cell>
          <cell r="N1995" t="str">
            <v>GANANCIAS (PERDIDAS) ANTES DE IMPUESTOS</v>
          </cell>
          <cell r="O1995" t="str">
            <v>GANANCIA (PÉRDIDA) NETA</v>
          </cell>
          <cell r="P1995" t="str">
            <v>Resultado Ingresos y Gastos Integrales</v>
          </cell>
          <cell r="Q1995" t="str">
            <v>I. Ganancia (pérdida), antes de impuestos</v>
          </cell>
          <cell r="R1995" t="str">
            <v>b. Ganancia (pérdida)</v>
          </cell>
          <cell r="S1995" t="str">
            <v>5. Gasto de administración</v>
          </cell>
          <cell r="T1995" t="str">
            <v>12. Serv Administración</v>
          </cell>
          <cell r="V1995" t="str">
            <v>II. Gastos</v>
          </cell>
          <cell r="W1995" t="str">
            <v>23. Bienes y Servicios para Producción</v>
          </cell>
          <cell r="Z1995" t="str">
            <v>III. Gastos de Administración</v>
          </cell>
          <cell r="AA1995" t="str">
            <v>7. Serv. Adm. E Impuestos</v>
          </cell>
          <cell r="AC1995" t="str">
            <v>III. Gasto Administración</v>
          </cell>
          <cell r="AD1995" t="str">
            <v>2. Bienes y servicios Adm.</v>
          </cell>
          <cell r="AE1995" t="str">
            <v>7. Serv. Adm. E Impuestos</v>
          </cell>
          <cell r="AG1995" t="str">
            <v xml:space="preserve"> </v>
          </cell>
          <cell r="AH1995" t="str">
            <v>6. Partidas significativas de gastos</v>
          </cell>
        </row>
        <row r="1996">
          <cell r="D1996" t="str">
            <v>4210400030</v>
          </cell>
          <cell r="E1996" t="str">
            <v>4210400030</v>
          </cell>
          <cell r="F1996" t="str">
            <v>Serv Contraloria</v>
          </cell>
          <cell r="G1996" t="str">
            <v>4210400030  Serv Contraloria</v>
          </cell>
          <cell r="H1996" t="str">
            <v>Est. Resultado</v>
          </cell>
          <cell r="I1996" t="str">
            <v>Resultado</v>
          </cell>
          <cell r="J1996" t="str">
            <v>7. Gastos de Administración</v>
          </cell>
          <cell r="K1996" t="str">
            <v>6. Serv Administración</v>
          </cell>
          <cell r="L1996" t="str">
            <v>EBITDA</v>
          </cell>
          <cell r="N1996" t="str">
            <v>GANANCIAS (PERDIDAS) ANTES DE IMPUESTOS</v>
          </cell>
          <cell r="O1996" t="str">
            <v>GANANCIA (PÉRDIDA) NETA</v>
          </cell>
          <cell r="P1996" t="str">
            <v>Resultado Ingresos y Gastos Integrales</v>
          </cell>
          <cell r="Q1996" t="str">
            <v>I. Ganancia (pérdida), antes de impuestos</v>
          </cell>
          <cell r="R1996" t="str">
            <v>b. Ganancia (pérdida)</v>
          </cell>
          <cell r="S1996" t="str">
            <v>5. Gasto de administración</v>
          </cell>
          <cell r="T1996" t="str">
            <v>12. Serv Administración</v>
          </cell>
          <cell r="V1996" t="str">
            <v>II. Gastos</v>
          </cell>
          <cell r="W1996" t="str">
            <v>23. Bienes y Servicios para Producción</v>
          </cell>
          <cell r="Z1996" t="str">
            <v>III. Gastos de Administración</v>
          </cell>
          <cell r="AA1996" t="str">
            <v>7. Serv. Adm. E Impuestos</v>
          </cell>
          <cell r="AC1996" t="str">
            <v>III. Gasto Administración</v>
          </cell>
          <cell r="AD1996" t="str">
            <v>2. Bienes y servicios Adm.</v>
          </cell>
          <cell r="AE1996" t="str">
            <v>7. Serv. Adm. E Impuestos</v>
          </cell>
          <cell r="AG1996" t="str">
            <v xml:space="preserve"> </v>
          </cell>
          <cell r="AH1996" t="str">
            <v>6. Partidas significativas de gastos</v>
          </cell>
        </row>
        <row r="1997">
          <cell r="D1997" t="str">
            <v>4230300000</v>
          </cell>
          <cell r="E1997" t="str">
            <v>4230300000</v>
          </cell>
          <cell r="F1997" t="str">
            <v>Serv Procesamiento Remuneracion</v>
          </cell>
          <cell r="G1997" t="str">
            <v>4230300000  Serv Procesamiento Remuneracion</v>
          </cell>
          <cell r="H1997" t="str">
            <v>Est. Resultado</v>
          </cell>
          <cell r="I1997" t="str">
            <v>Resultado</v>
          </cell>
          <cell r="J1997" t="str">
            <v>7. Gastos de Administración</v>
          </cell>
          <cell r="K1997" t="str">
            <v>6. Serv Administración</v>
          </cell>
          <cell r="L1997" t="str">
            <v>EBITDA</v>
          </cell>
          <cell r="N1997" t="str">
            <v>GANANCIAS (PERDIDAS) ANTES DE IMPUESTOS</v>
          </cell>
          <cell r="O1997" t="str">
            <v>GANANCIA (PÉRDIDA) NETA</v>
          </cell>
          <cell r="P1997" t="str">
            <v>Resultado Ingresos y Gastos Integrales</v>
          </cell>
          <cell r="Q1997" t="str">
            <v>I. Ganancia (pérdida), antes de impuestos</v>
          </cell>
          <cell r="R1997" t="str">
            <v>b. Ganancia (pérdida)</v>
          </cell>
          <cell r="S1997" t="str">
            <v>5. Gasto de administración</v>
          </cell>
          <cell r="T1997" t="str">
            <v>12. Serv Administración</v>
          </cell>
          <cell r="V1997" t="str">
            <v>II. Gastos</v>
          </cell>
          <cell r="W1997" t="str">
            <v>23. Bienes y Servicios para Producción</v>
          </cell>
          <cell r="Z1997" t="str">
            <v>III. Gastos de Administración</v>
          </cell>
          <cell r="AA1997" t="str">
            <v>7. Serv. Adm. E Impuestos</v>
          </cell>
          <cell r="AC1997" t="str">
            <v>III. Gasto Administración</v>
          </cell>
          <cell r="AD1997" t="str">
            <v>2. Bienes y servicios Adm.</v>
          </cell>
          <cell r="AE1997" t="str">
            <v>7. Serv. Adm. E Impuestos</v>
          </cell>
          <cell r="AG1997" t="str">
            <v xml:space="preserve"> </v>
          </cell>
          <cell r="AH1997" t="str">
            <v>6. Partidas significativas de gastos</v>
          </cell>
        </row>
        <row r="1998">
          <cell r="D1998" t="str">
            <v>4230400000</v>
          </cell>
          <cell r="E1998" t="str">
            <v>4230400000</v>
          </cell>
          <cell r="F1998" t="str">
            <v>Serv Cobranza Arriendo</v>
          </cell>
          <cell r="G1998" t="str">
            <v>4230400000  Serv Cobranza Arriendo</v>
          </cell>
          <cell r="H1998" t="str">
            <v>Est. Resultado</v>
          </cell>
          <cell r="I1998" t="str">
            <v>Resultado</v>
          </cell>
          <cell r="J1998" t="str">
            <v>7. Gastos de Administración</v>
          </cell>
          <cell r="K1998" t="str">
            <v>6. Serv Administración</v>
          </cell>
          <cell r="L1998" t="str">
            <v>EBITDA</v>
          </cell>
          <cell r="N1998" t="str">
            <v>GANANCIAS (PERDIDAS) ANTES DE IMPUESTOS</v>
          </cell>
          <cell r="O1998" t="str">
            <v>GANANCIA (PÉRDIDA) NETA</v>
          </cell>
          <cell r="P1998" t="str">
            <v>Resultado Ingresos y Gastos Integrales</v>
          </cell>
          <cell r="Q1998" t="str">
            <v>I. Ganancia (pérdida), antes de impuestos</v>
          </cell>
          <cell r="R1998" t="str">
            <v>b. Ganancia (pérdida)</v>
          </cell>
          <cell r="S1998" t="str">
            <v>5. Gasto de administración</v>
          </cell>
          <cell r="T1998" t="str">
            <v>12. Serv Administración</v>
          </cell>
          <cell r="V1998" t="str">
            <v>II. Gastos</v>
          </cell>
          <cell r="W1998" t="str">
            <v>23. Bienes y Servicios para Producción</v>
          </cell>
          <cell r="Z1998" t="str">
            <v>III. Gastos de Administración</v>
          </cell>
          <cell r="AA1998" t="str">
            <v>7. Serv. Adm. E Impuestos</v>
          </cell>
          <cell r="AC1998" t="str">
            <v>III. Gasto Administración</v>
          </cell>
          <cell r="AD1998" t="str">
            <v>2. Bienes y servicios Adm.</v>
          </cell>
          <cell r="AE1998" t="str">
            <v>7. Serv. Adm. E Impuestos</v>
          </cell>
          <cell r="AG1998" t="str">
            <v xml:space="preserve"> </v>
          </cell>
          <cell r="AH1998" t="str">
            <v>6. Partidas significativas de gastos</v>
          </cell>
        </row>
        <row r="1999">
          <cell r="D1999" t="str">
            <v>4230420000</v>
          </cell>
          <cell r="E1999" t="str">
            <v>4230420000</v>
          </cell>
          <cell r="F1999" t="str">
            <v>Serv Pago a INVIA</v>
          </cell>
          <cell r="G1999" t="str">
            <v>4230420000  Serv Pago a INVIA</v>
          </cell>
          <cell r="H1999" t="str">
            <v>Est. Resultado</v>
          </cell>
          <cell r="I1999" t="str">
            <v>Resultado</v>
          </cell>
          <cell r="J1999" t="str">
            <v>7. Gastos de Administración</v>
          </cell>
          <cell r="K1999" t="str">
            <v>6. Serv Administración</v>
          </cell>
          <cell r="L1999" t="str">
            <v>EBITDA</v>
          </cell>
          <cell r="N1999" t="str">
            <v>GANANCIAS (PERDIDAS) ANTES DE IMPUESTOS</v>
          </cell>
          <cell r="O1999" t="str">
            <v>GANANCIA (PÉRDIDA) NETA</v>
          </cell>
          <cell r="P1999" t="str">
            <v>Resultado Ingresos y Gastos Integrales</v>
          </cell>
          <cell r="Q1999" t="str">
            <v>I. Ganancia (pérdida), antes de impuestos</v>
          </cell>
          <cell r="R1999" t="str">
            <v>b. Ganancia (pérdida)</v>
          </cell>
          <cell r="S1999" t="str">
            <v>5. Gasto de administración</v>
          </cell>
          <cell r="T1999" t="str">
            <v>12. Serv Administración</v>
          </cell>
          <cell r="V1999" t="str">
            <v>II. Gastos</v>
          </cell>
          <cell r="W1999" t="str">
            <v>23. Bienes y Servicios para Producción</v>
          </cell>
          <cell r="Z1999" t="str">
            <v>III. Gastos de Administración</v>
          </cell>
          <cell r="AA1999" t="str">
            <v>7. Serv. Adm. E Impuestos</v>
          </cell>
          <cell r="AC1999" t="str">
            <v>III. Gasto Administración</v>
          </cell>
          <cell r="AD1999" t="str">
            <v>2. Bienes y servicios Adm.</v>
          </cell>
          <cell r="AE1999" t="str">
            <v>7. Serv. Adm. E Impuestos</v>
          </cell>
          <cell r="AG1999" t="str">
            <v xml:space="preserve"> </v>
          </cell>
          <cell r="AH1999" t="str">
            <v>6. Partidas significativas de gastos</v>
          </cell>
        </row>
        <row r="2000">
          <cell r="D2000" t="str">
            <v>4230450000</v>
          </cell>
          <cell r="E2000" t="str">
            <v>4230450000</v>
          </cell>
          <cell r="F2000" t="str">
            <v>Serv Pago a FERROSALUD</v>
          </cell>
          <cell r="G2000" t="str">
            <v>4230450000  Serv Pago a FERROSALUD</v>
          </cell>
          <cell r="H2000" t="str">
            <v>Est. Resultado</v>
          </cell>
          <cell r="I2000" t="str">
            <v>Resultado</v>
          </cell>
          <cell r="J2000" t="str">
            <v>7. Gastos de Administración</v>
          </cell>
          <cell r="K2000" t="str">
            <v>6. Serv Administración</v>
          </cell>
          <cell r="L2000" t="str">
            <v>EBITDA</v>
          </cell>
          <cell r="N2000" t="str">
            <v>GANANCIAS (PERDIDAS) ANTES DE IMPUESTOS</v>
          </cell>
          <cell r="O2000" t="str">
            <v>GANANCIA (PÉRDIDA) NETA</v>
          </cell>
          <cell r="P2000" t="str">
            <v>Resultado Ingresos y Gastos Integrales</v>
          </cell>
          <cell r="Q2000" t="str">
            <v>I. Ganancia (pérdida), antes de impuestos</v>
          </cell>
          <cell r="R2000" t="str">
            <v>b. Ganancia (pérdida)</v>
          </cell>
          <cell r="S2000" t="str">
            <v>5. Gasto de administración</v>
          </cell>
          <cell r="T2000" t="str">
            <v>12. Serv Administración</v>
          </cell>
          <cell r="V2000" t="str">
            <v>II. Gastos</v>
          </cell>
          <cell r="W2000" t="str">
            <v>23. Bienes y Servicios para Producción</v>
          </cell>
          <cell r="Z2000" t="str">
            <v>III. Gastos de Administración</v>
          </cell>
          <cell r="AA2000" t="str">
            <v>7. Serv. Adm. E Impuestos</v>
          </cell>
          <cell r="AC2000" t="str">
            <v>III. Gasto Administración</v>
          </cell>
          <cell r="AD2000" t="str">
            <v>2. Bienes y servicios Adm.</v>
          </cell>
          <cell r="AE2000" t="str">
            <v>7. Serv. Adm. E Impuestos</v>
          </cell>
          <cell r="AG2000" t="str">
            <v xml:space="preserve"> </v>
          </cell>
          <cell r="AH2000" t="str">
            <v>6. Partidas significativas de gastos</v>
          </cell>
        </row>
        <row r="2001">
          <cell r="D2001" t="str">
            <v>4230460000</v>
          </cell>
          <cell r="E2001" t="str">
            <v>4230460000</v>
          </cell>
          <cell r="F2001" t="str">
            <v>Serv Pago a Mutual Seguridad</v>
          </cell>
          <cell r="G2001" t="str">
            <v>4230460000  Serv Pago a Mutual Seguridad</v>
          </cell>
          <cell r="H2001" t="str">
            <v>Est. Resultado</v>
          </cell>
          <cell r="I2001" t="str">
            <v>Resultado</v>
          </cell>
          <cell r="J2001" t="str">
            <v>7. Gastos de Administración</v>
          </cell>
          <cell r="K2001" t="str">
            <v>6. Serv Administración</v>
          </cell>
          <cell r="L2001" t="str">
            <v>EBITDA</v>
          </cell>
          <cell r="N2001" t="str">
            <v>GANANCIAS (PERDIDAS) ANTES DE IMPUESTOS</v>
          </cell>
          <cell r="O2001" t="str">
            <v>GANANCIA (PÉRDIDA) NETA</v>
          </cell>
          <cell r="P2001" t="str">
            <v>Resultado Ingresos y Gastos Integrales</v>
          </cell>
          <cell r="Q2001" t="str">
            <v>I. Ganancia (pérdida), antes de impuestos</v>
          </cell>
          <cell r="R2001" t="str">
            <v>b. Ganancia (pérdida)</v>
          </cell>
          <cell r="S2001" t="str">
            <v>5. Gasto de administración</v>
          </cell>
          <cell r="T2001" t="str">
            <v>12. Serv Administración</v>
          </cell>
          <cell r="V2001" t="str">
            <v>II. Gastos</v>
          </cell>
          <cell r="W2001" t="str">
            <v>23. Bienes y Servicios para Producción</v>
          </cell>
          <cell r="Z2001" t="str">
            <v>III. Gastos de Administración</v>
          </cell>
          <cell r="AA2001" t="str">
            <v>7. Serv. Adm. E Impuestos</v>
          </cell>
          <cell r="AC2001" t="str">
            <v>III. Gasto Administración</v>
          </cell>
          <cell r="AD2001" t="str">
            <v>2. Bienes y servicios Adm.</v>
          </cell>
          <cell r="AE2001" t="str">
            <v>7. Serv. Adm. E Impuestos</v>
          </cell>
          <cell r="AG2001" t="str">
            <v xml:space="preserve"> </v>
          </cell>
          <cell r="AH2001" t="str">
            <v>6. Partidas significativas de gastos</v>
          </cell>
        </row>
        <row r="2002">
          <cell r="D2002" t="str">
            <v>4250600000</v>
          </cell>
          <cell r="E2002" t="str">
            <v>4250600000</v>
          </cell>
          <cell r="F2002" t="str">
            <v>Administracion Merval</v>
          </cell>
          <cell r="G2002" t="str">
            <v>4250600000  Administracion Merval</v>
          </cell>
          <cell r="H2002" t="str">
            <v>Est. Resultado</v>
          </cell>
          <cell r="I2002" t="str">
            <v>Resultado</v>
          </cell>
          <cell r="J2002" t="str">
            <v>7. Gastos de Administración</v>
          </cell>
          <cell r="K2002" t="str">
            <v>6. Serv Administración</v>
          </cell>
          <cell r="L2002" t="str">
            <v>EBITDA</v>
          </cell>
          <cell r="N2002" t="str">
            <v>GANANCIAS (PERDIDAS) ANTES DE IMPUESTOS</v>
          </cell>
          <cell r="O2002" t="str">
            <v>GANANCIA (PÉRDIDA) NETA</v>
          </cell>
          <cell r="P2002" t="str">
            <v>Resultado Ingresos y Gastos Integrales</v>
          </cell>
          <cell r="Q2002" t="str">
            <v>I. Ganancia (pérdida), antes de impuestos</v>
          </cell>
          <cell r="R2002" t="str">
            <v>b. Ganancia (pérdida)</v>
          </cell>
          <cell r="S2002" t="str">
            <v>5. Gasto de administración</v>
          </cell>
          <cell r="T2002" t="str">
            <v>12. Serv Administración</v>
          </cell>
          <cell r="V2002" t="str">
            <v>II. Gastos</v>
          </cell>
          <cell r="W2002" t="str">
            <v>23. Bienes y Servicios para Producción</v>
          </cell>
          <cell r="Z2002" t="str">
            <v>III. Gastos de Administración</v>
          </cell>
          <cell r="AA2002" t="str">
            <v>7. Serv. Adm. E Impuestos</v>
          </cell>
          <cell r="AC2002" t="str">
            <v>III. Gasto Administración</v>
          </cell>
          <cell r="AD2002" t="str">
            <v>2. Bienes y servicios Adm.</v>
          </cell>
          <cell r="AE2002" t="str">
            <v>7. Serv. Adm. E Impuestos</v>
          </cell>
          <cell r="AG2002" t="str">
            <v xml:space="preserve"> </v>
          </cell>
          <cell r="AH2002" t="str">
            <v>6. Partidas significativas de gastos</v>
          </cell>
        </row>
        <row r="2003">
          <cell r="D2003">
            <v>0</v>
          </cell>
          <cell r="G2003" t="str">
            <v/>
          </cell>
          <cell r="H2003" t="str">
            <v>Est. Resultado</v>
          </cell>
          <cell r="I2003" t="str">
            <v>Resultado</v>
          </cell>
          <cell r="J2003" t="str">
            <v>7. Gastos de Administración</v>
          </cell>
          <cell r="K2003" t="str">
            <v>6. Serv Administración</v>
          </cell>
          <cell r="L2003" t="str">
            <v>EBITDA</v>
          </cell>
          <cell r="N2003" t="str">
            <v>GANANCIAS (PERDIDAS) ANTES DE IMPUESTOS</v>
          </cell>
          <cell r="O2003" t="str">
            <v>GANANCIA (PÉRDIDA) NETA</v>
          </cell>
          <cell r="P2003" t="str">
            <v>Resultado Ingresos y Gastos Integrales</v>
          </cell>
          <cell r="Q2003" t="str">
            <v>I. Ganancia (pérdida), antes de impuestos</v>
          </cell>
          <cell r="R2003" t="str">
            <v>b. Ganancia (pérdida)</v>
          </cell>
          <cell r="S2003" t="str">
            <v>5. Gasto de administración</v>
          </cell>
          <cell r="T2003" t="str">
            <v>12. Serv Administración</v>
          </cell>
          <cell r="V2003" t="str">
            <v>II. Gastos</v>
          </cell>
          <cell r="W2003" t="str">
            <v>23. Bienes y Servicios para Producción</v>
          </cell>
          <cell r="Z2003" t="str">
            <v>III. Gastos de Administración</v>
          </cell>
          <cell r="AA2003" t="str">
            <v>7. Serv. Adm. E Impuestos</v>
          </cell>
          <cell r="AC2003" t="str">
            <v>III. Gasto Administración</v>
          </cell>
          <cell r="AD2003" t="str">
            <v>2. Bienes y servicios Adm.</v>
          </cell>
          <cell r="AE2003" t="str">
            <v>7. Serv. Adm. E Impuestos</v>
          </cell>
          <cell r="AG2003" t="str">
            <v xml:space="preserve"> </v>
          </cell>
          <cell r="AH2003" t="str">
            <v>6. Partidas significativas de gastos</v>
          </cell>
        </row>
        <row r="2004">
          <cell r="D2004">
            <v>0</v>
          </cell>
          <cell r="G2004" t="str">
            <v/>
          </cell>
          <cell r="H2004" t="str">
            <v>Est. Resultado</v>
          </cell>
          <cell r="I2004" t="str">
            <v>Resultado</v>
          </cell>
          <cell r="J2004" t="str">
            <v>7. Gastos de Administración</v>
          </cell>
          <cell r="K2004" t="str">
            <v>6. Serv Administración</v>
          </cell>
          <cell r="L2004" t="str">
            <v>EBITDA</v>
          </cell>
          <cell r="N2004" t="str">
            <v>GANANCIAS (PERDIDAS) ANTES DE IMPUESTOS</v>
          </cell>
          <cell r="O2004" t="str">
            <v>GANANCIA (PÉRDIDA) NETA</v>
          </cell>
          <cell r="P2004" t="str">
            <v>Resultado Ingresos y Gastos Integrales</v>
          </cell>
          <cell r="Q2004" t="str">
            <v>I. Ganancia (pérdida), antes de impuestos</v>
          </cell>
          <cell r="R2004" t="str">
            <v>b. Ganancia (pérdida)</v>
          </cell>
          <cell r="S2004" t="str">
            <v>5. Gasto de administración</v>
          </cell>
          <cell r="T2004" t="str">
            <v>12. Serv Administración</v>
          </cell>
          <cell r="V2004" t="str">
            <v>II. Gastos</v>
          </cell>
          <cell r="W2004" t="str">
            <v>23. Bienes y Servicios para Producción</v>
          </cell>
          <cell r="Z2004" t="str">
            <v>III. Gastos de Administración</v>
          </cell>
          <cell r="AA2004" t="str">
            <v>7. Serv. Adm. E Impuestos</v>
          </cell>
          <cell r="AC2004" t="str">
            <v>III. Gasto Administración</v>
          </cell>
          <cell r="AD2004" t="str">
            <v>2. Bienes y servicios Adm.</v>
          </cell>
          <cell r="AE2004" t="str">
            <v>7. Serv. Adm. E Impuestos</v>
          </cell>
          <cell r="AG2004" t="str">
            <v xml:space="preserve"> </v>
          </cell>
          <cell r="AH2004" t="str">
            <v>6. Partidas significativas de gastos</v>
          </cell>
        </row>
        <row r="2005">
          <cell r="D2005" t="str">
            <v>Serv Administracion e Impuestos</v>
          </cell>
          <cell r="E2005" t="str">
            <v>Serv Administracion e Impuestos</v>
          </cell>
          <cell r="G2005" t="str">
            <v xml:space="preserve">Serv Administracion e Impuestos  </v>
          </cell>
          <cell r="H2005" t="str">
            <v/>
          </cell>
          <cell r="I2005" t="str">
            <v/>
          </cell>
          <cell r="J2005" t="str">
            <v/>
          </cell>
          <cell r="L2005" t="str">
            <v/>
          </cell>
          <cell r="N2005" t="str">
            <v/>
          </cell>
          <cell r="O2005" t="str">
            <v/>
          </cell>
          <cell r="P2005" t="str">
            <v/>
          </cell>
        </row>
        <row r="2006">
          <cell r="D2006" t="str">
            <v>4260100000</v>
          </cell>
          <cell r="E2006" t="str">
            <v>4260100000</v>
          </cell>
          <cell r="F2006" t="str">
            <v>Seguro UT440</v>
          </cell>
          <cell r="G2006" t="str">
            <v>4260100000  Seguro UT440</v>
          </cell>
          <cell r="H2006" t="str">
            <v>Est. Resultado</v>
          </cell>
          <cell r="I2006" t="str">
            <v>Resultado</v>
          </cell>
          <cell r="J2006" t="str">
            <v>7. Gastos de Administración</v>
          </cell>
          <cell r="K2006" t="str">
            <v>7. Fletes y Seguros</v>
          </cell>
          <cell r="L2006" t="str">
            <v>EBITDA</v>
          </cell>
          <cell r="N2006" t="str">
            <v>GANANCIAS (PERDIDAS) ANTES DE IMPUESTOS</v>
          </cell>
          <cell r="O2006" t="str">
            <v>GANANCIA (PÉRDIDA) NETA</v>
          </cell>
          <cell r="P2006" t="str">
            <v>Resultado Ingresos y Gastos Integrales</v>
          </cell>
          <cell r="Q2006" t="str">
            <v>I. Ganancia (pérdida), antes de impuestos</v>
          </cell>
          <cell r="R2006" t="str">
            <v>b. Ganancia (pérdida)</v>
          </cell>
          <cell r="S2006" t="str">
            <v>5. Gasto de administración</v>
          </cell>
          <cell r="T2006" t="str">
            <v>11. Fletes y Seguros</v>
          </cell>
          <cell r="V2006" t="str">
            <v>II. Gastos</v>
          </cell>
          <cell r="W2006" t="str">
            <v>23. Bienes y Servicios para Producción</v>
          </cell>
          <cell r="Z2006" t="str">
            <v>III. Gastos de Administración</v>
          </cell>
          <cell r="AA2006" t="str">
            <v>5. Fletes y Seguros</v>
          </cell>
          <cell r="AC2006" t="str">
            <v>III. Gasto Administración</v>
          </cell>
          <cell r="AD2006" t="str">
            <v>2. Bienes y servicios Adm.</v>
          </cell>
          <cell r="AE2006" t="str">
            <v>5. Fletes y Seguros</v>
          </cell>
          <cell r="AG2006" t="str">
            <v xml:space="preserve"> </v>
          </cell>
          <cell r="AH2006" t="str">
            <v>6. Partidas significativas de gastos</v>
          </cell>
        </row>
        <row r="2007">
          <cell r="D2007" t="str">
            <v>4260200000</v>
          </cell>
          <cell r="E2007" t="str">
            <v>4260200000</v>
          </cell>
          <cell r="F2007" t="str">
            <v>Seguro UT444</v>
          </cell>
          <cell r="G2007" t="str">
            <v>4260200000  Seguro UT444</v>
          </cell>
          <cell r="H2007" t="str">
            <v>Est. Resultado</v>
          </cell>
          <cell r="I2007" t="str">
            <v>Resultado</v>
          </cell>
          <cell r="J2007" t="str">
            <v>7. Gastos de Administración</v>
          </cell>
          <cell r="K2007" t="str">
            <v>7. Fletes y Seguros</v>
          </cell>
          <cell r="L2007" t="str">
            <v>EBITDA</v>
          </cell>
          <cell r="N2007" t="str">
            <v>GANANCIAS (PERDIDAS) ANTES DE IMPUESTOS</v>
          </cell>
          <cell r="O2007" t="str">
            <v>GANANCIA (PÉRDIDA) NETA</v>
          </cell>
          <cell r="P2007" t="str">
            <v>Resultado Ingresos y Gastos Integrales</v>
          </cell>
          <cell r="Q2007" t="str">
            <v>I. Ganancia (pérdida), antes de impuestos</v>
          </cell>
          <cell r="R2007" t="str">
            <v>b. Ganancia (pérdida)</v>
          </cell>
          <cell r="S2007" t="str">
            <v>5. Gasto de administración</v>
          </cell>
          <cell r="T2007" t="str">
            <v>11. Fletes y Seguros</v>
          </cell>
          <cell r="V2007" t="str">
            <v>II. Gastos</v>
          </cell>
          <cell r="W2007" t="str">
            <v>23. Bienes y Servicios para Producción</v>
          </cell>
          <cell r="Z2007" t="str">
            <v>III. Gastos de Administración</v>
          </cell>
          <cell r="AA2007" t="str">
            <v>5. Fletes y Seguros</v>
          </cell>
          <cell r="AC2007" t="str">
            <v>III. Gasto Administración</v>
          </cell>
          <cell r="AD2007" t="str">
            <v>2. Bienes y servicios Adm.</v>
          </cell>
          <cell r="AE2007" t="str">
            <v>5. Fletes y Seguros</v>
          </cell>
          <cell r="AG2007" t="str">
            <v xml:space="preserve"> </v>
          </cell>
          <cell r="AH2007" t="str">
            <v>6. Partidas significativas de gastos</v>
          </cell>
        </row>
        <row r="2008">
          <cell r="D2008" t="str">
            <v>4260300000</v>
          </cell>
          <cell r="E2008" t="str">
            <v>4260300000</v>
          </cell>
          <cell r="F2008" t="str">
            <v>Otros Seguros</v>
          </cell>
          <cell r="G2008" t="str">
            <v>4260300000  Otros Seguros</v>
          </cell>
          <cell r="H2008" t="str">
            <v>Est. Resultado</v>
          </cell>
          <cell r="I2008" t="str">
            <v>Resultado</v>
          </cell>
          <cell r="J2008" t="str">
            <v>7. Gastos de Administración</v>
          </cell>
          <cell r="K2008" t="str">
            <v>7. Fletes y Seguros</v>
          </cell>
          <cell r="L2008" t="str">
            <v>EBITDA</v>
          </cell>
          <cell r="N2008" t="str">
            <v>GANANCIAS (PERDIDAS) ANTES DE IMPUESTOS</v>
          </cell>
          <cell r="O2008" t="str">
            <v>GANANCIA (PÉRDIDA) NETA</v>
          </cell>
          <cell r="P2008" t="str">
            <v>Resultado Ingresos y Gastos Integrales</v>
          </cell>
          <cell r="Q2008" t="str">
            <v>I. Ganancia (pérdida), antes de impuestos</v>
          </cell>
          <cell r="R2008" t="str">
            <v>b. Ganancia (pérdida)</v>
          </cell>
          <cell r="S2008" t="str">
            <v>5. Gasto de administración</v>
          </cell>
          <cell r="T2008" t="str">
            <v>11. Fletes y Seguros</v>
          </cell>
          <cell r="V2008" t="str">
            <v>II. Gastos</v>
          </cell>
          <cell r="W2008" t="str">
            <v>23. Bienes y Servicios para Producción</v>
          </cell>
          <cell r="Z2008" t="str">
            <v>III. Gastos de Administración</v>
          </cell>
          <cell r="AA2008" t="str">
            <v>5. Fletes y Seguros</v>
          </cell>
          <cell r="AC2008" t="str">
            <v>III. Gasto Administración</v>
          </cell>
          <cell r="AD2008" t="str">
            <v>2. Bienes y servicios Adm.</v>
          </cell>
          <cell r="AE2008" t="str">
            <v>5. Fletes y Seguros</v>
          </cell>
          <cell r="AG2008" t="str">
            <v xml:space="preserve"> </v>
          </cell>
          <cell r="AH2008" t="str">
            <v>6. Partidas significativas de gastos</v>
          </cell>
        </row>
        <row r="2009">
          <cell r="D2009" t="str">
            <v>4260500000</v>
          </cell>
          <cell r="E2009" t="str">
            <v>4260500000</v>
          </cell>
          <cell r="F2009" t="str">
            <v>Indem Perjuicios Pax</v>
          </cell>
          <cell r="G2009" t="str">
            <v>4260500000  Indem Perjuicios Pax</v>
          </cell>
          <cell r="H2009" t="str">
            <v>Est. Resultado</v>
          </cell>
          <cell r="I2009" t="str">
            <v>Resultado</v>
          </cell>
          <cell r="J2009" t="str">
            <v>7. Gastos de Administración</v>
          </cell>
          <cell r="K2009" t="str">
            <v>7. Fletes y Seguros</v>
          </cell>
          <cell r="L2009" t="str">
            <v>EBITDA</v>
          </cell>
          <cell r="N2009" t="str">
            <v>GANANCIAS (PERDIDAS) ANTES DE IMPUESTOS</v>
          </cell>
          <cell r="O2009" t="str">
            <v>GANANCIA (PÉRDIDA) NETA</v>
          </cell>
          <cell r="P2009" t="str">
            <v>Resultado Ingresos y Gastos Integrales</v>
          </cell>
          <cell r="Q2009" t="str">
            <v>I. Ganancia (pérdida), antes de impuestos</v>
          </cell>
          <cell r="R2009" t="str">
            <v>b. Ganancia (pérdida)</v>
          </cell>
          <cell r="S2009" t="str">
            <v>5. Gasto de administración</v>
          </cell>
          <cell r="T2009" t="str">
            <v>11. Fletes y Seguros</v>
          </cell>
          <cell r="V2009" t="str">
            <v>II. Gastos</v>
          </cell>
          <cell r="W2009" t="str">
            <v>23. Bienes y Servicios para Producción</v>
          </cell>
          <cell r="Z2009" t="str">
            <v>III. Gastos de Administración</v>
          </cell>
          <cell r="AA2009" t="str">
            <v>5. Fletes y Seguros</v>
          </cell>
          <cell r="AC2009" t="str">
            <v>III. Gasto Administración</v>
          </cell>
          <cell r="AD2009" t="str">
            <v>2. Bienes y servicios Adm.</v>
          </cell>
          <cell r="AE2009" t="str">
            <v>5. Fletes y Seguros</v>
          </cell>
          <cell r="AG2009" t="str">
            <v xml:space="preserve"> </v>
          </cell>
          <cell r="AH2009" t="str">
            <v>6. Partidas significativas de gastos</v>
          </cell>
        </row>
        <row r="2010">
          <cell r="D2010" t="str">
            <v>4260600000</v>
          </cell>
          <cell r="E2010" t="str">
            <v>4260600000</v>
          </cell>
          <cell r="F2010" t="str">
            <v>Gasto por Flete</v>
          </cell>
          <cell r="G2010" t="str">
            <v>4260600000  Gasto por Flete</v>
          </cell>
          <cell r="H2010" t="str">
            <v>Est. Resultado</v>
          </cell>
          <cell r="I2010" t="str">
            <v>Resultado</v>
          </cell>
          <cell r="J2010" t="str">
            <v>7. Gastos de Administración</v>
          </cell>
          <cell r="K2010" t="str">
            <v>7. Fletes y Seguros</v>
          </cell>
          <cell r="L2010" t="str">
            <v>EBITDA</v>
          </cell>
          <cell r="N2010" t="str">
            <v>GANANCIAS (PERDIDAS) ANTES DE IMPUESTOS</v>
          </cell>
          <cell r="O2010" t="str">
            <v>GANANCIA (PÉRDIDA) NETA</v>
          </cell>
          <cell r="P2010" t="str">
            <v>Resultado Ingresos y Gastos Integrales</v>
          </cell>
          <cell r="Q2010" t="str">
            <v>I. Ganancia (pérdida), antes de impuestos</v>
          </cell>
          <cell r="R2010" t="str">
            <v>b. Ganancia (pérdida)</v>
          </cell>
          <cell r="S2010" t="str">
            <v>5. Gasto de administración</v>
          </cell>
          <cell r="T2010" t="str">
            <v>11. Fletes y Seguros</v>
          </cell>
          <cell r="V2010" t="str">
            <v>II. Gastos</v>
          </cell>
          <cell r="W2010" t="str">
            <v>23. Bienes y Servicios para Producción</v>
          </cell>
          <cell r="Z2010" t="str">
            <v>III. Gastos de Administración</v>
          </cell>
          <cell r="AA2010" t="str">
            <v>5. Fletes y Seguros</v>
          </cell>
          <cell r="AC2010" t="str">
            <v>III. Gasto Administración</v>
          </cell>
          <cell r="AD2010" t="str">
            <v>2. Bienes y servicios Adm.</v>
          </cell>
          <cell r="AE2010" t="str">
            <v>5. Fletes y Seguros</v>
          </cell>
          <cell r="AG2010" t="str">
            <v xml:space="preserve"> </v>
          </cell>
          <cell r="AH2010" t="str">
            <v>6. Partidas significativas de gastos</v>
          </cell>
        </row>
        <row r="2011">
          <cell r="D2011">
            <v>0</v>
          </cell>
          <cell r="G2011" t="str">
            <v/>
          </cell>
          <cell r="H2011" t="str">
            <v>Est. Resultado</v>
          </cell>
          <cell r="I2011" t="str">
            <v>Resultado</v>
          </cell>
          <cell r="J2011" t="str">
            <v>7. Gastos de Administración</v>
          </cell>
          <cell r="K2011" t="str">
            <v>7. Fletes y Seguros</v>
          </cell>
          <cell r="L2011" t="str">
            <v>EBITDA</v>
          </cell>
          <cell r="N2011" t="str">
            <v>GANANCIAS (PERDIDAS) ANTES DE IMPUESTOS</v>
          </cell>
          <cell r="O2011" t="str">
            <v>GANANCIA (PÉRDIDA) NETA</v>
          </cell>
          <cell r="P2011" t="str">
            <v>Resultado Ingresos y Gastos Integrales</v>
          </cell>
          <cell r="Q2011" t="str">
            <v>I. Ganancia (pérdida), antes de impuestos</v>
          </cell>
          <cell r="R2011" t="str">
            <v>b. Ganancia (pérdida)</v>
          </cell>
          <cell r="S2011" t="str">
            <v>5. Gasto de administración</v>
          </cell>
          <cell r="T2011" t="str">
            <v>11. Fletes y Seguros</v>
          </cell>
          <cell r="V2011" t="str">
            <v>II. Gastos</v>
          </cell>
          <cell r="W2011" t="str">
            <v>23. Bienes y Servicios para Producción</v>
          </cell>
          <cell r="Z2011" t="str">
            <v>III. Gastos de Administración</v>
          </cell>
          <cell r="AA2011" t="str">
            <v>5. Fletes y Seguros</v>
          </cell>
          <cell r="AC2011" t="str">
            <v>III. Gasto Administración</v>
          </cell>
          <cell r="AD2011" t="str">
            <v>2. Bienes y servicios Adm.</v>
          </cell>
          <cell r="AE2011" t="str">
            <v>5. Fletes y Seguros</v>
          </cell>
          <cell r="AG2011" t="str">
            <v xml:space="preserve"> </v>
          </cell>
          <cell r="AH2011" t="str">
            <v>6. Partidas significativas de gastos</v>
          </cell>
        </row>
        <row r="2012">
          <cell r="D2012">
            <v>0</v>
          </cell>
          <cell r="G2012" t="str">
            <v/>
          </cell>
          <cell r="H2012" t="str">
            <v>Est. Resultado</v>
          </cell>
          <cell r="I2012" t="str">
            <v>Resultado</v>
          </cell>
          <cell r="J2012" t="str">
            <v>7. Gastos de Administración</v>
          </cell>
          <cell r="K2012" t="str">
            <v>7. Fletes y Seguros</v>
          </cell>
          <cell r="L2012" t="str">
            <v>EBITDA</v>
          </cell>
          <cell r="N2012" t="str">
            <v>GANANCIAS (PERDIDAS) ANTES DE IMPUESTOS</v>
          </cell>
          <cell r="O2012" t="str">
            <v>GANANCIA (PÉRDIDA) NETA</v>
          </cell>
          <cell r="P2012" t="str">
            <v>Resultado Ingresos y Gastos Integrales</v>
          </cell>
          <cell r="Q2012" t="str">
            <v>I. Ganancia (pérdida), antes de impuestos</v>
          </cell>
          <cell r="R2012" t="str">
            <v>b. Ganancia (pérdida)</v>
          </cell>
          <cell r="S2012" t="str">
            <v>5. Gasto de administración</v>
          </cell>
          <cell r="T2012" t="str">
            <v>11. Fletes y Seguros</v>
          </cell>
          <cell r="V2012" t="str">
            <v>II. Gastos</v>
          </cell>
          <cell r="W2012" t="str">
            <v>23. Bienes y Servicios para Producción</v>
          </cell>
          <cell r="Z2012" t="str">
            <v>III. Gastos de Administración</v>
          </cell>
          <cell r="AA2012" t="str">
            <v>5. Fletes y Seguros</v>
          </cell>
          <cell r="AC2012" t="str">
            <v>III. Gasto Administración</v>
          </cell>
          <cell r="AD2012" t="str">
            <v>2. Bienes y servicios Adm.</v>
          </cell>
          <cell r="AE2012" t="str">
            <v>5. Fletes y Seguros</v>
          </cell>
          <cell r="AG2012" t="str">
            <v xml:space="preserve"> </v>
          </cell>
          <cell r="AH2012" t="str">
            <v>6. Partidas significativas de gastos</v>
          </cell>
        </row>
        <row r="2013">
          <cell r="D2013">
            <v>0</v>
          </cell>
          <cell r="G2013" t="str">
            <v/>
          </cell>
          <cell r="H2013" t="str">
            <v>Est. Resultado</v>
          </cell>
          <cell r="I2013" t="str">
            <v>Resultado</v>
          </cell>
          <cell r="J2013" t="str">
            <v>7. Gastos de Administración</v>
          </cell>
          <cell r="K2013" t="str">
            <v>7. Fletes y Seguros</v>
          </cell>
          <cell r="L2013" t="str">
            <v>EBITDA</v>
          </cell>
          <cell r="N2013" t="str">
            <v>GANANCIAS (PERDIDAS) ANTES DE IMPUESTOS</v>
          </cell>
          <cell r="O2013" t="str">
            <v>GANANCIA (PÉRDIDA) NETA</v>
          </cell>
          <cell r="P2013" t="str">
            <v>Resultado Ingresos y Gastos Integrales</v>
          </cell>
          <cell r="Q2013" t="str">
            <v>I. Ganancia (pérdida), antes de impuestos</v>
          </cell>
          <cell r="R2013" t="str">
            <v>b. Ganancia (pérdida)</v>
          </cell>
          <cell r="S2013" t="str">
            <v>5. Gasto de administración</v>
          </cell>
          <cell r="T2013" t="str">
            <v>11. Fletes y Seguros</v>
          </cell>
          <cell r="V2013" t="str">
            <v>II. Gastos</v>
          </cell>
          <cell r="W2013" t="str">
            <v>23. Bienes y Servicios para Producción</v>
          </cell>
          <cell r="Z2013" t="str">
            <v>III. Gastos de Administración</v>
          </cell>
          <cell r="AA2013" t="str">
            <v>5. Fletes y Seguros</v>
          </cell>
          <cell r="AC2013" t="str">
            <v>III. Gasto Administración</v>
          </cell>
          <cell r="AD2013" t="str">
            <v>2. Bienes y servicios Adm.</v>
          </cell>
          <cell r="AE2013" t="str">
            <v>5. Fletes y Seguros</v>
          </cell>
          <cell r="AG2013" t="str">
            <v xml:space="preserve"> </v>
          </cell>
          <cell r="AH2013" t="str">
            <v>6. Partidas significativas de gastos</v>
          </cell>
        </row>
        <row r="2014">
          <cell r="D2014" t="str">
            <v>Fletes y Seguros</v>
          </cell>
          <cell r="E2014" t="str">
            <v>Fletes y Seguros</v>
          </cell>
          <cell r="G2014" t="str">
            <v xml:space="preserve">Fletes y Seguros  </v>
          </cell>
          <cell r="H2014" t="str">
            <v/>
          </cell>
          <cell r="I2014" t="str">
            <v/>
          </cell>
          <cell r="J2014" t="str">
            <v/>
          </cell>
          <cell r="L2014" t="str">
            <v/>
          </cell>
          <cell r="N2014" t="str">
            <v/>
          </cell>
          <cell r="O2014" t="str">
            <v/>
          </cell>
          <cell r="P2014" t="str">
            <v/>
          </cell>
        </row>
        <row r="2015">
          <cell r="D2015" t="str">
            <v>4270100000</v>
          </cell>
          <cell r="E2015" t="str">
            <v>4270100000</v>
          </cell>
          <cell r="F2015" t="str">
            <v>Sistema Venta y Reserva Pasaje</v>
          </cell>
          <cell r="G2015" t="str">
            <v>4270100000  Sistema Venta y Reserva Pasaje</v>
          </cell>
          <cell r="H2015" t="str">
            <v>Est. Resultado</v>
          </cell>
          <cell r="I2015" t="str">
            <v>Resultado</v>
          </cell>
          <cell r="J2015" t="str">
            <v>7. Gastos de Administración</v>
          </cell>
          <cell r="K2015" t="str">
            <v>8. Informática y Comunicaciones</v>
          </cell>
          <cell r="L2015" t="str">
            <v>EBITDA</v>
          </cell>
          <cell r="N2015" t="str">
            <v>GANANCIAS (PERDIDAS) ANTES DE IMPUESTOS</v>
          </cell>
          <cell r="O2015" t="str">
            <v>GANANCIA (PÉRDIDA) NETA</v>
          </cell>
          <cell r="P2015" t="str">
            <v>Resultado Ingresos y Gastos Integrales</v>
          </cell>
          <cell r="Q2015" t="str">
            <v>I. Ganancia (pérdida), antes de impuestos</v>
          </cell>
          <cell r="R2015" t="str">
            <v>b. Ganancia (pérdida)</v>
          </cell>
          <cell r="S2015" t="str">
            <v>5. Gasto de administración</v>
          </cell>
          <cell r="T2015" t="str">
            <v>9. Informática y Comunicaciones</v>
          </cell>
          <cell r="V2015" t="str">
            <v>II. Gastos</v>
          </cell>
          <cell r="W2015" t="str">
            <v>23. Bienes y Servicios para Producción</v>
          </cell>
          <cell r="Z2015" t="str">
            <v>III. Gastos de Administración</v>
          </cell>
          <cell r="AA2015" t="str">
            <v>4. Informática y Comunicaciones</v>
          </cell>
          <cell r="AC2015" t="str">
            <v>III. Gasto Administración</v>
          </cell>
          <cell r="AD2015" t="str">
            <v>2. Bienes y servicios Adm.</v>
          </cell>
          <cell r="AE2015" t="str">
            <v>4. Informática y Comunicaciones</v>
          </cell>
          <cell r="AG2015" t="str">
            <v xml:space="preserve"> </v>
          </cell>
          <cell r="AH2015" t="str">
            <v>6. Partidas significativas de gastos</v>
          </cell>
        </row>
        <row r="2016">
          <cell r="D2016" t="str">
            <v>4270300000</v>
          </cell>
          <cell r="E2016" t="str">
            <v>4270300000</v>
          </cell>
          <cell r="F2016" t="str">
            <v>Servicio SAP</v>
          </cell>
          <cell r="G2016" t="str">
            <v>4270300000  Servicio SAP</v>
          </cell>
          <cell r="H2016" t="str">
            <v>Est. Resultado</v>
          </cell>
          <cell r="I2016" t="str">
            <v>Resultado</v>
          </cell>
          <cell r="J2016" t="str">
            <v>7. Gastos de Administración</v>
          </cell>
          <cell r="K2016" t="str">
            <v>8. Informática y Comunicaciones</v>
          </cell>
          <cell r="L2016" t="str">
            <v>EBITDA</v>
          </cell>
          <cell r="N2016" t="str">
            <v>GANANCIAS (PERDIDAS) ANTES DE IMPUESTOS</v>
          </cell>
          <cell r="O2016" t="str">
            <v>GANANCIA (PÉRDIDA) NETA</v>
          </cell>
          <cell r="P2016" t="str">
            <v>Resultado Ingresos y Gastos Integrales</v>
          </cell>
          <cell r="Q2016" t="str">
            <v>I. Ganancia (pérdida), antes de impuestos</v>
          </cell>
          <cell r="R2016" t="str">
            <v>b. Ganancia (pérdida)</v>
          </cell>
          <cell r="S2016" t="str">
            <v>5. Gasto de administración</v>
          </cell>
          <cell r="T2016" t="str">
            <v>9. Informática y Comunicaciones</v>
          </cell>
          <cell r="V2016" t="str">
            <v>II. Gastos</v>
          </cell>
          <cell r="W2016" t="str">
            <v>23. Bienes y Servicios para Producción</v>
          </cell>
          <cell r="Z2016" t="str">
            <v>III. Gastos de Administración</v>
          </cell>
          <cell r="AA2016" t="str">
            <v>4. Informática y Comunicaciones</v>
          </cell>
          <cell r="AC2016" t="str">
            <v>III. Gasto Administración</v>
          </cell>
          <cell r="AD2016" t="str">
            <v>2. Bienes y servicios Adm.</v>
          </cell>
          <cell r="AE2016" t="str">
            <v>4. Informática y Comunicaciones</v>
          </cell>
          <cell r="AG2016" t="str">
            <v xml:space="preserve"> </v>
          </cell>
          <cell r="AH2016" t="str">
            <v>6. Partidas significativas de gastos</v>
          </cell>
        </row>
        <row r="2017">
          <cell r="D2017" t="str">
            <v>4270400000</v>
          </cell>
          <cell r="E2017" t="str">
            <v>4270400000</v>
          </cell>
          <cell r="F2017" t="str">
            <v>Pagina WEB</v>
          </cell>
          <cell r="G2017" t="str">
            <v>4270400000  Pagina WEB</v>
          </cell>
          <cell r="H2017" t="str">
            <v>Est. Resultado</v>
          </cell>
          <cell r="I2017" t="str">
            <v>Resultado</v>
          </cell>
          <cell r="J2017" t="str">
            <v>7. Gastos de Administración</v>
          </cell>
          <cell r="K2017" t="str">
            <v>8. Informática y Comunicaciones</v>
          </cell>
          <cell r="L2017" t="str">
            <v>EBITDA</v>
          </cell>
          <cell r="N2017" t="str">
            <v>GANANCIAS (PERDIDAS) ANTES DE IMPUESTOS</v>
          </cell>
          <cell r="O2017" t="str">
            <v>GANANCIA (PÉRDIDA) NETA</v>
          </cell>
          <cell r="P2017" t="str">
            <v>Resultado Ingresos y Gastos Integrales</v>
          </cell>
          <cell r="Q2017" t="str">
            <v>I. Ganancia (pérdida), antes de impuestos</v>
          </cell>
          <cell r="R2017" t="str">
            <v>b. Ganancia (pérdida)</v>
          </cell>
          <cell r="S2017" t="str">
            <v>5. Gasto de administración</v>
          </cell>
          <cell r="T2017" t="str">
            <v>9. Informática y Comunicaciones</v>
          </cell>
          <cell r="V2017" t="str">
            <v>II. Gastos</v>
          </cell>
          <cell r="W2017" t="str">
            <v>23. Bienes y Servicios para Producción</v>
          </cell>
          <cell r="Z2017" t="str">
            <v>III. Gastos de Administración</v>
          </cell>
          <cell r="AA2017" t="str">
            <v>4. Informática y Comunicaciones</v>
          </cell>
          <cell r="AC2017" t="str">
            <v>III. Gasto Administración</v>
          </cell>
          <cell r="AD2017" t="str">
            <v>2. Bienes y servicios Adm.</v>
          </cell>
          <cell r="AE2017" t="str">
            <v>4. Informática y Comunicaciones</v>
          </cell>
          <cell r="AG2017" t="str">
            <v xml:space="preserve"> </v>
          </cell>
          <cell r="AH2017" t="str">
            <v>6. Partidas significativas de gastos</v>
          </cell>
        </row>
        <row r="2018">
          <cell r="D2018" t="str">
            <v>4270400001</v>
          </cell>
          <cell r="E2018" t="str">
            <v>4270400001</v>
          </cell>
          <cell r="F2018" t="str">
            <v>Pagina WEB Unidad Negocio</v>
          </cell>
          <cell r="G2018" t="str">
            <v>4270400001  Pagina WEB Unidad Negocio</v>
          </cell>
          <cell r="H2018" t="str">
            <v>Est. Resultado</v>
          </cell>
          <cell r="I2018" t="str">
            <v>Resultado</v>
          </cell>
          <cell r="J2018" t="str">
            <v>7. Gastos de Administración</v>
          </cell>
          <cell r="K2018" t="str">
            <v>8. Informática y Comunicaciones</v>
          </cell>
          <cell r="L2018" t="str">
            <v>EBITDA</v>
          </cell>
          <cell r="N2018" t="str">
            <v>GANANCIAS (PERDIDAS) ANTES DE IMPUESTOS</v>
          </cell>
          <cell r="O2018" t="str">
            <v>GANANCIA (PÉRDIDA) NETA</v>
          </cell>
          <cell r="P2018" t="str">
            <v>Resultado Ingresos y Gastos Integrales</v>
          </cell>
          <cell r="Q2018" t="str">
            <v>I. Ganancia (pérdida), antes de impuestos</v>
          </cell>
          <cell r="R2018" t="str">
            <v>b. Ganancia (pérdida)</v>
          </cell>
          <cell r="S2018" t="str">
            <v>5. Gasto de administración</v>
          </cell>
          <cell r="T2018" t="str">
            <v>9. Informática y Comunicaciones</v>
          </cell>
          <cell r="V2018" t="str">
            <v>II. Gastos</v>
          </cell>
          <cell r="W2018" t="str">
            <v>23. Bienes y Servicios para Producción</v>
          </cell>
          <cell r="Z2018" t="str">
            <v>III. Gastos de Administración</v>
          </cell>
          <cell r="AA2018" t="str">
            <v>4. Informática y Comunicaciones</v>
          </cell>
          <cell r="AC2018" t="str">
            <v>III. Gasto Administración</v>
          </cell>
          <cell r="AD2018" t="str">
            <v>2. Bienes y servicios Adm.</v>
          </cell>
          <cell r="AE2018" t="str">
            <v>4. Informática y Comunicaciones</v>
          </cell>
          <cell r="AG2018" t="str">
            <v xml:space="preserve"> </v>
          </cell>
          <cell r="AH2018" t="str">
            <v>6. Partidas significativas de gastos</v>
          </cell>
        </row>
        <row r="2019">
          <cell r="D2019" t="str">
            <v>4270600000</v>
          </cell>
          <cell r="E2019" t="str">
            <v>4270600000</v>
          </cell>
          <cell r="F2019" t="str">
            <v>Mant Equip Comunic</v>
          </cell>
          <cell r="G2019" t="str">
            <v>4270600000  Mant Equip Comunic</v>
          </cell>
          <cell r="H2019" t="str">
            <v>Est. Resultado</v>
          </cell>
          <cell r="I2019" t="str">
            <v>Resultado</v>
          </cell>
          <cell r="J2019" t="str">
            <v>7. Gastos de Administración</v>
          </cell>
          <cell r="K2019" t="str">
            <v>8. Informática y Comunicaciones</v>
          </cell>
          <cell r="L2019" t="str">
            <v>EBITDA</v>
          </cell>
          <cell r="N2019" t="str">
            <v>GANANCIAS (PERDIDAS) ANTES DE IMPUESTOS</v>
          </cell>
          <cell r="O2019" t="str">
            <v>GANANCIA (PÉRDIDA) NETA</v>
          </cell>
          <cell r="P2019" t="str">
            <v>Resultado Ingresos y Gastos Integrales</v>
          </cell>
          <cell r="Q2019" t="str">
            <v>I. Ganancia (pérdida), antes de impuestos</v>
          </cell>
          <cell r="R2019" t="str">
            <v>b. Ganancia (pérdida)</v>
          </cell>
          <cell r="S2019" t="str">
            <v>5. Gasto de administración</v>
          </cell>
          <cell r="T2019" t="str">
            <v>9. Informática y Comunicaciones</v>
          </cell>
          <cell r="V2019" t="str">
            <v>II. Gastos</v>
          </cell>
          <cell r="W2019" t="str">
            <v>23. Bienes y Servicios para Producción</v>
          </cell>
          <cell r="Z2019" t="str">
            <v>III. Gastos de Administración</v>
          </cell>
          <cell r="AA2019" t="str">
            <v>4. Informática y Comunicaciones</v>
          </cell>
          <cell r="AC2019" t="str">
            <v>III. Gasto Administración</v>
          </cell>
          <cell r="AD2019" t="str">
            <v>2. Bienes y servicios Adm.</v>
          </cell>
          <cell r="AE2019" t="str">
            <v>4. Informática y Comunicaciones</v>
          </cell>
          <cell r="AG2019" t="str">
            <v xml:space="preserve"> </v>
          </cell>
          <cell r="AH2019" t="str">
            <v>6. Partidas significativas de gastos</v>
          </cell>
        </row>
        <row r="2020">
          <cell r="D2020" t="str">
            <v>4270700000</v>
          </cell>
          <cell r="E2020" t="str">
            <v>4270700000</v>
          </cell>
          <cell r="F2020" t="str">
            <v>Red Comunicacion</v>
          </cell>
          <cell r="G2020" t="str">
            <v>4270700000  Red Comunicacion</v>
          </cell>
          <cell r="H2020" t="str">
            <v>Est. Resultado</v>
          </cell>
          <cell r="I2020" t="str">
            <v>Resultado</v>
          </cell>
          <cell r="J2020" t="str">
            <v>7. Gastos de Administración</v>
          </cell>
          <cell r="K2020" t="str">
            <v>8. Informática y Comunicaciones</v>
          </cell>
          <cell r="L2020" t="str">
            <v>EBITDA</v>
          </cell>
          <cell r="N2020" t="str">
            <v>GANANCIAS (PERDIDAS) ANTES DE IMPUESTOS</v>
          </cell>
          <cell r="O2020" t="str">
            <v>GANANCIA (PÉRDIDA) NETA</v>
          </cell>
          <cell r="P2020" t="str">
            <v>Resultado Ingresos y Gastos Integrales</v>
          </cell>
          <cell r="Q2020" t="str">
            <v>I. Ganancia (pérdida), antes de impuestos</v>
          </cell>
          <cell r="R2020" t="str">
            <v>b. Ganancia (pérdida)</v>
          </cell>
          <cell r="S2020" t="str">
            <v>5. Gasto de administración</v>
          </cell>
          <cell r="T2020" t="str">
            <v>9. Informática y Comunicaciones</v>
          </cell>
          <cell r="V2020" t="str">
            <v>II. Gastos</v>
          </cell>
          <cell r="W2020" t="str">
            <v>23. Bienes y Servicios para Producción</v>
          </cell>
          <cell r="Z2020" t="str">
            <v>III. Gastos de Administración</v>
          </cell>
          <cell r="AA2020" t="str">
            <v>4. Informática y Comunicaciones</v>
          </cell>
          <cell r="AC2020" t="str">
            <v>III. Gasto Administración</v>
          </cell>
          <cell r="AD2020" t="str">
            <v>2. Bienes y servicios Adm.</v>
          </cell>
          <cell r="AE2020" t="str">
            <v>4. Informática y Comunicaciones</v>
          </cell>
          <cell r="AG2020" t="str">
            <v xml:space="preserve"> </v>
          </cell>
          <cell r="AH2020" t="str">
            <v>6. Partidas significativas de gastos</v>
          </cell>
        </row>
        <row r="2021">
          <cell r="D2021" t="str">
            <v>4270800000</v>
          </cell>
          <cell r="E2021" t="str">
            <v>4270800000</v>
          </cell>
          <cell r="F2021" t="str">
            <v>Suministro Computacional</v>
          </cell>
          <cell r="G2021" t="str">
            <v>4270800000  Suministro Computacional</v>
          </cell>
          <cell r="H2021" t="str">
            <v>Est. Resultado</v>
          </cell>
          <cell r="I2021" t="str">
            <v>Resultado</v>
          </cell>
          <cell r="J2021" t="str">
            <v>7. Gastos de Administración</v>
          </cell>
          <cell r="K2021" t="str">
            <v>8. Informática y Comunicaciones</v>
          </cell>
          <cell r="L2021" t="str">
            <v>EBITDA</v>
          </cell>
          <cell r="N2021" t="str">
            <v>GANANCIAS (PERDIDAS) ANTES DE IMPUESTOS</v>
          </cell>
          <cell r="O2021" t="str">
            <v>GANANCIA (PÉRDIDA) NETA</v>
          </cell>
          <cell r="P2021" t="str">
            <v>Resultado Ingresos y Gastos Integrales</v>
          </cell>
          <cell r="Q2021" t="str">
            <v>I. Ganancia (pérdida), antes de impuestos</v>
          </cell>
          <cell r="R2021" t="str">
            <v>b. Ganancia (pérdida)</v>
          </cell>
          <cell r="S2021" t="str">
            <v>5. Gasto de administración</v>
          </cell>
          <cell r="T2021" t="str">
            <v>9. Informática y Comunicaciones</v>
          </cell>
          <cell r="V2021" t="str">
            <v>II. Gastos</v>
          </cell>
          <cell r="W2021" t="str">
            <v>23. Bienes y Servicios para Producción</v>
          </cell>
          <cell r="Z2021" t="str">
            <v>III. Gastos de Administración</v>
          </cell>
          <cell r="AA2021" t="str">
            <v>4. Informática y Comunicaciones</v>
          </cell>
          <cell r="AC2021" t="str">
            <v>III. Gasto Administración</v>
          </cell>
          <cell r="AD2021" t="str">
            <v>2. Bienes y servicios Adm.</v>
          </cell>
          <cell r="AE2021" t="str">
            <v>4. Informática y Comunicaciones</v>
          </cell>
          <cell r="AG2021" t="str">
            <v xml:space="preserve"> </v>
          </cell>
          <cell r="AH2021" t="str">
            <v>6. Partidas significativas de gastos</v>
          </cell>
        </row>
        <row r="2022">
          <cell r="D2022" t="str">
            <v>4280980000</v>
          </cell>
          <cell r="E2022" t="str">
            <v>4280980000</v>
          </cell>
          <cell r="F2022" t="str">
            <v>Arriendo Central Telefonica</v>
          </cell>
          <cell r="G2022" t="str">
            <v>4280980000  Arriendo Central Telefonica</v>
          </cell>
          <cell r="H2022" t="str">
            <v>Est. Resultado</v>
          </cell>
          <cell r="I2022" t="str">
            <v>Resultado</v>
          </cell>
          <cell r="J2022" t="str">
            <v>7. Gastos de Administración</v>
          </cell>
          <cell r="K2022" t="str">
            <v>8. Informática y Comunicaciones</v>
          </cell>
          <cell r="L2022" t="str">
            <v>EBITDA</v>
          </cell>
          <cell r="N2022" t="str">
            <v>GANANCIAS (PERDIDAS) ANTES DE IMPUESTOS</v>
          </cell>
          <cell r="O2022" t="str">
            <v>GANANCIA (PÉRDIDA) NETA</v>
          </cell>
          <cell r="P2022" t="str">
            <v>Resultado Ingresos y Gastos Integrales</v>
          </cell>
          <cell r="Q2022" t="str">
            <v>I. Ganancia (pérdida), antes de impuestos</v>
          </cell>
          <cell r="R2022" t="str">
            <v>b. Ganancia (pérdida)</v>
          </cell>
          <cell r="S2022" t="str">
            <v>5. Gasto de administración</v>
          </cell>
          <cell r="T2022" t="str">
            <v>9. Informática y Comunicaciones</v>
          </cell>
          <cell r="V2022" t="str">
            <v>II. Gastos</v>
          </cell>
          <cell r="W2022" t="str">
            <v>23. Bienes y Servicios para Producción</v>
          </cell>
          <cell r="Z2022" t="str">
            <v>III. Gastos de Administración</v>
          </cell>
          <cell r="AA2022" t="str">
            <v>4. Informática y Comunicaciones</v>
          </cell>
          <cell r="AC2022" t="str">
            <v>III. Gasto Administración</v>
          </cell>
          <cell r="AD2022" t="str">
            <v>2. Bienes y servicios Adm.</v>
          </cell>
          <cell r="AE2022" t="str">
            <v>4. Informática y Comunicaciones</v>
          </cell>
          <cell r="AG2022" t="str">
            <v xml:space="preserve"> </v>
          </cell>
          <cell r="AH2022" t="str">
            <v>6. Partidas significativas de gastos</v>
          </cell>
        </row>
        <row r="2023">
          <cell r="D2023" t="str">
            <v>4270200000</v>
          </cell>
          <cell r="E2023" t="str">
            <v>4270200000</v>
          </cell>
          <cell r="F2023" t="str">
            <v>Mant Sistemas Comerciales</v>
          </cell>
          <cell r="G2023" t="str">
            <v>4270200000  Mant Sistemas Comerciales</v>
          </cell>
          <cell r="H2023" t="str">
            <v>Est. Resultado</v>
          </cell>
          <cell r="I2023" t="str">
            <v>Resultado</v>
          </cell>
          <cell r="J2023" t="str">
            <v>7. Gastos de Administración</v>
          </cell>
          <cell r="K2023" t="str">
            <v>8. Informática y Comunicaciones</v>
          </cell>
          <cell r="L2023" t="str">
            <v>EBITDA</v>
          </cell>
          <cell r="N2023" t="str">
            <v>GANANCIAS (PERDIDAS) ANTES DE IMPUESTOS</v>
          </cell>
          <cell r="O2023" t="str">
            <v>GANANCIA (PÉRDIDA) NETA</v>
          </cell>
          <cell r="P2023" t="str">
            <v>Resultado Ingresos y Gastos Integrales</v>
          </cell>
          <cell r="Q2023" t="str">
            <v>I. Ganancia (pérdida), antes de impuestos</v>
          </cell>
          <cell r="R2023" t="str">
            <v>b. Ganancia (pérdida)</v>
          </cell>
          <cell r="S2023" t="str">
            <v>5. Gasto de administración</v>
          </cell>
          <cell r="T2023" t="str">
            <v>9. Informática y Comunicaciones</v>
          </cell>
          <cell r="V2023" t="str">
            <v>II. Gastos</v>
          </cell>
          <cell r="W2023" t="str">
            <v>23. Bienes y Servicios para Producción</v>
          </cell>
          <cell r="Z2023" t="str">
            <v>III. Gastos de Administración</v>
          </cell>
          <cell r="AA2023" t="str">
            <v>4. Informática y Comunicaciones</v>
          </cell>
          <cell r="AC2023" t="str">
            <v>III. Gasto Administración</v>
          </cell>
          <cell r="AD2023" t="str">
            <v>2. Bienes y servicios Adm.</v>
          </cell>
          <cell r="AE2023" t="str">
            <v>4. Informática y Comunicaciones</v>
          </cell>
          <cell r="AH2023" t="str">
            <v>6. Partidas significativas de gastos</v>
          </cell>
        </row>
        <row r="2024">
          <cell r="D2024">
            <v>0</v>
          </cell>
          <cell r="G2024" t="str">
            <v/>
          </cell>
          <cell r="H2024" t="str">
            <v>Est. Resultado</v>
          </cell>
          <cell r="I2024" t="str">
            <v>Resultado</v>
          </cell>
          <cell r="J2024" t="str">
            <v>7. Gastos de Administración</v>
          </cell>
          <cell r="K2024" t="str">
            <v>8. Informática y Comunicaciones</v>
          </cell>
          <cell r="L2024" t="str">
            <v>EBITDA</v>
          </cell>
          <cell r="N2024" t="str">
            <v>GANANCIAS (PERDIDAS) ANTES DE IMPUESTOS</v>
          </cell>
          <cell r="O2024" t="str">
            <v>GANANCIA (PÉRDIDA) NETA</v>
          </cell>
          <cell r="P2024" t="str">
            <v>Resultado Ingresos y Gastos Integrales</v>
          </cell>
          <cell r="Q2024" t="str">
            <v>I. Ganancia (pérdida), antes de impuestos</v>
          </cell>
          <cell r="R2024" t="str">
            <v>b. Ganancia (pérdida)</v>
          </cell>
          <cell r="S2024" t="str">
            <v>5. Gasto de administración</v>
          </cell>
          <cell r="T2024" t="str">
            <v>9. Informática y Comunicaciones</v>
          </cell>
          <cell r="V2024" t="str">
            <v>II. Gastos</v>
          </cell>
          <cell r="W2024" t="str">
            <v>23. Bienes y Servicios para Producción</v>
          </cell>
          <cell r="Z2024" t="str">
            <v>III. Gastos de Administración</v>
          </cell>
          <cell r="AA2024" t="str">
            <v>4. Informática y Comunicaciones</v>
          </cell>
          <cell r="AC2024" t="str">
            <v>III. Gasto Administración</v>
          </cell>
          <cell r="AD2024" t="str">
            <v>2. Bienes y servicios Adm.</v>
          </cell>
          <cell r="AE2024" t="str">
            <v>4. Informática y Comunicaciones</v>
          </cell>
          <cell r="AG2024" t="str">
            <v xml:space="preserve"> </v>
          </cell>
          <cell r="AH2024" t="str">
            <v>6. Partidas significativas de gastos</v>
          </cell>
        </row>
        <row r="2025">
          <cell r="D2025">
            <v>0</v>
          </cell>
          <cell r="G2025" t="str">
            <v/>
          </cell>
          <cell r="H2025" t="str">
            <v>Est. Resultado</v>
          </cell>
          <cell r="I2025" t="str">
            <v>Resultado</v>
          </cell>
          <cell r="J2025" t="str">
            <v>7. Gastos de Administración</v>
          </cell>
          <cell r="K2025" t="str">
            <v>8. Informática y Comunicaciones</v>
          </cell>
          <cell r="L2025" t="str">
            <v>EBITDA</v>
          </cell>
          <cell r="N2025" t="str">
            <v>GANANCIAS (PERDIDAS) ANTES DE IMPUESTOS</v>
          </cell>
          <cell r="O2025" t="str">
            <v>GANANCIA (PÉRDIDA) NETA</v>
          </cell>
          <cell r="P2025" t="str">
            <v>Resultado Ingresos y Gastos Integrales</v>
          </cell>
          <cell r="Q2025" t="str">
            <v>I. Ganancia (pérdida), antes de impuestos</v>
          </cell>
          <cell r="R2025" t="str">
            <v>b. Ganancia (pérdida)</v>
          </cell>
          <cell r="S2025" t="str">
            <v>5. Gasto de administración</v>
          </cell>
          <cell r="T2025" t="str">
            <v>9. Informática y Comunicaciones</v>
          </cell>
          <cell r="V2025" t="str">
            <v>II. Gastos</v>
          </cell>
          <cell r="W2025" t="str">
            <v>23. Bienes y Servicios para Producción</v>
          </cell>
          <cell r="Z2025" t="str">
            <v>III. Gastos de Administración</v>
          </cell>
          <cell r="AA2025" t="str">
            <v>4. Informática y Comunicaciones</v>
          </cell>
          <cell r="AC2025" t="str">
            <v>III. Gasto Administración</v>
          </cell>
          <cell r="AD2025" t="str">
            <v>2. Bienes y servicios Adm.</v>
          </cell>
          <cell r="AE2025" t="str">
            <v>4. Informática y Comunicaciones</v>
          </cell>
          <cell r="AG2025" t="str">
            <v xml:space="preserve"> </v>
          </cell>
          <cell r="AH2025" t="str">
            <v>6. Partidas significativas de gastos</v>
          </cell>
        </row>
        <row r="2026">
          <cell r="D2026">
            <v>0</v>
          </cell>
          <cell r="G2026" t="str">
            <v/>
          </cell>
          <cell r="H2026" t="str">
            <v>Est. Resultado</v>
          </cell>
          <cell r="I2026" t="str">
            <v>Resultado</v>
          </cell>
          <cell r="J2026" t="str">
            <v>7. Gastos de Administración</v>
          </cell>
          <cell r="K2026" t="str">
            <v>8. Informática y Comunicaciones</v>
          </cell>
          <cell r="L2026" t="str">
            <v>EBITDA</v>
          </cell>
          <cell r="N2026" t="str">
            <v>GANANCIAS (PERDIDAS) ANTES DE IMPUESTOS</v>
          </cell>
          <cell r="O2026" t="str">
            <v>GANANCIA (PÉRDIDA) NETA</v>
          </cell>
          <cell r="P2026" t="str">
            <v>Resultado Ingresos y Gastos Integrales</v>
          </cell>
          <cell r="Q2026" t="str">
            <v>I. Ganancia (pérdida), antes de impuestos</v>
          </cell>
          <cell r="R2026" t="str">
            <v>b. Ganancia (pérdida)</v>
          </cell>
          <cell r="S2026" t="str">
            <v>5. Gasto de administración</v>
          </cell>
          <cell r="T2026" t="str">
            <v>9. Informática y Comunicaciones</v>
          </cell>
          <cell r="V2026" t="str">
            <v>II. Gastos</v>
          </cell>
          <cell r="W2026" t="str">
            <v>23. Bienes y Servicios para Producción</v>
          </cell>
          <cell r="Z2026" t="str">
            <v>III. Gastos de Administración</v>
          </cell>
          <cell r="AA2026" t="str">
            <v>4. Informática y Comunicaciones</v>
          </cell>
          <cell r="AC2026" t="str">
            <v>III. Gasto Administración</v>
          </cell>
          <cell r="AD2026" t="str">
            <v>2. Bienes y servicios Adm.</v>
          </cell>
          <cell r="AE2026" t="str">
            <v>4. Informática y Comunicaciones</v>
          </cell>
          <cell r="AG2026" t="str">
            <v xml:space="preserve"> </v>
          </cell>
          <cell r="AH2026" t="str">
            <v>6. Partidas significativas de gastos</v>
          </cell>
        </row>
        <row r="2027">
          <cell r="D2027" t="str">
            <v>Informatica y Comunicaciones</v>
          </cell>
          <cell r="E2027" t="str">
            <v>Informatica y Comunicaciones</v>
          </cell>
          <cell r="G2027" t="str">
            <v xml:space="preserve">Informatica y Comunicaciones  </v>
          </cell>
          <cell r="H2027" t="str">
            <v/>
          </cell>
          <cell r="I2027" t="str">
            <v/>
          </cell>
          <cell r="J2027" t="str">
            <v/>
          </cell>
          <cell r="L2027" t="str">
            <v/>
          </cell>
          <cell r="N2027" t="str">
            <v/>
          </cell>
          <cell r="O2027" t="str">
            <v/>
          </cell>
          <cell r="P2027" t="str">
            <v/>
          </cell>
        </row>
        <row r="2028">
          <cell r="D2028" t="str">
            <v>4280100000</v>
          </cell>
          <cell r="E2028" t="str">
            <v>4280100000</v>
          </cell>
          <cell r="F2028" t="str">
            <v>Articulos Oficina</v>
          </cell>
          <cell r="G2028" t="str">
            <v>4280100000  Articulos Oficina</v>
          </cell>
          <cell r="H2028" t="str">
            <v>Est. Resultado</v>
          </cell>
          <cell r="I2028" t="str">
            <v>Resultado</v>
          </cell>
          <cell r="J2028" t="str">
            <v>7. Gastos de Administración</v>
          </cell>
          <cell r="K2028" t="str">
            <v>9. Consumos Basicos</v>
          </cell>
          <cell r="L2028" t="str">
            <v>EBITDA</v>
          </cell>
          <cell r="N2028" t="str">
            <v>GANANCIAS (PERDIDAS) ANTES DE IMPUESTOS</v>
          </cell>
          <cell r="O2028" t="str">
            <v>GANANCIA (PÉRDIDA) NETA</v>
          </cell>
          <cell r="P2028" t="str">
            <v>Resultado Ingresos y Gastos Integrales</v>
          </cell>
          <cell r="Q2028" t="str">
            <v>I. Ganancia (pérdida), antes de impuestos</v>
          </cell>
          <cell r="R2028" t="str">
            <v>b. Ganancia (pérdida)</v>
          </cell>
          <cell r="S2028" t="str">
            <v>5. Gasto de administración</v>
          </cell>
          <cell r="T2028" t="str">
            <v>10. Consumos Basicos</v>
          </cell>
          <cell r="V2028" t="str">
            <v>II. Gastos</v>
          </cell>
          <cell r="W2028" t="str">
            <v>23. Bienes y Servicios para Producción</v>
          </cell>
          <cell r="Z2028" t="str">
            <v>III. Gastos de Administración</v>
          </cell>
          <cell r="AA2028" t="str">
            <v>3. Consumos Basicos</v>
          </cell>
          <cell r="AC2028" t="str">
            <v>III. Gasto Administración</v>
          </cell>
          <cell r="AD2028" t="str">
            <v>2. Bienes y servicios Adm.</v>
          </cell>
          <cell r="AE2028" t="str">
            <v>3. Consumos Basicos</v>
          </cell>
          <cell r="AG2028" t="str">
            <v xml:space="preserve"> </v>
          </cell>
          <cell r="AH2028" t="str">
            <v>6. Partidas significativas de gastos</v>
          </cell>
        </row>
        <row r="2029">
          <cell r="D2029" t="str">
            <v>4280200000</v>
          </cell>
          <cell r="E2029" t="str">
            <v>4280200000</v>
          </cell>
          <cell r="F2029" t="str">
            <v>Serv Fotocopiadora</v>
          </cell>
          <cell r="G2029" t="str">
            <v>4280200000  Serv Fotocopiadora</v>
          </cell>
          <cell r="H2029" t="str">
            <v>Est. Resultado</v>
          </cell>
          <cell r="I2029" t="str">
            <v>Resultado</v>
          </cell>
          <cell r="J2029" t="str">
            <v>7. Gastos de Administración</v>
          </cell>
          <cell r="K2029" t="str">
            <v>9. Consumos Basicos</v>
          </cell>
          <cell r="L2029" t="str">
            <v>EBITDA</v>
          </cell>
          <cell r="N2029" t="str">
            <v>GANANCIAS (PERDIDAS) ANTES DE IMPUESTOS</v>
          </cell>
          <cell r="O2029" t="str">
            <v>GANANCIA (PÉRDIDA) NETA</v>
          </cell>
          <cell r="P2029" t="str">
            <v>Resultado Ingresos y Gastos Integrales</v>
          </cell>
          <cell r="Q2029" t="str">
            <v>I. Ganancia (pérdida), antes de impuestos</v>
          </cell>
          <cell r="R2029" t="str">
            <v>b. Ganancia (pérdida)</v>
          </cell>
          <cell r="S2029" t="str">
            <v>5. Gasto de administración</v>
          </cell>
          <cell r="T2029" t="str">
            <v>10. Consumos Basicos</v>
          </cell>
          <cell r="V2029" t="str">
            <v>II. Gastos</v>
          </cell>
          <cell r="W2029" t="str">
            <v>23. Bienes y Servicios para Producción</v>
          </cell>
          <cell r="Z2029" t="str">
            <v>III. Gastos de Administración</v>
          </cell>
          <cell r="AA2029" t="str">
            <v>3. Consumos Basicos</v>
          </cell>
          <cell r="AC2029" t="str">
            <v>III. Gasto Administración</v>
          </cell>
          <cell r="AD2029" t="str">
            <v>2. Bienes y servicios Adm.</v>
          </cell>
          <cell r="AE2029" t="str">
            <v>3. Consumos Basicos</v>
          </cell>
          <cell r="AG2029" t="str">
            <v xml:space="preserve"> </v>
          </cell>
          <cell r="AH2029" t="str">
            <v>6. Partidas significativas de gastos</v>
          </cell>
        </row>
        <row r="2030">
          <cell r="D2030" t="str">
            <v>4280300000</v>
          </cell>
          <cell r="E2030" t="str">
            <v>4280300000</v>
          </cell>
          <cell r="F2030" t="str">
            <v>Serv Energia Electrica</v>
          </cell>
          <cell r="G2030" t="str">
            <v>4280300000  Serv Energia Electrica</v>
          </cell>
          <cell r="H2030" t="str">
            <v>Est. Resultado</v>
          </cell>
          <cell r="I2030" t="str">
            <v>Resultado</v>
          </cell>
          <cell r="J2030" t="str">
            <v>7. Gastos de Administración</v>
          </cell>
          <cell r="K2030" t="str">
            <v>9. Consumos Basicos</v>
          </cell>
          <cell r="L2030" t="str">
            <v>EBITDA</v>
          </cell>
          <cell r="N2030" t="str">
            <v>GANANCIAS (PERDIDAS) ANTES DE IMPUESTOS</v>
          </cell>
          <cell r="O2030" t="str">
            <v>GANANCIA (PÉRDIDA) NETA</v>
          </cell>
          <cell r="P2030" t="str">
            <v>Resultado Ingresos y Gastos Integrales</v>
          </cell>
          <cell r="Q2030" t="str">
            <v>I. Ganancia (pérdida), antes de impuestos</v>
          </cell>
          <cell r="R2030" t="str">
            <v>b. Ganancia (pérdida)</v>
          </cell>
          <cell r="S2030" t="str">
            <v>5. Gasto de administración</v>
          </cell>
          <cell r="T2030" t="str">
            <v>10. Consumos Basicos</v>
          </cell>
          <cell r="V2030" t="str">
            <v>II. Gastos</v>
          </cell>
          <cell r="W2030" t="str">
            <v>23. Bienes y Servicios para Producción</v>
          </cell>
          <cell r="Z2030" t="str">
            <v>III. Gastos de Administración</v>
          </cell>
          <cell r="AA2030" t="str">
            <v>3. Consumos Basicos</v>
          </cell>
          <cell r="AC2030" t="str">
            <v>III. Gasto Administración</v>
          </cell>
          <cell r="AD2030" t="str">
            <v>2. Bienes y servicios Adm.</v>
          </cell>
          <cell r="AE2030" t="str">
            <v>3. Consumos Basicos</v>
          </cell>
          <cell r="AG2030" t="str">
            <v xml:space="preserve"> </v>
          </cell>
          <cell r="AH2030" t="str">
            <v>6. Partidas significativas de gastos</v>
          </cell>
        </row>
        <row r="2031">
          <cell r="D2031" t="str">
            <v>4280350000</v>
          </cell>
          <cell r="E2031" t="str">
            <v>4280350000</v>
          </cell>
          <cell r="F2031" t="str">
            <v>Serv Gas Licuado</v>
          </cell>
          <cell r="G2031" t="str">
            <v>4280350000  Serv Gas Licuado</v>
          </cell>
          <cell r="H2031" t="str">
            <v>Est. Resultado</v>
          </cell>
          <cell r="I2031" t="str">
            <v>Resultado</v>
          </cell>
          <cell r="J2031" t="str">
            <v>7. Gastos de Administración</v>
          </cell>
          <cell r="K2031" t="str">
            <v>9. Consumos Basicos</v>
          </cell>
          <cell r="L2031" t="str">
            <v>EBITDA</v>
          </cell>
          <cell r="N2031" t="str">
            <v>GANANCIAS (PERDIDAS) ANTES DE IMPUESTOS</v>
          </cell>
          <cell r="O2031" t="str">
            <v>GANANCIA (PÉRDIDA) NETA</v>
          </cell>
          <cell r="P2031" t="str">
            <v>Resultado Ingresos y Gastos Integrales</v>
          </cell>
          <cell r="Q2031" t="str">
            <v>I. Ganancia (pérdida), antes de impuestos</v>
          </cell>
          <cell r="R2031" t="str">
            <v>b. Ganancia (pérdida)</v>
          </cell>
          <cell r="S2031" t="str">
            <v>5. Gasto de administración</v>
          </cell>
          <cell r="T2031" t="str">
            <v>10. Consumos Basicos</v>
          </cell>
          <cell r="V2031" t="str">
            <v>II. Gastos</v>
          </cell>
          <cell r="W2031" t="str">
            <v>23. Bienes y Servicios para Producción</v>
          </cell>
          <cell r="Z2031" t="str">
            <v>III. Gastos de Administración</v>
          </cell>
          <cell r="AA2031" t="str">
            <v>3. Consumos Basicos</v>
          </cell>
          <cell r="AC2031" t="str">
            <v>III. Gasto Administración</v>
          </cell>
          <cell r="AD2031" t="str">
            <v>2. Bienes y servicios Adm.</v>
          </cell>
          <cell r="AE2031" t="str">
            <v>3. Consumos Basicos</v>
          </cell>
          <cell r="AG2031" t="str">
            <v xml:space="preserve"> </v>
          </cell>
          <cell r="AH2031" t="str">
            <v>6. Partidas significativas de gastos</v>
          </cell>
        </row>
        <row r="2032">
          <cell r="D2032" t="str">
            <v>4280400000</v>
          </cell>
          <cell r="E2032" t="str">
            <v>4280400000</v>
          </cell>
          <cell r="F2032" t="str">
            <v>Serv Agua Potable</v>
          </cell>
          <cell r="G2032" t="str">
            <v>4280400000  Serv Agua Potable</v>
          </cell>
          <cell r="H2032" t="str">
            <v>Est. Resultado</v>
          </cell>
          <cell r="I2032" t="str">
            <v>Resultado</v>
          </cell>
          <cell r="J2032" t="str">
            <v>7. Gastos de Administración</v>
          </cell>
          <cell r="K2032" t="str">
            <v>9. Consumos Basicos</v>
          </cell>
          <cell r="L2032" t="str">
            <v>EBITDA</v>
          </cell>
          <cell r="N2032" t="str">
            <v>GANANCIAS (PERDIDAS) ANTES DE IMPUESTOS</v>
          </cell>
          <cell r="O2032" t="str">
            <v>GANANCIA (PÉRDIDA) NETA</v>
          </cell>
          <cell r="P2032" t="str">
            <v>Resultado Ingresos y Gastos Integrales</v>
          </cell>
          <cell r="Q2032" t="str">
            <v>I. Ganancia (pérdida), antes de impuestos</v>
          </cell>
          <cell r="R2032" t="str">
            <v>b. Ganancia (pérdida)</v>
          </cell>
          <cell r="S2032" t="str">
            <v>5. Gasto de administración</v>
          </cell>
          <cell r="T2032" t="str">
            <v>10. Consumos Basicos</v>
          </cell>
          <cell r="V2032" t="str">
            <v>II. Gastos</v>
          </cell>
          <cell r="W2032" t="str">
            <v>23. Bienes y Servicios para Producción</v>
          </cell>
          <cell r="Z2032" t="str">
            <v>III. Gastos de Administración</v>
          </cell>
          <cell r="AA2032" t="str">
            <v>3. Consumos Basicos</v>
          </cell>
          <cell r="AC2032" t="str">
            <v>III. Gasto Administración</v>
          </cell>
          <cell r="AD2032" t="str">
            <v>2. Bienes y servicios Adm.</v>
          </cell>
          <cell r="AE2032" t="str">
            <v>3. Consumos Basicos</v>
          </cell>
          <cell r="AG2032" t="str">
            <v xml:space="preserve"> </v>
          </cell>
          <cell r="AH2032" t="str">
            <v>6. Partidas significativas de gastos</v>
          </cell>
        </row>
        <row r="2033">
          <cell r="D2033" t="str">
            <v>4280500000</v>
          </cell>
          <cell r="E2033" t="str">
            <v>4280500000</v>
          </cell>
          <cell r="F2033" t="str">
            <v>Serv Telefono Red Fija</v>
          </cell>
          <cell r="G2033" t="str">
            <v>4280500000  Serv Telefono Red Fija</v>
          </cell>
          <cell r="H2033" t="str">
            <v>Est. Resultado</v>
          </cell>
          <cell r="I2033" t="str">
            <v>Resultado</v>
          </cell>
          <cell r="J2033" t="str">
            <v>7. Gastos de Administración</v>
          </cell>
          <cell r="K2033" t="str">
            <v>9. Consumos Basicos</v>
          </cell>
          <cell r="L2033" t="str">
            <v>EBITDA</v>
          </cell>
          <cell r="N2033" t="str">
            <v>GANANCIAS (PERDIDAS) ANTES DE IMPUESTOS</v>
          </cell>
          <cell r="O2033" t="str">
            <v>GANANCIA (PÉRDIDA) NETA</v>
          </cell>
          <cell r="P2033" t="str">
            <v>Resultado Ingresos y Gastos Integrales</v>
          </cell>
          <cell r="Q2033" t="str">
            <v>I. Ganancia (pérdida), antes de impuestos</v>
          </cell>
          <cell r="R2033" t="str">
            <v>b. Ganancia (pérdida)</v>
          </cell>
          <cell r="S2033" t="str">
            <v>5. Gasto de administración</v>
          </cell>
          <cell r="T2033" t="str">
            <v>10. Consumos Basicos</v>
          </cell>
          <cell r="V2033" t="str">
            <v>II. Gastos</v>
          </cell>
          <cell r="W2033" t="str">
            <v>23. Bienes y Servicios para Producción</v>
          </cell>
          <cell r="Z2033" t="str">
            <v>III. Gastos de Administración</v>
          </cell>
          <cell r="AA2033" t="str">
            <v>3. Consumos Basicos</v>
          </cell>
          <cell r="AC2033" t="str">
            <v>III. Gasto Administración</v>
          </cell>
          <cell r="AD2033" t="str">
            <v>2. Bienes y servicios Adm.</v>
          </cell>
          <cell r="AE2033" t="str">
            <v>3. Consumos Basicos</v>
          </cell>
          <cell r="AG2033" t="str">
            <v xml:space="preserve"> </v>
          </cell>
          <cell r="AH2033" t="str">
            <v>6. Partidas significativas de gastos</v>
          </cell>
        </row>
        <row r="2034">
          <cell r="D2034" t="str">
            <v>4280600000</v>
          </cell>
          <cell r="E2034" t="str">
            <v>4280600000</v>
          </cell>
          <cell r="F2034" t="str">
            <v>Serv Telefono Movil</v>
          </cell>
          <cell r="G2034" t="str">
            <v>4280600000  Serv Telefono Movil</v>
          </cell>
          <cell r="H2034" t="str">
            <v>Est. Resultado</v>
          </cell>
          <cell r="I2034" t="str">
            <v>Resultado</v>
          </cell>
          <cell r="J2034" t="str">
            <v>7. Gastos de Administración</v>
          </cell>
          <cell r="K2034" t="str">
            <v>9. Consumos Basicos</v>
          </cell>
          <cell r="L2034" t="str">
            <v>EBITDA</v>
          </cell>
          <cell r="N2034" t="str">
            <v>GANANCIAS (PERDIDAS) ANTES DE IMPUESTOS</v>
          </cell>
          <cell r="O2034" t="str">
            <v>GANANCIA (PÉRDIDA) NETA</v>
          </cell>
          <cell r="P2034" t="str">
            <v>Resultado Ingresos y Gastos Integrales</v>
          </cell>
          <cell r="Q2034" t="str">
            <v>I. Ganancia (pérdida), antes de impuestos</v>
          </cell>
          <cell r="R2034" t="str">
            <v>b. Ganancia (pérdida)</v>
          </cell>
          <cell r="S2034" t="str">
            <v>5. Gasto de administración</v>
          </cell>
          <cell r="T2034" t="str">
            <v>10. Consumos Basicos</v>
          </cell>
          <cell r="V2034" t="str">
            <v>II. Gastos</v>
          </cell>
          <cell r="W2034" t="str">
            <v>23. Bienes y Servicios para Producción</v>
          </cell>
          <cell r="Z2034" t="str">
            <v>III. Gastos de Administración</v>
          </cell>
          <cell r="AA2034" t="str">
            <v>3. Consumos Basicos</v>
          </cell>
          <cell r="AC2034" t="str">
            <v>III. Gasto Administración</v>
          </cell>
          <cell r="AD2034" t="str">
            <v>2. Bienes y servicios Adm.</v>
          </cell>
          <cell r="AE2034" t="str">
            <v>3. Consumos Basicos</v>
          </cell>
          <cell r="AG2034" t="str">
            <v xml:space="preserve"> </v>
          </cell>
          <cell r="AH2034" t="str">
            <v>6. Partidas significativas de gastos</v>
          </cell>
        </row>
        <row r="2035">
          <cell r="D2035">
            <v>0</v>
          </cell>
          <cell r="G2035" t="str">
            <v/>
          </cell>
          <cell r="H2035" t="str">
            <v>Est. Resultado</v>
          </cell>
          <cell r="I2035" t="str">
            <v>Resultado</v>
          </cell>
          <cell r="J2035" t="str">
            <v>7. Gastos de Administración</v>
          </cell>
          <cell r="K2035" t="str">
            <v>9. Consumos Basicos</v>
          </cell>
          <cell r="L2035" t="str">
            <v>EBITDA</v>
          </cell>
          <cell r="N2035" t="str">
            <v>GANANCIAS (PERDIDAS) ANTES DE IMPUESTOS</v>
          </cell>
          <cell r="O2035" t="str">
            <v>GANANCIA (PÉRDIDA) NETA</v>
          </cell>
          <cell r="P2035" t="str">
            <v>Resultado Ingresos y Gastos Integrales</v>
          </cell>
          <cell r="Q2035" t="str">
            <v>I. Ganancia (pérdida), antes de impuestos</v>
          </cell>
          <cell r="R2035" t="str">
            <v>b. Ganancia (pérdida)</v>
          </cell>
          <cell r="S2035" t="str">
            <v>5. Gasto de administración</v>
          </cell>
          <cell r="T2035" t="str">
            <v>10. Consumos Basicos</v>
          </cell>
          <cell r="V2035" t="str">
            <v>II. Gastos</v>
          </cell>
          <cell r="W2035" t="str">
            <v>23. Bienes y Servicios para Producción</v>
          </cell>
          <cell r="Z2035" t="str">
            <v>III. Gastos de Administración</v>
          </cell>
          <cell r="AA2035" t="str">
            <v>3. Consumos Basicos</v>
          </cell>
          <cell r="AC2035" t="str">
            <v>III. Gasto Administración</v>
          </cell>
          <cell r="AD2035" t="str">
            <v>2. Bienes y servicios Adm.</v>
          </cell>
          <cell r="AE2035" t="str">
            <v>3. Consumos Basicos</v>
          </cell>
          <cell r="AG2035" t="str">
            <v xml:space="preserve"> </v>
          </cell>
          <cell r="AH2035" t="str">
            <v>6. Partidas significativas de gastos</v>
          </cell>
        </row>
        <row r="2036">
          <cell r="D2036">
            <v>0</v>
          </cell>
          <cell r="G2036" t="str">
            <v/>
          </cell>
          <cell r="H2036" t="str">
            <v>Est. Resultado</v>
          </cell>
          <cell r="I2036" t="str">
            <v>Resultado</v>
          </cell>
          <cell r="J2036" t="str">
            <v>7. Gastos de Administración</v>
          </cell>
          <cell r="K2036" t="str">
            <v>9. Consumos Basicos</v>
          </cell>
          <cell r="L2036" t="str">
            <v>EBITDA</v>
          </cell>
          <cell r="N2036" t="str">
            <v>GANANCIAS (PERDIDAS) ANTES DE IMPUESTOS</v>
          </cell>
          <cell r="O2036" t="str">
            <v>GANANCIA (PÉRDIDA) NETA</v>
          </cell>
          <cell r="P2036" t="str">
            <v>Resultado Ingresos y Gastos Integrales</v>
          </cell>
          <cell r="Q2036" t="str">
            <v>I. Ganancia (pérdida), antes de impuestos</v>
          </cell>
          <cell r="R2036" t="str">
            <v>b. Ganancia (pérdida)</v>
          </cell>
          <cell r="S2036" t="str">
            <v>5. Gasto de administración</v>
          </cell>
          <cell r="T2036" t="str">
            <v>10. Consumos Basicos</v>
          </cell>
          <cell r="V2036" t="str">
            <v>II. Gastos</v>
          </cell>
          <cell r="W2036" t="str">
            <v>23. Bienes y Servicios para Producción</v>
          </cell>
          <cell r="Z2036" t="str">
            <v>III. Gastos de Administración</v>
          </cell>
          <cell r="AA2036" t="str">
            <v>3. Consumos Basicos</v>
          </cell>
          <cell r="AC2036" t="str">
            <v>III. Gasto Administración</v>
          </cell>
          <cell r="AD2036" t="str">
            <v>2. Bienes y servicios Adm.</v>
          </cell>
          <cell r="AE2036" t="str">
            <v>3. Consumos Basicos</v>
          </cell>
          <cell r="AG2036" t="str">
            <v xml:space="preserve"> </v>
          </cell>
          <cell r="AH2036" t="str">
            <v>6. Partidas significativas de gastos</v>
          </cell>
        </row>
        <row r="2037">
          <cell r="D2037">
            <v>0</v>
          </cell>
          <cell r="G2037" t="str">
            <v/>
          </cell>
          <cell r="H2037" t="str">
            <v>Est. Resultado</v>
          </cell>
          <cell r="I2037" t="str">
            <v>Resultado</v>
          </cell>
          <cell r="J2037" t="str">
            <v>7. Gastos de Administración</v>
          </cell>
          <cell r="K2037" t="str">
            <v>9. Consumos Basicos</v>
          </cell>
          <cell r="L2037" t="str">
            <v>EBITDA</v>
          </cell>
          <cell r="N2037" t="str">
            <v>GANANCIAS (PERDIDAS) ANTES DE IMPUESTOS</v>
          </cell>
          <cell r="O2037" t="str">
            <v>GANANCIA (PÉRDIDA) NETA</v>
          </cell>
          <cell r="P2037" t="str">
            <v>Resultado Ingresos y Gastos Integrales</v>
          </cell>
          <cell r="Q2037" t="str">
            <v>I. Ganancia (pérdida), antes de impuestos</v>
          </cell>
          <cell r="R2037" t="str">
            <v>b. Ganancia (pérdida)</v>
          </cell>
          <cell r="S2037" t="str">
            <v>5. Gasto de administración</v>
          </cell>
          <cell r="T2037" t="str">
            <v>10. Consumos Basicos</v>
          </cell>
          <cell r="V2037" t="str">
            <v>II. Gastos</v>
          </cell>
          <cell r="W2037" t="str">
            <v>23. Bienes y Servicios para Producción</v>
          </cell>
          <cell r="Z2037" t="str">
            <v>III. Gastos de Administración</v>
          </cell>
          <cell r="AA2037" t="str">
            <v>3. Consumos Basicos</v>
          </cell>
          <cell r="AC2037" t="str">
            <v>III. Gasto Administración</v>
          </cell>
          <cell r="AD2037" t="str">
            <v>2. Bienes y servicios Adm.</v>
          </cell>
          <cell r="AE2037" t="str">
            <v>3. Consumos Basicos</v>
          </cell>
          <cell r="AG2037" t="str">
            <v xml:space="preserve"> </v>
          </cell>
          <cell r="AH2037" t="str">
            <v>6. Partidas significativas de gastos</v>
          </cell>
        </row>
        <row r="2038">
          <cell r="D2038" t="str">
            <v>Consumos Basicos</v>
          </cell>
          <cell r="E2038" t="str">
            <v>Consumos Basicos</v>
          </cell>
          <cell r="G2038" t="str">
            <v xml:space="preserve">Consumos Basicos  </v>
          </cell>
          <cell r="H2038" t="str">
            <v/>
          </cell>
          <cell r="I2038" t="str">
            <v/>
          </cell>
          <cell r="J2038" t="str">
            <v/>
          </cell>
          <cell r="L2038" t="str">
            <v/>
          </cell>
          <cell r="N2038" t="str">
            <v/>
          </cell>
          <cell r="O2038" t="str">
            <v/>
          </cell>
          <cell r="P2038" t="str">
            <v/>
          </cell>
        </row>
        <row r="2039">
          <cell r="D2039" t="str">
            <v>4280750000</v>
          </cell>
          <cell r="E2039" t="str">
            <v>4280750000</v>
          </cell>
          <cell r="F2039" t="str">
            <v>Cuota Societaria ALAF y Otros</v>
          </cell>
          <cell r="G2039" t="str">
            <v>4280750000  Cuota Societaria ALAF y Otros</v>
          </cell>
          <cell r="H2039" t="str">
            <v>Est. Resultado</v>
          </cell>
          <cell r="I2039" t="str">
            <v>Resultado</v>
          </cell>
          <cell r="J2039" t="str">
            <v>7. Gastos de Administración</v>
          </cell>
          <cell r="K2039" t="str">
            <v>10. Gastos Generales</v>
          </cell>
          <cell r="L2039" t="str">
            <v>EBITDA</v>
          </cell>
          <cell r="N2039" t="str">
            <v>GANANCIAS (PERDIDAS) ANTES DE IMPUESTOS</v>
          </cell>
          <cell r="O2039" t="str">
            <v>GANANCIA (PÉRDIDA) NETA</v>
          </cell>
          <cell r="P2039" t="str">
            <v>Resultado Ingresos y Gastos Integrales</v>
          </cell>
          <cell r="Q2039" t="str">
            <v>I. Ganancia (pérdida), antes de impuestos</v>
          </cell>
          <cell r="R2039" t="str">
            <v>b. Ganancia (pérdida)</v>
          </cell>
          <cell r="S2039" t="str">
            <v>5. Gasto de administración</v>
          </cell>
          <cell r="T2039" t="str">
            <v>14. Gastos Generales</v>
          </cell>
          <cell r="V2039" t="str">
            <v>II. Gastos</v>
          </cell>
          <cell r="W2039" t="str">
            <v>23. Bienes y Servicios para Producción</v>
          </cell>
          <cell r="Z2039" t="str">
            <v>III. Gastos de Administración</v>
          </cell>
          <cell r="AA2039" t="str">
            <v>6. Gastos Generales</v>
          </cell>
          <cell r="AC2039" t="str">
            <v>III. Gasto Administración</v>
          </cell>
          <cell r="AD2039" t="str">
            <v>2. Bienes y servicios Adm.</v>
          </cell>
          <cell r="AE2039" t="str">
            <v>6. Gastos Generales</v>
          </cell>
          <cell r="AG2039" t="str">
            <v xml:space="preserve"> </v>
          </cell>
          <cell r="AH2039" t="str">
            <v>6. Partidas significativas de gastos</v>
          </cell>
        </row>
        <row r="2040">
          <cell r="D2040" t="str">
            <v>4280800000</v>
          </cell>
          <cell r="E2040" t="str">
            <v>4280800000</v>
          </cell>
          <cell r="F2040" t="str">
            <v>Franqueo y Encomiendas</v>
          </cell>
          <cell r="G2040" t="str">
            <v>4280800000  Franqueo y Encomiendas</v>
          </cell>
          <cell r="H2040" t="str">
            <v>Est. Resultado</v>
          </cell>
          <cell r="I2040" t="str">
            <v>Resultado</v>
          </cell>
          <cell r="J2040" t="str">
            <v>7. Gastos de Administración</v>
          </cell>
          <cell r="K2040" t="str">
            <v>10. Gastos Generales</v>
          </cell>
          <cell r="L2040" t="str">
            <v>EBITDA</v>
          </cell>
          <cell r="N2040" t="str">
            <v>GANANCIAS (PERDIDAS) ANTES DE IMPUESTOS</v>
          </cell>
          <cell r="O2040" t="str">
            <v>GANANCIA (PÉRDIDA) NETA</v>
          </cell>
          <cell r="P2040" t="str">
            <v>Resultado Ingresos y Gastos Integrales</v>
          </cell>
          <cell r="Q2040" t="str">
            <v>I. Ganancia (pérdida), antes de impuestos</v>
          </cell>
          <cell r="R2040" t="str">
            <v>b. Ganancia (pérdida)</v>
          </cell>
          <cell r="S2040" t="str">
            <v>5. Gasto de administración</v>
          </cell>
          <cell r="T2040" t="str">
            <v>14. Gastos Generales</v>
          </cell>
          <cell r="V2040" t="str">
            <v>II. Gastos</v>
          </cell>
          <cell r="W2040" t="str">
            <v>23. Bienes y Servicios para Producción</v>
          </cell>
          <cell r="Z2040" t="str">
            <v>III. Gastos de Administración</v>
          </cell>
          <cell r="AA2040" t="str">
            <v>6. Gastos Generales</v>
          </cell>
          <cell r="AC2040" t="str">
            <v>III. Gasto Administración</v>
          </cell>
          <cell r="AD2040" t="str">
            <v>2. Bienes y servicios Adm.</v>
          </cell>
          <cell r="AE2040" t="str">
            <v>6. Gastos Generales</v>
          </cell>
          <cell r="AG2040" t="str">
            <v xml:space="preserve"> </v>
          </cell>
          <cell r="AH2040" t="str">
            <v>6. Partidas significativas de gastos</v>
          </cell>
        </row>
        <row r="2041">
          <cell r="D2041" t="str">
            <v>4280900000</v>
          </cell>
          <cell r="E2041" t="str">
            <v>4280900000</v>
          </cell>
          <cell r="F2041" t="str">
            <v>Aseo y Mantencion Serv Menores</v>
          </cell>
          <cell r="G2041" t="str">
            <v>4280900000  Aseo y Mantencion Serv Menores</v>
          </cell>
          <cell r="H2041" t="str">
            <v>Est. Resultado</v>
          </cell>
          <cell r="I2041" t="str">
            <v>Resultado</v>
          </cell>
          <cell r="J2041" t="str">
            <v>7. Gastos de Administración</v>
          </cell>
          <cell r="K2041" t="str">
            <v>10. Gastos Generales</v>
          </cell>
          <cell r="L2041" t="str">
            <v>EBITDA</v>
          </cell>
          <cell r="N2041" t="str">
            <v>GANANCIAS (PERDIDAS) ANTES DE IMPUESTOS</v>
          </cell>
          <cell r="O2041" t="str">
            <v>GANANCIA (PÉRDIDA) NETA</v>
          </cell>
          <cell r="P2041" t="str">
            <v>Resultado Ingresos y Gastos Integrales</v>
          </cell>
          <cell r="Q2041" t="str">
            <v>I. Ganancia (pérdida), antes de impuestos</v>
          </cell>
          <cell r="R2041" t="str">
            <v>b. Ganancia (pérdida)</v>
          </cell>
          <cell r="S2041" t="str">
            <v>5. Gasto de administración</v>
          </cell>
          <cell r="T2041" t="str">
            <v>14. Gastos Generales</v>
          </cell>
          <cell r="V2041" t="str">
            <v>II. Gastos</v>
          </cell>
          <cell r="W2041" t="str">
            <v>23. Bienes y Servicios para Producción</v>
          </cell>
          <cell r="Z2041" t="str">
            <v>III. Gastos de Administración</v>
          </cell>
          <cell r="AA2041" t="str">
            <v>6. Gastos Generales</v>
          </cell>
          <cell r="AC2041" t="str">
            <v>III. Gasto Administración</v>
          </cell>
          <cell r="AD2041" t="str">
            <v>2. Bienes y servicios Adm.</v>
          </cell>
          <cell r="AE2041" t="str">
            <v>6. Gastos Generales</v>
          </cell>
          <cell r="AG2041" t="str">
            <v xml:space="preserve"> </v>
          </cell>
          <cell r="AH2041" t="str">
            <v>6. Partidas significativas de gastos</v>
          </cell>
        </row>
        <row r="2042">
          <cell r="D2042" t="str">
            <v>4280950000</v>
          </cell>
          <cell r="E2042" t="str">
            <v>4280950000</v>
          </cell>
          <cell r="F2042" t="str">
            <v>Movilizacion</v>
          </cell>
          <cell r="G2042" t="str">
            <v>4280950000  Movilizacion</v>
          </cell>
          <cell r="H2042" t="str">
            <v>Est. Resultado</v>
          </cell>
          <cell r="I2042" t="str">
            <v>Resultado</v>
          </cell>
          <cell r="J2042" t="str">
            <v>7. Gastos de Administración</v>
          </cell>
          <cell r="K2042" t="str">
            <v>10. Gastos Generales</v>
          </cell>
          <cell r="L2042" t="str">
            <v>EBITDA</v>
          </cell>
          <cell r="N2042" t="str">
            <v>GANANCIAS (PERDIDAS) ANTES DE IMPUESTOS</v>
          </cell>
          <cell r="O2042" t="str">
            <v>GANANCIA (PÉRDIDA) NETA</v>
          </cell>
          <cell r="P2042" t="str">
            <v>Resultado Ingresos y Gastos Integrales</v>
          </cell>
          <cell r="Q2042" t="str">
            <v>I. Ganancia (pérdida), antes de impuestos</v>
          </cell>
          <cell r="R2042" t="str">
            <v>b. Ganancia (pérdida)</v>
          </cell>
          <cell r="S2042" t="str">
            <v>5. Gasto de administración</v>
          </cell>
          <cell r="T2042" t="str">
            <v>14. Gastos Generales</v>
          </cell>
          <cell r="V2042" t="str">
            <v>II. Gastos</v>
          </cell>
          <cell r="W2042" t="str">
            <v>23. Bienes y Servicios para Producción</v>
          </cell>
          <cell r="Z2042" t="str">
            <v>III. Gastos de Administración</v>
          </cell>
          <cell r="AA2042" t="str">
            <v>6. Gastos Generales</v>
          </cell>
          <cell r="AC2042" t="str">
            <v>III. Gasto Administración</v>
          </cell>
          <cell r="AD2042" t="str">
            <v>2. Bienes y servicios Adm.</v>
          </cell>
          <cell r="AE2042" t="str">
            <v>6. Gastos Generales</v>
          </cell>
          <cell r="AG2042" t="str">
            <v xml:space="preserve"> </v>
          </cell>
          <cell r="AH2042" t="str">
            <v>6. Partidas significativas de gastos</v>
          </cell>
        </row>
        <row r="2043">
          <cell r="D2043" t="str">
            <v>4280955000</v>
          </cell>
          <cell r="E2043" t="str">
            <v>4280955000</v>
          </cell>
          <cell r="F2043" t="str">
            <v>Pasaje Aereos</v>
          </cell>
          <cell r="G2043" t="str">
            <v>4280955000  Pasaje Aereos</v>
          </cell>
          <cell r="H2043" t="str">
            <v>Est. Resultado</v>
          </cell>
          <cell r="I2043" t="str">
            <v>Resultado</v>
          </cell>
          <cell r="J2043" t="str">
            <v>7. Gastos de Administración</v>
          </cell>
          <cell r="K2043" t="str">
            <v>10. Gastos Generales</v>
          </cell>
          <cell r="L2043" t="str">
            <v>EBITDA</v>
          </cell>
          <cell r="N2043" t="str">
            <v>GANANCIAS (PERDIDAS) ANTES DE IMPUESTOS</v>
          </cell>
          <cell r="O2043" t="str">
            <v>GANANCIA (PÉRDIDA) NETA</v>
          </cell>
          <cell r="P2043" t="str">
            <v>Resultado Ingresos y Gastos Integrales</v>
          </cell>
          <cell r="Q2043" t="str">
            <v>I. Ganancia (pérdida), antes de impuestos</v>
          </cell>
          <cell r="R2043" t="str">
            <v>b. Ganancia (pérdida)</v>
          </cell>
          <cell r="S2043" t="str">
            <v>5. Gasto de administración</v>
          </cell>
          <cell r="T2043" t="str">
            <v>14. Gastos Generales</v>
          </cell>
          <cell r="V2043" t="str">
            <v>II. Gastos</v>
          </cell>
          <cell r="W2043" t="str">
            <v>23. Bienes y Servicios para Producción</v>
          </cell>
          <cell r="Z2043" t="str">
            <v>III. Gastos de Administración</v>
          </cell>
          <cell r="AA2043" t="str">
            <v>6. Gastos Generales</v>
          </cell>
          <cell r="AC2043" t="str">
            <v>III. Gasto Administración</v>
          </cell>
          <cell r="AD2043" t="str">
            <v>2. Bienes y servicios Adm.</v>
          </cell>
          <cell r="AE2043" t="str">
            <v>6. Gastos Generales</v>
          </cell>
          <cell r="AG2043" t="str">
            <v xml:space="preserve"> </v>
          </cell>
          <cell r="AH2043" t="str">
            <v>6. Partidas significativas de gastos</v>
          </cell>
        </row>
        <row r="2044">
          <cell r="D2044" t="str">
            <v>4280960000</v>
          </cell>
          <cell r="E2044" t="str">
            <v>4280960000</v>
          </cell>
          <cell r="F2044" t="str">
            <v>Gasto de Representacion</v>
          </cell>
          <cell r="G2044" t="str">
            <v>4280960000  Gasto de Representacion</v>
          </cell>
          <cell r="H2044" t="str">
            <v>Est. Resultado</v>
          </cell>
          <cell r="I2044" t="str">
            <v>Resultado</v>
          </cell>
          <cell r="J2044" t="str">
            <v>7. Gastos de Administración</v>
          </cell>
          <cell r="K2044" t="str">
            <v>10. Gastos Generales</v>
          </cell>
          <cell r="L2044" t="str">
            <v>EBITDA</v>
          </cell>
          <cell r="N2044" t="str">
            <v>GANANCIAS (PERDIDAS) ANTES DE IMPUESTOS</v>
          </cell>
          <cell r="O2044" t="str">
            <v>GANANCIA (PÉRDIDA) NETA</v>
          </cell>
          <cell r="P2044" t="str">
            <v>Resultado Ingresos y Gastos Integrales</v>
          </cell>
          <cell r="Q2044" t="str">
            <v>I. Ganancia (pérdida), antes de impuestos</v>
          </cell>
          <cell r="R2044" t="str">
            <v>b. Ganancia (pérdida)</v>
          </cell>
          <cell r="S2044" t="str">
            <v>5. Gasto de administración</v>
          </cell>
          <cell r="T2044" t="str">
            <v>14. Gastos Generales</v>
          </cell>
          <cell r="V2044" t="str">
            <v>II. Gastos</v>
          </cell>
          <cell r="W2044" t="str">
            <v>23. Bienes y Servicios para Producción</v>
          </cell>
          <cell r="Z2044" t="str">
            <v>III. Gastos de Administración</v>
          </cell>
          <cell r="AA2044" t="str">
            <v>6. Gastos Generales</v>
          </cell>
          <cell r="AC2044" t="str">
            <v>III. Gasto Administración</v>
          </cell>
          <cell r="AD2044" t="str">
            <v>2. Bienes y servicios Adm.</v>
          </cell>
          <cell r="AE2044" t="str">
            <v>6. Gastos Generales</v>
          </cell>
          <cell r="AG2044" t="str">
            <v xml:space="preserve"> </v>
          </cell>
          <cell r="AH2044" t="str">
            <v>6. Partidas significativas de gastos</v>
          </cell>
        </row>
        <row r="2045">
          <cell r="D2045" t="str">
            <v>4280970000</v>
          </cell>
          <cell r="E2045" t="str">
            <v>4280970000</v>
          </cell>
          <cell r="F2045" t="str">
            <v>Elementos Seguridad Estacione</v>
          </cell>
          <cell r="G2045" t="str">
            <v>4280970000  Elementos Seguridad Estacione</v>
          </cell>
          <cell r="H2045" t="str">
            <v>Est. Resultado</v>
          </cell>
          <cell r="I2045" t="str">
            <v>Resultado</v>
          </cell>
          <cell r="J2045" t="str">
            <v>7. Gastos de Administración</v>
          </cell>
          <cell r="K2045" t="str">
            <v>10. Gastos Generales</v>
          </cell>
          <cell r="L2045" t="str">
            <v>EBITDA</v>
          </cell>
          <cell r="N2045" t="str">
            <v>GANANCIAS (PERDIDAS) ANTES DE IMPUESTOS</v>
          </cell>
          <cell r="O2045" t="str">
            <v>GANANCIA (PÉRDIDA) NETA</v>
          </cell>
          <cell r="P2045" t="str">
            <v>Resultado Ingresos y Gastos Integrales</v>
          </cell>
          <cell r="Q2045" t="str">
            <v>I. Ganancia (pérdida), antes de impuestos</v>
          </cell>
          <cell r="R2045" t="str">
            <v>b. Ganancia (pérdida)</v>
          </cell>
          <cell r="S2045" t="str">
            <v>5. Gasto de administración</v>
          </cell>
          <cell r="T2045" t="str">
            <v>14. Gastos Generales</v>
          </cell>
          <cell r="V2045" t="str">
            <v>II. Gastos</v>
          </cell>
          <cell r="W2045" t="str">
            <v>23. Bienes y Servicios para Producción</v>
          </cell>
          <cell r="Z2045" t="str">
            <v>III. Gastos de Administración</v>
          </cell>
          <cell r="AA2045" t="str">
            <v>6. Gastos Generales</v>
          </cell>
          <cell r="AC2045" t="str">
            <v>III. Gasto Administración</v>
          </cell>
          <cell r="AD2045" t="str">
            <v>2. Bienes y servicios Adm.</v>
          </cell>
          <cell r="AE2045" t="str">
            <v>6. Gastos Generales</v>
          </cell>
          <cell r="AG2045" t="str">
            <v xml:space="preserve"> </v>
          </cell>
          <cell r="AH2045" t="str">
            <v>6. Partidas significativas de gastos</v>
          </cell>
        </row>
        <row r="2046">
          <cell r="D2046" t="str">
            <v>4290500000</v>
          </cell>
          <cell r="E2046" t="str">
            <v>4290500000</v>
          </cell>
          <cell r="F2046" t="str">
            <v>Arriendo Bienes Inmuebles</v>
          </cell>
          <cell r="G2046" t="str">
            <v>4290500000  Arriendo Bienes Inmuebles</v>
          </cell>
          <cell r="H2046" t="str">
            <v>Est. Resultado</v>
          </cell>
          <cell r="I2046" t="str">
            <v>Resultado</v>
          </cell>
          <cell r="J2046" t="str">
            <v>7. Gastos de Administración</v>
          </cell>
          <cell r="K2046" t="str">
            <v>10. Gastos Generales</v>
          </cell>
          <cell r="L2046" t="str">
            <v>EBITDA</v>
          </cell>
          <cell r="N2046" t="str">
            <v>GANANCIAS (PERDIDAS) ANTES DE IMPUESTOS</v>
          </cell>
          <cell r="O2046" t="str">
            <v>GANANCIA (PÉRDIDA) NETA</v>
          </cell>
          <cell r="P2046" t="str">
            <v>Resultado Ingresos y Gastos Integrales</v>
          </cell>
          <cell r="Q2046" t="str">
            <v>I. Ganancia (pérdida), antes de impuestos</v>
          </cell>
          <cell r="R2046" t="str">
            <v>b. Ganancia (pérdida)</v>
          </cell>
          <cell r="S2046" t="str">
            <v>5. Gasto de administración</v>
          </cell>
          <cell r="T2046" t="str">
            <v>14. Gastos Generales</v>
          </cell>
          <cell r="V2046" t="str">
            <v>II. Gastos</v>
          </cell>
          <cell r="W2046" t="str">
            <v>23. Bienes y Servicios para Producción</v>
          </cell>
          <cell r="Z2046" t="str">
            <v>III. Gastos de Administración</v>
          </cell>
          <cell r="AA2046" t="str">
            <v>6. Gastos Generales</v>
          </cell>
          <cell r="AC2046" t="str">
            <v>III. Gasto Administración</v>
          </cell>
          <cell r="AD2046" t="str">
            <v>2. Bienes y servicios Adm.</v>
          </cell>
          <cell r="AE2046" t="str">
            <v>6. Gastos Generales</v>
          </cell>
          <cell r="AG2046" t="str">
            <v xml:space="preserve"> </v>
          </cell>
          <cell r="AH2046" t="str">
            <v>6. Partidas significativas de gastos</v>
          </cell>
        </row>
        <row r="2047">
          <cell r="D2047" t="str">
            <v>4290600000</v>
          </cell>
          <cell r="E2047" t="str">
            <v>4290600000</v>
          </cell>
          <cell r="F2047" t="str">
            <v>Arriendo Bienes Muebles</v>
          </cell>
          <cell r="G2047" t="str">
            <v>4290600000  Arriendo Bienes Muebles</v>
          </cell>
          <cell r="H2047" t="str">
            <v>Est. Resultado</v>
          </cell>
          <cell r="I2047" t="str">
            <v>Resultado</v>
          </cell>
          <cell r="J2047" t="str">
            <v>7. Gastos de Administración</v>
          </cell>
          <cell r="K2047" t="str">
            <v>10. Gastos Generales</v>
          </cell>
          <cell r="L2047" t="str">
            <v>EBITDA</v>
          </cell>
          <cell r="N2047" t="str">
            <v>GANANCIAS (PERDIDAS) ANTES DE IMPUESTOS</v>
          </cell>
          <cell r="O2047" t="str">
            <v>GANANCIA (PÉRDIDA) NETA</v>
          </cell>
          <cell r="P2047" t="str">
            <v>Resultado Ingresos y Gastos Integrales</v>
          </cell>
          <cell r="Q2047" t="str">
            <v>I. Ganancia (pérdida), antes de impuestos</v>
          </cell>
          <cell r="R2047" t="str">
            <v>b. Ganancia (pérdida)</v>
          </cell>
          <cell r="S2047" t="str">
            <v>5. Gasto de administración</v>
          </cell>
          <cell r="T2047" t="str">
            <v>14. Gastos Generales</v>
          </cell>
          <cell r="V2047" t="str">
            <v>II. Gastos</v>
          </cell>
          <cell r="W2047" t="str">
            <v>23. Bienes y Servicios para Producción</v>
          </cell>
          <cell r="Z2047" t="str">
            <v>III. Gastos de Administración</v>
          </cell>
          <cell r="AA2047" t="str">
            <v>6. Gastos Generales</v>
          </cell>
          <cell r="AC2047" t="str">
            <v>III. Gasto Administración</v>
          </cell>
          <cell r="AD2047" t="str">
            <v>2. Bienes y servicios Adm.</v>
          </cell>
          <cell r="AE2047" t="str">
            <v>6. Gastos Generales</v>
          </cell>
          <cell r="AG2047" t="str">
            <v xml:space="preserve"> </v>
          </cell>
          <cell r="AH2047" t="str">
            <v>6. Partidas significativas de gastos</v>
          </cell>
        </row>
        <row r="2048">
          <cell r="D2048" t="str">
            <v>4310940014</v>
          </cell>
          <cell r="E2048" t="str">
            <v>4310940014</v>
          </cell>
          <cell r="F2048" t="str">
            <v>Impuestos territorial pagado</v>
          </cell>
          <cell r="G2048" t="str">
            <v>4310940014  Impuestos territorial pagado</v>
          </cell>
          <cell r="H2048" t="str">
            <v>Est. Resultado</v>
          </cell>
          <cell r="I2048" t="str">
            <v>Resultado</v>
          </cell>
          <cell r="J2048" t="str">
            <v>7. Gastos de Administración</v>
          </cell>
          <cell r="K2048" t="str">
            <v>10. Gastos Generales</v>
          </cell>
          <cell r="L2048" t="str">
            <v>EBITDA</v>
          </cell>
          <cell r="N2048" t="str">
            <v>GANANCIAS (PERDIDAS) ANTES DE IMPUESTOS</v>
          </cell>
          <cell r="O2048" t="str">
            <v>GANANCIA (PÉRDIDA) NETA</v>
          </cell>
          <cell r="P2048" t="str">
            <v>Resultado Ingresos y Gastos Integrales</v>
          </cell>
          <cell r="Q2048" t="str">
            <v>I. Ganancia (pérdida), antes de impuestos</v>
          </cell>
          <cell r="R2048" t="str">
            <v>b. Ganancia (pérdida)</v>
          </cell>
          <cell r="S2048" t="str">
            <v>5. Gasto de administración</v>
          </cell>
          <cell r="T2048" t="str">
            <v>14. Gastos Generales</v>
          </cell>
          <cell r="V2048" t="str">
            <v>II. Gastos</v>
          </cell>
          <cell r="W2048" t="str">
            <v>23. Bienes y Servicios para Producción</v>
          </cell>
          <cell r="Z2048" t="str">
            <v>III. Gastos de Administración</v>
          </cell>
          <cell r="AA2048" t="str">
            <v>6. Gastos Generales</v>
          </cell>
          <cell r="AC2048" t="str">
            <v>III. Gasto Administración</v>
          </cell>
          <cell r="AD2048" t="str">
            <v>2. Bienes y servicios Adm.</v>
          </cell>
          <cell r="AE2048" t="str">
            <v>6. Gastos Generales</v>
          </cell>
          <cell r="AG2048" t="str">
            <v xml:space="preserve"> </v>
          </cell>
          <cell r="AH2048" t="str">
            <v>6. Partidas significativas de gastos</v>
          </cell>
        </row>
        <row r="2049">
          <cell r="D2049" t="str">
            <v>4280960010</v>
          </cell>
          <cell r="E2049" t="str">
            <v>4280960010</v>
          </cell>
          <cell r="F2049" t="str">
            <v>Gto Accdte Pasajero</v>
          </cell>
          <cell r="G2049" t="str">
            <v>4280960010  Gto Accdte Pasajero</v>
          </cell>
          <cell r="H2049" t="str">
            <v>Est. Resultado</v>
          </cell>
          <cell r="I2049" t="str">
            <v>Resultado</v>
          </cell>
          <cell r="J2049" t="str">
            <v>7. Gastos de Administración</v>
          </cell>
          <cell r="K2049" t="str">
            <v>10. Gastos Generales</v>
          </cell>
          <cell r="L2049" t="str">
            <v>EBITDA</v>
          </cell>
          <cell r="N2049" t="str">
            <v>GANANCIAS (PERDIDAS) ANTES DE IMPUESTOS</v>
          </cell>
          <cell r="O2049" t="str">
            <v>GANANCIA (PÉRDIDA) NETA</v>
          </cell>
          <cell r="P2049" t="str">
            <v>Resultado Ingresos y Gastos Integrales</v>
          </cell>
          <cell r="Q2049" t="str">
            <v>I. Ganancia (pérdida), antes de impuestos</v>
          </cell>
          <cell r="R2049" t="str">
            <v>b. Ganancia (pérdida)</v>
          </cell>
          <cell r="S2049" t="str">
            <v>5. Gasto de administración</v>
          </cell>
          <cell r="T2049" t="str">
            <v>14. Gastos Generales</v>
          </cell>
          <cell r="V2049" t="str">
            <v>II. Gastos</v>
          </cell>
          <cell r="W2049" t="str">
            <v>23. Bienes y Servicios para Producción</v>
          </cell>
          <cell r="Z2049" t="str">
            <v>III. Gastos de Administración</v>
          </cell>
          <cell r="AA2049" t="str">
            <v>6. Gastos Generales</v>
          </cell>
          <cell r="AC2049" t="str">
            <v>III. Gasto Administración</v>
          </cell>
          <cell r="AD2049" t="str">
            <v>2. Bienes y servicios Adm.</v>
          </cell>
          <cell r="AE2049" t="str">
            <v>6. Gastos Generales</v>
          </cell>
          <cell r="AH2049" t="str">
            <v>6. Partidas significativas de gastos</v>
          </cell>
        </row>
        <row r="2050">
          <cell r="D2050" t="str">
            <v>4280991099</v>
          </cell>
          <cell r="E2050" t="str">
            <v>4280991099</v>
          </cell>
          <cell r="F2050" t="str">
            <v>Otros Gastos Generales</v>
          </cell>
          <cell r="G2050" t="str">
            <v>4280991099  Otros Gastos Generales</v>
          </cell>
          <cell r="H2050" t="str">
            <v>Est. Resultado</v>
          </cell>
          <cell r="I2050" t="str">
            <v>Resultado</v>
          </cell>
          <cell r="J2050" t="str">
            <v>7. Gastos de Administración</v>
          </cell>
          <cell r="K2050" t="str">
            <v>10. Gastos Generales</v>
          </cell>
          <cell r="L2050" t="str">
            <v>EBITDA</v>
          </cell>
          <cell r="N2050" t="str">
            <v>GANANCIAS (PERDIDAS) ANTES DE IMPUESTOS</v>
          </cell>
          <cell r="O2050" t="str">
            <v>GANANCIA (PÉRDIDA) NETA</v>
          </cell>
          <cell r="P2050" t="str">
            <v>Resultado Ingresos y Gastos Integrales</v>
          </cell>
          <cell r="Q2050" t="str">
            <v>I. Ganancia (pérdida), antes de impuestos</v>
          </cell>
          <cell r="R2050" t="str">
            <v>b. Ganancia (pérdida)</v>
          </cell>
          <cell r="S2050" t="str">
            <v>5. Gasto de administración</v>
          </cell>
          <cell r="T2050" t="str">
            <v>14. Gastos Generales</v>
          </cell>
          <cell r="V2050" t="str">
            <v>II. Gastos</v>
          </cell>
          <cell r="W2050" t="str">
            <v>23. Bienes y Servicios para Producción</v>
          </cell>
          <cell r="Z2050" t="str">
            <v>III. Gastos de Administración</v>
          </cell>
          <cell r="AA2050" t="str">
            <v>6. Gastos Generales</v>
          </cell>
          <cell r="AC2050" t="str">
            <v>III. Gasto Administración</v>
          </cell>
          <cell r="AD2050" t="str">
            <v>2. Bienes y servicios Adm.</v>
          </cell>
          <cell r="AE2050" t="str">
            <v>6. Gastos Generales</v>
          </cell>
          <cell r="AG2050" t="str">
            <v xml:space="preserve"> </v>
          </cell>
          <cell r="AH2050" t="str">
            <v>6. Partidas significativas de gastos</v>
          </cell>
        </row>
        <row r="2051">
          <cell r="D2051">
            <v>0</v>
          </cell>
          <cell r="G2051" t="str">
            <v/>
          </cell>
          <cell r="H2051" t="str">
            <v>Est. Resultado</v>
          </cell>
          <cell r="I2051" t="str">
            <v>Resultado</v>
          </cell>
          <cell r="J2051" t="str">
            <v>7. Gastos de Administración</v>
          </cell>
          <cell r="K2051" t="str">
            <v>10. Gastos Generales</v>
          </cell>
          <cell r="L2051" t="str">
            <v>EBITDA</v>
          </cell>
          <cell r="N2051" t="str">
            <v>GANANCIAS (PERDIDAS) ANTES DE IMPUESTOS</v>
          </cell>
          <cell r="O2051" t="str">
            <v>GANANCIA (PÉRDIDA) NETA</v>
          </cell>
          <cell r="P2051" t="str">
            <v>Resultado Ingresos y Gastos Integrales</v>
          </cell>
          <cell r="Q2051" t="str">
            <v>I. Ganancia (pérdida), antes de impuestos</v>
          </cell>
          <cell r="R2051" t="str">
            <v>b. Ganancia (pérdida)</v>
          </cell>
          <cell r="S2051" t="str">
            <v>5. Gasto de administración</v>
          </cell>
          <cell r="T2051" t="str">
            <v>14. Gastos Generales</v>
          </cell>
          <cell r="V2051" t="str">
            <v>II. Gastos</v>
          </cell>
          <cell r="W2051" t="str">
            <v>23. Bienes y Servicios para Producción</v>
          </cell>
          <cell r="Z2051" t="str">
            <v>III. Gastos de Administración</v>
          </cell>
          <cell r="AA2051" t="str">
            <v>6. Gastos Generales</v>
          </cell>
          <cell r="AC2051" t="str">
            <v>III. Gasto Administración</v>
          </cell>
          <cell r="AD2051" t="str">
            <v>2. Bienes y servicios Adm.</v>
          </cell>
          <cell r="AE2051" t="str">
            <v>6. Gastos Generales</v>
          </cell>
          <cell r="AG2051" t="str">
            <v xml:space="preserve"> </v>
          </cell>
          <cell r="AH2051" t="str">
            <v>6. Partidas significativas de gastos</v>
          </cell>
        </row>
        <row r="2052">
          <cell r="D2052">
            <v>0</v>
          </cell>
          <cell r="G2052" t="str">
            <v/>
          </cell>
          <cell r="H2052" t="str">
            <v>Est. Resultado</v>
          </cell>
          <cell r="I2052" t="str">
            <v>Resultado</v>
          </cell>
          <cell r="J2052" t="str">
            <v>7. Gastos de Administración</v>
          </cell>
          <cell r="K2052" t="str">
            <v>10. Gastos Generales</v>
          </cell>
          <cell r="L2052" t="str">
            <v>EBITDA</v>
          </cell>
          <cell r="N2052" t="str">
            <v>GANANCIAS (PERDIDAS) ANTES DE IMPUESTOS</v>
          </cell>
          <cell r="O2052" t="str">
            <v>GANANCIA (PÉRDIDA) NETA</v>
          </cell>
          <cell r="P2052" t="str">
            <v>Resultado Ingresos y Gastos Integrales</v>
          </cell>
          <cell r="Q2052" t="str">
            <v>I. Ganancia (pérdida), antes de impuestos</v>
          </cell>
          <cell r="R2052" t="str">
            <v>b. Ganancia (pérdida)</v>
          </cell>
          <cell r="S2052" t="str">
            <v>5. Gasto de administración</v>
          </cell>
          <cell r="T2052" t="str">
            <v>14. Gastos Generales</v>
          </cell>
          <cell r="V2052" t="str">
            <v>II. Gastos</v>
          </cell>
          <cell r="W2052" t="str">
            <v>23. Bienes y Servicios para Producción</v>
          </cell>
          <cell r="Z2052" t="str">
            <v>III. Gastos de Administración</v>
          </cell>
          <cell r="AA2052" t="str">
            <v>6. Gastos Generales</v>
          </cell>
          <cell r="AC2052" t="str">
            <v>III. Gasto Administración</v>
          </cell>
          <cell r="AD2052" t="str">
            <v>2. Bienes y servicios Adm.</v>
          </cell>
          <cell r="AE2052" t="str">
            <v>6. Gastos Generales</v>
          </cell>
          <cell r="AG2052" t="str">
            <v xml:space="preserve"> </v>
          </cell>
          <cell r="AH2052" t="str">
            <v>6. Partidas significativas de gastos</v>
          </cell>
        </row>
        <row r="2053">
          <cell r="D2053" t="str">
            <v>Gastos Generales</v>
          </cell>
          <cell r="E2053" t="str">
            <v>Gastos Generales</v>
          </cell>
          <cell r="G2053" t="str">
            <v xml:space="preserve">Gastos Generales  </v>
          </cell>
          <cell r="H2053" t="str">
            <v/>
          </cell>
          <cell r="I2053" t="str">
            <v/>
          </cell>
          <cell r="J2053" t="str">
            <v/>
          </cell>
          <cell r="L2053" t="str">
            <v/>
          </cell>
          <cell r="N2053" t="str">
            <v/>
          </cell>
          <cell r="O2053" t="str">
            <v/>
          </cell>
          <cell r="P2053" t="str">
            <v/>
          </cell>
        </row>
        <row r="2054">
          <cell r="D2054" t="str">
            <v>4280990000</v>
          </cell>
          <cell r="E2054" t="str">
            <v>4280990000</v>
          </cell>
          <cell r="F2054" t="str">
            <v>Patente Vehiculos y Comercial</v>
          </cell>
          <cell r="G2054" t="str">
            <v>4280990000  Patente Vehiculos y Comercial</v>
          </cell>
          <cell r="H2054" t="str">
            <v>Est. Resultado</v>
          </cell>
          <cell r="I2054" t="str">
            <v>Resultado</v>
          </cell>
          <cell r="J2054" t="str">
            <v>7. Gastos de Administración</v>
          </cell>
          <cell r="K2054" t="str">
            <v>11. Patentes e Incobrables</v>
          </cell>
          <cell r="L2054" t="str">
            <v>EBITDA</v>
          </cell>
          <cell r="N2054" t="str">
            <v>GANANCIAS (PERDIDAS) ANTES DE IMPUESTOS</v>
          </cell>
          <cell r="O2054" t="str">
            <v>GANANCIA (PÉRDIDA) NETA</v>
          </cell>
          <cell r="P2054" t="str">
            <v>Resultado Ingresos y Gastos Integrales</v>
          </cell>
          <cell r="Q2054" t="str">
            <v>I. Ganancia (pérdida), antes de impuestos</v>
          </cell>
          <cell r="R2054" t="str">
            <v>b. Ganancia (pérdida)</v>
          </cell>
          <cell r="S2054" t="str">
            <v>5. Gasto de administración</v>
          </cell>
          <cell r="T2054" t="str">
            <v>13. Patentes e Incobrables</v>
          </cell>
          <cell r="V2054" t="str">
            <v>II. Gastos</v>
          </cell>
          <cell r="W2054" t="str">
            <v>23. Bienes y Servicios para Producción</v>
          </cell>
          <cell r="Z2054" t="str">
            <v>III. Gastos de Administración</v>
          </cell>
          <cell r="AA2054" t="str">
            <v>6. Gastos Generales</v>
          </cell>
          <cell r="AC2054" t="str">
            <v>III. Gasto Administración</v>
          </cell>
          <cell r="AD2054" t="str">
            <v>2. Bienes y servicios Adm.</v>
          </cell>
          <cell r="AE2054" t="str">
            <v>6. Gastos Generales</v>
          </cell>
          <cell r="AG2054" t="str">
            <v xml:space="preserve"> </v>
          </cell>
          <cell r="AH2054" t="str">
            <v>6. Partidas significativas de gastos</v>
          </cell>
        </row>
        <row r="2055">
          <cell r="D2055" t="str">
            <v>4280991000</v>
          </cell>
          <cell r="E2055" t="str">
            <v>4280991000</v>
          </cell>
          <cell r="F2055" t="str">
            <v>Tag Vehiculos</v>
          </cell>
          <cell r="G2055" t="str">
            <v>4280991000  Tag Vehiculos</v>
          </cell>
          <cell r="H2055" t="str">
            <v>Est. Resultado</v>
          </cell>
          <cell r="I2055" t="str">
            <v>Resultado</v>
          </cell>
          <cell r="J2055" t="str">
            <v>7. Gastos de Administración</v>
          </cell>
          <cell r="K2055" t="str">
            <v>11. Patentes e Incobrables</v>
          </cell>
          <cell r="L2055" t="str">
            <v>EBITDA</v>
          </cell>
          <cell r="N2055" t="str">
            <v>GANANCIAS (PERDIDAS) ANTES DE IMPUESTOS</v>
          </cell>
          <cell r="O2055" t="str">
            <v>GANANCIA (PÉRDIDA) NETA</v>
          </cell>
          <cell r="P2055" t="str">
            <v>Resultado Ingresos y Gastos Integrales</v>
          </cell>
          <cell r="Q2055" t="str">
            <v>I. Ganancia (pérdida), antes de impuestos</v>
          </cell>
          <cell r="R2055" t="str">
            <v>b. Ganancia (pérdida)</v>
          </cell>
          <cell r="S2055" t="str">
            <v>5. Gasto de administración</v>
          </cell>
          <cell r="T2055" t="str">
            <v>13. Patentes e Incobrables</v>
          </cell>
          <cell r="V2055" t="str">
            <v>II. Gastos</v>
          </cell>
          <cell r="W2055" t="str">
            <v>23. Bienes y Servicios para Producción</v>
          </cell>
          <cell r="Z2055" t="str">
            <v>III. Gastos de Administración</v>
          </cell>
          <cell r="AA2055" t="str">
            <v>6. Gastos Generales</v>
          </cell>
          <cell r="AC2055" t="str">
            <v>III. Gasto Administración</v>
          </cell>
          <cell r="AD2055" t="str">
            <v>2. Bienes y servicios Adm.</v>
          </cell>
          <cell r="AE2055" t="str">
            <v>6. Gastos Generales</v>
          </cell>
          <cell r="AG2055" t="str">
            <v xml:space="preserve"> </v>
          </cell>
          <cell r="AH2055" t="str">
            <v>6. Partidas significativas de gastos</v>
          </cell>
        </row>
        <row r="2056">
          <cell r="D2056" t="str">
            <v>4310920000</v>
          </cell>
          <cell r="E2056" t="str">
            <v>4310920000</v>
          </cell>
          <cell r="F2056" t="str">
            <v>Imp Ley Timbre Estam</v>
          </cell>
          <cell r="G2056" t="str">
            <v>4310920000  Imp Ley Timbre Estam</v>
          </cell>
          <cell r="H2056" t="str">
            <v>Est. Resultado</v>
          </cell>
          <cell r="I2056" t="str">
            <v>Resultado</v>
          </cell>
          <cell r="J2056" t="str">
            <v>7. Gastos de Administración</v>
          </cell>
          <cell r="K2056" t="str">
            <v>11. Patentes e Incobrables</v>
          </cell>
          <cell r="L2056" t="str">
            <v>EBITDA</v>
          </cell>
          <cell r="N2056" t="str">
            <v>GANANCIAS (PERDIDAS) ANTES DE IMPUESTOS</v>
          </cell>
          <cell r="O2056" t="str">
            <v>GANANCIA (PÉRDIDA) NETA</v>
          </cell>
          <cell r="P2056" t="str">
            <v>Resultado Ingresos y Gastos Integrales</v>
          </cell>
          <cell r="Q2056" t="str">
            <v>I. Ganancia (pérdida), antes de impuestos</v>
          </cell>
          <cell r="R2056" t="str">
            <v>b. Ganancia (pérdida)</v>
          </cell>
          <cell r="S2056" t="str">
            <v>5. Gasto de administración</v>
          </cell>
          <cell r="T2056" t="str">
            <v>13. Patentes e Incobrables</v>
          </cell>
          <cell r="V2056" t="str">
            <v>II. Gastos</v>
          </cell>
          <cell r="W2056" t="str">
            <v>23. Bienes y Servicios para Producción</v>
          </cell>
          <cell r="Z2056" t="str">
            <v>III. Gastos de Administración</v>
          </cell>
          <cell r="AA2056" t="str">
            <v>6. Gastos Generales</v>
          </cell>
          <cell r="AC2056" t="str">
            <v>III. Gasto Administración</v>
          </cell>
          <cell r="AD2056" t="str">
            <v>2. Bienes y servicios Adm.</v>
          </cell>
          <cell r="AE2056" t="str">
            <v>6. Gastos Generales</v>
          </cell>
          <cell r="AG2056" t="str">
            <v xml:space="preserve"> </v>
          </cell>
          <cell r="AH2056" t="str">
            <v>6. Partidas significativas de gastos</v>
          </cell>
        </row>
        <row r="2057">
          <cell r="D2057" t="str">
            <v>4330200000</v>
          </cell>
          <cell r="E2057" t="str">
            <v>4330200000</v>
          </cell>
          <cell r="F2057" t="str">
            <v>Provision Incobrable</v>
          </cell>
          <cell r="G2057" t="str">
            <v>4330200000  Provision Incobrable</v>
          </cell>
          <cell r="H2057" t="str">
            <v>Est. Resultado</v>
          </cell>
          <cell r="I2057" t="str">
            <v>Resultado</v>
          </cell>
          <cell r="J2057" t="str">
            <v>7. Gastos de Administración</v>
          </cell>
          <cell r="K2057" t="str">
            <v>11. Patentes e Incobrables</v>
          </cell>
          <cell r="L2057" t="str">
            <v>EBITDA</v>
          </cell>
          <cell r="N2057" t="str">
            <v>GANANCIAS (PERDIDAS) ANTES DE IMPUESTOS</v>
          </cell>
          <cell r="O2057" t="str">
            <v>GANANCIA (PÉRDIDA) NETA</v>
          </cell>
          <cell r="P2057" t="str">
            <v>Resultado Ingresos y Gastos Integrales</v>
          </cell>
          <cell r="Q2057" t="str">
            <v>I. Ganancia (pérdida), antes de impuestos</v>
          </cell>
          <cell r="R2057" t="str">
            <v>b. Ganancia (pérdida)</v>
          </cell>
          <cell r="S2057" t="str">
            <v>5. Gasto de administración</v>
          </cell>
          <cell r="T2057" t="str">
            <v>13. Patentes e Incobrables</v>
          </cell>
          <cell r="V2057" t="str">
            <v>II. Gastos</v>
          </cell>
          <cell r="W2057" t="str">
            <v>23. Bienes y Servicios para Producción</v>
          </cell>
          <cell r="Z2057" t="str">
            <v>III. Gastos de Administración</v>
          </cell>
          <cell r="AA2057" t="str">
            <v>6. Gastos Generales</v>
          </cell>
          <cell r="AC2057" t="str">
            <v>III. Gasto Administración</v>
          </cell>
          <cell r="AD2057" t="str">
            <v>2. Bienes y servicios Adm.</v>
          </cell>
          <cell r="AE2057" t="str">
            <v>6. Gastos Generales</v>
          </cell>
          <cell r="AG2057" t="str">
            <v xml:space="preserve"> </v>
          </cell>
          <cell r="AH2057" t="str">
            <v>6. Partidas significativas de gastos</v>
          </cell>
        </row>
        <row r="2058">
          <cell r="D2058" t="str">
            <v>4330300000</v>
          </cell>
          <cell r="E2058" t="str">
            <v>4330300000</v>
          </cell>
          <cell r="F2058" t="str">
            <v>Juridicos y Notariales</v>
          </cell>
          <cell r="G2058" t="str">
            <v>4330300000  Juridicos y Notariales</v>
          </cell>
          <cell r="H2058" t="str">
            <v>Est. Resultado</v>
          </cell>
          <cell r="I2058" t="str">
            <v>Resultado</v>
          </cell>
          <cell r="J2058" t="str">
            <v>7. Gastos de Administración</v>
          </cell>
          <cell r="K2058" t="str">
            <v>11. Patentes e Incobrables</v>
          </cell>
          <cell r="L2058" t="str">
            <v>EBITDA</v>
          </cell>
          <cell r="N2058" t="str">
            <v>GANANCIAS (PERDIDAS) ANTES DE IMPUESTOS</v>
          </cell>
          <cell r="O2058" t="str">
            <v>GANANCIA (PÉRDIDA) NETA</v>
          </cell>
          <cell r="P2058" t="str">
            <v>Resultado Ingresos y Gastos Integrales</v>
          </cell>
          <cell r="Q2058" t="str">
            <v>I. Ganancia (pérdida), antes de impuestos</v>
          </cell>
          <cell r="R2058" t="str">
            <v>b. Ganancia (pérdida)</v>
          </cell>
          <cell r="S2058" t="str">
            <v>5. Gasto de administración</v>
          </cell>
          <cell r="T2058" t="str">
            <v>13. Patentes e Incobrables</v>
          </cell>
          <cell r="V2058" t="str">
            <v>II. Gastos</v>
          </cell>
          <cell r="W2058" t="str">
            <v>23. Bienes y Servicios para Producción</v>
          </cell>
          <cell r="Z2058" t="str">
            <v>III. Gastos de Administración</v>
          </cell>
          <cell r="AA2058" t="str">
            <v>6. Gastos Generales</v>
          </cell>
          <cell r="AC2058" t="str">
            <v>III. Gasto Administración</v>
          </cell>
          <cell r="AD2058" t="str">
            <v>2. Bienes y servicios Adm.</v>
          </cell>
          <cell r="AE2058" t="str">
            <v>6. Gastos Generales</v>
          </cell>
          <cell r="AG2058" t="str">
            <v xml:space="preserve"> </v>
          </cell>
          <cell r="AH2058" t="str">
            <v>6. Partidas significativas de gastos</v>
          </cell>
        </row>
        <row r="2059">
          <cell r="D2059">
            <v>0</v>
          </cell>
          <cell r="G2059" t="str">
            <v/>
          </cell>
          <cell r="H2059" t="str">
            <v>Est. Resultado</v>
          </cell>
          <cell r="I2059" t="str">
            <v>Resultado</v>
          </cell>
          <cell r="J2059" t="str">
            <v>7. Gastos de Administración</v>
          </cell>
          <cell r="K2059" t="str">
            <v>11. Patentes e Incobrables</v>
          </cell>
          <cell r="L2059" t="str">
            <v>EBITDA</v>
          </cell>
          <cell r="N2059" t="str">
            <v>GANANCIAS (PERDIDAS) ANTES DE IMPUESTOS</v>
          </cell>
          <cell r="O2059" t="str">
            <v>GANANCIA (PÉRDIDA) NETA</v>
          </cell>
          <cell r="P2059" t="str">
            <v>Resultado Ingresos y Gastos Integrales</v>
          </cell>
          <cell r="Q2059" t="str">
            <v>I. Ganancia (pérdida), antes de impuestos</v>
          </cell>
          <cell r="R2059" t="str">
            <v>b. Ganancia (pérdida)</v>
          </cell>
          <cell r="S2059" t="str">
            <v>5. Gasto de administración</v>
          </cell>
          <cell r="T2059" t="str">
            <v>13. Patentes e Incobrables</v>
          </cell>
          <cell r="V2059" t="str">
            <v>II. Gastos</v>
          </cell>
          <cell r="W2059" t="str">
            <v>23. Bienes y Servicios para Producción</v>
          </cell>
          <cell r="Z2059" t="str">
            <v>III. Gastos de Administración</v>
          </cell>
          <cell r="AA2059" t="str">
            <v>6. Gastos Generales</v>
          </cell>
          <cell r="AC2059" t="str">
            <v>III. Gasto Administración</v>
          </cell>
          <cell r="AD2059" t="str">
            <v>2. Bienes y servicios Adm.</v>
          </cell>
          <cell r="AE2059" t="str">
            <v>6. Gastos Generales</v>
          </cell>
          <cell r="AG2059" t="str">
            <v xml:space="preserve"> </v>
          </cell>
          <cell r="AH2059" t="str">
            <v>6. Partidas significativas de gastos</v>
          </cell>
        </row>
        <row r="2060">
          <cell r="D2060">
            <v>0</v>
          </cell>
          <cell r="G2060" t="str">
            <v/>
          </cell>
          <cell r="H2060" t="str">
            <v>Est. Resultado</v>
          </cell>
          <cell r="I2060" t="str">
            <v>Resultado</v>
          </cell>
          <cell r="J2060" t="str">
            <v>7. Gastos de Administración</v>
          </cell>
          <cell r="K2060" t="str">
            <v>11. Patentes e Incobrables</v>
          </cell>
          <cell r="L2060" t="str">
            <v>EBITDA</v>
          </cell>
          <cell r="N2060" t="str">
            <v>GANANCIAS (PERDIDAS) ANTES DE IMPUESTOS</v>
          </cell>
          <cell r="O2060" t="str">
            <v>GANANCIA (PÉRDIDA) NETA</v>
          </cell>
          <cell r="P2060" t="str">
            <v>Resultado Ingresos y Gastos Integrales</v>
          </cell>
          <cell r="Q2060" t="str">
            <v>I. Ganancia (pérdida), antes de impuestos</v>
          </cell>
          <cell r="R2060" t="str">
            <v>b. Ganancia (pérdida)</v>
          </cell>
          <cell r="S2060" t="str">
            <v>5. Gasto de administración</v>
          </cell>
          <cell r="T2060" t="str">
            <v>13. Patentes e Incobrables</v>
          </cell>
          <cell r="V2060" t="str">
            <v>II. Gastos</v>
          </cell>
          <cell r="W2060" t="str">
            <v>23. Bienes y Servicios para Producción</v>
          </cell>
          <cell r="Z2060" t="str">
            <v>III. Gastos de Administración</v>
          </cell>
          <cell r="AA2060" t="str">
            <v>6. Gastos Generales</v>
          </cell>
          <cell r="AC2060" t="str">
            <v>III. Gasto Administración</v>
          </cell>
          <cell r="AD2060" t="str">
            <v>2. Bienes y servicios Adm.</v>
          </cell>
          <cell r="AE2060" t="str">
            <v>6. Gastos Generales</v>
          </cell>
          <cell r="AG2060" t="str">
            <v xml:space="preserve"> </v>
          </cell>
          <cell r="AH2060" t="str">
            <v>6. Partidas significativas de gastos</v>
          </cell>
        </row>
        <row r="2061">
          <cell r="D2061">
            <v>0</v>
          </cell>
          <cell r="G2061" t="str">
            <v/>
          </cell>
          <cell r="H2061" t="str">
            <v>Est. Resultado</v>
          </cell>
          <cell r="I2061" t="str">
            <v>Resultado</v>
          </cell>
          <cell r="J2061" t="str">
            <v>7. Gastos de Administración</v>
          </cell>
          <cell r="K2061" t="str">
            <v>11. Patentes e Incobrables</v>
          </cell>
          <cell r="L2061" t="str">
            <v>EBITDA</v>
          </cell>
          <cell r="N2061" t="str">
            <v>GANANCIAS (PERDIDAS) ANTES DE IMPUESTOS</v>
          </cell>
          <cell r="O2061" t="str">
            <v>GANANCIA (PÉRDIDA) NETA</v>
          </cell>
          <cell r="P2061" t="str">
            <v>Resultado Ingresos y Gastos Integrales</v>
          </cell>
          <cell r="Q2061" t="str">
            <v>I. Ganancia (pérdida), antes de impuestos</v>
          </cell>
          <cell r="R2061" t="str">
            <v>b. Ganancia (pérdida)</v>
          </cell>
          <cell r="S2061" t="str">
            <v>5. Gasto de administración</v>
          </cell>
          <cell r="T2061" t="str">
            <v>13. Patentes e Incobrables</v>
          </cell>
          <cell r="V2061" t="str">
            <v>II. Gastos</v>
          </cell>
          <cell r="W2061" t="str">
            <v>23. Bienes y Servicios para Producción</v>
          </cell>
          <cell r="Z2061" t="str">
            <v>III. Gastos de Administración</v>
          </cell>
          <cell r="AA2061" t="str">
            <v>6. Gastos Generales</v>
          </cell>
          <cell r="AC2061" t="str">
            <v>III. Gasto Administración</v>
          </cell>
          <cell r="AD2061" t="str">
            <v>2. Bienes y servicios Adm.</v>
          </cell>
          <cell r="AE2061" t="str">
            <v>6. Gastos Generales</v>
          </cell>
          <cell r="AG2061" t="str">
            <v xml:space="preserve"> </v>
          </cell>
          <cell r="AH2061" t="str">
            <v>6. Partidas significativas de gastos</v>
          </cell>
        </row>
        <row r="2062">
          <cell r="D2062" t="str">
            <v>Patentes e Incobrables</v>
          </cell>
          <cell r="E2062" t="str">
            <v>Patentes e Incobrables</v>
          </cell>
          <cell r="G2062" t="str">
            <v xml:space="preserve">Patentes e Incobrables  </v>
          </cell>
          <cell r="H2062" t="str">
            <v/>
          </cell>
          <cell r="I2062" t="str">
            <v/>
          </cell>
          <cell r="J2062" t="str">
            <v/>
          </cell>
          <cell r="L2062" t="str">
            <v/>
          </cell>
          <cell r="N2062" t="str">
            <v/>
          </cell>
          <cell r="O2062" t="str">
            <v/>
          </cell>
          <cell r="P2062" t="str">
            <v/>
          </cell>
        </row>
        <row r="2063">
          <cell r="D2063" t="str">
            <v>3240300010</v>
          </cell>
          <cell r="E2063" t="str">
            <v>3240300010</v>
          </cell>
          <cell r="F2063" t="str">
            <v>Ing Rec Serv Administracion</v>
          </cell>
          <cell r="G2063" t="str">
            <v>3240300010  Ing Rec Serv Administracion</v>
          </cell>
          <cell r="H2063" t="str">
            <v>Est. Resultado</v>
          </cell>
          <cell r="I2063" t="str">
            <v>Resultado</v>
          </cell>
          <cell r="J2063" t="str">
            <v>7. Gastos de Administración</v>
          </cell>
          <cell r="K2063" t="str">
            <v>12. Ing Rec Filial Administración</v>
          </cell>
          <cell r="L2063" t="str">
            <v>EBITDA</v>
          </cell>
          <cell r="N2063" t="str">
            <v>GANANCIAS (PERDIDAS) ANTES DE IMPUESTOS</v>
          </cell>
          <cell r="O2063" t="str">
            <v>GANANCIA (PÉRDIDA) NETA</v>
          </cell>
          <cell r="P2063" t="str">
            <v>Resultado Ingresos y Gastos Integrales</v>
          </cell>
          <cell r="Q2063" t="str">
            <v>I. Ganancia (pérdida), antes de impuestos</v>
          </cell>
          <cell r="R2063" t="str">
            <v>b. Ganancia (pérdida)</v>
          </cell>
          <cell r="S2063" t="str">
            <v>5. Gasto de administración</v>
          </cell>
          <cell r="T2063" t="str">
            <v>15. Ing Rec Filial Administración</v>
          </cell>
          <cell r="V2063" t="str">
            <v>II. Gastos</v>
          </cell>
          <cell r="W2063" t="str">
            <v>23. Bienes y Servicios para Producción</v>
          </cell>
          <cell r="Z2063" t="str">
            <v>III. Gastos de Administración</v>
          </cell>
          <cell r="AA2063" t="str">
            <v>10. Ing Rec Filial Administración</v>
          </cell>
          <cell r="AC2063" t="str">
            <v>I. Ingresos</v>
          </cell>
          <cell r="AD2063" t="str">
            <v>5. Ing. por cobros a Filiales</v>
          </cell>
          <cell r="AE2063" t="str">
            <v>1. Ing. Rec. Filial Adm.</v>
          </cell>
          <cell r="AG2063" t="str">
            <v xml:space="preserve"> </v>
          </cell>
          <cell r="AH2063" t="str">
            <v>6. Partidas significativas de gastos</v>
          </cell>
        </row>
        <row r="2064">
          <cell r="D2064" t="str">
            <v>3240300001</v>
          </cell>
          <cell r="E2064" t="str">
            <v>3240300001</v>
          </cell>
          <cell r="F2064" t="str">
            <v>Ing Rec Serv Informatica</v>
          </cell>
          <cell r="G2064" t="str">
            <v>3240300001  Ing Rec Serv Informatica</v>
          </cell>
          <cell r="H2064" t="str">
            <v>Est. Resultado</v>
          </cell>
          <cell r="I2064" t="str">
            <v>Resultado</v>
          </cell>
          <cell r="J2064" t="str">
            <v>7. Gastos de Administración</v>
          </cell>
          <cell r="K2064" t="str">
            <v>12. Ing Rec Filial Administración</v>
          </cell>
          <cell r="L2064" t="str">
            <v>EBITDA</v>
          </cell>
          <cell r="N2064" t="str">
            <v>GANANCIAS (PERDIDAS) ANTES DE IMPUESTOS</v>
          </cell>
          <cell r="O2064" t="str">
            <v>GANANCIA (PÉRDIDA) NETA</v>
          </cell>
          <cell r="P2064" t="str">
            <v>Resultado Ingresos y Gastos Integrales</v>
          </cell>
          <cell r="Q2064" t="str">
            <v>I. Ganancia (pérdida), antes de impuestos</v>
          </cell>
          <cell r="R2064" t="str">
            <v>b. Ganancia (pérdida)</v>
          </cell>
          <cell r="S2064" t="str">
            <v>5. Gasto de administración</v>
          </cell>
          <cell r="T2064" t="str">
            <v>15. Ing Rec Filial Administración</v>
          </cell>
          <cell r="V2064" t="str">
            <v>II. Gastos</v>
          </cell>
          <cell r="W2064" t="str">
            <v>23. Bienes y Servicios para Producción</v>
          </cell>
          <cell r="Z2064" t="str">
            <v>III. Gastos de Administración</v>
          </cell>
          <cell r="AA2064" t="str">
            <v>10. Ing Rec Filial Administración</v>
          </cell>
          <cell r="AC2064" t="str">
            <v>I. Ingresos</v>
          </cell>
          <cell r="AD2064" t="str">
            <v>5. Ing. por cobros a Filiales</v>
          </cell>
          <cell r="AE2064" t="str">
            <v>1. Ing. Rec. Filial Adm.</v>
          </cell>
          <cell r="AG2064" t="str">
            <v xml:space="preserve"> </v>
          </cell>
          <cell r="AH2064" t="str">
            <v>6. Partidas significativas de gastos</v>
          </cell>
        </row>
        <row r="2065">
          <cell r="D2065" t="str">
            <v>3242500000</v>
          </cell>
          <cell r="E2065" t="str">
            <v>3242500000</v>
          </cell>
          <cell r="F2065" t="str">
            <v>Ing Rec Gastos Grales Filial</v>
          </cell>
          <cell r="G2065" t="str">
            <v>3242500000  Ing Rec Gastos Grales Filial</v>
          </cell>
          <cell r="H2065" t="str">
            <v>Est. Resultado</v>
          </cell>
          <cell r="I2065" t="str">
            <v>Resultado</v>
          </cell>
          <cell r="J2065" t="str">
            <v>7. Gastos de Administración</v>
          </cell>
          <cell r="K2065" t="str">
            <v>12. Ing Rec Filial Administración</v>
          </cell>
          <cell r="L2065" t="str">
            <v>EBITDA</v>
          </cell>
          <cell r="N2065" t="str">
            <v>GANANCIAS (PERDIDAS) ANTES DE IMPUESTOS</v>
          </cell>
          <cell r="O2065" t="str">
            <v>GANANCIA (PÉRDIDA) NETA</v>
          </cell>
          <cell r="P2065" t="str">
            <v>Resultado Ingresos y Gastos Integrales</v>
          </cell>
          <cell r="Q2065" t="str">
            <v>I. Ganancia (pérdida), antes de impuestos</v>
          </cell>
          <cell r="R2065" t="str">
            <v>b. Ganancia (pérdida)</v>
          </cell>
          <cell r="S2065" t="str">
            <v>5. Gasto de administración</v>
          </cell>
          <cell r="T2065" t="str">
            <v>15. Ing Rec Filial Administración</v>
          </cell>
          <cell r="V2065" t="str">
            <v>II. Gastos</v>
          </cell>
          <cell r="W2065" t="str">
            <v>23. Bienes y Servicios para Producción</v>
          </cell>
          <cell r="Z2065" t="str">
            <v>III. Gastos de Administración</v>
          </cell>
          <cell r="AA2065" t="str">
            <v>10. Ing Rec Filial Administración</v>
          </cell>
          <cell r="AC2065" t="str">
            <v>I. Ingresos</v>
          </cell>
          <cell r="AD2065" t="str">
            <v>5. Ing. por cobros a Filiales</v>
          </cell>
          <cell r="AE2065" t="str">
            <v>1. Ing. Rec. Filial Adm.</v>
          </cell>
          <cell r="AG2065" t="str">
            <v xml:space="preserve"> </v>
          </cell>
          <cell r="AH2065" t="str">
            <v>6. Partidas significativas de gastos</v>
          </cell>
        </row>
        <row r="2066">
          <cell r="D2066">
            <v>0</v>
          </cell>
          <cell r="G2066" t="str">
            <v/>
          </cell>
          <cell r="H2066" t="str">
            <v>Est. Resultado</v>
          </cell>
          <cell r="I2066" t="str">
            <v>Resultado</v>
          </cell>
          <cell r="J2066" t="str">
            <v>7. Gastos de Administración</v>
          </cell>
          <cell r="K2066" t="str">
            <v>12. Ing Rec Filial Administración</v>
          </cell>
          <cell r="L2066" t="str">
            <v>EBITDA</v>
          </cell>
          <cell r="N2066" t="str">
            <v>GANANCIAS (PERDIDAS) ANTES DE IMPUESTOS</v>
          </cell>
          <cell r="O2066" t="str">
            <v>GANANCIA (PÉRDIDA) NETA</v>
          </cell>
          <cell r="P2066" t="str">
            <v>Resultado Ingresos y Gastos Integrales</v>
          </cell>
          <cell r="Q2066" t="str">
            <v>I. Ganancia (pérdida), antes de impuestos</v>
          </cell>
          <cell r="R2066" t="str">
            <v>b. Ganancia (pérdida)</v>
          </cell>
          <cell r="S2066" t="str">
            <v>5. Gasto de administración</v>
          </cell>
          <cell r="T2066" t="str">
            <v>15. Ing Rec Filial Administración</v>
          </cell>
          <cell r="V2066" t="str">
            <v>II. Gastos</v>
          </cell>
          <cell r="W2066" t="str">
            <v>23. Bienes y Servicios para Producción</v>
          </cell>
          <cell r="Z2066" t="str">
            <v>III. Gastos de Administración</v>
          </cell>
          <cell r="AA2066" t="str">
            <v>10. Ing Rec Filial Administración</v>
          </cell>
          <cell r="AC2066" t="str">
            <v>I. Ingresos</v>
          </cell>
          <cell r="AD2066" t="str">
            <v>5. Ing. por cobros a Filiales</v>
          </cell>
          <cell r="AE2066" t="str">
            <v>1. Ing. Rec. Filial Adm.</v>
          </cell>
          <cell r="AG2066" t="str">
            <v xml:space="preserve"> </v>
          </cell>
          <cell r="AH2066" t="str">
            <v>6. Partidas significativas de gastos</v>
          </cell>
        </row>
        <row r="2067">
          <cell r="D2067">
            <v>0</v>
          </cell>
          <cell r="G2067" t="str">
            <v/>
          </cell>
          <cell r="H2067" t="str">
            <v>Est. Resultado</v>
          </cell>
          <cell r="I2067" t="str">
            <v>Resultado</v>
          </cell>
          <cell r="J2067" t="str">
            <v>7. Gastos de Administración</v>
          </cell>
          <cell r="K2067" t="str">
            <v>12. Ing Rec Filial Administración</v>
          </cell>
          <cell r="L2067" t="str">
            <v>EBITDA</v>
          </cell>
          <cell r="N2067" t="str">
            <v>GANANCIAS (PERDIDAS) ANTES DE IMPUESTOS</v>
          </cell>
          <cell r="O2067" t="str">
            <v>GANANCIA (PÉRDIDA) NETA</v>
          </cell>
          <cell r="P2067" t="str">
            <v>Resultado Ingresos y Gastos Integrales</v>
          </cell>
          <cell r="Q2067" t="str">
            <v>I. Ganancia (pérdida), antes de impuestos</v>
          </cell>
          <cell r="R2067" t="str">
            <v>b. Ganancia (pérdida)</v>
          </cell>
          <cell r="S2067" t="str">
            <v>5. Gasto de administración</v>
          </cell>
          <cell r="T2067" t="str">
            <v>15. Ing Rec Filial Administración</v>
          </cell>
          <cell r="V2067" t="str">
            <v>II. Gastos</v>
          </cell>
          <cell r="W2067" t="str">
            <v>23. Bienes y Servicios para Producción</v>
          </cell>
          <cell r="Z2067" t="str">
            <v>III. Gastos de Administración</v>
          </cell>
          <cell r="AA2067" t="str">
            <v>10. Ing Rec Filial Administración</v>
          </cell>
          <cell r="AC2067" t="str">
            <v>I. Ingresos</v>
          </cell>
          <cell r="AD2067" t="str">
            <v>5. Ing. por cobros a Filiales</v>
          </cell>
          <cell r="AE2067" t="str">
            <v>1. Ing. Rec. Filial Adm.</v>
          </cell>
          <cell r="AG2067" t="str">
            <v xml:space="preserve"> </v>
          </cell>
          <cell r="AH2067" t="str">
            <v>6. Partidas significativas de gastos</v>
          </cell>
        </row>
        <row r="2068">
          <cell r="D2068">
            <v>0</v>
          </cell>
          <cell r="G2068" t="str">
            <v/>
          </cell>
          <cell r="H2068" t="str">
            <v>Est. Resultado</v>
          </cell>
          <cell r="I2068" t="str">
            <v>Resultado</v>
          </cell>
          <cell r="J2068" t="str">
            <v>7. Gastos de Administración</v>
          </cell>
          <cell r="K2068" t="str">
            <v>12. Ing Rec Filial Administración</v>
          </cell>
          <cell r="L2068" t="str">
            <v>EBITDA</v>
          </cell>
          <cell r="N2068" t="str">
            <v>GANANCIAS (PERDIDAS) ANTES DE IMPUESTOS</v>
          </cell>
          <cell r="O2068" t="str">
            <v>GANANCIA (PÉRDIDA) NETA</v>
          </cell>
          <cell r="P2068" t="str">
            <v>Resultado Ingresos y Gastos Integrales</v>
          </cell>
          <cell r="Q2068" t="str">
            <v>I. Ganancia (pérdida), antes de impuestos</v>
          </cell>
          <cell r="R2068" t="str">
            <v>b. Ganancia (pérdida)</v>
          </cell>
          <cell r="S2068" t="str">
            <v>5. Gasto de administración</v>
          </cell>
          <cell r="T2068" t="str">
            <v>15. Ing Rec Filial Administración</v>
          </cell>
          <cell r="V2068" t="str">
            <v>II. Gastos</v>
          </cell>
          <cell r="W2068" t="str">
            <v>23. Bienes y Servicios para Producción</v>
          </cell>
          <cell r="Z2068" t="str">
            <v>III. Gastos de Administración</v>
          </cell>
          <cell r="AA2068" t="str">
            <v>10. Ing Rec Filial Administración</v>
          </cell>
          <cell r="AC2068" t="str">
            <v>I. Ingresos</v>
          </cell>
          <cell r="AD2068" t="str">
            <v>5. Ing. por cobros a Filiales</v>
          </cell>
          <cell r="AE2068" t="str">
            <v>1. Ing. Rec. Filial Adm.</v>
          </cell>
          <cell r="AG2068" t="str">
            <v xml:space="preserve"> </v>
          </cell>
          <cell r="AH2068" t="str">
            <v>6. Partidas significativas de gastos</v>
          </cell>
        </row>
        <row r="2069">
          <cell r="D2069" t="str">
            <v>Ing Rec Filial Administracion</v>
          </cell>
          <cell r="E2069" t="str">
            <v>Ing Rec Filial Administracion</v>
          </cell>
          <cell r="G2069" t="str">
            <v xml:space="preserve">Ing Rec Filial Administracion  </v>
          </cell>
          <cell r="H2069" t="str">
            <v/>
          </cell>
          <cell r="I2069" t="str">
            <v/>
          </cell>
          <cell r="J2069" t="str">
            <v/>
          </cell>
          <cell r="L2069" t="str">
            <v/>
          </cell>
          <cell r="N2069" t="str">
            <v/>
          </cell>
          <cell r="O2069" t="str">
            <v/>
          </cell>
          <cell r="P2069" t="str">
            <v/>
          </cell>
        </row>
        <row r="2070">
          <cell r="D2070" t="str">
            <v>GASTOS DE ADMINISTRACION</v>
          </cell>
          <cell r="E2070" t="str">
            <v>GASTOS DE ADMINISTRACION</v>
          </cell>
          <cell r="G2070" t="str">
            <v xml:space="preserve">GASTOS DE ADMINISTRACION  </v>
          </cell>
          <cell r="H2070" t="str">
            <v/>
          </cell>
          <cell r="I2070" t="str">
            <v/>
          </cell>
          <cell r="L2070" t="str">
            <v/>
          </cell>
          <cell r="N2070" t="str">
            <v/>
          </cell>
          <cell r="O2070" t="str">
            <v/>
          </cell>
          <cell r="P2070" t="str">
            <v/>
          </cell>
        </row>
        <row r="2071">
          <cell r="D2071" t="str">
            <v>4340400000</v>
          </cell>
          <cell r="E2071" t="str">
            <v>4340400000</v>
          </cell>
          <cell r="F2071" t="str">
            <v>Otro Impuesto Pagado</v>
          </cell>
          <cell r="G2071" t="str">
            <v>4340400000  Otro Impuesto Pagado</v>
          </cell>
          <cell r="H2071" t="str">
            <v>Est. Resultado</v>
          </cell>
          <cell r="I2071" t="str">
            <v>Resultado</v>
          </cell>
          <cell r="J2071" t="str">
            <v>8. Otros Gastos de Operación</v>
          </cell>
          <cell r="K2071" t="str">
            <v>13. IVA Administración</v>
          </cell>
          <cell r="L2071" t="str">
            <v>EBITDA</v>
          </cell>
          <cell r="N2071" t="str">
            <v>GANANCIAS (PERDIDAS) ANTES DE IMPUESTOS</v>
          </cell>
          <cell r="O2071" t="str">
            <v>GANANCIA (PÉRDIDA) NETA</v>
          </cell>
          <cell r="P2071" t="str">
            <v>Resultado Ingresos y Gastos Integrales</v>
          </cell>
          <cell r="Q2071" t="str">
            <v>I. Ganancia (pérdida), antes de impuestos</v>
          </cell>
          <cell r="R2071" t="str">
            <v>b. Ganancia (pérdida)</v>
          </cell>
          <cell r="S2071" t="str">
            <v>6. Otros gastos, por función</v>
          </cell>
          <cell r="T2071" t="str">
            <v>2. IVA Administración</v>
          </cell>
          <cell r="V2071" t="str">
            <v>II. Gastos</v>
          </cell>
          <cell r="W2071" t="str">
            <v>23. Bienes y Servicios para Producción</v>
          </cell>
          <cell r="Z2071" t="str">
            <v>III. Gastos de Administración</v>
          </cell>
          <cell r="AA2071" t="str">
            <v>7. Serv. Adm. E Impuestos</v>
          </cell>
          <cell r="AC2071" t="str">
            <v>III. Gasto Administración</v>
          </cell>
          <cell r="AD2071" t="str">
            <v>2. Bienes y servicios Adm.</v>
          </cell>
          <cell r="AE2071" t="str">
            <v>7. Serv. Adm. E Impuestos</v>
          </cell>
          <cell r="AH2071" t="str">
            <v>6. Partidas significativas de gastos</v>
          </cell>
        </row>
        <row r="2072">
          <cell r="D2072" t="str">
            <v>4340500000</v>
          </cell>
          <cell r="E2072" t="str">
            <v>4340500000</v>
          </cell>
          <cell r="F2072" t="str">
            <v>Gasto por IVA</v>
          </cell>
          <cell r="G2072" t="str">
            <v>4340500000  Gasto por IVA</v>
          </cell>
          <cell r="H2072" t="str">
            <v>Est. Resultado</v>
          </cell>
          <cell r="I2072" t="str">
            <v>Resultado</v>
          </cell>
          <cell r="J2072" t="str">
            <v>8. Otros Gastos de Operación</v>
          </cell>
          <cell r="K2072" t="str">
            <v>13. IVA Administración</v>
          </cell>
          <cell r="L2072" t="str">
            <v>EBITDA</v>
          </cell>
          <cell r="N2072" t="str">
            <v>GANANCIAS (PERDIDAS) ANTES DE IMPUESTOS</v>
          </cell>
          <cell r="O2072" t="str">
            <v>GANANCIA (PÉRDIDA) NETA</v>
          </cell>
          <cell r="P2072" t="str">
            <v>Resultado Ingresos y Gastos Integrales</v>
          </cell>
          <cell r="Q2072" t="str">
            <v>I. Ganancia (pérdida), antes de impuestos</v>
          </cell>
          <cell r="R2072" t="str">
            <v>b. Ganancia (pérdida)</v>
          </cell>
          <cell r="S2072" t="str">
            <v>6. Otros gastos, por función</v>
          </cell>
          <cell r="T2072" t="str">
            <v>2. IVA Administración</v>
          </cell>
          <cell r="V2072" t="str">
            <v>II. Gastos</v>
          </cell>
          <cell r="W2072" t="str">
            <v>23. Bienes y Servicios para Producción</v>
          </cell>
          <cell r="Z2072" t="str">
            <v>III. Gastos de Administración</v>
          </cell>
          <cell r="AA2072" t="str">
            <v>7. Serv. Adm. E Impuestos</v>
          </cell>
          <cell r="AC2072" t="str">
            <v>III. Gasto Administración</v>
          </cell>
          <cell r="AD2072" t="str">
            <v>2. Bienes y servicios Adm.</v>
          </cell>
          <cell r="AE2072" t="str">
            <v>7. Serv. Adm. E Impuestos</v>
          </cell>
          <cell r="AH2072" t="str">
            <v>6. Partidas significativas de gastos</v>
          </cell>
        </row>
        <row r="2073">
          <cell r="D2073" t="str">
            <v>4340600000</v>
          </cell>
          <cell r="E2073" t="str">
            <v>4340600000</v>
          </cell>
          <cell r="F2073" t="str">
            <v>IVA no Recuperable</v>
          </cell>
          <cell r="G2073" t="str">
            <v>4340600000  IVA no Recuperable</v>
          </cell>
          <cell r="H2073" t="str">
            <v>Est. Resultado</v>
          </cell>
          <cell r="I2073" t="str">
            <v>Resultado</v>
          </cell>
          <cell r="J2073" t="str">
            <v>8. Otros Gastos de Operación</v>
          </cell>
          <cell r="K2073" t="str">
            <v>13. IVA Administración</v>
          </cell>
          <cell r="L2073" t="str">
            <v>EBITDA</v>
          </cell>
          <cell r="N2073" t="str">
            <v>GANANCIAS (PERDIDAS) ANTES DE IMPUESTOS</v>
          </cell>
          <cell r="O2073" t="str">
            <v>GANANCIA (PÉRDIDA) NETA</v>
          </cell>
          <cell r="P2073" t="str">
            <v>Resultado Ingresos y Gastos Integrales</v>
          </cell>
          <cell r="Q2073" t="str">
            <v>I. Ganancia (pérdida), antes de impuestos</v>
          </cell>
          <cell r="R2073" t="str">
            <v>b. Ganancia (pérdida)</v>
          </cell>
          <cell r="S2073" t="str">
            <v>6. Otros gastos, por función</v>
          </cell>
          <cell r="T2073" t="str">
            <v>2. IVA Administración</v>
          </cell>
          <cell r="V2073" t="str">
            <v>II. Gastos</v>
          </cell>
          <cell r="W2073" t="str">
            <v>23. Bienes y Servicios para Producción</v>
          </cell>
          <cell r="Z2073" t="str">
            <v>III. Gastos de Administración</v>
          </cell>
          <cell r="AA2073" t="str">
            <v>7. Serv. Adm. E Impuestos</v>
          </cell>
          <cell r="AC2073" t="str">
            <v>III. Gasto Administración</v>
          </cell>
          <cell r="AD2073" t="str">
            <v>2. Bienes y servicios Adm.</v>
          </cell>
          <cell r="AE2073" t="str">
            <v>7. Serv. Adm. E Impuestos</v>
          </cell>
          <cell r="AH2073" t="str">
            <v>6. Partidas significativas de gastos</v>
          </cell>
        </row>
        <row r="2074">
          <cell r="D2074">
            <v>0</v>
          </cell>
          <cell r="G2074" t="str">
            <v/>
          </cell>
          <cell r="H2074" t="str">
            <v>Est. Resultado</v>
          </cell>
          <cell r="I2074" t="str">
            <v>Resultado</v>
          </cell>
          <cell r="J2074" t="str">
            <v>8. Otros Gastos de Operación</v>
          </cell>
          <cell r="K2074" t="str">
            <v>13. IVA Administración</v>
          </cell>
          <cell r="L2074" t="str">
            <v>EBITDA</v>
          </cell>
          <cell r="N2074" t="str">
            <v>GANANCIAS (PERDIDAS) ANTES DE IMPUESTOS</v>
          </cell>
          <cell r="O2074" t="str">
            <v>GANANCIA (PÉRDIDA) NETA</v>
          </cell>
          <cell r="P2074" t="str">
            <v>Resultado Ingresos y Gastos Integrales</v>
          </cell>
          <cell r="Q2074" t="str">
            <v>I. Ganancia (pérdida), antes de impuestos</v>
          </cell>
          <cell r="R2074" t="str">
            <v>b. Ganancia (pérdida)</v>
          </cell>
          <cell r="S2074" t="str">
            <v>6. Otros gastos, por función</v>
          </cell>
          <cell r="T2074" t="str">
            <v>2. IVA Administración</v>
          </cell>
          <cell r="V2074" t="str">
            <v>II. Gastos</v>
          </cell>
          <cell r="W2074" t="str">
            <v>23. Bienes y Servicios para Producción</v>
          </cell>
          <cell r="Z2074" t="str">
            <v>III. Gastos de Administración</v>
          </cell>
          <cell r="AA2074" t="str">
            <v>7. Serv. Adm. E Impuestos</v>
          </cell>
          <cell r="AC2074" t="str">
            <v>III. Gasto Administración</v>
          </cell>
          <cell r="AD2074" t="str">
            <v>2. Bienes y servicios Adm.</v>
          </cell>
          <cell r="AE2074" t="str">
            <v>7. Serv. Adm. E Impuestos</v>
          </cell>
          <cell r="AH2074" t="str">
            <v>6. Partidas significativas de gastos</v>
          </cell>
        </row>
        <row r="2075">
          <cell r="D2075">
            <v>0</v>
          </cell>
          <cell r="G2075" t="str">
            <v/>
          </cell>
          <cell r="H2075" t="str">
            <v>Est. Resultado</v>
          </cell>
          <cell r="I2075" t="str">
            <v>Resultado</v>
          </cell>
          <cell r="J2075" t="str">
            <v>8. Otros Gastos de Operación</v>
          </cell>
          <cell r="K2075" t="str">
            <v>13. IVA Administración</v>
          </cell>
          <cell r="L2075" t="str">
            <v>EBITDA</v>
          </cell>
          <cell r="N2075" t="str">
            <v>GANANCIAS (PERDIDAS) ANTES DE IMPUESTOS</v>
          </cell>
          <cell r="O2075" t="str">
            <v>GANANCIA (PÉRDIDA) NETA</v>
          </cell>
          <cell r="P2075" t="str">
            <v>Resultado Ingresos y Gastos Integrales</v>
          </cell>
          <cell r="Q2075" t="str">
            <v>I. Ganancia (pérdida), antes de impuestos</v>
          </cell>
          <cell r="R2075" t="str">
            <v>b. Ganancia (pérdida)</v>
          </cell>
          <cell r="S2075" t="str">
            <v>6. Otros gastos, por función</v>
          </cell>
          <cell r="T2075" t="str">
            <v>2. IVA Administración</v>
          </cell>
          <cell r="V2075" t="str">
            <v>II. Gastos</v>
          </cell>
          <cell r="W2075" t="str">
            <v>23. Bienes y Servicios para Producción</v>
          </cell>
          <cell r="Z2075" t="str">
            <v>III. Gastos de Administración</v>
          </cell>
          <cell r="AA2075" t="str">
            <v>7. Serv. Adm. E Impuestos</v>
          </cell>
          <cell r="AC2075" t="str">
            <v>III. Gasto Administración</v>
          </cell>
          <cell r="AD2075" t="str">
            <v>2. Bienes y servicios Adm.</v>
          </cell>
          <cell r="AE2075" t="str">
            <v>7. Serv. Adm. E Impuestos</v>
          </cell>
          <cell r="AH2075" t="str">
            <v>6. Partidas significativas de gastos</v>
          </cell>
        </row>
        <row r="2076">
          <cell r="D2076">
            <v>0</v>
          </cell>
          <cell r="G2076" t="str">
            <v/>
          </cell>
          <cell r="H2076" t="str">
            <v>Est. Resultado</v>
          </cell>
          <cell r="I2076" t="str">
            <v>Resultado</v>
          </cell>
          <cell r="J2076" t="str">
            <v>8. Otros Gastos de Operación</v>
          </cell>
          <cell r="K2076" t="str">
            <v>13. IVA Administración</v>
          </cell>
          <cell r="L2076" t="str">
            <v>EBITDA</v>
          </cell>
          <cell r="N2076" t="str">
            <v>GANANCIAS (PERDIDAS) ANTES DE IMPUESTOS</v>
          </cell>
          <cell r="O2076" t="str">
            <v>GANANCIA (PÉRDIDA) NETA</v>
          </cell>
          <cell r="P2076" t="str">
            <v>Resultado Ingresos y Gastos Integrales</v>
          </cell>
          <cell r="Q2076" t="str">
            <v>I. Ganancia (pérdida), antes de impuestos</v>
          </cell>
          <cell r="R2076" t="str">
            <v>b. Ganancia (pérdida)</v>
          </cell>
          <cell r="S2076" t="str">
            <v>6. Otros gastos, por función</v>
          </cell>
          <cell r="T2076" t="str">
            <v>2. IVA Administración</v>
          </cell>
          <cell r="V2076" t="str">
            <v>II. Gastos</v>
          </cell>
          <cell r="W2076" t="str">
            <v>23. Bienes y Servicios para Producción</v>
          </cell>
          <cell r="Z2076" t="str">
            <v>III. Gastos de Administración</v>
          </cell>
          <cell r="AA2076" t="str">
            <v>7. Serv. Adm. E Impuestos</v>
          </cell>
          <cell r="AC2076" t="str">
            <v>III. Gasto Administración</v>
          </cell>
          <cell r="AD2076" t="str">
            <v>2. Bienes y servicios Adm.</v>
          </cell>
          <cell r="AE2076" t="str">
            <v>7. Serv. Adm. E Impuestos</v>
          </cell>
          <cell r="AH2076" t="str">
            <v>6. Partidas significativas de gastos</v>
          </cell>
        </row>
        <row r="2077">
          <cell r="D2077" t="str">
            <v>IVA ADMINISTRACION</v>
          </cell>
          <cell r="E2077" t="str">
            <v>IVA ADMINISTRACION</v>
          </cell>
          <cell r="G2077" t="str">
            <v xml:space="preserve">IVA ADMINISTRACION  </v>
          </cell>
          <cell r="H2077" t="str">
            <v/>
          </cell>
          <cell r="I2077" t="str">
            <v/>
          </cell>
          <cell r="N2077" t="str">
            <v/>
          </cell>
          <cell r="O2077" t="str">
            <v/>
          </cell>
          <cell r="P2077" t="str">
            <v/>
          </cell>
        </row>
        <row r="2078">
          <cell r="D2078" t="str">
            <v>OTROS GASTOS DE OPERACION</v>
          </cell>
          <cell r="E2078" t="str">
            <v>OTROS GASTOS DE OPERACION</v>
          </cell>
          <cell r="G2078" t="str">
            <v xml:space="preserve">OTROS GASTOS DE OPERACION  </v>
          </cell>
          <cell r="H2078" t="str">
            <v/>
          </cell>
          <cell r="I2078" t="str">
            <v/>
          </cell>
          <cell r="N2078" t="str">
            <v/>
          </cell>
          <cell r="O2078" t="str">
            <v/>
          </cell>
          <cell r="P2078" t="str">
            <v/>
          </cell>
        </row>
        <row r="2079">
          <cell r="D2079" t="str">
            <v>EBITDA</v>
          </cell>
          <cell r="E2079" t="str">
            <v>EBITDA</v>
          </cell>
          <cell r="G2079" t="str">
            <v xml:space="preserve">EBITDA  </v>
          </cell>
          <cell r="H2079" t="str">
            <v/>
          </cell>
          <cell r="I2079" t="str">
            <v/>
          </cell>
          <cell r="N2079" t="str">
            <v/>
          </cell>
          <cell r="O2079" t="str">
            <v/>
          </cell>
          <cell r="P2079" t="str">
            <v/>
          </cell>
        </row>
        <row r="2080">
          <cell r="D2080" t="str">
            <v>3210100001</v>
          </cell>
          <cell r="E2080" t="str">
            <v>3210100001</v>
          </cell>
          <cell r="F2080" t="str">
            <v>Ganancia en Activos</v>
          </cell>
          <cell r="G2080" t="str">
            <v>3210100001  Ganancia en Activos</v>
          </cell>
          <cell r="H2080" t="str">
            <v>Est. Resultado</v>
          </cell>
          <cell r="I2080" t="str">
            <v>Resultado</v>
          </cell>
          <cell r="J2080" t="str">
            <v>9. Otras Ganancias</v>
          </cell>
          <cell r="K2080" t="str">
            <v>1. Ganancias x Baja Cta Activo Financiero</v>
          </cell>
          <cell r="L2080" t="str">
            <v>NO OPER</v>
          </cell>
          <cell r="N2080" t="str">
            <v>GANANCIAS (PERDIDAS) ANTES DE IMPUESTOS</v>
          </cell>
          <cell r="O2080" t="str">
            <v>GANANCIA (PÉRDIDA) NETA</v>
          </cell>
          <cell r="P2080" t="str">
            <v>Resultado Ingresos y Gastos Integrales</v>
          </cell>
          <cell r="Q2080" t="str">
            <v>I. Ganancia (pérdida), antes de impuestos</v>
          </cell>
          <cell r="R2080" t="str">
            <v>b. Ganancia (pérdida)</v>
          </cell>
          <cell r="S2080" t="str">
            <v>1. Ganancias que surgen de la baja en cuentas de activos financieros medidos al costo amortizado</v>
          </cell>
          <cell r="T2080" t="str">
            <v>1. Ganancias x Baja Cta Activo Financiero</v>
          </cell>
          <cell r="V2080" t="str">
            <v>I. Ingresos</v>
          </cell>
          <cell r="Z2080" t="str">
            <v>I. Ganacia / Pérdida - No Oper</v>
          </cell>
          <cell r="AA2080" t="str">
            <v>2. Otros Ingresos No Oper.</v>
          </cell>
          <cell r="AB2080" t="str">
            <v>1. Ganancias x Baja Cta Activo Financiero</v>
          </cell>
          <cell r="AC2080" t="str">
            <v>I. Ganancia / Pérdida No Oper.</v>
          </cell>
          <cell r="AD2080" t="str">
            <v>1. Ingresos No Oper.</v>
          </cell>
          <cell r="AE2080" t="str">
            <v>1. Ingresos Financieros</v>
          </cell>
          <cell r="AH2080" t="str">
            <v>5. Otros ingresos de operación</v>
          </cell>
        </row>
        <row r="2081">
          <cell r="D2081" t="str">
            <v>3210100002</v>
          </cell>
          <cell r="E2081" t="str">
            <v>3210100002</v>
          </cell>
          <cell r="F2081" t="str">
            <v>A. F V Razonable</v>
          </cell>
          <cell r="G2081" t="str">
            <v>3210100002  A. F V Razonable</v>
          </cell>
          <cell r="H2081" t="str">
            <v>Est. Resultado</v>
          </cell>
          <cell r="I2081" t="str">
            <v>Resultado</v>
          </cell>
          <cell r="J2081" t="str">
            <v>9. Otras Ganancias</v>
          </cell>
          <cell r="K2081" t="str">
            <v>1. Ganancias x Baja Cta Activo Financiero</v>
          </cell>
          <cell r="L2081" t="str">
            <v>NO OPER</v>
          </cell>
          <cell r="N2081" t="str">
            <v>GANANCIAS (PERDIDAS) ANTES DE IMPUESTOS</v>
          </cell>
          <cell r="O2081" t="str">
            <v>GANANCIA (PÉRDIDA) NETA</v>
          </cell>
          <cell r="P2081" t="str">
            <v>Resultado Ingresos y Gastos Integrales</v>
          </cell>
          <cell r="Q2081" t="str">
            <v>I. Ganancia (pérdida), antes de impuestos</v>
          </cell>
          <cell r="R2081" t="str">
            <v>b. Ganancia (pérdida)</v>
          </cell>
          <cell r="S2081" t="str">
            <v>13. Ganancias (pérdidas) que surgen de la diferencia entre el valor libro anterior y el valor justo de activos financieros reclasificados medidos a valor razonable</v>
          </cell>
          <cell r="T2081" t="str">
            <v>1. Ganancias x Baja Cta Activo Financiero</v>
          </cell>
          <cell r="V2081" t="str">
            <v>I. Ingresos</v>
          </cell>
          <cell r="Z2081" t="str">
            <v>I. Ganacia / Pérdida - No Oper</v>
          </cell>
          <cell r="AA2081" t="str">
            <v>2. Otros Ingresos No Oper.</v>
          </cell>
          <cell r="AB2081" t="str">
            <v>1. Ganancias x Baja Cta Activo Financiero</v>
          </cell>
          <cell r="AC2081" t="str">
            <v>I. Ganancia / Pérdida No Oper.</v>
          </cell>
          <cell r="AD2081" t="str">
            <v>1. Ingresos No Oper.</v>
          </cell>
          <cell r="AE2081" t="str">
            <v>1. Ingresos Financieros</v>
          </cell>
          <cell r="AH2081" t="str">
            <v>5. Otros ingresos de operación</v>
          </cell>
        </row>
        <row r="2082">
          <cell r="D2082">
            <v>0</v>
          </cell>
          <cell r="G2082" t="str">
            <v/>
          </cell>
          <cell r="H2082" t="str">
            <v>Est. Resultado</v>
          </cell>
          <cell r="I2082" t="str">
            <v>Resultado</v>
          </cell>
          <cell r="J2082" t="str">
            <v>9. Otras Ganancias</v>
          </cell>
          <cell r="K2082" t="str">
            <v>1. Ganancias x Baja Cta Activo Financiero</v>
          </cell>
          <cell r="L2082" t="str">
            <v>NO OPER</v>
          </cell>
          <cell r="N2082" t="str">
            <v>GANANCIAS (PERDIDAS) ANTES DE IMPUESTOS</v>
          </cell>
          <cell r="O2082" t="str">
            <v>GANANCIA (PÉRDIDA) NETA</v>
          </cell>
          <cell r="P2082" t="str">
            <v>Resultado Ingresos y Gastos Integrales</v>
          </cell>
          <cell r="Q2082" t="str">
            <v>I. Ganancia (pérdida), antes de impuestos</v>
          </cell>
          <cell r="R2082" t="str">
            <v>b. Ganancia (pérdida)</v>
          </cell>
          <cell r="S2082" t="str">
            <v>13. Ganancias (pérdidas) que surgen de la diferencia entre el valor libro anterior y el valor justo de activos financieros reclasificados medidos a valor razonable</v>
          </cell>
          <cell r="T2082" t="str">
            <v>1. Ganancias x Baja Cta Activo Financiero</v>
          </cell>
          <cell r="V2082" t="str">
            <v>I. Ingresos</v>
          </cell>
          <cell r="Z2082" t="str">
            <v>I. Ganacia / Pérdida - No Oper</v>
          </cell>
          <cell r="AA2082" t="str">
            <v>2. Otros Ingresos No Oper.</v>
          </cell>
          <cell r="AB2082" t="str">
            <v>1. Ganancias x Baja Cta Activo Financiero</v>
          </cell>
          <cell r="AC2082" t="str">
            <v>I. Ganancia / Pérdida No Oper.</v>
          </cell>
          <cell r="AD2082" t="str">
            <v>1. Ingresos No Oper.</v>
          </cell>
          <cell r="AE2082" t="str">
            <v>1. Ingresos Financieros</v>
          </cell>
          <cell r="AH2082" t="str">
            <v>5. Otros ingresos de operación</v>
          </cell>
        </row>
        <row r="2083">
          <cell r="D2083">
            <v>0</v>
          </cell>
          <cell r="G2083" t="str">
            <v/>
          </cell>
          <cell r="H2083" t="str">
            <v>Est. Resultado</v>
          </cell>
          <cell r="I2083" t="str">
            <v>Resultado</v>
          </cell>
          <cell r="J2083" t="str">
            <v>9. Otras Ganancias</v>
          </cell>
          <cell r="K2083" t="str">
            <v>1. Ganancias x Baja Cta Activo Financiero</v>
          </cell>
          <cell r="L2083" t="str">
            <v>NO OPER</v>
          </cell>
          <cell r="N2083" t="str">
            <v>GANANCIAS (PERDIDAS) ANTES DE IMPUESTOS</v>
          </cell>
          <cell r="O2083" t="str">
            <v>GANANCIA (PÉRDIDA) NETA</v>
          </cell>
          <cell r="P2083" t="str">
            <v>Resultado Ingresos y Gastos Integrales</v>
          </cell>
          <cell r="Q2083" t="str">
            <v>I. Ganancia (pérdida), antes de impuestos</v>
          </cell>
          <cell r="R2083" t="str">
            <v>b. Ganancia (pérdida)</v>
          </cell>
          <cell r="S2083" t="str">
            <v>13. Ganancias (pérdidas) que surgen de la diferencia entre el valor libro anterior y el valor justo de activos financieros reclasificados medidos a valor razonable</v>
          </cell>
          <cell r="T2083" t="str">
            <v>1. Ganancias x Baja Cta Activo Financiero</v>
          </cell>
          <cell r="V2083" t="str">
            <v>I. Ingresos</v>
          </cell>
          <cell r="Z2083" t="str">
            <v>I. Ganacia / Pérdida - No Oper</v>
          </cell>
          <cell r="AA2083" t="str">
            <v>2. Otros Ingresos No Oper.</v>
          </cell>
          <cell r="AB2083" t="str">
            <v>1. Ganancias x Baja Cta Activo Financiero</v>
          </cell>
          <cell r="AC2083" t="str">
            <v>I. Ganancia / Pérdida No Oper.</v>
          </cell>
          <cell r="AD2083" t="str">
            <v>1. Ingresos No Oper.</v>
          </cell>
          <cell r="AE2083" t="str">
            <v>1. Ingresos Financieros</v>
          </cell>
          <cell r="AH2083" t="str">
            <v>5. Otros ingresos de operación</v>
          </cell>
        </row>
        <row r="2084">
          <cell r="D2084">
            <v>0</v>
          </cell>
          <cell r="G2084" t="str">
            <v/>
          </cell>
          <cell r="H2084" t="str">
            <v>Est. Resultado</v>
          </cell>
          <cell r="I2084" t="str">
            <v>Resultado</v>
          </cell>
          <cell r="J2084" t="str">
            <v>9. Otras Ganancias</v>
          </cell>
          <cell r="K2084" t="str">
            <v>1. Ganancias x Baja Cta Activo Financiero</v>
          </cell>
          <cell r="L2084" t="str">
            <v>NO OPER</v>
          </cell>
          <cell r="N2084" t="str">
            <v>GANANCIAS (PERDIDAS) ANTES DE IMPUESTOS</v>
          </cell>
          <cell r="O2084" t="str">
            <v>GANANCIA (PÉRDIDA) NETA</v>
          </cell>
          <cell r="P2084" t="str">
            <v>Resultado Ingresos y Gastos Integrales</v>
          </cell>
          <cell r="Q2084" t="str">
            <v>I. Ganancia (pérdida), antes de impuestos</v>
          </cell>
          <cell r="R2084" t="str">
            <v>b. Ganancia (pérdida)</v>
          </cell>
          <cell r="S2084" t="str">
            <v>13. Ganancias (pérdidas) que surgen de la diferencia entre el valor libro anterior y el valor justo de activos financieros reclasificados medidos a valor razonable</v>
          </cell>
          <cell r="T2084" t="str">
            <v>1. Ganancias x Baja Cta Activo Financiero</v>
          </cell>
          <cell r="V2084" t="str">
            <v>I. Ingresos</v>
          </cell>
          <cell r="Z2084" t="str">
            <v>I. Ganacia / Pérdida - No Oper</v>
          </cell>
          <cell r="AA2084" t="str">
            <v>2. Otros Ingresos No Oper.</v>
          </cell>
          <cell r="AB2084" t="str">
            <v>1. Ganancias x Baja Cta Activo Financiero</v>
          </cell>
          <cell r="AC2084" t="str">
            <v>I. Ganancia / Pérdida No Oper.</v>
          </cell>
          <cell r="AD2084" t="str">
            <v>1. Ingresos No Oper.</v>
          </cell>
          <cell r="AE2084" t="str">
            <v>1. Ingresos Financieros</v>
          </cell>
          <cell r="AH2084" t="str">
            <v>5. Otros ingresos de operación</v>
          </cell>
        </row>
        <row r="2085">
          <cell r="D2085" t="str">
            <v>Ganancias x Baja Cta Activo Financiero</v>
          </cell>
          <cell r="E2085" t="str">
            <v>Ganancias x Baja Cta Activo Financiero</v>
          </cell>
          <cell r="G2085" t="str">
            <v xml:space="preserve">Ganancias x Baja Cta Activo Financiero  </v>
          </cell>
          <cell r="H2085" t="str">
            <v/>
          </cell>
          <cell r="I2085" t="str">
            <v/>
          </cell>
          <cell r="J2085" t="str">
            <v/>
          </cell>
          <cell r="N2085" t="str">
            <v/>
          </cell>
          <cell r="O2085" t="str">
            <v/>
          </cell>
          <cell r="P2085" t="str">
            <v/>
          </cell>
        </row>
        <row r="2086">
          <cell r="D2086" t="str">
            <v>3210100000</v>
          </cell>
          <cell r="E2086" t="str">
            <v>3210100000</v>
          </cell>
          <cell r="F2086" t="str">
            <v>Ingreso x Intereses y Reajustes</v>
          </cell>
          <cell r="G2086" t="str">
            <v>3210100000  Ingreso x Intereses y Reajustes</v>
          </cell>
          <cell r="H2086" t="str">
            <v>Est. Resultado</v>
          </cell>
          <cell r="I2086" t="str">
            <v>Resultado</v>
          </cell>
          <cell r="J2086" t="str">
            <v>9. Otras Ganancias</v>
          </cell>
          <cell r="K2086" t="str">
            <v>2. Ingresos Financieros</v>
          </cell>
          <cell r="L2086" t="str">
            <v>NO OPER</v>
          </cell>
          <cell r="N2086" t="str">
            <v>GANANCIAS (PERDIDAS) ANTES DE IMPUESTOS</v>
          </cell>
          <cell r="O2086" t="str">
            <v>GANANCIA (PÉRDIDA) NETA</v>
          </cell>
          <cell r="P2086" t="str">
            <v>Resultado Ingresos y Gastos Integrales</v>
          </cell>
          <cell r="Q2086" t="str">
            <v>I. Ganancia (pérdida), antes de impuestos</v>
          </cell>
          <cell r="R2086" t="str">
            <v>b. Ganancia (pérdida)</v>
          </cell>
          <cell r="S2086" t="str">
            <v>8. Ingresos financieros</v>
          </cell>
          <cell r="T2086" t="str">
            <v>1. Ingresos Financieros</v>
          </cell>
          <cell r="V2086" t="str">
            <v>I. Ingresos</v>
          </cell>
          <cell r="Z2086" t="str">
            <v>I. Ganacia / Pérdida - No Oper</v>
          </cell>
          <cell r="AA2086" t="str">
            <v>1. Ingresos Financieros</v>
          </cell>
          <cell r="AC2086" t="str">
            <v>I. Ganancia / Pérdida No Oper.</v>
          </cell>
          <cell r="AD2086" t="str">
            <v>1. Ingresos No Oper.</v>
          </cell>
          <cell r="AE2086" t="str">
            <v>1. Ingresos Financieros</v>
          </cell>
          <cell r="AG2086" t="str">
            <v>Ingresos Financieros</v>
          </cell>
          <cell r="AH2086" t="str">
            <v>3. Resultado financiero, neto segmento</v>
          </cell>
        </row>
        <row r="2087">
          <cell r="D2087" t="str">
            <v>3212300000</v>
          </cell>
          <cell r="E2087" t="str">
            <v>3212300000</v>
          </cell>
          <cell r="F2087" t="str">
            <v>Amortizacion Diferida Bonos</v>
          </cell>
          <cell r="G2087" t="str">
            <v>3212300000  Amortizacion Diferida Bonos</v>
          </cell>
          <cell r="H2087" t="str">
            <v>Est. Resultado</v>
          </cell>
          <cell r="I2087" t="str">
            <v>Resultado</v>
          </cell>
          <cell r="J2087" t="str">
            <v>9. Otras Ganancias</v>
          </cell>
          <cell r="K2087" t="str">
            <v>2. Ingresos Financieros</v>
          </cell>
          <cell r="L2087" t="str">
            <v>NO OPER</v>
          </cell>
          <cell r="N2087" t="str">
            <v>GANANCIAS (PERDIDAS) ANTES DE IMPUESTOS</v>
          </cell>
          <cell r="O2087" t="str">
            <v>GANANCIA (PÉRDIDA) NETA</v>
          </cell>
          <cell r="P2087" t="str">
            <v>Resultado Ingresos y Gastos Integrales</v>
          </cell>
          <cell r="Q2087" t="str">
            <v>I. Ganancia (pérdida), antes de impuestos</v>
          </cell>
          <cell r="R2087" t="str">
            <v>b. Ganancia (pérdida)</v>
          </cell>
          <cell r="S2087" t="str">
            <v>8. Ingresos financieros</v>
          </cell>
          <cell r="T2087" t="str">
            <v>1. Ingresos Financieros</v>
          </cell>
          <cell r="V2087" t="str">
            <v>I. Ingresos</v>
          </cell>
          <cell r="Z2087" t="str">
            <v>I. Ganacia / Pérdida - No Oper</v>
          </cell>
          <cell r="AA2087" t="str">
            <v>1. Ingresos Financieros</v>
          </cell>
          <cell r="AC2087" t="str">
            <v>I. Ganancia / Pérdida No Oper.</v>
          </cell>
          <cell r="AD2087" t="str">
            <v>1. Ingresos No Oper.</v>
          </cell>
          <cell r="AE2087" t="str">
            <v>1. Ingresos Financieros</v>
          </cell>
          <cell r="AG2087" t="str">
            <v>Ingresos Financieros</v>
          </cell>
          <cell r="AH2087" t="str">
            <v>3. Resultado financiero, neto segmento</v>
          </cell>
        </row>
        <row r="2088">
          <cell r="D2088" t="str">
            <v>3212400000</v>
          </cell>
          <cell r="E2088" t="str">
            <v>3212400000</v>
          </cell>
          <cell r="F2088" t="str">
            <v>Div Percib Inversion</v>
          </cell>
          <cell r="G2088" t="str">
            <v>3212400000  Div Percib Inversion</v>
          </cell>
          <cell r="H2088" t="str">
            <v>Est. Resultado</v>
          </cell>
          <cell r="I2088" t="str">
            <v>Resultado</v>
          </cell>
          <cell r="J2088" t="str">
            <v>9. Otras Ganancias</v>
          </cell>
          <cell r="K2088" t="str">
            <v>2. Ingresos Financieros</v>
          </cell>
          <cell r="L2088" t="str">
            <v>NO OPER</v>
          </cell>
          <cell r="N2088" t="str">
            <v>GANANCIAS (PERDIDAS) ANTES DE IMPUESTOS</v>
          </cell>
          <cell r="O2088" t="str">
            <v>GANANCIA (PÉRDIDA) NETA</v>
          </cell>
          <cell r="P2088" t="str">
            <v>Resultado Ingresos y Gastos Integrales</v>
          </cell>
          <cell r="Q2088" t="str">
            <v>I. Ganancia (pérdida), antes de impuestos</v>
          </cell>
          <cell r="R2088" t="str">
            <v>b. Ganancia (pérdida)</v>
          </cell>
          <cell r="S2088" t="str">
            <v>8. Ingresos financieros</v>
          </cell>
          <cell r="T2088" t="str">
            <v>1. Ingresos Financieros</v>
          </cell>
          <cell r="V2088" t="str">
            <v>I. Ingresos</v>
          </cell>
          <cell r="Z2088" t="str">
            <v>I. Ganacia / Pérdida - No Oper</v>
          </cell>
          <cell r="AA2088" t="str">
            <v>1. Ingresos Financieros</v>
          </cell>
          <cell r="AC2088" t="str">
            <v>I. Ganancia / Pérdida No Oper.</v>
          </cell>
          <cell r="AD2088" t="str">
            <v>1. Ingresos No Oper.</v>
          </cell>
          <cell r="AE2088" t="str">
            <v>1. Ingresos Financieros</v>
          </cell>
          <cell r="AG2088" t="str">
            <v>Ingresos Financieros</v>
          </cell>
          <cell r="AH2088" t="str">
            <v>3. Resultado financiero, neto segmento</v>
          </cell>
        </row>
        <row r="2089">
          <cell r="D2089" t="str">
            <v>3212500000</v>
          </cell>
          <cell r="E2089" t="str">
            <v>3212500000</v>
          </cell>
          <cell r="F2089" t="str">
            <v>Ingresos Financieros</v>
          </cell>
          <cell r="G2089" t="str">
            <v>3212500000  Ingresos Financieros</v>
          </cell>
          <cell r="H2089" t="str">
            <v>Est. Resultado</v>
          </cell>
          <cell r="I2089" t="str">
            <v>Resultado</v>
          </cell>
          <cell r="J2089" t="str">
            <v>9. Otras Ganancias</v>
          </cell>
          <cell r="K2089" t="str">
            <v>2. Ingresos Financieros</v>
          </cell>
          <cell r="L2089" t="str">
            <v>NO OPER</v>
          </cell>
          <cell r="N2089" t="str">
            <v>GANANCIAS (PERDIDAS) ANTES DE IMPUESTOS</v>
          </cell>
          <cell r="O2089" t="str">
            <v>GANANCIA (PÉRDIDA) NETA</v>
          </cell>
          <cell r="P2089" t="str">
            <v>Resultado Ingresos y Gastos Integrales</v>
          </cell>
          <cell r="Q2089" t="str">
            <v>I. Ganancia (pérdida), antes de impuestos</v>
          </cell>
          <cell r="R2089" t="str">
            <v>b. Ganancia (pérdida)</v>
          </cell>
          <cell r="S2089" t="str">
            <v>8. Ingresos financieros</v>
          </cell>
          <cell r="T2089" t="str">
            <v>1. Ingresos Financieros</v>
          </cell>
          <cell r="V2089" t="str">
            <v>I. Ingresos</v>
          </cell>
          <cell r="Z2089" t="str">
            <v>I. Ganacia / Pérdida - No Oper</v>
          </cell>
          <cell r="AA2089" t="str">
            <v>1. Ingresos Financieros</v>
          </cell>
          <cell r="AC2089" t="str">
            <v>I. Ganancia / Pérdida No Oper.</v>
          </cell>
          <cell r="AD2089" t="str">
            <v>1. Ingresos No Oper.</v>
          </cell>
          <cell r="AE2089" t="str">
            <v>1. Ingresos Financieros</v>
          </cell>
          <cell r="AG2089" t="str">
            <v>Ingresos Financieros</v>
          </cell>
          <cell r="AH2089" t="str">
            <v>3. Resultado financiero, neto segmento</v>
          </cell>
        </row>
        <row r="2090">
          <cell r="D2090">
            <v>0</v>
          </cell>
          <cell r="G2090" t="str">
            <v/>
          </cell>
        </row>
        <row r="2091">
          <cell r="D2091">
            <v>0</v>
          </cell>
          <cell r="G2091" t="str">
            <v/>
          </cell>
        </row>
        <row r="2092">
          <cell r="D2092">
            <v>0</v>
          </cell>
          <cell r="G2092" t="str">
            <v/>
          </cell>
        </row>
        <row r="2093">
          <cell r="D2093" t="str">
            <v>Ingresos Financieros</v>
          </cell>
          <cell r="E2093" t="str">
            <v>Ingresos Financieros</v>
          </cell>
          <cell r="G2093" t="str">
            <v xml:space="preserve">Ingresos Financieros  </v>
          </cell>
          <cell r="H2093" t="str">
            <v/>
          </cell>
          <cell r="I2093" t="str">
            <v/>
          </cell>
          <cell r="J2093" t="str">
            <v/>
          </cell>
          <cell r="N2093" t="str">
            <v/>
          </cell>
          <cell r="O2093" t="str">
            <v/>
          </cell>
          <cell r="P2093" t="str">
            <v/>
          </cell>
        </row>
        <row r="2094">
          <cell r="D2094" t="str">
            <v>3221000000</v>
          </cell>
          <cell r="E2094" t="str">
            <v>3221000000</v>
          </cell>
          <cell r="F2094" t="str">
            <v>Utilidad Venta de Activo Fijo</v>
          </cell>
          <cell r="G2094" t="str">
            <v>3221000000  Utilidad Venta de Activo Fijo</v>
          </cell>
          <cell r="H2094" t="str">
            <v>Est. Resultado</v>
          </cell>
          <cell r="I2094" t="str">
            <v>Resultado</v>
          </cell>
          <cell r="J2094" t="str">
            <v>9. Otras Ganancias</v>
          </cell>
          <cell r="K2094" t="str">
            <v>4. Ingresos Fuera de Explotación</v>
          </cell>
          <cell r="L2094" t="str">
            <v>NO OPER</v>
          </cell>
          <cell r="N2094" t="str">
            <v>GANANCIAS (PERDIDAS) ANTES DE IMPUESTOS</v>
          </cell>
          <cell r="O2094" t="str">
            <v>GANANCIA (PÉRDIDA) NETA</v>
          </cell>
          <cell r="P2094" t="str">
            <v>Resultado Ingresos y Gastos Integrales</v>
          </cell>
          <cell r="Q2094" t="str">
            <v>I. Ganancia (pérdida), antes de impuestos</v>
          </cell>
          <cell r="R2094" t="str">
            <v>b. Ganancia (pérdida)</v>
          </cell>
          <cell r="S2094" t="str">
            <v>7. Otras ganancias (pérdidas)</v>
          </cell>
          <cell r="T2094" t="str">
            <v>1. Ingresos Fuera de Explotación</v>
          </cell>
          <cell r="V2094" t="str">
            <v>I. Ingresos</v>
          </cell>
          <cell r="Z2094" t="str">
            <v>I. Ganacia / Pérdida - No Oper</v>
          </cell>
          <cell r="AA2094" t="str">
            <v>2. Otros Ingresos No Oper.</v>
          </cell>
          <cell r="AB2094" t="str">
            <v>2. Ingresos Fuera de Explotación</v>
          </cell>
          <cell r="AC2094" t="str">
            <v>I. Ganancia / Pérdida No Oper.</v>
          </cell>
          <cell r="AD2094" t="str">
            <v>1. Ingresos No Oper.</v>
          </cell>
          <cell r="AE2094" t="str">
            <v>2. Ingresos Fuera de Explotación</v>
          </cell>
          <cell r="AH2094" t="str">
            <v>5. Otros ingresos de operación</v>
          </cell>
        </row>
        <row r="2095">
          <cell r="D2095" t="str">
            <v>3221000010</v>
          </cell>
          <cell r="E2095" t="str">
            <v>3221000010</v>
          </cell>
          <cell r="F2095" t="str">
            <v>Utilidad Venta de Materiales</v>
          </cell>
          <cell r="G2095" t="str">
            <v>3221000010  Utilidad Venta de Materiales</v>
          </cell>
          <cell r="H2095" t="str">
            <v>Est. Resultado</v>
          </cell>
          <cell r="I2095" t="str">
            <v>Resultado</v>
          </cell>
          <cell r="J2095" t="str">
            <v>9. Otras Ganancias</v>
          </cell>
          <cell r="K2095" t="str">
            <v>4. Ingresos Fuera de Explotación</v>
          </cell>
          <cell r="L2095" t="str">
            <v>NO OPER</v>
          </cell>
          <cell r="N2095" t="str">
            <v>GANANCIAS (PERDIDAS) ANTES DE IMPUESTOS</v>
          </cell>
          <cell r="O2095" t="str">
            <v>GANANCIA (PÉRDIDA) NETA</v>
          </cell>
          <cell r="P2095" t="str">
            <v>Resultado Ingresos y Gastos Integrales</v>
          </cell>
          <cell r="Q2095" t="str">
            <v>I. Ganancia (pérdida), antes de impuestos</v>
          </cell>
          <cell r="R2095" t="str">
            <v>b. Ganancia (pérdida)</v>
          </cell>
          <cell r="S2095" t="str">
            <v>7. Otras ganancias (pérdidas)</v>
          </cell>
          <cell r="T2095" t="str">
            <v>1. Ingresos Fuera de Explotación</v>
          </cell>
          <cell r="V2095" t="str">
            <v>I. Ingresos</v>
          </cell>
          <cell r="Z2095" t="str">
            <v>I. Ganacia / Pérdida - No Oper</v>
          </cell>
          <cell r="AA2095" t="str">
            <v>2. Otros Ingresos No Oper.</v>
          </cell>
          <cell r="AB2095" t="str">
            <v>2. Ingresos Fuera de Explotación</v>
          </cell>
          <cell r="AC2095" t="str">
            <v>I. Ganancia / Pérdida No Oper.</v>
          </cell>
          <cell r="AD2095" t="str">
            <v>1. Ingresos No Oper.</v>
          </cell>
          <cell r="AE2095" t="str">
            <v>2. Ingresos Fuera de Explotación</v>
          </cell>
          <cell r="AH2095" t="str">
            <v>5. Otros ingresos de operación</v>
          </cell>
        </row>
        <row r="2096">
          <cell r="D2096" t="str">
            <v>3240100000</v>
          </cell>
          <cell r="E2096" t="str">
            <v>3240100000</v>
          </cell>
          <cell r="F2096" t="str">
            <v>Ing Indem Siniestro</v>
          </cell>
          <cell r="G2096" t="str">
            <v>3240100000  Ing Indem Siniestro</v>
          </cell>
          <cell r="H2096" t="str">
            <v>Est. Resultado</v>
          </cell>
          <cell r="I2096" t="str">
            <v>Resultado</v>
          </cell>
          <cell r="J2096" t="str">
            <v>9. Otras Ganancias</v>
          </cell>
          <cell r="K2096" t="str">
            <v>4. Ingresos Fuera de Explotación</v>
          </cell>
          <cell r="L2096" t="str">
            <v>NO OPER</v>
          </cell>
          <cell r="N2096" t="str">
            <v>GANANCIAS (PERDIDAS) ANTES DE IMPUESTOS</v>
          </cell>
          <cell r="O2096" t="str">
            <v>GANANCIA (PÉRDIDA) NETA</v>
          </cell>
          <cell r="P2096" t="str">
            <v>Resultado Ingresos y Gastos Integrales</v>
          </cell>
          <cell r="Q2096" t="str">
            <v>I. Ganancia (pérdida), antes de impuestos</v>
          </cell>
          <cell r="R2096" t="str">
            <v>b. Ganancia (pérdida)</v>
          </cell>
          <cell r="S2096" t="str">
            <v>7. Otras ganancias (pérdidas)</v>
          </cell>
          <cell r="T2096" t="str">
            <v>1. Ingresos Fuera de Explotación</v>
          </cell>
          <cell r="V2096" t="str">
            <v>I. Ingresos</v>
          </cell>
          <cell r="Z2096" t="str">
            <v>I. Ganacia / Pérdida - No Oper</v>
          </cell>
          <cell r="AA2096" t="str">
            <v>2. Otros Ingresos No Oper.</v>
          </cell>
          <cell r="AB2096" t="str">
            <v>2. Ingresos Fuera de Explotación</v>
          </cell>
          <cell r="AC2096" t="str">
            <v>I. Ganancia / Pérdida No Oper.</v>
          </cell>
          <cell r="AD2096" t="str">
            <v>1. Ingresos No Oper.</v>
          </cell>
          <cell r="AE2096" t="str">
            <v>2. Ingresos Fuera de Explotación</v>
          </cell>
          <cell r="AH2096" t="str">
            <v>5. Otros ingresos de operación</v>
          </cell>
        </row>
        <row r="2097">
          <cell r="D2097" t="str">
            <v>3240350000</v>
          </cell>
          <cell r="E2097" t="str">
            <v>3240350000</v>
          </cell>
          <cell r="F2097" t="str">
            <v>PER. BS. RETIR. ANTI</v>
          </cell>
          <cell r="G2097" t="str">
            <v>3240350000  PER. BS. RETIR. ANTI</v>
          </cell>
          <cell r="H2097" t="str">
            <v>Est. Resultado</v>
          </cell>
          <cell r="I2097" t="str">
            <v>Resultado</v>
          </cell>
          <cell r="J2097" t="str">
            <v>9. Otras Ganancias</v>
          </cell>
          <cell r="K2097" t="str">
            <v>4. Ingresos Fuera de Explotación</v>
          </cell>
          <cell r="L2097" t="str">
            <v>NO OPER</v>
          </cell>
          <cell r="N2097" t="str">
            <v>GANANCIAS (PERDIDAS) ANTES DE IMPUESTOS</v>
          </cell>
          <cell r="O2097" t="str">
            <v>GANANCIA (PÉRDIDA) NETA</v>
          </cell>
          <cell r="P2097" t="str">
            <v>Resultado Ingresos y Gastos Integrales</v>
          </cell>
          <cell r="Q2097" t="str">
            <v>I. Ganancia (pérdida), antes de impuestos</v>
          </cell>
          <cell r="R2097" t="str">
            <v>b. Ganancia (pérdida)</v>
          </cell>
          <cell r="S2097" t="str">
            <v>7. Otras ganancias (pérdidas)</v>
          </cell>
          <cell r="T2097" t="str">
            <v>1. Ingresos Fuera de Explotación</v>
          </cell>
          <cell r="V2097" t="str">
            <v>I. Ingresos</v>
          </cell>
          <cell r="Z2097" t="str">
            <v>I. Ganacia / Pérdida - No Oper</v>
          </cell>
          <cell r="AA2097" t="str">
            <v>2. Otros Ingresos No Oper.</v>
          </cell>
          <cell r="AB2097" t="str">
            <v>2. Ingresos Fuera de Explotación</v>
          </cell>
          <cell r="AC2097" t="str">
            <v>I. Ganancia / Pérdida No Oper.</v>
          </cell>
          <cell r="AD2097" t="str">
            <v>1. Ingresos No Oper.</v>
          </cell>
          <cell r="AE2097" t="str">
            <v>2. Ingresos Fuera de Explotación</v>
          </cell>
          <cell r="AH2097" t="str">
            <v>5. Otros ingresos de operación</v>
          </cell>
        </row>
        <row r="2098">
          <cell r="D2098" t="str">
            <v>3240400000</v>
          </cell>
          <cell r="E2098" t="str">
            <v>3240400000</v>
          </cell>
          <cell r="F2098" t="str">
            <v>Reintegro Ejercicio Anterior</v>
          </cell>
          <cell r="G2098" t="str">
            <v>3240400000  Reintegro Ejercicio Anterior</v>
          </cell>
          <cell r="H2098" t="str">
            <v>Est. Resultado</v>
          </cell>
          <cell r="I2098" t="str">
            <v>Resultado</v>
          </cell>
          <cell r="J2098" t="str">
            <v>9. Otras Ganancias</v>
          </cell>
          <cell r="K2098" t="str">
            <v>4. Ingresos Fuera de Explotación</v>
          </cell>
          <cell r="L2098" t="str">
            <v>NO OPER</v>
          </cell>
          <cell r="N2098" t="str">
            <v>GANANCIAS (PERDIDAS) ANTES DE IMPUESTOS</v>
          </cell>
          <cell r="O2098" t="str">
            <v>GANANCIA (PÉRDIDA) NETA</v>
          </cell>
          <cell r="P2098" t="str">
            <v>Resultado Ingresos y Gastos Integrales</v>
          </cell>
          <cell r="Q2098" t="str">
            <v>I. Ganancia (pérdida), antes de impuestos</v>
          </cell>
          <cell r="R2098" t="str">
            <v>b. Ganancia (pérdida)</v>
          </cell>
          <cell r="S2098" t="str">
            <v>7. Otras ganancias (pérdidas)</v>
          </cell>
          <cell r="T2098" t="str">
            <v>1. Ingresos Fuera de Explotación</v>
          </cell>
          <cell r="V2098" t="str">
            <v>I. Ingresos</v>
          </cell>
          <cell r="Z2098" t="str">
            <v>I. Ganacia / Pérdida - No Oper</v>
          </cell>
          <cell r="AA2098" t="str">
            <v>2. Otros Ingresos No Oper.</v>
          </cell>
          <cell r="AB2098" t="str">
            <v>2. Ingresos Fuera de Explotación</v>
          </cell>
          <cell r="AC2098" t="str">
            <v>I. Ganancia / Pérdida No Oper.</v>
          </cell>
          <cell r="AD2098" t="str">
            <v>1. Ingresos No Oper.</v>
          </cell>
          <cell r="AE2098" t="str">
            <v>2. Ingresos Fuera de Explotación</v>
          </cell>
          <cell r="AH2098" t="str">
            <v>5. Otros ingresos de operación</v>
          </cell>
        </row>
        <row r="2099">
          <cell r="D2099" t="str">
            <v>3240600000</v>
          </cell>
          <cell r="E2099" t="str">
            <v>3240600000</v>
          </cell>
          <cell r="F2099" t="str">
            <v>Recuperacion Contingencias</v>
          </cell>
          <cell r="G2099" t="str">
            <v>3240600000  Recuperacion Contingencias</v>
          </cell>
          <cell r="H2099" t="str">
            <v>Est. Resultado</v>
          </cell>
          <cell r="I2099" t="str">
            <v>Resultado</v>
          </cell>
          <cell r="J2099" t="str">
            <v>9. Otras Ganancias</v>
          </cell>
          <cell r="K2099" t="str">
            <v>4. Ingresos Fuera de Explotación</v>
          </cell>
          <cell r="L2099" t="str">
            <v>NO OPER</v>
          </cell>
          <cell r="N2099" t="str">
            <v>GANANCIAS (PERDIDAS) ANTES DE IMPUESTOS</v>
          </cell>
          <cell r="O2099" t="str">
            <v>GANANCIA (PÉRDIDA) NETA</v>
          </cell>
          <cell r="P2099" t="str">
            <v>Resultado Ingresos y Gastos Integrales</v>
          </cell>
          <cell r="Q2099" t="str">
            <v>I. Ganancia (pérdida), antes de impuestos</v>
          </cell>
          <cell r="R2099" t="str">
            <v>b. Ganancia (pérdida)</v>
          </cell>
          <cell r="S2099" t="str">
            <v>7. Otras ganancias (pérdidas)</v>
          </cell>
          <cell r="T2099" t="str">
            <v>1. Ingresos Fuera de Explotación</v>
          </cell>
          <cell r="V2099" t="str">
            <v>I. Ingresos</v>
          </cell>
          <cell r="Z2099" t="str">
            <v>I. Ganacia / Pérdida - No Oper</v>
          </cell>
          <cell r="AA2099" t="str">
            <v>2. Otros Ingresos No Oper.</v>
          </cell>
          <cell r="AB2099" t="str">
            <v>2. Ingresos Fuera de Explotación</v>
          </cell>
          <cell r="AC2099" t="str">
            <v>I. Ganancia / Pérdida No Oper.</v>
          </cell>
          <cell r="AD2099" t="str">
            <v>1. Ingresos No Oper.</v>
          </cell>
          <cell r="AE2099" t="str">
            <v>2. Ingresos Fuera de Explotación</v>
          </cell>
          <cell r="AH2099" t="str">
            <v>5. Otros ingresos de operación</v>
          </cell>
        </row>
        <row r="2100">
          <cell r="D2100" t="str">
            <v>3240900000</v>
          </cell>
          <cell r="E2100" t="str">
            <v>3240900000</v>
          </cell>
          <cell r="F2100" t="str">
            <v>Otro Ingreso No Clasificado</v>
          </cell>
          <cell r="G2100" t="str">
            <v>3240900000  Otro Ingreso No Clasificado</v>
          </cell>
          <cell r="H2100" t="str">
            <v>Est. Resultado</v>
          </cell>
          <cell r="I2100" t="str">
            <v>Resultado</v>
          </cell>
          <cell r="J2100" t="str">
            <v>9. Otras Ganancias</v>
          </cell>
          <cell r="K2100" t="str">
            <v>4. Ingresos Fuera de Explotación</v>
          </cell>
          <cell r="L2100" t="str">
            <v>NO OPER</v>
          </cell>
          <cell r="N2100" t="str">
            <v>GANANCIAS (PERDIDAS) ANTES DE IMPUESTOS</v>
          </cell>
          <cell r="O2100" t="str">
            <v>GANANCIA (PÉRDIDA) NETA</v>
          </cell>
          <cell r="P2100" t="str">
            <v>Resultado Ingresos y Gastos Integrales</v>
          </cell>
          <cell r="Q2100" t="str">
            <v>I. Ganancia (pérdida), antes de impuestos</v>
          </cell>
          <cell r="R2100" t="str">
            <v>b. Ganancia (pérdida)</v>
          </cell>
          <cell r="S2100" t="str">
            <v>7. Otras ganancias (pérdidas)</v>
          </cell>
          <cell r="T2100" t="str">
            <v>1. Ingresos Fuera de Explotación</v>
          </cell>
          <cell r="V2100" t="str">
            <v>I. Ingresos</v>
          </cell>
          <cell r="Z2100" t="str">
            <v>I. Ganacia / Pérdida - No Oper</v>
          </cell>
          <cell r="AA2100" t="str">
            <v>2. Otros Ingresos No Oper.</v>
          </cell>
          <cell r="AB2100" t="str">
            <v>2. Ingresos Fuera de Explotación</v>
          </cell>
          <cell r="AC2100" t="str">
            <v>I. Ganancia / Pérdida No Oper.</v>
          </cell>
          <cell r="AD2100" t="str">
            <v>1. Ingresos No Oper.</v>
          </cell>
          <cell r="AE2100" t="str">
            <v>2. Ingresos Fuera de Explotación</v>
          </cell>
          <cell r="AH2100" t="str">
            <v>5. Otros ingresos de operación</v>
          </cell>
        </row>
        <row r="2101">
          <cell r="D2101" t="str">
            <v>3240500000</v>
          </cell>
          <cell r="E2101" t="str">
            <v>3240500000</v>
          </cell>
          <cell r="F2101" t="str">
            <v>Fondos de Terceros</v>
          </cell>
          <cell r="G2101" t="str">
            <v>3240500000  Fondos de Terceros</v>
          </cell>
          <cell r="H2101" t="str">
            <v>Est. Resultado</v>
          </cell>
          <cell r="I2101" t="str">
            <v>Resultado</v>
          </cell>
          <cell r="J2101" t="str">
            <v>9. Otras Ganancias</v>
          </cell>
          <cell r="K2101" t="str">
            <v>4. Ingresos Fuera de Explotación</v>
          </cell>
          <cell r="L2101" t="str">
            <v>NO OPER</v>
          </cell>
          <cell r="N2101" t="str">
            <v>GANANCIAS (PERDIDAS) ANTES DE IMPUESTOS</v>
          </cell>
          <cell r="O2101" t="str">
            <v>GANANCIA (PÉRDIDA) NETA</v>
          </cell>
          <cell r="P2101" t="str">
            <v>Resultado Ingresos y Gastos Integrales</v>
          </cell>
          <cell r="Q2101" t="str">
            <v>I. Ganancia (pérdida), antes de impuestos</v>
          </cell>
          <cell r="R2101" t="str">
            <v>b. Ganancia (pérdida)</v>
          </cell>
          <cell r="S2101" t="str">
            <v>7. Otras ganancias (pérdidas)</v>
          </cell>
          <cell r="T2101" t="str">
            <v>1. Ingresos Fuera de Explotación</v>
          </cell>
          <cell r="V2101" t="str">
            <v>I. Ingresos</v>
          </cell>
          <cell r="Z2101" t="str">
            <v>I. Ganacia / Pérdida - No Oper</v>
          </cell>
          <cell r="AA2101" t="str">
            <v>2. Otros Ingresos No Oper.</v>
          </cell>
          <cell r="AB2101" t="str">
            <v>2. Ingresos Fuera de Explotación</v>
          </cell>
          <cell r="AC2101" t="str">
            <v>I. Ganancia / Pérdida No Oper.</v>
          </cell>
          <cell r="AD2101" t="str">
            <v>1. Ingresos No Oper.</v>
          </cell>
          <cell r="AE2101" t="str">
            <v>2. Ingresos Fuera de Explotación</v>
          </cell>
          <cell r="AH2101" t="str">
            <v>5. Otros ingresos de operación</v>
          </cell>
        </row>
        <row r="2102">
          <cell r="D2102">
            <v>0</v>
          </cell>
          <cell r="G2102" t="str">
            <v/>
          </cell>
          <cell r="H2102" t="str">
            <v>Est. Resultado</v>
          </cell>
          <cell r="I2102" t="str">
            <v>Resultado</v>
          </cell>
          <cell r="J2102" t="str">
            <v>9. Otras Ganancias</v>
          </cell>
          <cell r="K2102" t="str">
            <v>4. Ingresos Fuera de Explotación</v>
          </cell>
          <cell r="L2102" t="str">
            <v>NO OPER</v>
          </cell>
          <cell r="N2102" t="str">
            <v>GANANCIAS (PERDIDAS) ANTES DE IMPUESTOS</v>
          </cell>
          <cell r="O2102" t="str">
            <v>GANANCIA (PÉRDIDA) NETA</v>
          </cell>
          <cell r="P2102" t="str">
            <v>Resultado Ingresos y Gastos Integrales</v>
          </cell>
          <cell r="Q2102" t="str">
            <v>I. Ganancia (pérdida), antes de impuestos</v>
          </cell>
          <cell r="R2102" t="str">
            <v>b. Ganancia (pérdida)</v>
          </cell>
          <cell r="S2102" t="str">
            <v>7. Otras ganancias (pérdidas)</v>
          </cell>
          <cell r="T2102" t="str">
            <v>1. Ingresos Fuera de Explotación</v>
          </cell>
          <cell r="V2102" t="str">
            <v>I. Ingresos</v>
          </cell>
          <cell r="Z2102" t="str">
            <v>I. Ganacia / Pérdida - No Oper</v>
          </cell>
          <cell r="AA2102" t="str">
            <v>2. Otros Ingresos No Oper.</v>
          </cell>
          <cell r="AB2102" t="str">
            <v>2. Ingresos Fuera de Explotación</v>
          </cell>
          <cell r="AC2102" t="str">
            <v>I. Ganancia / Pérdida No Oper.</v>
          </cell>
          <cell r="AD2102" t="str">
            <v>1. Ingresos No Oper.</v>
          </cell>
          <cell r="AE2102" t="str">
            <v>2. Ingresos Fuera de Explotación</v>
          </cell>
          <cell r="AH2102" t="str">
            <v>5. Otros ingresos de operación</v>
          </cell>
        </row>
        <row r="2103">
          <cell r="D2103">
            <v>0</v>
          </cell>
          <cell r="G2103" t="str">
            <v/>
          </cell>
          <cell r="H2103" t="str">
            <v>Est. Resultado</v>
          </cell>
          <cell r="I2103" t="str">
            <v>Resultado</v>
          </cell>
          <cell r="J2103" t="str">
            <v>9. Otras Ganancias</v>
          </cell>
          <cell r="K2103" t="str">
            <v>4. Ingresos Fuera de Explotación</v>
          </cell>
          <cell r="L2103" t="str">
            <v>NO OPER</v>
          </cell>
          <cell r="N2103" t="str">
            <v>GANANCIAS (PERDIDAS) ANTES DE IMPUESTOS</v>
          </cell>
          <cell r="O2103" t="str">
            <v>GANANCIA (PÉRDIDA) NETA</v>
          </cell>
          <cell r="P2103" t="str">
            <v>Resultado Ingresos y Gastos Integrales</v>
          </cell>
          <cell r="Q2103" t="str">
            <v>I. Ganancia (pérdida), antes de impuestos</v>
          </cell>
          <cell r="R2103" t="str">
            <v>b. Ganancia (pérdida)</v>
          </cell>
          <cell r="S2103" t="str">
            <v>7. Otras ganancias (pérdidas)</v>
          </cell>
          <cell r="T2103" t="str">
            <v>1. Ingresos Fuera de Explotación</v>
          </cell>
          <cell r="V2103" t="str">
            <v>I. Ingresos</v>
          </cell>
          <cell r="Z2103" t="str">
            <v>I. Ganacia / Pérdida - No Oper</v>
          </cell>
          <cell r="AA2103" t="str">
            <v>2. Otros Ingresos No Oper.</v>
          </cell>
          <cell r="AB2103" t="str">
            <v>2. Ingresos Fuera de Explotación</v>
          </cell>
          <cell r="AC2103" t="str">
            <v>I. Ganancia / Pérdida No Oper.</v>
          </cell>
          <cell r="AD2103" t="str">
            <v>1. Ingresos No Oper.</v>
          </cell>
          <cell r="AE2103" t="str">
            <v>2. Ingresos Fuera de Explotación</v>
          </cell>
          <cell r="AH2103" t="str">
            <v>5. Otros ingresos de operación</v>
          </cell>
        </row>
        <row r="2104">
          <cell r="D2104">
            <v>0</v>
          </cell>
          <cell r="G2104" t="str">
            <v/>
          </cell>
          <cell r="H2104" t="str">
            <v>Est. Resultado</v>
          </cell>
          <cell r="I2104" t="str">
            <v>Resultado</v>
          </cell>
          <cell r="J2104" t="str">
            <v>9. Otras Ganancias</v>
          </cell>
          <cell r="K2104" t="str">
            <v>4. Ingresos Fuera de Explotación</v>
          </cell>
          <cell r="L2104" t="str">
            <v>NO OPER</v>
          </cell>
          <cell r="N2104" t="str">
            <v>GANANCIAS (PERDIDAS) ANTES DE IMPUESTOS</v>
          </cell>
          <cell r="O2104" t="str">
            <v>GANANCIA (PÉRDIDA) NETA</v>
          </cell>
          <cell r="P2104" t="str">
            <v>Resultado Ingresos y Gastos Integrales</v>
          </cell>
          <cell r="Q2104" t="str">
            <v>I. Ganancia (pérdida), antes de impuestos</v>
          </cell>
          <cell r="R2104" t="str">
            <v>b. Ganancia (pérdida)</v>
          </cell>
          <cell r="S2104" t="str">
            <v>7. Otras ganancias (pérdidas)</v>
          </cell>
          <cell r="T2104" t="str">
            <v>1. Ingresos Fuera de Explotación</v>
          </cell>
          <cell r="V2104" t="str">
            <v>I. Ingresos</v>
          </cell>
          <cell r="Z2104" t="str">
            <v>I. Ganacia / Pérdida - No Oper</v>
          </cell>
          <cell r="AA2104" t="str">
            <v>2. Otros Ingresos No Oper.</v>
          </cell>
          <cell r="AB2104" t="str">
            <v>2. Ingresos Fuera de Explotación</v>
          </cell>
          <cell r="AC2104" t="str">
            <v>I. Ganancia / Pérdida No Oper.</v>
          </cell>
          <cell r="AD2104" t="str">
            <v>1. Ingresos No Oper.</v>
          </cell>
          <cell r="AE2104" t="str">
            <v>2. Ingresos Fuera de Explotación</v>
          </cell>
          <cell r="AH2104" t="str">
            <v>5. Otros ingresos de operación</v>
          </cell>
        </row>
        <row r="2105">
          <cell r="D2105" t="str">
            <v>Ingresos Fuera de Explotacion</v>
          </cell>
          <cell r="E2105" t="str">
            <v>Ingresos Fuera de Explotacion</v>
          </cell>
          <cell r="G2105" t="str">
            <v xml:space="preserve">Ingresos Fuera de Explotacion  </v>
          </cell>
          <cell r="H2105" t="str">
            <v/>
          </cell>
          <cell r="I2105" t="str">
            <v/>
          </cell>
          <cell r="J2105" t="str">
            <v/>
          </cell>
          <cell r="N2105" t="str">
            <v/>
          </cell>
          <cell r="O2105" t="str">
            <v/>
          </cell>
          <cell r="P2105" t="str">
            <v/>
          </cell>
        </row>
        <row r="2106">
          <cell r="D2106" t="str">
            <v>3231100000</v>
          </cell>
          <cell r="E2106" t="str">
            <v>3231100000</v>
          </cell>
          <cell r="F2106" t="str">
            <v>Aportes Gobiernos regionales</v>
          </cell>
          <cell r="G2106" t="str">
            <v>3231100000  Aportes Gobiernos regionales</v>
          </cell>
          <cell r="H2106" t="str">
            <v>Est. Resultado</v>
          </cell>
          <cell r="I2106" t="str">
            <v>Resultado</v>
          </cell>
          <cell r="J2106" t="str">
            <v>9. Otras Ganancias</v>
          </cell>
          <cell r="K2106" t="str">
            <v>5. Ingresos Sector Público</v>
          </cell>
          <cell r="L2106" t="str">
            <v>NO OPER</v>
          </cell>
          <cell r="N2106" t="str">
            <v>GANANCIAS (PERDIDAS) ANTES DE IMPUESTOS</v>
          </cell>
          <cell r="O2106" t="str">
            <v>GANANCIA (PÉRDIDA) NETA</v>
          </cell>
          <cell r="P2106" t="str">
            <v>Resultado Ingresos y Gastos Integrales</v>
          </cell>
          <cell r="Q2106" t="str">
            <v>I. Ganancia (pérdida), antes de impuestos</v>
          </cell>
          <cell r="R2106" t="str">
            <v>b. Ganancia (pérdida)</v>
          </cell>
          <cell r="S2106" t="str">
            <v>7. Otras ganancias (pérdidas)</v>
          </cell>
          <cell r="T2106" t="str">
            <v>2. Ingresos Sector Público</v>
          </cell>
          <cell r="V2106" t="str">
            <v>I. Ingresos</v>
          </cell>
          <cell r="W2106" t="str">
            <v>6. Transferencias</v>
          </cell>
          <cell r="X2106" t="str">
            <v>62. Del Sector Público</v>
          </cell>
          <cell r="Y2106" t="str">
            <v>2. Aportes Gobierno regional</v>
          </cell>
          <cell r="Z2106" t="str">
            <v>I. Ganacia / Pérdida - No Oper</v>
          </cell>
          <cell r="AA2106" t="str">
            <v>2. Otros Ingresos No Oper.</v>
          </cell>
          <cell r="AB2106" t="str">
            <v>3. Ingresos Sector Público</v>
          </cell>
          <cell r="AC2106" t="str">
            <v>I. Ganancia / Pérdida No Oper.</v>
          </cell>
          <cell r="AD2106" t="str">
            <v>1. Ingresos No Oper.</v>
          </cell>
          <cell r="AE2106" t="str">
            <v>3. Ingresos Sector Público</v>
          </cell>
          <cell r="AH2106" t="str">
            <v>5. Otros ingresos de operación</v>
          </cell>
        </row>
        <row r="2107">
          <cell r="D2107" t="str">
            <v>3231200000</v>
          </cell>
          <cell r="E2107" t="str">
            <v>3231200000</v>
          </cell>
          <cell r="F2107" t="str">
            <v>Ing Indemini Nº19170</v>
          </cell>
          <cell r="G2107" t="str">
            <v>3231200000  Ing Indemini Nº19170</v>
          </cell>
          <cell r="H2107" t="str">
            <v>Est. Resultado</v>
          </cell>
          <cell r="I2107" t="str">
            <v>Resultado</v>
          </cell>
          <cell r="J2107" t="str">
            <v>9. Otras Ganancias</v>
          </cell>
          <cell r="K2107" t="str">
            <v>5. Ingresos Sector Público</v>
          </cell>
          <cell r="L2107" t="str">
            <v>NO OPER</v>
          </cell>
          <cell r="N2107" t="str">
            <v>GANANCIAS (PERDIDAS) ANTES DE IMPUESTOS</v>
          </cell>
          <cell r="O2107" t="str">
            <v>GANANCIA (PÉRDIDA) NETA</v>
          </cell>
          <cell r="P2107" t="str">
            <v>Resultado Ingresos y Gastos Integrales</v>
          </cell>
          <cell r="Q2107" t="str">
            <v>I. Ganancia (pérdida), antes de impuestos</v>
          </cell>
          <cell r="R2107" t="str">
            <v>b. Ganancia (pérdida)</v>
          </cell>
          <cell r="S2107" t="str">
            <v>7. Otras ganancias (pérdidas)</v>
          </cell>
          <cell r="T2107" t="str">
            <v>2. Ingresos Sector Público</v>
          </cell>
          <cell r="V2107" t="str">
            <v>I. Ingresos</v>
          </cell>
          <cell r="W2107" t="str">
            <v>6. Transferencias</v>
          </cell>
          <cell r="X2107" t="str">
            <v>62. Del Sector Público</v>
          </cell>
          <cell r="Y2107" t="str">
            <v>3. Ley de presupuesto</v>
          </cell>
          <cell r="Z2107" t="str">
            <v>I. Ganacia / Pérdida - No Oper</v>
          </cell>
          <cell r="AA2107" t="str">
            <v>2. Otros Ingresos No Oper.</v>
          </cell>
          <cell r="AB2107" t="str">
            <v>3. Ingresos Sector Público</v>
          </cell>
          <cell r="AC2107" t="str">
            <v>I. Ganancia / Pérdida No Oper.</v>
          </cell>
          <cell r="AD2107" t="str">
            <v>1. Ingresos No Oper.</v>
          </cell>
          <cell r="AE2107" t="str">
            <v>3. Ingresos Sector Público</v>
          </cell>
          <cell r="AH2107" t="str">
            <v>5. Otros ingresos de operación</v>
          </cell>
        </row>
        <row r="2108">
          <cell r="D2108" t="str">
            <v>3231300000</v>
          </cell>
          <cell r="E2108" t="str">
            <v>3231300000</v>
          </cell>
          <cell r="F2108" t="str">
            <v>Ingreso x Servicio de Deuda</v>
          </cell>
          <cell r="G2108" t="str">
            <v>3231300000  Ingreso x Servicio de Deuda</v>
          </cell>
          <cell r="H2108" t="str">
            <v>Est. Resultado</v>
          </cell>
          <cell r="I2108" t="str">
            <v>Resultado</v>
          </cell>
          <cell r="J2108" t="str">
            <v>9. Otras Ganancias</v>
          </cell>
          <cell r="K2108" t="str">
            <v>5. Ingresos Sector Público</v>
          </cell>
          <cell r="L2108" t="str">
            <v>NO OPER</v>
          </cell>
          <cell r="N2108" t="str">
            <v>GANANCIAS (PERDIDAS) ANTES DE IMPUESTOS</v>
          </cell>
          <cell r="O2108" t="str">
            <v>GANANCIA (PÉRDIDA) NETA</v>
          </cell>
          <cell r="P2108" t="str">
            <v>Resultado Ingresos y Gastos Integrales</v>
          </cell>
          <cell r="Q2108" t="str">
            <v>I. Ganancia (pérdida), antes de impuestos</v>
          </cell>
          <cell r="R2108" t="str">
            <v>b. Ganancia (pérdida)</v>
          </cell>
          <cell r="S2108" t="str">
            <v>7. Otras ganancias (pérdidas)</v>
          </cell>
          <cell r="T2108" t="str">
            <v>2. Ingresos Sector Público</v>
          </cell>
          <cell r="V2108" t="str">
            <v>I. Ingresos</v>
          </cell>
          <cell r="W2108" t="str">
            <v>6. Transferencias</v>
          </cell>
          <cell r="X2108" t="str">
            <v>62. Del Sector Público</v>
          </cell>
          <cell r="Y2108" t="str">
            <v>3. Ley de presupuesto</v>
          </cell>
          <cell r="Z2108" t="str">
            <v>I. Ganacia / Pérdida - No Oper</v>
          </cell>
          <cell r="AA2108" t="str">
            <v>2. Otros Ingresos No Oper.</v>
          </cell>
          <cell r="AB2108" t="str">
            <v>3. Ingresos Sector Público</v>
          </cell>
          <cell r="AC2108" t="str">
            <v>I. Ganancia / Pérdida No Oper.</v>
          </cell>
          <cell r="AD2108" t="str">
            <v>1. Ingresos No Oper.</v>
          </cell>
          <cell r="AE2108" t="str">
            <v>3. Ingresos Sector Público</v>
          </cell>
          <cell r="AH2108" t="str">
            <v>5. Otros ingresos de operación</v>
          </cell>
        </row>
        <row r="2109">
          <cell r="D2109" t="str">
            <v>3231400000</v>
          </cell>
          <cell r="E2109" t="str">
            <v>3231400000</v>
          </cell>
          <cell r="F2109" t="str">
            <v>Ingreso Aportes para Inversion</v>
          </cell>
          <cell r="G2109" t="str">
            <v>3231400000  Ingreso Aportes para Inversion</v>
          </cell>
          <cell r="H2109" t="str">
            <v>Est. Resultado</v>
          </cell>
          <cell r="I2109" t="str">
            <v>Resultado</v>
          </cell>
          <cell r="J2109" t="str">
            <v>9. Otras Ganancias</v>
          </cell>
          <cell r="K2109" t="str">
            <v>5. Ingresos Sector Público</v>
          </cell>
          <cell r="L2109" t="str">
            <v>NO OPER</v>
          </cell>
          <cell r="N2109" t="str">
            <v>GANANCIAS (PERDIDAS) ANTES DE IMPUESTOS</v>
          </cell>
          <cell r="O2109" t="str">
            <v>GANANCIA (PÉRDIDA) NETA</v>
          </cell>
          <cell r="P2109" t="str">
            <v>Resultado Ingresos y Gastos Integrales</v>
          </cell>
          <cell r="Q2109" t="str">
            <v>I. Ganancia (pérdida), antes de impuestos</v>
          </cell>
          <cell r="R2109" t="str">
            <v>b. Ganancia (pérdida)</v>
          </cell>
          <cell r="S2109" t="str">
            <v>7. Otras ganancias (pérdidas)</v>
          </cell>
          <cell r="T2109" t="str">
            <v>2. Ingresos Sector Público</v>
          </cell>
          <cell r="V2109" t="str">
            <v>I. Ingresos</v>
          </cell>
          <cell r="W2109" t="str">
            <v>6. Transferencias</v>
          </cell>
          <cell r="X2109" t="str">
            <v>62. Del Sector Público</v>
          </cell>
          <cell r="Y2109" t="str">
            <v>3. Ley de presupuesto</v>
          </cell>
          <cell r="Z2109" t="str">
            <v>I. Ganacia / Pérdida - No Oper</v>
          </cell>
          <cell r="AA2109" t="str">
            <v>2. Otros Ingresos No Oper.</v>
          </cell>
          <cell r="AB2109" t="str">
            <v>3. Ingresos Sector Público</v>
          </cell>
          <cell r="AC2109" t="str">
            <v>I. Ganancia / Pérdida No Oper.</v>
          </cell>
          <cell r="AD2109" t="str">
            <v>1. Ingresos No Oper.</v>
          </cell>
          <cell r="AE2109" t="str">
            <v>3. Ingresos Sector Público</v>
          </cell>
          <cell r="AH2109" t="str">
            <v>5. Otros ingresos de operación</v>
          </cell>
        </row>
        <row r="2110">
          <cell r="D2110" t="str">
            <v>3231600000</v>
          </cell>
          <cell r="E2110" t="str">
            <v>3231600000</v>
          </cell>
          <cell r="F2110" t="str">
            <v>Rec Impuesto Renta</v>
          </cell>
          <cell r="G2110" t="str">
            <v>3231600000  Rec Impuesto Renta</v>
          </cell>
          <cell r="H2110" t="str">
            <v>Est. Resultado</v>
          </cell>
          <cell r="I2110" t="str">
            <v>Resultado</v>
          </cell>
          <cell r="J2110" t="str">
            <v>9. Otras Ganancias</v>
          </cell>
          <cell r="K2110" t="str">
            <v>5. Ingresos Sector Público</v>
          </cell>
          <cell r="L2110" t="str">
            <v>NO OPER</v>
          </cell>
          <cell r="N2110" t="str">
            <v>GANANCIAS (PERDIDAS) ANTES DE IMPUESTOS</v>
          </cell>
          <cell r="O2110" t="str">
            <v>GANANCIA (PÉRDIDA) NETA</v>
          </cell>
          <cell r="P2110" t="str">
            <v>Resultado Ingresos y Gastos Integrales</v>
          </cell>
          <cell r="Q2110" t="str">
            <v>I. Ganancia (pérdida), antes de impuestos</v>
          </cell>
          <cell r="R2110" t="str">
            <v>b. Ganancia (pérdida)</v>
          </cell>
          <cell r="S2110" t="str">
            <v>7. Otras ganancias (pérdidas)</v>
          </cell>
          <cell r="T2110" t="str">
            <v>2. Ingresos Sector Público</v>
          </cell>
          <cell r="V2110" t="str">
            <v>I. Ingresos</v>
          </cell>
          <cell r="W2110" t="str">
            <v>6. Transferencias</v>
          </cell>
          <cell r="X2110" t="str">
            <v>62. Del Sector Público</v>
          </cell>
          <cell r="Y2110" t="str">
            <v>3. Ley de presupuesto</v>
          </cell>
          <cell r="Z2110" t="str">
            <v>I. Ganacia / Pérdida - No Oper</v>
          </cell>
          <cell r="AA2110" t="str">
            <v>2. Otros Ingresos No Oper.</v>
          </cell>
          <cell r="AB2110" t="str">
            <v>3. Ingresos Sector Público</v>
          </cell>
          <cell r="AC2110" t="str">
            <v>I. Ganancia / Pérdida No Oper.</v>
          </cell>
          <cell r="AD2110" t="str">
            <v>1. Ingresos No Oper.</v>
          </cell>
          <cell r="AE2110" t="str">
            <v>3. Ingresos Sector Público</v>
          </cell>
          <cell r="AH2110" t="str">
            <v>5. Otros ingresos de operación</v>
          </cell>
        </row>
        <row r="2111">
          <cell r="D2111">
            <v>0</v>
          </cell>
          <cell r="G2111" t="str">
            <v/>
          </cell>
          <cell r="H2111" t="str">
            <v>Est. Resultado</v>
          </cell>
          <cell r="I2111" t="str">
            <v>Resultado</v>
          </cell>
          <cell r="J2111" t="str">
            <v>9. Otras Ganancias</v>
          </cell>
          <cell r="K2111" t="str">
            <v>5. Ingresos Sector Público</v>
          </cell>
          <cell r="L2111" t="str">
            <v>NO OPER</v>
          </cell>
          <cell r="N2111" t="str">
            <v>GANANCIAS (PERDIDAS) ANTES DE IMPUESTOS</v>
          </cell>
          <cell r="O2111" t="str">
            <v>GANANCIA (PÉRDIDA) NETA</v>
          </cell>
          <cell r="P2111" t="str">
            <v>Resultado Ingresos y Gastos Integrales</v>
          </cell>
          <cell r="Q2111" t="str">
            <v>I. Ganancia (pérdida), antes de impuestos</v>
          </cell>
          <cell r="R2111" t="str">
            <v>b. Ganancia (pérdida)</v>
          </cell>
          <cell r="S2111" t="str">
            <v>7. Otras ganancias (pérdidas)</v>
          </cell>
          <cell r="T2111" t="str">
            <v>2. Ingresos Sector Público</v>
          </cell>
          <cell r="Z2111" t="str">
            <v>I. Ganacia / Pérdida - No Oper</v>
          </cell>
          <cell r="AA2111" t="str">
            <v>2. Otros Ingresos No Oper.</v>
          </cell>
          <cell r="AB2111" t="str">
            <v>3. Ingresos Sector Público</v>
          </cell>
          <cell r="AC2111" t="str">
            <v>I. Ganancia / Pérdida No Oper.</v>
          </cell>
          <cell r="AD2111" t="str">
            <v>1. Ingresos No Oper.</v>
          </cell>
          <cell r="AE2111" t="str">
            <v>3. Ingresos Sector Público</v>
          </cell>
          <cell r="AH2111" t="str">
            <v>5. Otros ingresos de operación</v>
          </cell>
        </row>
        <row r="2112">
          <cell r="D2112">
            <v>0</v>
          </cell>
          <cell r="G2112" t="str">
            <v/>
          </cell>
          <cell r="H2112" t="str">
            <v>Est. Resultado</v>
          </cell>
          <cell r="I2112" t="str">
            <v>Resultado</v>
          </cell>
          <cell r="J2112" t="str">
            <v>9. Otras Ganancias</v>
          </cell>
          <cell r="K2112" t="str">
            <v>5. Ingresos Sector Público</v>
          </cell>
          <cell r="L2112" t="str">
            <v>NO OPER</v>
          </cell>
          <cell r="N2112" t="str">
            <v>GANANCIAS (PERDIDAS) ANTES DE IMPUESTOS</v>
          </cell>
          <cell r="O2112" t="str">
            <v>GANANCIA (PÉRDIDA) NETA</v>
          </cell>
          <cell r="P2112" t="str">
            <v>Resultado Ingresos y Gastos Integrales</v>
          </cell>
          <cell r="Q2112" t="str">
            <v>I. Ganancia (pérdida), antes de impuestos</v>
          </cell>
          <cell r="R2112" t="str">
            <v>b. Ganancia (pérdida)</v>
          </cell>
          <cell r="S2112" t="str">
            <v>7. Otras ganancias (pérdidas)</v>
          </cell>
          <cell r="T2112" t="str">
            <v>2. Ingresos Sector Público</v>
          </cell>
          <cell r="Z2112" t="str">
            <v>I. Ganacia / Pérdida - No Oper</v>
          </cell>
          <cell r="AA2112" t="str">
            <v>2. Otros Ingresos No Oper.</v>
          </cell>
          <cell r="AB2112" t="str">
            <v>3. Ingresos Sector Público</v>
          </cell>
          <cell r="AC2112" t="str">
            <v>I. Ganancia / Pérdida No Oper.</v>
          </cell>
          <cell r="AD2112" t="str">
            <v>1. Ingresos No Oper.</v>
          </cell>
          <cell r="AE2112" t="str">
            <v>3. Ingresos Sector Público</v>
          </cell>
          <cell r="AH2112" t="str">
            <v>5. Otros ingresos de operación</v>
          </cell>
        </row>
        <row r="2113">
          <cell r="D2113">
            <v>0</v>
          </cell>
          <cell r="G2113" t="str">
            <v/>
          </cell>
          <cell r="H2113" t="str">
            <v>Est. Resultado</v>
          </cell>
          <cell r="I2113" t="str">
            <v>Resultado</v>
          </cell>
          <cell r="J2113" t="str">
            <v>9. Otras Ganancias</v>
          </cell>
          <cell r="K2113" t="str">
            <v>5. Ingresos Sector Público</v>
          </cell>
          <cell r="L2113" t="str">
            <v>NO OPER</v>
          </cell>
          <cell r="N2113" t="str">
            <v>GANANCIAS (PERDIDAS) ANTES DE IMPUESTOS</v>
          </cell>
          <cell r="O2113" t="str">
            <v>GANANCIA (PÉRDIDA) NETA</v>
          </cell>
          <cell r="P2113" t="str">
            <v>Resultado Ingresos y Gastos Integrales</v>
          </cell>
          <cell r="Q2113" t="str">
            <v>I. Ganancia (pérdida), antes de impuestos</v>
          </cell>
          <cell r="R2113" t="str">
            <v>b. Ganancia (pérdida)</v>
          </cell>
          <cell r="S2113" t="str">
            <v>7. Otras ganancias (pérdidas)</v>
          </cell>
          <cell r="T2113" t="str">
            <v>2. Ingresos Sector Público</v>
          </cell>
          <cell r="Z2113" t="str">
            <v>I. Ganacia / Pérdida - No Oper</v>
          </cell>
          <cell r="AA2113" t="str">
            <v>2. Otros Ingresos No Oper.</v>
          </cell>
          <cell r="AB2113" t="str">
            <v>3. Ingresos Sector Público</v>
          </cell>
          <cell r="AC2113" t="str">
            <v>I. Ganancia / Pérdida No Oper.</v>
          </cell>
          <cell r="AD2113" t="str">
            <v>1. Ingresos No Oper.</v>
          </cell>
          <cell r="AE2113" t="str">
            <v>3. Ingresos Sector Público</v>
          </cell>
          <cell r="AH2113" t="str">
            <v>5. Otros ingresos de operación</v>
          </cell>
        </row>
        <row r="2114">
          <cell r="D2114" t="str">
            <v>Ingresos Sector Publico</v>
          </cell>
          <cell r="E2114" t="str">
            <v>Ingresos Sector Publico</v>
          </cell>
          <cell r="G2114" t="str">
            <v xml:space="preserve">Ingresos Sector Publico  </v>
          </cell>
          <cell r="H2114" t="str">
            <v/>
          </cell>
          <cell r="I2114" t="str">
            <v/>
          </cell>
          <cell r="N2114" t="str">
            <v/>
          </cell>
          <cell r="O2114" t="str">
            <v/>
          </cell>
          <cell r="P2114" t="str">
            <v/>
          </cell>
        </row>
        <row r="2115">
          <cell r="D2115" t="str">
            <v>OTRAS GANANCIAS</v>
          </cell>
          <cell r="E2115" t="str">
            <v>OTRAS GANANCIAS</v>
          </cell>
          <cell r="G2115" t="str">
            <v xml:space="preserve">OTRAS GANANCIAS  </v>
          </cell>
          <cell r="H2115" t="str">
            <v/>
          </cell>
          <cell r="I2115" t="str">
            <v/>
          </cell>
          <cell r="N2115" t="str">
            <v/>
          </cell>
          <cell r="O2115" t="str">
            <v/>
          </cell>
          <cell r="P2115" t="str">
            <v/>
          </cell>
        </row>
        <row r="2116">
          <cell r="D2116" t="str">
            <v>4310300001</v>
          </cell>
          <cell r="E2116" t="str">
            <v>4310300001</v>
          </cell>
          <cell r="F2116" t="str">
            <v>A.F Costo amortizado</v>
          </cell>
          <cell r="G2116" t="str">
            <v>4310300001  A.F Costo amortizado</v>
          </cell>
          <cell r="H2116" t="str">
            <v>Est. Resultado</v>
          </cell>
          <cell r="I2116" t="str">
            <v>Resultado</v>
          </cell>
          <cell r="J2116" t="str">
            <v>10. Otras Pérdidas</v>
          </cell>
          <cell r="K2116" t="str">
            <v>1. Pérdida x Baja Cta Activo Financiero</v>
          </cell>
          <cell r="L2116" t="str">
            <v>NO OPER</v>
          </cell>
          <cell r="N2116" t="str">
            <v>GANANCIAS (PERDIDAS) ANTES DE IMPUESTOS</v>
          </cell>
          <cell r="O2116" t="str">
            <v>GANANCIA (PÉRDIDA) NETA</v>
          </cell>
          <cell r="P2116" t="str">
            <v>Resultado Ingresos y Gastos Integrales</v>
          </cell>
          <cell r="Q2116" t="str">
            <v>I. Ganancia (pérdida), antes de impuestos</v>
          </cell>
          <cell r="R2116" t="str">
            <v>b. Ganancia (pérdida)</v>
          </cell>
          <cell r="S2116" t="str">
            <v>7. Otras ganancias (pérdidas)</v>
          </cell>
          <cell r="T2116" t="str">
            <v>1. Pérdida x Baja Activo Financiero</v>
          </cell>
          <cell r="V2116" t="str">
            <v>I. Ingresos</v>
          </cell>
          <cell r="Z2116" t="str">
            <v>I. Ganacia / Pérdida - No Oper</v>
          </cell>
          <cell r="AA2116" t="str">
            <v>5. Otras pérdidas No Oper.</v>
          </cell>
          <cell r="AB2116" t="str">
            <v>8. Pérdida x Baja Cta Activo Financiero</v>
          </cell>
          <cell r="AC2116" t="str">
            <v>I. Ganancia / Pérdida No Oper.</v>
          </cell>
          <cell r="AD2116" t="str">
            <v>3. Gastos Financieros</v>
          </cell>
          <cell r="AE2116" t="str">
            <v>2. Pérdida x Baja Cta Activo Financiero</v>
          </cell>
          <cell r="AH2116" t="str">
            <v>5. Otros ingresos de operación</v>
          </cell>
        </row>
        <row r="2117">
          <cell r="D2117">
            <v>0</v>
          </cell>
          <cell r="G2117" t="str">
            <v/>
          </cell>
          <cell r="H2117" t="str">
            <v>Est. Resultado</v>
          </cell>
          <cell r="I2117" t="str">
            <v>Resultado</v>
          </cell>
          <cell r="J2117" t="str">
            <v>10. Otras Pérdidas</v>
          </cell>
          <cell r="K2117" t="str">
            <v>1. Pérdida x Baja Cta Activo Financiero</v>
          </cell>
          <cell r="L2117" t="str">
            <v>NO OPER</v>
          </cell>
          <cell r="N2117" t="str">
            <v>GANANCIAS (PERDIDAS) ANTES DE IMPUESTOS</v>
          </cell>
          <cell r="O2117" t="str">
            <v>GANANCIA (PÉRDIDA) NETA</v>
          </cell>
          <cell r="P2117" t="str">
            <v>Resultado Ingresos y Gastos Integrales</v>
          </cell>
          <cell r="Q2117" t="str">
            <v>I. Ganancia (pérdida), antes de impuestos</v>
          </cell>
          <cell r="R2117" t="str">
            <v>b. Ganancia (pérdida)</v>
          </cell>
          <cell r="S2117" t="str">
            <v>7. Otras ganancias (pérdidas)</v>
          </cell>
          <cell r="T2117" t="str">
            <v>1. Pérdida x Baja Activo Financiero</v>
          </cell>
          <cell r="V2117" t="str">
            <v>I. Ingresos</v>
          </cell>
          <cell r="Z2117" t="str">
            <v>I. Ganacia / Pérdida - No Oper</v>
          </cell>
          <cell r="AA2117" t="str">
            <v>5. Otras pérdidas No Oper.</v>
          </cell>
          <cell r="AB2117" t="str">
            <v>8. Pérdida x Baja Cta Activo Financiero</v>
          </cell>
          <cell r="AC2117" t="str">
            <v>I. Ganancia / Pérdida No Oper.</v>
          </cell>
          <cell r="AD2117" t="str">
            <v>3. Gastos Financieros</v>
          </cell>
          <cell r="AE2117" t="str">
            <v>2. Pérdida x Baja Cta Activo Financiero</v>
          </cell>
          <cell r="AH2117" t="str">
            <v>5. Otros ingresos de operación</v>
          </cell>
        </row>
        <row r="2118">
          <cell r="D2118">
            <v>0</v>
          </cell>
          <cell r="G2118" t="str">
            <v/>
          </cell>
          <cell r="H2118" t="str">
            <v>Est. Resultado</v>
          </cell>
          <cell r="I2118" t="str">
            <v>Resultado</v>
          </cell>
          <cell r="J2118" t="str">
            <v>10. Otras Pérdidas</v>
          </cell>
          <cell r="K2118" t="str">
            <v>1. Pérdida x Baja Cta Activo Financiero</v>
          </cell>
          <cell r="L2118" t="str">
            <v>NO OPER</v>
          </cell>
          <cell r="N2118" t="str">
            <v>GANANCIAS (PERDIDAS) ANTES DE IMPUESTOS</v>
          </cell>
          <cell r="O2118" t="str">
            <v>GANANCIA (PÉRDIDA) NETA</v>
          </cell>
          <cell r="P2118" t="str">
            <v>Resultado Ingresos y Gastos Integrales</v>
          </cell>
          <cell r="Q2118" t="str">
            <v>I. Ganancia (pérdida), antes de impuestos</v>
          </cell>
          <cell r="R2118" t="str">
            <v>b. Ganancia (pérdida)</v>
          </cell>
          <cell r="S2118" t="str">
            <v>7. Otras ganancias (pérdidas)</v>
          </cell>
          <cell r="T2118" t="str">
            <v>1. Pérdida x Baja Activo Financiero</v>
          </cell>
          <cell r="V2118" t="str">
            <v>I. Ingresos</v>
          </cell>
          <cell r="Z2118" t="str">
            <v>I. Ganacia / Pérdida - No Oper</v>
          </cell>
          <cell r="AA2118" t="str">
            <v>5. Otras pérdidas No Oper.</v>
          </cell>
          <cell r="AB2118" t="str">
            <v>8. Pérdida x Baja Cta Activo Financiero</v>
          </cell>
          <cell r="AC2118" t="str">
            <v>I. Ganancia / Pérdida No Oper.</v>
          </cell>
          <cell r="AD2118" t="str">
            <v>3. Gastos Financieros</v>
          </cell>
          <cell r="AE2118" t="str">
            <v>2. Pérdida x Baja Cta Activo Financiero</v>
          </cell>
          <cell r="AH2118" t="str">
            <v>5. Otros ingresos de operación</v>
          </cell>
        </row>
        <row r="2119">
          <cell r="D2119">
            <v>0</v>
          </cell>
          <cell r="G2119" t="str">
            <v/>
          </cell>
          <cell r="H2119" t="str">
            <v>Est. Resultado</v>
          </cell>
          <cell r="I2119" t="str">
            <v>Resultado</v>
          </cell>
          <cell r="J2119" t="str">
            <v>10. Otras Pérdidas</v>
          </cell>
          <cell r="K2119" t="str">
            <v>1. Pérdida x Baja Cta Activo Financiero</v>
          </cell>
          <cell r="L2119" t="str">
            <v>NO OPER</v>
          </cell>
          <cell r="N2119" t="str">
            <v>GANANCIAS (PERDIDAS) ANTES DE IMPUESTOS</v>
          </cell>
          <cell r="O2119" t="str">
            <v>GANANCIA (PÉRDIDA) NETA</v>
          </cell>
          <cell r="P2119" t="str">
            <v>Resultado Ingresos y Gastos Integrales</v>
          </cell>
          <cell r="Q2119" t="str">
            <v>I. Ganancia (pérdida), antes de impuestos</v>
          </cell>
          <cell r="R2119" t="str">
            <v>b. Ganancia (pérdida)</v>
          </cell>
          <cell r="S2119" t="str">
            <v>7. Otras ganancias (pérdidas)</v>
          </cell>
          <cell r="T2119" t="str">
            <v>1. Pérdida x Baja Activo Financiero</v>
          </cell>
          <cell r="V2119" t="str">
            <v>I. Ingresos</v>
          </cell>
          <cell r="Z2119" t="str">
            <v>I. Ganacia / Pérdida - No Oper</v>
          </cell>
          <cell r="AA2119" t="str">
            <v>5. Otras pérdidas No Oper.</v>
          </cell>
          <cell r="AB2119" t="str">
            <v>8. Pérdida x Baja Cta Activo Financiero</v>
          </cell>
          <cell r="AC2119" t="str">
            <v>I. Ganancia / Pérdida No Oper.</v>
          </cell>
          <cell r="AD2119" t="str">
            <v>3. Gastos Financieros</v>
          </cell>
          <cell r="AE2119" t="str">
            <v>2. Pérdida x Baja Cta Activo Financiero</v>
          </cell>
          <cell r="AH2119" t="str">
            <v>5. Otros ingresos de operación</v>
          </cell>
        </row>
        <row r="2120">
          <cell r="D2120" t="str">
            <v>Pérdida x Baja Cta Activo Financiero</v>
          </cell>
          <cell r="E2120" t="str">
            <v>Pérdida x Baja Cta Activo Financiero</v>
          </cell>
          <cell r="G2120" t="str">
            <v xml:space="preserve">Pérdida x Baja Cta Activo Financiero  </v>
          </cell>
        </row>
        <row r="2121">
          <cell r="D2121" t="str">
            <v>4310100000</v>
          </cell>
          <cell r="E2121" t="str">
            <v>4310100000</v>
          </cell>
          <cell r="F2121" t="str">
            <v>Intereses Deuda Interna</v>
          </cell>
          <cell r="G2121" t="str">
            <v>4310100000  Intereses Deuda Interna</v>
          </cell>
          <cell r="H2121" t="str">
            <v>Est. Resultado</v>
          </cell>
          <cell r="I2121" t="str">
            <v>Resultado</v>
          </cell>
          <cell r="J2121" t="str">
            <v>10. Otras Pérdidas</v>
          </cell>
          <cell r="K2121" t="str">
            <v>2. Costos Financieros</v>
          </cell>
          <cell r="L2121" t="str">
            <v>NO OPER</v>
          </cell>
          <cell r="N2121" t="str">
            <v>GANANCIAS (PERDIDAS) ANTES DE IMPUESTOS</v>
          </cell>
          <cell r="O2121" t="str">
            <v>GANANCIA (PÉRDIDA) NETA</v>
          </cell>
          <cell r="P2121" t="str">
            <v>Resultado Ingresos y Gastos Integrales</v>
          </cell>
          <cell r="Q2121" t="str">
            <v>I. Ganancia (pérdida), antes de impuestos</v>
          </cell>
          <cell r="R2121" t="str">
            <v>b. Ganancia (pérdida)</v>
          </cell>
          <cell r="S2121" t="str">
            <v>9. Costos financieros</v>
          </cell>
          <cell r="T2121" t="str">
            <v>1. Costos Financieros</v>
          </cell>
          <cell r="V2121" t="str">
            <v>I. Ingresos</v>
          </cell>
          <cell r="Z2121" t="str">
            <v>I. Ganacia / Pérdida - No Oper</v>
          </cell>
          <cell r="AA2121" t="str">
            <v>4. Gastos Financieros</v>
          </cell>
          <cell r="AB2121" t="str">
            <v>6. Costos Financieros</v>
          </cell>
          <cell r="AC2121" t="str">
            <v>I. Ganancia / Pérdida No Oper.</v>
          </cell>
          <cell r="AD2121" t="str">
            <v>3. Gastos Financieros</v>
          </cell>
          <cell r="AE2121" t="str">
            <v>1. Gastos Financieros.</v>
          </cell>
          <cell r="AG2121" t="str">
            <v/>
          </cell>
          <cell r="AH2121" t="str">
            <v>3. Resultado financiero, neto segmento</v>
          </cell>
        </row>
        <row r="2122">
          <cell r="D2122" t="str">
            <v>4310200000</v>
          </cell>
          <cell r="E2122" t="str">
            <v>4310200000</v>
          </cell>
          <cell r="F2122" t="str">
            <v>Interes Deuda Externa</v>
          </cell>
          <cell r="G2122" t="str">
            <v>4310200000  Interes Deuda Externa</v>
          </cell>
          <cell r="H2122" t="str">
            <v>Est. Resultado</v>
          </cell>
          <cell r="I2122" t="str">
            <v>Resultado</v>
          </cell>
          <cell r="J2122" t="str">
            <v>10. Otras Pérdidas</v>
          </cell>
          <cell r="K2122" t="str">
            <v>2. Costos Financieros</v>
          </cell>
          <cell r="L2122" t="str">
            <v>NO OPER</v>
          </cell>
          <cell r="N2122" t="str">
            <v>GANANCIAS (PERDIDAS) ANTES DE IMPUESTOS</v>
          </cell>
          <cell r="O2122" t="str">
            <v>GANANCIA (PÉRDIDA) NETA</v>
          </cell>
          <cell r="P2122" t="str">
            <v>Resultado Ingresos y Gastos Integrales</v>
          </cell>
          <cell r="Q2122" t="str">
            <v>I. Ganancia (pérdida), antes de impuestos</v>
          </cell>
          <cell r="R2122" t="str">
            <v>b. Ganancia (pérdida)</v>
          </cell>
          <cell r="S2122" t="str">
            <v>9. Costos financieros</v>
          </cell>
          <cell r="T2122" t="str">
            <v>1. Costos Financieros</v>
          </cell>
          <cell r="V2122" t="str">
            <v>I. Ingresos</v>
          </cell>
          <cell r="Z2122" t="str">
            <v>I. Ganacia / Pérdida - No Oper</v>
          </cell>
          <cell r="AA2122" t="str">
            <v>4. Gastos Financieros</v>
          </cell>
          <cell r="AB2122" t="str">
            <v>6. Costos Financieros</v>
          </cell>
          <cell r="AC2122" t="str">
            <v>I. Ganancia / Pérdida No Oper.</v>
          </cell>
          <cell r="AD2122" t="str">
            <v>3. Gastos Financieros</v>
          </cell>
          <cell r="AE2122" t="str">
            <v>1. Gastos Financieros.</v>
          </cell>
          <cell r="AG2122" t="str">
            <v>Costos Financieros</v>
          </cell>
          <cell r="AH2122" t="str">
            <v>3. Resultado financiero, neto segmento</v>
          </cell>
        </row>
        <row r="2123">
          <cell r="D2123" t="str">
            <v>4310300000</v>
          </cell>
          <cell r="E2123" t="str">
            <v>4310300000</v>
          </cell>
          <cell r="F2123" t="str">
            <v>Gastos Financieros</v>
          </cell>
          <cell r="G2123" t="str">
            <v>4310300000  Gastos Financieros</v>
          </cell>
          <cell r="H2123" t="str">
            <v>Est. Resultado</v>
          </cell>
          <cell r="I2123" t="str">
            <v>Resultado</v>
          </cell>
          <cell r="J2123" t="str">
            <v>10. Otras Pérdidas</v>
          </cell>
          <cell r="K2123" t="str">
            <v>2. Costos Financieros</v>
          </cell>
          <cell r="L2123" t="str">
            <v>NO OPER</v>
          </cell>
          <cell r="N2123" t="str">
            <v>GANANCIAS (PERDIDAS) ANTES DE IMPUESTOS</v>
          </cell>
          <cell r="O2123" t="str">
            <v>GANANCIA (PÉRDIDA) NETA</v>
          </cell>
          <cell r="P2123" t="str">
            <v>Resultado Ingresos y Gastos Integrales</v>
          </cell>
          <cell r="Q2123" t="str">
            <v>I. Ganancia (pérdida), antes de impuestos</v>
          </cell>
          <cell r="R2123" t="str">
            <v>b. Ganancia (pérdida)</v>
          </cell>
          <cell r="S2123" t="str">
            <v>9. Costos financieros</v>
          </cell>
          <cell r="T2123" t="str">
            <v>1. Costos Financieros</v>
          </cell>
          <cell r="V2123" t="str">
            <v>I. Ingresos</v>
          </cell>
          <cell r="Z2123" t="str">
            <v>I. Ganacia / Pérdida - No Oper</v>
          </cell>
          <cell r="AA2123" t="str">
            <v>4. Gastos Financieros</v>
          </cell>
          <cell r="AB2123" t="str">
            <v>6. Costos Financieros</v>
          </cell>
          <cell r="AC2123" t="str">
            <v>I. Ganancia / Pérdida No Oper.</v>
          </cell>
          <cell r="AD2123" t="str">
            <v>3. Gastos Financieros</v>
          </cell>
          <cell r="AE2123" t="str">
            <v>1. Gastos Financieros.</v>
          </cell>
          <cell r="AG2123" t="str">
            <v>Costos Financieros</v>
          </cell>
          <cell r="AH2123" t="str">
            <v>3. Resultado financiero, neto segmento</v>
          </cell>
        </row>
        <row r="2124">
          <cell r="D2124" t="str">
            <v>4310400000</v>
          </cell>
          <cell r="E2124" t="str">
            <v>4310400000</v>
          </cell>
          <cell r="F2124" t="str">
            <v>Gastos Bancarios</v>
          </cell>
          <cell r="G2124" t="str">
            <v>4310400000  Gastos Bancarios</v>
          </cell>
          <cell r="H2124" t="str">
            <v>Est. Resultado</v>
          </cell>
          <cell r="I2124" t="str">
            <v>Resultado</v>
          </cell>
          <cell r="J2124" t="str">
            <v>10. Otras Pérdidas</v>
          </cell>
          <cell r="K2124" t="str">
            <v>2. Costos Financieros</v>
          </cell>
          <cell r="L2124" t="str">
            <v>NO OPER</v>
          </cell>
          <cell r="N2124" t="str">
            <v>GANANCIAS (PERDIDAS) ANTES DE IMPUESTOS</v>
          </cell>
          <cell r="O2124" t="str">
            <v>GANANCIA (PÉRDIDA) NETA</v>
          </cell>
          <cell r="P2124" t="str">
            <v>Resultado Ingresos y Gastos Integrales</v>
          </cell>
          <cell r="Q2124" t="str">
            <v>I. Ganancia (pérdida), antes de impuestos</v>
          </cell>
          <cell r="R2124" t="str">
            <v>b. Ganancia (pérdida)</v>
          </cell>
          <cell r="S2124" t="str">
            <v>9. Costos financieros</v>
          </cell>
          <cell r="T2124" t="str">
            <v>1. Costos Financieros</v>
          </cell>
          <cell r="V2124" t="str">
            <v>I. Ingresos</v>
          </cell>
          <cell r="Z2124" t="str">
            <v>I. Ganacia / Pérdida - No Oper</v>
          </cell>
          <cell r="AA2124" t="str">
            <v>4. Gastos Financieros</v>
          </cell>
          <cell r="AB2124" t="str">
            <v>6. Costos Financieros</v>
          </cell>
          <cell r="AC2124" t="str">
            <v>I. Ganancia / Pérdida No Oper.</v>
          </cell>
          <cell r="AD2124" t="str">
            <v>3. Gastos Financieros</v>
          </cell>
          <cell r="AE2124" t="str">
            <v>1. Gastos Financieros.</v>
          </cell>
          <cell r="AG2124" t="str">
            <v>Costos Financieros</v>
          </cell>
          <cell r="AH2124" t="str">
            <v>3. Resultado financiero, neto segmento</v>
          </cell>
        </row>
        <row r="2125">
          <cell r="D2125" t="str">
            <v>4310500000</v>
          </cell>
          <cell r="E2125" t="str">
            <v>4310500000</v>
          </cell>
          <cell r="F2125" t="str">
            <v>Gasto Colocacion de Bonos</v>
          </cell>
          <cell r="G2125" t="str">
            <v>4310500000  Gasto Colocacion de Bonos</v>
          </cell>
          <cell r="H2125" t="str">
            <v>Est. Resultado</v>
          </cell>
          <cell r="I2125" t="str">
            <v>Resultado</v>
          </cell>
          <cell r="J2125" t="str">
            <v>10. Otras Pérdidas</v>
          </cell>
          <cell r="K2125" t="str">
            <v>2. Costos Financieros</v>
          </cell>
          <cell r="L2125" t="str">
            <v>NO OPER</v>
          </cell>
          <cell r="N2125" t="str">
            <v>GANANCIAS (PERDIDAS) ANTES DE IMPUESTOS</v>
          </cell>
          <cell r="O2125" t="str">
            <v>GANANCIA (PÉRDIDA) NETA</v>
          </cell>
          <cell r="P2125" t="str">
            <v>Resultado Ingresos y Gastos Integrales</v>
          </cell>
          <cell r="Q2125" t="str">
            <v>I. Ganancia (pérdida), antes de impuestos</v>
          </cell>
          <cell r="R2125" t="str">
            <v>b. Ganancia (pérdida)</v>
          </cell>
          <cell r="S2125" t="str">
            <v>9. Costos financieros</v>
          </cell>
          <cell r="T2125" t="str">
            <v>1. Costos Financieros</v>
          </cell>
          <cell r="V2125" t="str">
            <v>I. Ingresos</v>
          </cell>
          <cell r="Z2125" t="str">
            <v>I. Ganacia / Pérdida - No Oper</v>
          </cell>
          <cell r="AA2125" t="str">
            <v>4. Gastos Financieros</v>
          </cell>
          <cell r="AB2125" t="str">
            <v>6. Costos Financieros</v>
          </cell>
          <cell r="AC2125" t="str">
            <v>I. Ganancia / Pérdida No Oper.</v>
          </cell>
          <cell r="AD2125" t="str">
            <v>3. Gastos Financieros</v>
          </cell>
          <cell r="AE2125" t="str">
            <v>1. Gastos Financieros.</v>
          </cell>
          <cell r="AG2125" t="str">
            <v>Costos Financieros</v>
          </cell>
          <cell r="AH2125" t="str">
            <v>3. Resultado financiero, neto segmento</v>
          </cell>
        </row>
        <row r="2126">
          <cell r="D2126" t="str">
            <v>4310700000</v>
          </cell>
          <cell r="E2126" t="str">
            <v>4310700000</v>
          </cell>
          <cell r="F2126" t="str">
            <v>AMORT. DES. BONOS</v>
          </cell>
          <cell r="G2126" t="str">
            <v>4310700000  AMORT. DES. BONOS</v>
          </cell>
          <cell r="H2126" t="str">
            <v>Est. Resultado</v>
          </cell>
          <cell r="I2126" t="str">
            <v>Resultado</v>
          </cell>
          <cell r="J2126" t="str">
            <v>10. Otras Pérdidas</v>
          </cell>
          <cell r="K2126" t="str">
            <v>2. Costos Financieros</v>
          </cell>
          <cell r="L2126" t="str">
            <v>NO OPER</v>
          </cell>
          <cell r="N2126" t="str">
            <v>GANANCIAS (PERDIDAS) ANTES DE IMPUESTOS</v>
          </cell>
          <cell r="O2126" t="str">
            <v>GANANCIA (PÉRDIDA) NETA</v>
          </cell>
          <cell r="P2126" t="str">
            <v>Resultado Ingresos y Gastos Integrales</v>
          </cell>
          <cell r="Q2126" t="str">
            <v>I. Ganancia (pérdida), antes de impuestos</v>
          </cell>
          <cell r="R2126" t="str">
            <v>b. Ganancia (pérdida)</v>
          </cell>
          <cell r="S2126" t="str">
            <v>9. Costos financieros</v>
          </cell>
          <cell r="T2126" t="str">
            <v>1. Costos Financieros</v>
          </cell>
          <cell r="V2126" t="str">
            <v>I. Ingresos</v>
          </cell>
          <cell r="Z2126" t="str">
            <v>I. Ganacia / Pérdida - No Oper</v>
          </cell>
          <cell r="AA2126" t="str">
            <v>4. Gastos Financieros</v>
          </cell>
          <cell r="AB2126" t="str">
            <v>6. Costos Financieros</v>
          </cell>
          <cell r="AC2126" t="str">
            <v>I. Ganancia / Pérdida No Oper.</v>
          </cell>
          <cell r="AD2126" t="str">
            <v>3. Gastos Financieros</v>
          </cell>
          <cell r="AE2126" t="str">
            <v>1. Gastos Financieros.</v>
          </cell>
          <cell r="AG2126" t="str">
            <v>Costos Financieros</v>
          </cell>
          <cell r="AH2126" t="str">
            <v>3. Resultado financiero, neto segmento</v>
          </cell>
        </row>
        <row r="2127">
          <cell r="D2127" t="str">
            <v>4310700010</v>
          </cell>
          <cell r="E2127" t="str">
            <v>4310700010</v>
          </cell>
          <cell r="F2127" t="str">
            <v>AMORT.EST PROY.</v>
          </cell>
          <cell r="G2127" t="str">
            <v>4310700010  AMORT.EST PROY.</v>
          </cell>
          <cell r="H2127" t="str">
            <v>Est. Resultado</v>
          </cell>
          <cell r="I2127" t="str">
            <v>Resultado</v>
          </cell>
          <cell r="J2127" t="str">
            <v>10. Otras Pérdidas</v>
          </cell>
          <cell r="K2127" t="str">
            <v>2. Costos Financieros</v>
          </cell>
          <cell r="L2127" t="str">
            <v>NO OPER</v>
          </cell>
          <cell r="N2127" t="str">
            <v>GANANCIAS (PERDIDAS) ANTES DE IMPUESTOS</v>
          </cell>
          <cell r="O2127" t="str">
            <v>GANANCIA (PÉRDIDA) NETA</v>
          </cell>
          <cell r="P2127" t="str">
            <v>Resultado Ingresos y Gastos Integrales</v>
          </cell>
          <cell r="Q2127" t="str">
            <v>I. Ganancia (pérdida), antes de impuestos</v>
          </cell>
          <cell r="R2127" t="str">
            <v>b. Ganancia (pérdida)</v>
          </cell>
          <cell r="S2127" t="str">
            <v>9. Costos financieros</v>
          </cell>
          <cell r="T2127" t="str">
            <v>1. Costos Financieros</v>
          </cell>
          <cell r="V2127" t="str">
            <v>I. Ingresos</v>
          </cell>
          <cell r="Z2127" t="str">
            <v>I. Ganacia / Pérdida - No Oper</v>
          </cell>
          <cell r="AA2127" t="str">
            <v>4. Gastos Financieros</v>
          </cell>
          <cell r="AB2127" t="str">
            <v>6. Costos Financieros</v>
          </cell>
          <cell r="AC2127" t="str">
            <v>I. Ganancia / Pérdida No Oper.</v>
          </cell>
          <cell r="AD2127" t="str">
            <v>3. Gastos Financieros</v>
          </cell>
          <cell r="AE2127" t="str">
            <v>1. Gastos Financieros.</v>
          </cell>
          <cell r="AG2127" t="str">
            <v>Costos Financieros</v>
          </cell>
          <cell r="AH2127" t="str">
            <v>3. Resultado financiero, neto segmento</v>
          </cell>
        </row>
        <row r="2128">
          <cell r="D2128" t="str">
            <v>4310700021</v>
          </cell>
          <cell r="E2128" t="str">
            <v>4310700021</v>
          </cell>
          <cell r="F2128" t="str">
            <v>AMORT.PROY.MARCAS</v>
          </cell>
          <cell r="G2128" t="str">
            <v>4310700021  AMORT.PROY.MARCAS</v>
          </cell>
          <cell r="H2128" t="str">
            <v>Est. Resultado</v>
          </cell>
          <cell r="I2128" t="str">
            <v>Resultado</v>
          </cell>
          <cell r="J2128" t="str">
            <v>10. Otras Pérdidas</v>
          </cell>
          <cell r="K2128" t="str">
            <v>2. Costos Financieros</v>
          </cell>
          <cell r="L2128" t="str">
            <v>NO OPER</v>
          </cell>
          <cell r="N2128" t="str">
            <v>GANANCIAS (PERDIDAS) ANTES DE IMPUESTOS</v>
          </cell>
          <cell r="O2128" t="str">
            <v>GANANCIA (PÉRDIDA) NETA</v>
          </cell>
          <cell r="P2128" t="str">
            <v>Resultado Ingresos y Gastos Integrales</v>
          </cell>
          <cell r="Q2128" t="str">
            <v>I. Ganancia (pérdida), antes de impuestos</v>
          </cell>
          <cell r="R2128" t="str">
            <v>b. Ganancia (pérdida)</v>
          </cell>
          <cell r="S2128" t="str">
            <v>9. Costos financieros</v>
          </cell>
          <cell r="T2128" t="str">
            <v>1. Costos Financieros</v>
          </cell>
          <cell r="V2128" t="str">
            <v>I. Ingresos</v>
          </cell>
          <cell r="Z2128" t="str">
            <v>I. Ganacia / Pérdida - No Oper</v>
          </cell>
          <cell r="AA2128" t="str">
            <v>4. Gastos Financieros</v>
          </cell>
          <cell r="AB2128" t="str">
            <v>6. Costos Financieros</v>
          </cell>
          <cell r="AC2128" t="str">
            <v>I. Ganancia / Pérdida No Oper.</v>
          </cell>
          <cell r="AD2128" t="str">
            <v>3. Gastos Financieros</v>
          </cell>
          <cell r="AE2128" t="str">
            <v>1. Gastos Financieros.</v>
          </cell>
          <cell r="AG2128" t="str">
            <v>Costos Financieros</v>
          </cell>
          <cell r="AH2128" t="str">
            <v>3. Resultado financiero, neto segmento</v>
          </cell>
        </row>
        <row r="2129">
          <cell r="D2129" t="str">
            <v>4310900000</v>
          </cell>
          <cell r="E2129" t="str">
            <v>4310900000</v>
          </cell>
          <cell r="F2129" t="str">
            <v>OTROS INTERESES PAGADOS</v>
          </cell>
          <cell r="G2129" t="str">
            <v>4310900000  OTROS INTERESES PAGADOS</v>
          </cell>
          <cell r="H2129" t="str">
            <v>Est. Resultado</v>
          </cell>
          <cell r="I2129" t="str">
            <v>Resultado</v>
          </cell>
          <cell r="J2129" t="str">
            <v>10. Otras Pérdidas</v>
          </cell>
          <cell r="K2129" t="str">
            <v>2. Costos Financieros</v>
          </cell>
          <cell r="L2129" t="str">
            <v>NO OPER</v>
          </cell>
          <cell r="N2129" t="str">
            <v>GANANCIAS (PERDIDAS) ANTES DE IMPUESTOS</v>
          </cell>
          <cell r="O2129" t="str">
            <v>GANANCIA (PÉRDIDA) NETA</v>
          </cell>
          <cell r="P2129" t="str">
            <v>Resultado Ingresos y Gastos Integrales</v>
          </cell>
          <cell r="Q2129" t="str">
            <v>I. Ganancia (pérdida), antes de impuestos</v>
          </cell>
          <cell r="R2129" t="str">
            <v>b. Ganancia (pérdida)</v>
          </cell>
          <cell r="S2129" t="str">
            <v>9. Costos financieros</v>
          </cell>
          <cell r="T2129" t="str">
            <v>1. Costos Financieros</v>
          </cell>
          <cell r="V2129" t="str">
            <v>I. Ingresos</v>
          </cell>
          <cell r="Z2129" t="str">
            <v>I. Ganacia / Pérdida - No Oper</v>
          </cell>
          <cell r="AA2129" t="str">
            <v>4. Gastos Financieros</v>
          </cell>
          <cell r="AB2129" t="str">
            <v>6. Costos Financieros</v>
          </cell>
          <cell r="AC2129" t="str">
            <v>I. Ganancia / Pérdida No Oper.</v>
          </cell>
          <cell r="AD2129" t="str">
            <v>3. Gastos Financieros</v>
          </cell>
          <cell r="AE2129" t="str">
            <v>1. Gastos Financieros.</v>
          </cell>
          <cell r="AG2129" t="str">
            <v>Costos Financieros</v>
          </cell>
          <cell r="AH2129" t="str">
            <v>3. Resultado financiero, neto segmento</v>
          </cell>
        </row>
        <row r="2130">
          <cell r="D2130" t="str">
            <v>4350970000</v>
          </cell>
          <cell r="E2130" t="str">
            <v>4350970000</v>
          </cell>
          <cell r="F2130" t="str">
            <v>Imp Ley Timb/Estamp</v>
          </cell>
          <cell r="G2130" t="str">
            <v>4350970000  Imp Ley Timb/Estamp</v>
          </cell>
          <cell r="H2130" t="str">
            <v>Est. Resultado</v>
          </cell>
          <cell r="I2130" t="str">
            <v>Resultado</v>
          </cell>
          <cell r="J2130" t="str">
            <v>10. Otras Pérdidas</v>
          </cell>
          <cell r="K2130" t="str">
            <v>2. Costos Financieros</v>
          </cell>
          <cell r="L2130" t="str">
            <v>NO OPER</v>
          </cell>
          <cell r="N2130" t="str">
            <v>GANANCIAS (PERDIDAS) ANTES DE IMPUESTOS</v>
          </cell>
          <cell r="O2130" t="str">
            <v>GANANCIA (PÉRDIDA) NETA</v>
          </cell>
          <cell r="P2130" t="str">
            <v>Resultado Ingresos y Gastos Integrales</v>
          </cell>
          <cell r="Q2130" t="str">
            <v>I. Ganancia (pérdida), antes de impuestos</v>
          </cell>
          <cell r="R2130" t="str">
            <v>b. Ganancia (pérdida)</v>
          </cell>
          <cell r="S2130" t="str">
            <v>9. Costos financieros</v>
          </cell>
          <cell r="T2130" t="str">
            <v>1. Costos Financieros</v>
          </cell>
          <cell r="V2130" t="str">
            <v>I. Ingresos</v>
          </cell>
          <cell r="Z2130" t="str">
            <v>I. Ganacia / Pérdida - No Oper</v>
          </cell>
          <cell r="AA2130" t="str">
            <v>4. Gastos Financieros</v>
          </cell>
          <cell r="AB2130" t="str">
            <v>6. Costos Financieros</v>
          </cell>
          <cell r="AC2130" t="str">
            <v>I. Ganancia / Pérdida No Oper.</v>
          </cell>
          <cell r="AD2130" t="str">
            <v>3. Gastos Financieros</v>
          </cell>
          <cell r="AE2130" t="str">
            <v>1. Gastos Financieros.</v>
          </cell>
          <cell r="AG2130" t="str">
            <v>Costos Financieros</v>
          </cell>
          <cell r="AH2130" t="str">
            <v>3. Resultado financiero, neto segmento</v>
          </cell>
        </row>
        <row r="2131">
          <cell r="D2131">
            <v>0</v>
          </cell>
          <cell r="G2131" t="str">
            <v/>
          </cell>
          <cell r="H2131" t="str">
            <v>Est. Resultado</v>
          </cell>
          <cell r="I2131" t="str">
            <v>Resultado</v>
          </cell>
          <cell r="J2131" t="str">
            <v>10. Otras Pérdidas</v>
          </cell>
          <cell r="K2131" t="str">
            <v>2. Costos Financieros</v>
          </cell>
          <cell r="L2131" t="str">
            <v>NO OPER</v>
          </cell>
          <cell r="N2131" t="str">
            <v>GANANCIAS (PERDIDAS) ANTES DE IMPUESTOS</v>
          </cell>
          <cell r="O2131" t="str">
            <v>GANANCIA (PÉRDIDA) NETA</v>
          </cell>
          <cell r="P2131" t="str">
            <v>Resultado Ingresos y Gastos Integrales</v>
          </cell>
          <cell r="Q2131" t="str">
            <v>I. Ganancia (pérdida), antes de impuestos</v>
          </cell>
          <cell r="R2131" t="str">
            <v>b. Ganancia (pérdida)</v>
          </cell>
          <cell r="S2131" t="str">
            <v>9. Costos financieros</v>
          </cell>
          <cell r="T2131" t="str">
            <v>1. Costos Financieros</v>
          </cell>
          <cell r="Z2131" t="str">
            <v>I. Ganacia / Pérdida - No Oper</v>
          </cell>
          <cell r="AA2131" t="str">
            <v>4. Gastos Financieros</v>
          </cell>
          <cell r="AB2131" t="str">
            <v>6. Costos Financieros</v>
          </cell>
          <cell r="AC2131" t="str">
            <v>I. Ganancia / Pérdida No Oper.</v>
          </cell>
          <cell r="AD2131" t="str">
            <v>3. Gastos Financieros</v>
          </cell>
          <cell r="AE2131" t="str">
            <v>1. Gastos Financieros.</v>
          </cell>
          <cell r="AG2131" t="str">
            <v>Costos Financieros</v>
          </cell>
          <cell r="AH2131" t="str">
            <v>3. Resultado financiero, neto segmento</v>
          </cell>
        </row>
        <row r="2132">
          <cell r="D2132">
            <v>0</v>
          </cell>
          <cell r="G2132" t="str">
            <v/>
          </cell>
          <cell r="H2132" t="str">
            <v>Est. Resultado</v>
          </cell>
          <cell r="I2132" t="str">
            <v>Resultado</v>
          </cell>
          <cell r="J2132" t="str">
            <v>10. Otras Pérdidas</v>
          </cell>
          <cell r="K2132" t="str">
            <v>2. Costos Financieros</v>
          </cell>
          <cell r="L2132" t="str">
            <v>NO OPER</v>
          </cell>
          <cell r="N2132" t="str">
            <v>GANANCIAS (PERDIDAS) ANTES DE IMPUESTOS</v>
          </cell>
          <cell r="O2132" t="str">
            <v>GANANCIA (PÉRDIDA) NETA</v>
          </cell>
          <cell r="P2132" t="str">
            <v>Resultado Ingresos y Gastos Integrales</v>
          </cell>
          <cell r="Q2132" t="str">
            <v>I. Ganancia (pérdida), antes de impuestos</v>
          </cell>
          <cell r="R2132" t="str">
            <v>b. Ganancia (pérdida)</v>
          </cell>
          <cell r="S2132" t="str">
            <v>9. Costos financieros</v>
          </cell>
          <cell r="T2132" t="str">
            <v>1. Costos Financieros</v>
          </cell>
          <cell r="Z2132" t="str">
            <v>I. Ganacia / Pérdida - No Oper</v>
          </cell>
          <cell r="AA2132" t="str">
            <v>4. Gastos Financieros</v>
          </cell>
          <cell r="AB2132" t="str">
            <v>6. Costos Financieros</v>
          </cell>
          <cell r="AC2132" t="str">
            <v>I. Ganancia / Pérdida No Oper.</v>
          </cell>
          <cell r="AD2132" t="str">
            <v>3. Gastos Financieros</v>
          </cell>
          <cell r="AE2132" t="str">
            <v>1. Gastos Financieros.</v>
          </cell>
          <cell r="AG2132" t="str">
            <v>Costos Financieros</v>
          </cell>
          <cell r="AH2132" t="str">
            <v>3. Resultado financiero, neto segmento</v>
          </cell>
        </row>
        <row r="2133">
          <cell r="D2133">
            <v>0</v>
          </cell>
          <cell r="G2133" t="str">
            <v/>
          </cell>
          <cell r="H2133" t="str">
            <v>Est. Resultado</v>
          </cell>
          <cell r="I2133" t="str">
            <v>Resultado</v>
          </cell>
          <cell r="J2133" t="str">
            <v>10. Otras Pérdidas</v>
          </cell>
          <cell r="K2133" t="str">
            <v>2. Costos Financieros</v>
          </cell>
          <cell r="L2133" t="str">
            <v>NO OPER</v>
          </cell>
          <cell r="N2133" t="str">
            <v>GANANCIAS (PERDIDAS) ANTES DE IMPUESTOS</v>
          </cell>
          <cell r="O2133" t="str">
            <v>GANANCIA (PÉRDIDA) NETA</v>
          </cell>
          <cell r="P2133" t="str">
            <v>Resultado Ingresos y Gastos Integrales</v>
          </cell>
          <cell r="Q2133" t="str">
            <v>I. Ganancia (pérdida), antes de impuestos</v>
          </cell>
          <cell r="R2133" t="str">
            <v>b. Ganancia (pérdida)</v>
          </cell>
          <cell r="S2133" t="str">
            <v>9. Costos financieros</v>
          </cell>
          <cell r="T2133" t="str">
            <v>1. Costos Financieros</v>
          </cell>
          <cell r="Z2133" t="str">
            <v>I. Ganacia / Pérdida - No Oper</v>
          </cell>
          <cell r="AA2133" t="str">
            <v>4. Gastos Financieros</v>
          </cell>
          <cell r="AB2133" t="str">
            <v>6. Costos Financieros</v>
          </cell>
          <cell r="AC2133" t="str">
            <v>I. Ganancia / Pérdida No Oper.</v>
          </cell>
          <cell r="AD2133" t="str">
            <v>3. Gastos Financieros</v>
          </cell>
          <cell r="AE2133" t="str">
            <v>1. Gastos Financieros.</v>
          </cell>
          <cell r="AG2133" t="str">
            <v>Costos Financieros</v>
          </cell>
          <cell r="AH2133" t="str">
            <v>3. Resultado financiero, neto segmento</v>
          </cell>
        </row>
        <row r="2134">
          <cell r="D2134" t="str">
            <v>Costos Financieros</v>
          </cell>
          <cell r="E2134" t="str">
            <v>Costos Financieros</v>
          </cell>
          <cell r="G2134" t="str">
            <v xml:space="preserve">Costos Financieros  </v>
          </cell>
          <cell r="H2134" t="str">
            <v/>
          </cell>
          <cell r="I2134" t="str">
            <v/>
          </cell>
          <cell r="J2134" t="str">
            <v/>
          </cell>
          <cell r="N2134" t="str">
            <v/>
          </cell>
          <cell r="O2134" t="str">
            <v/>
          </cell>
          <cell r="P2134" t="str">
            <v/>
          </cell>
        </row>
        <row r="2135">
          <cell r="D2135" t="str">
            <v>3212100000</v>
          </cell>
          <cell r="E2135" t="str">
            <v>3212100000</v>
          </cell>
          <cell r="F2135" t="str">
            <v>Utilidad Inversión EE.RR.</v>
          </cell>
          <cell r="G2135" t="str">
            <v>3212100000  Utilidad Inversión EE.RR.</v>
          </cell>
          <cell r="H2135" t="str">
            <v>Est. Resultado</v>
          </cell>
          <cell r="I2135" t="str">
            <v>Resultado</v>
          </cell>
          <cell r="J2135" t="str">
            <v>9. Otras Ganancias</v>
          </cell>
          <cell r="K2135" t="str">
            <v>3. Participacion Empresas Relacionadas</v>
          </cell>
          <cell r="L2135" t="str">
            <v>NO OPER</v>
          </cell>
          <cell r="N2135" t="str">
            <v>GANANCIAS (PERDIDAS) ANTES DE IMPUESTOS</v>
          </cell>
          <cell r="O2135" t="str">
            <v>GANANCIA (PÉRDIDA) NETA</v>
          </cell>
          <cell r="P2135" t="str">
            <v>Resultado Ingresos y Gastos Integrales</v>
          </cell>
          <cell r="Q2135" t="str">
            <v>I. Ganancia (pérdida), antes de impuestos</v>
          </cell>
          <cell r="R2135" t="str">
            <v>b. Ganancia (pérdida)</v>
          </cell>
          <cell r="S2135" t="str">
            <v>10. Participación en las ganancias (pérdidas) de asociadas y negocios conjuntos que se contabilicen utilizando el método de la participación</v>
          </cell>
          <cell r="T2135" t="str">
            <v>1. Utilidad Inv. Empresas Relacionadas</v>
          </cell>
          <cell r="Z2135" t="str">
            <v>I. Ganacia / Pérdida - No Oper</v>
          </cell>
          <cell r="AA2135" t="str">
            <v>3. Empresas Relacionadas</v>
          </cell>
          <cell r="AB2135" t="str">
            <v>5. Participacion Empresas Relacionadas</v>
          </cell>
          <cell r="AC2135" t="str">
            <v>I. Ganancia / Pérdida No Oper.</v>
          </cell>
          <cell r="AD2135" t="str">
            <v>2. Empresas Relacionadas</v>
          </cell>
          <cell r="AE2135" t="str">
            <v>1. Participación Empresas Relacionadas</v>
          </cell>
          <cell r="AH2135" t="str">
            <v>7. Participación de la entidad en el resultado de asociadas</v>
          </cell>
        </row>
        <row r="2136">
          <cell r="D2136" t="str">
            <v>4310940000</v>
          </cell>
          <cell r="E2136" t="str">
            <v>4310940000</v>
          </cell>
          <cell r="F2136" t="str">
            <v>Pérdida Inversión EE.RR.</v>
          </cell>
          <cell r="G2136" t="str">
            <v>4310940000  Pérdida Inversión EE.RR.</v>
          </cell>
          <cell r="H2136" t="str">
            <v>Est. Resultado</v>
          </cell>
          <cell r="I2136" t="str">
            <v>Resultado</v>
          </cell>
          <cell r="J2136" t="str">
            <v>10. Otras Pérdidas</v>
          </cell>
          <cell r="K2136" t="str">
            <v>3. Participacion Empresas Relacionadas</v>
          </cell>
          <cell r="L2136" t="str">
            <v>NO OPER</v>
          </cell>
          <cell r="N2136" t="str">
            <v>GANANCIAS (PERDIDAS) ANTES DE IMPUESTOS</v>
          </cell>
          <cell r="O2136" t="str">
            <v>GANANCIA (PÉRDIDA) NETA</v>
          </cell>
          <cell r="P2136" t="str">
            <v>Resultado Ingresos y Gastos Integrales</v>
          </cell>
          <cell r="Q2136" t="str">
            <v>I. Ganancia (pérdida), antes de impuestos</v>
          </cell>
          <cell r="R2136" t="str">
            <v>b. Ganancia (pérdida)</v>
          </cell>
          <cell r="S2136" t="str">
            <v>10. Participación en las ganancias (pérdidas) de asociadas y negocios conjuntos que se contabilicen utilizando el método de la participación</v>
          </cell>
          <cell r="T2136" t="str">
            <v>2. Pérdida Inv. Empresas Relacionadas</v>
          </cell>
          <cell r="Z2136" t="str">
            <v>I. Ganacia / Pérdida - No Oper</v>
          </cell>
          <cell r="AA2136" t="str">
            <v>3. Empresas Relacionadas</v>
          </cell>
          <cell r="AB2136" t="str">
            <v>5. Participacion Empresas Relacionadas</v>
          </cell>
          <cell r="AC2136" t="str">
            <v>I. Ganancia / Pérdida No Oper.</v>
          </cell>
          <cell r="AD2136" t="str">
            <v>2. Empresas Relacionadas</v>
          </cell>
          <cell r="AE2136" t="str">
            <v>1. Participación Empresas Relacionadas</v>
          </cell>
          <cell r="AH2136" t="str">
            <v>7. Participación de la entidad en el resultado de asociadas</v>
          </cell>
        </row>
        <row r="2137">
          <cell r="D2137">
            <v>0</v>
          </cell>
          <cell r="G2137" t="str">
            <v/>
          </cell>
        </row>
        <row r="2138">
          <cell r="D2138">
            <v>0</v>
          </cell>
          <cell r="G2138" t="str">
            <v/>
          </cell>
        </row>
        <row r="2139">
          <cell r="D2139">
            <v>0</v>
          </cell>
          <cell r="G2139" t="str">
            <v/>
          </cell>
        </row>
        <row r="2140">
          <cell r="D2140" t="str">
            <v>Participacion Empresas Relacionadas</v>
          </cell>
          <cell r="E2140" t="str">
            <v>Participacion Empresas Relacionadas</v>
          </cell>
          <cell r="G2140" t="str">
            <v xml:space="preserve">Participacion Empresas Relacionadas  </v>
          </cell>
          <cell r="H2140" t="str">
            <v/>
          </cell>
          <cell r="I2140" t="str">
            <v/>
          </cell>
          <cell r="J2140" t="str">
            <v/>
          </cell>
          <cell r="N2140" t="str">
            <v/>
          </cell>
          <cell r="O2140" t="str">
            <v/>
          </cell>
          <cell r="P2140" t="str">
            <v/>
          </cell>
        </row>
        <row r="2141">
          <cell r="D2141" t="str">
            <v>4320200000</v>
          </cell>
          <cell r="E2141" t="str">
            <v>4320200000</v>
          </cell>
          <cell r="F2141" t="str">
            <v>Gto Indem Ley 19.170</v>
          </cell>
          <cell r="G2141" t="str">
            <v>4320200000  Gto Indem Ley 19.170</v>
          </cell>
          <cell r="H2141" t="str">
            <v>Est. Resultado</v>
          </cell>
          <cell r="I2141" t="str">
            <v>Resultado</v>
          </cell>
          <cell r="J2141" t="str">
            <v>10. Otras Pérdidas</v>
          </cell>
          <cell r="K2141" t="str">
            <v>4. Otros Gastos Fuera Explotación</v>
          </cell>
          <cell r="L2141" t="str">
            <v>NO OPER</v>
          </cell>
          <cell r="N2141" t="str">
            <v>GANANCIAS (PERDIDAS) ANTES DE IMPUESTOS</v>
          </cell>
          <cell r="O2141" t="str">
            <v>GANANCIA (PÉRDIDA) NETA</v>
          </cell>
          <cell r="P2141" t="str">
            <v>Resultado Ingresos y Gastos Integrales</v>
          </cell>
          <cell r="Q2141" t="str">
            <v>I. Ganancia (pérdida), antes de impuestos</v>
          </cell>
          <cell r="R2141" t="str">
            <v>b. Ganancia (pérdida)</v>
          </cell>
          <cell r="S2141" t="str">
            <v>7. Otras ganancias (pérdidas)</v>
          </cell>
          <cell r="T2141" t="str">
            <v>3. Otros Gastos Fuera Explotación</v>
          </cell>
          <cell r="V2141" t="str">
            <v>II. Gastos</v>
          </cell>
          <cell r="W2141" t="str">
            <v>24. Desahucios y otras Indemnizaciones</v>
          </cell>
          <cell r="Z2141" t="str">
            <v>I. Ganacia / Pérdida - No Oper</v>
          </cell>
          <cell r="AA2141" t="str">
            <v>5. Otras pérdidas No Oper.</v>
          </cell>
          <cell r="AB2141" t="str">
            <v>7. Otros Gastos Fuera Explotación</v>
          </cell>
          <cell r="AC2141" t="str">
            <v>I. Ganancia / Pérdida No Oper.</v>
          </cell>
          <cell r="AD2141" t="str">
            <v>4. Egresos No Oper.</v>
          </cell>
          <cell r="AE2141" t="str">
            <v>1. Otros Gastos Fuera Explotación</v>
          </cell>
          <cell r="AH2141" t="str">
            <v>6. Partidas significativas de gastos</v>
          </cell>
        </row>
        <row r="2142">
          <cell r="D2142" t="str">
            <v>4320300000</v>
          </cell>
          <cell r="E2142" t="str">
            <v>4320300000</v>
          </cell>
          <cell r="F2142" t="str">
            <v>Gto Medico Jubilados</v>
          </cell>
          <cell r="G2142" t="str">
            <v>4320300000  Gto Medico Jubilados</v>
          </cell>
          <cell r="H2142" t="str">
            <v>Est. Resultado</v>
          </cell>
          <cell r="I2142" t="str">
            <v>Resultado</v>
          </cell>
          <cell r="J2142" t="str">
            <v>10. Otras Pérdidas</v>
          </cell>
          <cell r="K2142" t="str">
            <v>4. Otros Gastos Fuera Explotación</v>
          </cell>
          <cell r="L2142" t="str">
            <v>NO OPER</v>
          </cell>
          <cell r="N2142" t="str">
            <v>GANANCIAS (PERDIDAS) ANTES DE IMPUESTOS</v>
          </cell>
          <cell r="O2142" t="str">
            <v>GANANCIA (PÉRDIDA) NETA</v>
          </cell>
          <cell r="P2142" t="str">
            <v>Resultado Ingresos y Gastos Integrales</v>
          </cell>
          <cell r="Q2142" t="str">
            <v>I. Ganancia (pérdida), antes de impuestos</v>
          </cell>
          <cell r="R2142" t="str">
            <v>b. Ganancia (pérdida)</v>
          </cell>
          <cell r="S2142" t="str">
            <v>7. Otras ganancias (pérdidas)</v>
          </cell>
          <cell r="T2142" t="str">
            <v>3. Otros Gastos Fuera Explotación</v>
          </cell>
          <cell r="V2142" t="str">
            <v>II. Gastos</v>
          </cell>
          <cell r="W2142" t="str">
            <v>24. Desahucios y otras Indemnizaciones</v>
          </cell>
          <cell r="Z2142" t="str">
            <v>I. Ganacia / Pérdida - No Oper</v>
          </cell>
          <cell r="AA2142" t="str">
            <v>5. Otras pérdidas No Oper.</v>
          </cell>
          <cell r="AB2142" t="str">
            <v>7. Otros Gastos Fuera Explotación</v>
          </cell>
          <cell r="AC2142" t="str">
            <v>I. Ganancia / Pérdida No Oper.</v>
          </cell>
          <cell r="AD2142" t="str">
            <v>4. Egresos No Oper.</v>
          </cell>
          <cell r="AE2142" t="str">
            <v>1. Otros Gastos Fuera Explotación</v>
          </cell>
          <cell r="AH2142" t="str">
            <v>6. Partidas significativas de gastos</v>
          </cell>
        </row>
        <row r="2143">
          <cell r="D2143" t="str">
            <v>4320400000</v>
          </cell>
          <cell r="E2143" t="str">
            <v>4320400000</v>
          </cell>
          <cell r="F2143" t="str">
            <v>Gasto Remuneracion Ley  N 2259</v>
          </cell>
          <cell r="G2143" t="str">
            <v>4320400000  Gasto Remuneracion Ley  N 2259</v>
          </cell>
          <cell r="H2143" t="str">
            <v>Est. Resultado</v>
          </cell>
          <cell r="I2143" t="str">
            <v>Resultado</v>
          </cell>
          <cell r="J2143" t="str">
            <v>10. Otras Pérdidas</v>
          </cell>
          <cell r="K2143" t="str">
            <v>4. Otros Gastos Fuera Explotación</v>
          </cell>
          <cell r="L2143" t="str">
            <v>NO OPER</v>
          </cell>
          <cell r="N2143" t="str">
            <v>GANANCIAS (PERDIDAS) ANTES DE IMPUESTOS</v>
          </cell>
          <cell r="O2143" t="str">
            <v>GANANCIA (PÉRDIDA) NETA</v>
          </cell>
          <cell r="P2143" t="str">
            <v>Resultado Ingresos y Gastos Integrales</v>
          </cell>
          <cell r="Q2143" t="str">
            <v>I. Ganancia (pérdida), antes de impuestos</v>
          </cell>
          <cell r="R2143" t="str">
            <v>b. Ganancia (pérdida)</v>
          </cell>
          <cell r="S2143" t="str">
            <v>7. Otras ganancias (pérdidas)</v>
          </cell>
          <cell r="T2143" t="str">
            <v>3. Otros Gastos Fuera Explotación</v>
          </cell>
          <cell r="V2143" t="str">
            <v>II. Gastos</v>
          </cell>
          <cell r="W2143" t="str">
            <v>24. Desahucios y otras Indemnizaciones</v>
          </cell>
          <cell r="Z2143" t="str">
            <v>I. Ganacia / Pérdida - No Oper</v>
          </cell>
          <cell r="AA2143" t="str">
            <v>5. Otras pérdidas No Oper.</v>
          </cell>
          <cell r="AB2143" t="str">
            <v>7. Otros Gastos Fuera Explotación</v>
          </cell>
          <cell r="AC2143" t="str">
            <v>I. Ganancia / Pérdida No Oper.</v>
          </cell>
          <cell r="AD2143" t="str">
            <v>4. Egresos No Oper.</v>
          </cell>
          <cell r="AE2143" t="str">
            <v>1. Otros Gastos Fuera Explotación</v>
          </cell>
          <cell r="AH2143" t="str">
            <v>6. Partidas significativas de gastos</v>
          </cell>
        </row>
        <row r="2144">
          <cell r="D2144" t="str">
            <v>4330100000</v>
          </cell>
          <cell r="E2144" t="str">
            <v>4330100000</v>
          </cell>
          <cell r="F2144" t="str">
            <v>Juicios y Litigios</v>
          </cell>
          <cell r="G2144" t="str">
            <v>4330100000  Juicios y Litigios</v>
          </cell>
          <cell r="H2144" t="str">
            <v>Est. Resultado</v>
          </cell>
          <cell r="I2144" t="str">
            <v>Resultado</v>
          </cell>
          <cell r="J2144" t="str">
            <v>10. Otras Pérdidas</v>
          </cell>
          <cell r="K2144" t="str">
            <v>4. Otros Gastos Fuera Explotación</v>
          </cell>
          <cell r="L2144" t="str">
            <v>NO OPER</v>
          </cell>
          <cell r="N2144" t="str">
            <v>GANANCIAS (PERDIDAS) ANTES DE IMPUESTOS</v>
          </cell>
          <cell r="O2144" t="str">
            <v>GANANCIA (PÉRDIDA) NETA</v>
          </cell>
          <cell r="P2144" t="str">
            <v>Resultado Ingresos y Gastos Integrales</v>
          </cell>
          <cell r="Q2144" t="str">
            <v>I. Ganancia (pérdida), antes de impuestos</v>
          </cell>
          <cell r="R2144" t="str">
            <v>b. Ganancia (pérdida)</v>
          </cell>
          <cell r="S2144" t="str">
            <v>7. Otras ganancias (pérdidas)</v>
          </cell>
          <cell r="T2144" t="str">
            <v>3. Otros Gastos Fuera Explotación</v>
          </cell>
          <cell r="V2144" t="str">
            <v>II. Gastos</v>
          </cell>
          <cell r="Z2144" t="str">
            <v>I. Ganacia / Pérdida - No Oper</v>
          </cell>
          <cell r="AA2144" t="str">
            <v>5. Otras pérdidas No Oper.</v>
          </cell>
          <cell r="AB2144" t="str">
            <v>7. Otros Gastos Fuera Explotación</v>
          </cell>
          <cell r="AC2144" t="str">
            <v>I. Ganancia / Pérdida No Oper.</v>
          </cell>
          <cell r="AD2144" t="str">
            <v>4. Egresos No Oper.</v>
          </cell>
          <cell r="AE2144" t="str">
            <v>1. Otros Gastos Fuera Explotación</v>
          </cell>
          <cell r="AH2144" t="str">
            <v>6. Partidas significativas de gastos</v>
          </cell>
        </row>
        <row r="2145">
          <cell r="D2145" t="str">
            <v>4350650000</v>
          </cell>
          <cell r="E2145" t="str">
            <v>4350650000</v>
          </cell>
          <cell r="F2145" t="str">
            <v>Indemnizacion Extraordinaria</v>
          </cell>
          <cell r="G2145" t="str">
            <v>4350650000  Indemnizacion Extraordinaria</v>
          </cell>
          <cell r="H2145" t="str">
            <v>Est. Resultado</v>
          </cell>
          <cell r="I2145" t="str">
            <v>Resultado</v>
          </cell>
          <cell r="J2145" t="str">
            <v>10. Otras Pérdidas</v>
          </cell>
          <cell r="K2145" t="str">
            <v>4. Otros Gastos Fuera Explotación</v>
          </cell>
          <cell r="L2145" t="str">
            <v>NO OPER</v>
          </cell>
          <cell r="N2145" t="str">
            <v>GANANCIAS (PERDIDAS) ANTES DE IMPUESTOS</v>
          </cell>
          <cell r="O2145" t="str">
            <v>GANANCIA (PÉRDIDA) NETA</v>
          </cell>
          <cell r="P2145" t="str">
            <v>Resultado Ingresos y Gastos Integrales</v>
          </cell>
          <cell r="Q2145" t="str">
            <v>I. Ganancia (pérdida), antes de impuestos</v>
          </cell>
          <cell r="R2145" t="str">
            <v>b. Ganancia (pérdida)</v>
          </cell>
          <cell r="S2145" t="str">
            <v>7. Otras ganancias (pérdidas)</v>
          </cell>
          <cell r="T2145" t="str">
            <v>3. Otros Gastos Fuera Explotación</v>
          </cell>
          <cell r="V2145" t="str">
            <v>II. Gastos</v>
          </cell>
          <cell r="W2145" t="str">
            <v>24. Desahucios y otras Indemnizaciones</v>
          </cell>
          <cell r="Z2145" t="str">
            <v>I. Ganacia / Pérdida - No Oper</v>
          </cell>
          <cell r="AA2145" t="str">
            <v>5. Otras pérdidas No Oper.</v>
          </cell>
          <cell r="AB2145" t="str">
            <v>7. Otros Gastos Fuera Explotación</v>
          </cell>
          <cell r="AC2145" t="str">
            <v>I. Ganancia / Pérdida No Oper.</v>
          </cell>
          <cell r="AD2145" t="str">
            <v>4. Egresos No Oper.</v>
          </cell>
          <cell r="AE2145" t="str">
            <v>1. Otros Gastos Fuera Explotación</v>
          </cell>
          <cell r="AH2145" t="str">
            <v>6. Partidas significativas de gastos</v>
          </cell>
        </row>
        <row r="2146">
          <cell r="D2146" t="str">
            <v>4310700020</v>
          </cell>
          <cell r="E2146" t="str">
            <v>4310700020</v>
          </cell>
          <cell r="F2146" t="str">
            <v>AMORT.PROY.LIC.COMP.</v>
          </cell>
          <cell r="G2146" t="str">
            <v>4310700020  AMORT.PROY.LIC.COMP.</v>
          </cell>
          <cell r="H2146" t="str">
            <v>Est. Resultado</v>
          </cell>
          <cell r="I2146" t="str">
            <v>Resultado</v>
          </cell>
          <cell r="J2146" t="str">
            <v>10. Otras Pérdidas</v>
          </cell>
          <cell r="K2146" t="str">
            <v>4. Otros Gastos Fuera Explotación</v>
          </cell>
          <cell r="L2146" t="str">
            <v>NO OPER</v>
          </cell>
          <cell r="N2146" t="str">
            <v>GANANCIAS (PERDIDAS) ANTES DE IMPUESTOS</v>
          </cell>
          <cell r="O2146" t="str">
            <v>GANANCIA (PÉRDIDA) NETA</v>
          </cell>
          <cell r="P2146" t="str">
            <v>Resultado Ingresos y Gastos Integrales</v>
          </cell>
          <cell r="Q2146" t="str">
            <v>I. Ganancia (pérdida), antes de impuestos</v>
          </cell>
          <cell r="R2146" t="str">
            <v>b. Ganancia (pérdida)</v>
          </cell>
          <cell r="S2146" t="str">
            <v>7. Otras ganancias (pérdidas)</v>
          </cell>
          <cell r="T2146" t="str">
            <v>3. Otros Gastos Fuera Explotación</v>
          </cell>
          <cell r="V2146" t="str">
            <v>II. Gastos</v>
          </cell>
          <cell r="Z2146" t="str">
            <v>I. Ganacia / Pérdida - No Oper</v>
          </cell>
          <cell r="AA2146" t="str">
            <v>5. Otras pérdidas No Oper.</v>
          </cell>
          <cell r="AB2146" t="str">
            <v>7. Otros Gastos Fuera Explotación</v>
          </cell>
          <cell r="AC2146" t="str">
            <v>I. Ganancia / Pérdida No Oper.</v>
          </cell>
          <cell r="AD2146" t="str">
            <v>4. Egresos No Oper.</v>
          </cell>
          <cell r="AE2146" t="str">
            <v>1. Otros Gastos Fuera Explotación</v>
          </cell>
          <cell r="AH2146" t="str">
            <v>6. Partidas significativas de gastos</v>
          </cell>
        </row>
        <row r="2147">
          <cell r="D2147" t="str">
            <v>4310940011</v>
          </cell>
          <cell r="E2147" t="str">
            <v>4310940011</v>
          </cell>
          <cell r="F2147" t="str">
            <v>Otros Servicios Invia SA</v>
          </cell>
          <cell r="G2147" t="str">
            <v>4310940011  Otros Servicios Invia SA</v>
          </cell>
          <cell r="H2147" t="str">
            <v>Est. Resultado</v>
          </cell>
          <cell r="I2147" t="str">
            <v>Resultado</v>
          </cell>
          <cell r="J2147" t="str">
            <v>10. Otras Pérdidas</v>
          </cell>
          <cell r="K2147" t="str">
            <v>4. Otros Gastos Fuera Explotación</v>
          </cell>
          <cell r="L2147" t="str">
            <v>NO OPER</v>
          </cell>
          <cell r="N2147" t="str">
            <v>GANANCIAS (PERDIDAS) ANTES DE IMPUESTOS</v>
          </cell>
          <cell r="O2147" t="str">
            <v>GANANCIA (PÉRDIDA) NETA</v>
          </cell>
          <cell r="P2147" t="str">
            <v>Resultado Ingresos y Gastos Integrales</v>
          </cell>
          <cell r="Q2147" t="str">
            <v>I. Ganancia (pérdida), antes de impuestos</v>
          </cell>
          <cell r="R2147" t="str">
            <v>b. Ganancia (pérdida)</v>
          </cell>
          <cell r="S2147" t="str">
            <v>7. Otras ganancias (pérdidas)</v>
          </cell>
          <cell r="T2147" t="str">
            <v>3. Otros Gastos Fuera Explotación</v>
          </cell>
          <cell r="V2147" t="str">
            <v>II. Gastos</v>
          </cell>
          <cell r="Z2147" t="str">
            <v>I. Ganacia / Pérdida - No Oper</v>
          </cell>
          <cell r="AA2147" t="str">
            <v>5. Otras pérdidas No Oper.</v>
          </cell>
          <cell r="AB2147" t="str">
            <v>7. Otros Gastos Fuera Explotación</v>
          </cell>
          <cell r="AC2147" t="str">
            <v>I. Ganancia / Pérdida No Oper.</v>
          </cell>
          <cell r="AD2147" t="str">
            <v>4. Egresos No Oper.</v>
          </cell>
          <cell r="AE2147" t="str">
            <v>1. Otros Gastos Fuera Explotación</v>
          </cell>
          <cell r="AH2147" t="str">
            <v>6. Partidas significativas de gastos</v>
          </cell>
        </row>
        <row r="2148">
          <cell r="D2148" t="str">
            <v>4310940012</v>
          </cell>
          <cell r="E2148" t="str">
            <v>4310940012</v>
          </cell>
          <cell r="F2148" t="str">
            <v>Gasto Diferido</v>
          </cell>
          <cell r="G2148" t="str">
            <v>4310940012  Gasto Diferido</v>
          </cell>
          <cell r="H2148" t="str">
            <v>Est. Resultado</v>
          </cell>
          <cell r="I2148" t="str">
            <v>Resultado</v>
          </cell>
          <cell r="J2148" t="str">
            <v>10. Otras Pérdidas</v>
          </cell>
          <cell r="K2148" t="str">
            <v>4. Otros Gastos Fuera Explotación</v>
          </cell>
          <cell r="L2148" t="str">
            <v>NO OPER</v>
          </cell>
          <cell r="N2148" t="str">
            <v>GANANCIAS (PERDIDAS) ANTES DE IMPUESTOS</v>
          </cell>
          <cell r="O2148" t="str">
            <v>GANANCIA (PÉRDIDA) NETA</v>
          </cell>
          <cell r="P2148" t="str">
            <v>Resultado Ingresos y Gastos Integrales</v>
          </cell>
          <cell r="Q2148" t="str">
            <v>I. Ganancia (pérdida), antes de impuestos</v>
          </cell>
          <cell r="R2148" t="str">
            <v>b. Ganancia (pérdida)</v>
          </cell>
          <cell r="S2148" t="str">
            <v>7. Otras ganancias (pérdidas)</v>
          </cell>
          <cell r="T2148" t="str">
            <v>3. Otros Gastos Fuera Explotación</v>
          </cell>
          <cell r="V2148" t="str">
            <v>II. Gastos</v>
          </cell>
          <cell r="Z2148" t="str">
            <v>I. Ganacia / Pérdida - No Oper</v>
          </cell>
          <cell r="AA2148" t="str">
            <v>5. Otras pérdidas No Oper.</v>
          </cell>
          <cell r="AB2148" t="str">
            <v>7. Otros Gastos Fuera Explotación</v>
          </cell>
          <cell r="AC2148" t="str">
            <v>I. Ganancia / Pérdida No Oper.</v>
          </cell>
          <cell r="AD2148" t="str">
            <v>4. Egresos No Oper.</v>
          </cell>
          <cell r="AE2148" t="str">
            <v>1. Otros Gastos Fuera Explotación</v>
          </cell>
          <cell r="AH2148" t="str">
            <v>6. Partidas significativas de gastos</v>
          </cell>
        </row>
        <row r="2149">
          <cell r="D2149" t="str">
            <v>4310940013</v>
          </cell>
          <cell r="E2149" t="str">
            <v>4310940013</v>
          </cell>
          <cell r="F2149" t="str">
            <v>Multas e Intereses</v>
          </cell>
          <cell r="G2149" t="str">
            <v>4310940013  Multas e Intereses</v>
          </cell>
          <cell r="H2149" t="str">
            <v>Est. Resultado</v>
          </cell>
          <cell r="I2149" t="str">
            <v>Resultado</v>
          </cell>
          <cell r="J2149" t="str">
            <v>10. Otras Pérdidas</v>
          </cell>
          <cell r="K2149" t="str">
            <v>4. Otros Gastos Fuera Explotación</v>
          </cell>
          <cell r="L2149" t="str">
            <v>NO OPER</v>
          </cell>
          <cell r="N2149" t="str">
            <v>GANANCIAS (PERDIDAS) ANTES DE IMPUESTOS</v>
          </cell>
          <cell r="O2149" t="str">
            <v>GANANCIA (PÉRDIDA) NETA</v>
          </cell>
          <cell r="P2149" t="str">
            <v>Resultado Ingresos y Gastos Integrales</v>
          </cell>
          <cell r="Q2149" t="str">
            <v>I. Ganancia (pérdida), antes de impuestos</v>
          </cell>
          <cell r="R2149" t="str">
            <v>b. Ganancia (pérdida)</v>
          </cell>
          <cell r="S2149" t="str">
            <v>7. Otras ganancias (pérdidas)</v>
          </cell>
          <cell r="T2149" t="str">
            <v>3. Otros Gastos Fuera Explotación</v>
          </cell>
          <cell r="V2149" t="str">
            <v>II. Gastos</v>
          </cell>
          <cell r="Z2149" t="str">
            <v>I. Ganacia / Pérdida - No Oper</v>
          </cell>
          <cell r="AA2149" t="str">
            <v>5. Otras pérdidas No Oper.</v>
          </cell>
          <cell r="AB2149" t="str">
            <v>7. Otros Gastos Fuera Explotación</v>
          </cell>
          <cell r="AC2149" t="str">
            <v>I. Ganancia / Pérdida No Oper.</v>
          </cell>
          <cell r="AD2149" t="str">
            <v>4. Egresos No Oper.</v>
          </cell>
          <cell r="AE2149" t="str">
            <v>1. Otros Gastos Fuera Explotación</v>
          </cell>
          <cell r="AH2149" t="str">
            <v>6. Partidas significativas de gastos</v>
          </cell>
        </row>
        <row r="2150">
          <cell r="D2150" t="str">
            <v>4350380000</v>
          </cell>
          <cell r="E2150" t="str">
            <v>4350380000</v>
          </cell>
          <cell r="F2150" t="str">
            <v>Gto Adm Vta Activo</v>
          </cell>
          <cell r="G2150" t="str">
            <v>4350380000  Gto Adm Vta Activo</v>
          </cell>
          <cell r="H2150" t="str">
            <v>Est. Resultado</v>
          </cell>
          <cell r="I2150" t="str">
            <v>Resultado</v>
          </cell>
          <cell r="J2150" t="str">
            <v>10. Otras Pérdidas</v>
          </cell>
          <cell r="K2150" t="str">
            <v>4. Otros Gastos Fuera Explotación</v>
          </cell>
          <cell r="L2150" t="str">
            <v>NO OPER</v>
          </cell>
          <cell r="N2150" t="str">
            <v>GANANCIAS (PERDIDAS) ANTES DE IMPUESTOS</v>
          </cell>
          <cell r="O2150" t="str">
            <v>GANANCIA (PÉRDIDA) NETA</v>
          </cell>
          <cell r="P2150" t="str">
            <v>Resultado Ingresos y Gastos Integrales</v>
          </cell>
          <cell r="Q2150" t="str">
            <v>I. Ganancia (pérdida), antes de impuestos</v>
          </cell>
          <cell r="R2150" t="str">
            <v>b. Ganancia (pérdida)</v>
          </cell>
          <cell r="S2150" t="str">
            <v>7. Otras ganancias (pérdidas)</v>
          </cell>
          <cell r="T2150" t="str">
            <v>3. Otros Gastos Fuera Explotación</v>
          </cell>
          <cell r="V2150" t="str">
            <v>II. Gastos</v>
          </cell>
          <cell r="Z2150" t="str">
            <v>I. Ganacia / Pérdida - No Oper</v>
          </cell>
          <cell r="AA2150" t="str">
            <v>5. Otras pérdidas No Oper.</v>
          </cell>
          <cell r="AB2150" t="str">
            <v>7. Otros Gastos Fuera Explotación</v>
          </cell>
          <cell r="AC2150" t="str">
            <v>I. Ganancia / Pérdida No Oper.</v>
          </cell>
          <cell r="AD2150" t="str">
            <v>4. Egresos No Oper.</v>
          </cell>
          <cell r="AE2150" t="str">
            <v>1. Otros Gastos Fuera Explotación</v>
          </cell>
          <cell r="AH2150" t="str">
            <v>6. Partidas significativas de gastos</v>
          </cell>
        </row>
        <row r="2151">
          <cell r="D2151" t="str">
            <v>4350500000</v>
          </cell>
          <cell r="E2151" t="str">
            <v>4350500000</v>
          </cell>
          <cell r="F2151" t="str">
            <v>Gasto Ejercicio Anterior</v>
          </cell>
          <cell r="G2151" t="str">
            <v>4350500000  Gasto Ejercicio Anterior</v>
          </cell>
          <cell r="H2151" t="str">
            <v>Est. Resultado</v>
          </cell>
          <cell r="I2151" t="str">
            <v>Resultado</v>
          </cell>
          <cell r="J2151" t="str">
            <v>10. Otras Pérdidas</v>
          </cell>
          <cell r="K2151" t="str">
            <v>4. Otros Gastos Fuera Explotación</v>
          </cell>
          <cell r="L2151" t="str">
            <v>NO OPER</v>
          </cell>
          <cell r="N2151" t="str">
            <v>GANANCIAS (PERDIDAS) ANTES DE IMPUESTOS</v>
          </cell>
          <cell r="O2151" t="str">
            <v>GANANCIA (PÉRDIDA) NETA</v>
          </cell>
          <cell r="P2151" t="str">
            <v>Resultado Ingresos y Gastos Integrales</v>
          </cell>
          <cell r="Q2151" t="str">
            <v>I. Ganancia (pérdida), antes de impuestos</v>
          </cell>
          <cell r="R2151" t="str">
            <v>b. Ganancia (pérdida)</v>
          </cell>
          <cell r="S2151" t="str">
            <v>7. Otras ganancias (pérdidas)</v>
          </cell>
          <cell r="T2151" t="str">
            <v>3. Otros Gastos Fuera Explotación</v>
          </cell>
          <cell r="V2151" t="str">
            <v>II. Gastos</v>
          </cell>
          <cell r="Z2151" t="str">
            <v>I. Ganacia / Pérdida - No Oper</v>
          </cell>
          <cell r="AA2151" t="str">
            <v>5. Otras pérdidas No Oper.</v>
          </cell>
          <cell r="AB2151" t="str">
            <v>7. Otros Gastos Fuera Explotación</v>
          </cell>
          <cell r="AC2151" t="str">
            <v>I. Ganancia / Pérdida No Oper.</v>
          </cell>
          <cell r="AD2151" t="str">
            <v>4. Egresos No Oper.</v>
          </cell>
          <cell r="AE2151" t="str">
            <v>1. Otros Gastos Fuera Explotación</v>
          </cell>
          <cell r="AH2151" t="str">
            <v>6. Partidas significativas de gastos</v>
          </cell>
        </row>
        <row r="2152">
          <cell r="D2152" t="str">
            <v>4350610000</v>
          </cell>
          <cell r="E2152" t="str">
            <v>4350610000</v>
          </cell>
          <cell r="F2152" t="str">
            <v>Reparacion Equipo Siniestrado</v>
          </cell>
          <cell r="G2152" t="str">
            <v>4350610000  Reparacion Equipo Siniestrado</v>
          </cell>
          <cell r="H2152" t="str">
            <v>Est. Resultado</v>
          </cell>
          <cell r="I2152" t="str">
            <v>Resultado</v>
          </cell>
          <cell r="J2152" t="str">
            <v>10. Otras Pérdidas</v>
          </cell>
          <cell r="K2152" t="str">
            <v>4. Otros Gastos Fuera Explotación</v>
          </cell>
          <cell r="L2152" t="str">
            <v>NO OPER</v>
          </cell>
          <cell r="N2152" t="str">
            <v>GANANCIAS (PERDIDAS) ANTES DE IMPUESTOS</v>
          </cell>
          <cell r="O2152" t="str">
            <v>GANANCIA (PÉRDIDA) NETA</v>
          </cell>
          <cell r="P2152" t="str">
            <v>Resultado Ingresos y Gastos Integrales</v>
          </cell>
          <cell r="Q2152" t="str">
            <v>I. Ganancia (pérdida), antes de impuestos</v>
          </cell>
          <cell r="R2152" t="str">
            <v>b. Ganancia (pérdida)</v>
          </cell>
          <cell r="S2152" t="str">
            <v>7. Otras ganancias (pérdidas)</v>
          </cell>
          <cell r="T2152" t="str">
            <v>3. Otros Gastos Fuera Explotación</v>
          </cell>
          <cell r="V2152" t="str">
            <v>II. Gastos</v>
          </cell>
          <cell r="Z2152" t="str">
            <v>I. Ganacia / Pérdida - No Oper</v>
          </cell>
          <cell r="AA2152" t="str">
            <v>5. Otras pérdidas No Oper.</v>
          </cell>
          <cell r="AB2152" t="str">
            <v>7. Otros Gastos Fuera Explotación</v>
          </cell>
          <cell r="AC2152" t="str">
            <v>I. Ganancia / Pérdida No Oper.</v>
          </cell>
          <cell r="AD2152" t="str">
            <v>4. Egresos No Oper.</v>
          </cell>
          <cell r="AE2152" t="str">
            <v>1. Otros Gastos Fuera Explotación</v>
          </cell>
          <cell r="AH2152" t="str">
            <v>6. Partidas significativas de gastos</v>
          </cell>
        </row>
        <row r="2153">
          <cell r="D2153" t="str">
            <v>4350700000</v>
          </cell>
          <cell r="E2153" t="str">
            <v>4350700000</v>
          </cell>
          <cell r="F2153" t="str">
            <v>D.COMP/CAMBIO PRECIO</v>
          </cell>
          <cell r="G2153" t="str">
            <v>4350700000  D.COMP/CAMBIO PRECIO</v>
          </cell>
          <cell r="H2153" t="str">
            <v>Est. Resultado</v>
          </cell>
          <cell r="I2153" t="str">
            <v>Resultado</v>
          </cell>
          <cell r="J2153" t="str">
            <v>10. Otras Pérdidas</v>
          </cell>
          <cell r="K2153" t="str">
            <v>4. Otros Gastos Fuera Explotación</v>
          </cell>
          <cell r="L2153" t="str">
            <v>NO OPER</v>
          </cell>
          <cell r="N2153" t="str">
            <v>GANANCIAS (PERDIDAS) ANTES DE IMPUESTOS</v>
          </cell>
          <cell r="O2153" t="str">
            <v>GANANCIA (PÉRDIDA) NETA</v>
          </cell>
          <cell r="P2153" t="str">
            <v>Resultado Ingresos y Gastos Integrales</v>
          </cell>
          <cell r="Q2153" t="str">
            <v>I. Ganancia (pérdida), antes de impuestos</v>
          </cell>
          <cell r="R2153" t="str">
            <v>b. Ganancia (pérdida)</v>
          </cell>
          <cell r="S2153" t="str">
            <v>7. Otras ganancias (pérdidas)</v>
          </cell>
          <cell r="T2153" t="str">
            <v>3. Otros Gastos Fuera Explotación</v>
          </cell>
          <cell r="V2153" t="str">
            <v>II. Gastos</v>
          </cell>
          <cell r="Z2153" t="str">
            <v>I. Ganacia / Pérdida - No Oper</v>
          </cell>
          <cell r="AA2153" t="str">
            <v>5. Otras pérdidas No Oper.</v>
          </cell>
          <cell r="AB2153" t="str">
            <v>7. Otros Gastos Fuera Explotación</v>
          </cell>
          <cell r="AC2153" t="str">
            <v>I. Ganancia / Pérdida No Oper.</v>
          </cell>
          <cell r="AD2153" t="str">
            <v>4. Egresos No Oper.</v>
          </cell>
          <cell r="AE2153" t="str">
            <v>1. Otros Gastos Fuera Explotación</v>
          </cell>
          <cell r="AH2153" t="str">
            <v>6. Partidas significativas de gastos</v>
          </cell>
        </row>
        <row r="2154">
          <cell r="D2154" t="str">
            <v>4350800000</v>
          </cell>
          <cell r="E2154" t="str">
            <v>4350800000</v>
          </cell>
          <cell r="F2154" t="str">
            <v>Perd Dife Inventario</v>
          </cell>
          <cell r="G2154" t="str">
            <v>4350800000  Perd Dife Inventario</v>
          </cell>
          <cell r="H2154" t="str">
            <v>Est. Resultado</v>
          </cell>
          <cell r="I2154" t="str">
            <v>Resultado</v>
          </cell>
          <cell r="J2154" t="str">
            <v>10. Otras Pérdidas</v>
          </cell>
          <cell r="K2154" t="str">
            <v>4. Otros Gastos Fuera Explotación</v>
          </cell>
          <cell r="L2154" t="str">
            <v>NO OPER</v>
          </cell>
          <cell r="N2154" t="str">
            <v>GANANCIAS (PERDIDAS) ANTES DE IMPUESTOS</v>
          </cell>
          <cell r="O2154" t="str">
            <v>GANANCIA (PÉRDIDA) NETA</v>
          </cell>
          <cell r="P2154" t="str">
            <v>Resultado Ingresos y Gastos Integrales</v>
          </cell>
          <cell r="Q2154" t="str">
            <v>I. Ganancia (pérdida), antes de impuestos</v>
          </cell>
          <cell r="R2154" t="str">
            <v>b. Ganancia (pérdida)</v>
          </cell>
          <cell r="S2154" t="str">
            <v>7. Otras ganancias (pérdidas)</v>
          </cell>
          <cell r="T2154" t="str">
            <v>3. Otros Gastos Fuera Explotación</v>
          </cell>
          <cell r="V2154" t="str">
            <v>II. Gastos</v>
          </cell>
          <cell r="Z2154" t="str">
            <v>I. Ganacia / Pérdida - No Oper</v>
          </cell>
          <cell r="AA2154" t="str">
            <v>5. Otras pérdidas No Oper.</v>
          </cell>
          <cell r="AB2154" t="str">
            <v>7. Otros Gastos Fuera Explotación</v>
          </cell>
          <cell r="AC2154" t="str">
            <v>I. Ganancia / Pérdida No Oper.</v>
          </cell>
          <cell r="AD2154" t="str">
            <v>4. Egresos No Oper.</v>
          </cell>
          <cell r="AE2154" t="str">
            <v>1. Otros Gastos Fuera Explotación</v>
          </cell>
          <cell r="AH2154" t="str">
            <v>6. Partidas significativas de gastos</v>
          </cell>
        </row>
        <row r="2155">
          <cell r="D2155" t="str">
            <v>4350850000</v>
          </cell>
          <cell r="E2155" t="str">
            <v>4350850000</v>
          </cell>
          <cell r="F2155" t="str">
            <v>P. POR BIENES R. ANT</v>
          </cell>
          <cell r="G2155" t="str">
            <v>4350850000  P. POR BIENES R. ANT</v>
          </cell>
          <cell r="H2155" t="str">
            <v>Est. Resultado</v>
          </cell>
          <cell r="I2155" t="str">
            <v>Resultado</v>
          </cell>
          <cell r="J2155" t="str">
            <v>10. Otras Pérdidas</v>
          </cell>
          <cell r="K2155" t="str">
            <v>4. Otros Gastos Fuera Explotación</v>
          </cell>
          <cell r="L2155" t="str">
            <v>NO OPER</v>
          </cell>
          <cell r="N2155" t="str">
            <v>GANANCIAS (PERDIDAS) ANTES DE IMPUESTOS</v>
          </cell>
          <cell r="O2155" t="str">
            <v>GANANCIA (PÉRDIDA) NETA</v>
          </cell>
          <cell r="P2155" t="str">
            <v>Resultado Ingresos y Gastos Integrales</v>
          </cell>
          <cell r="Q2155" t="str">
            <v>I. Ganancia (pérdida), antes de impuestos</v>
          </cell>
          <cell r="R2155" t="str">
            <v>b. Ganancia (pérdida)</v>
          </cell>
          <cell r="S2155" t="str">
            <v>7. Otras ganancias (pérdidas)</v>
          </cell>
          <cell r="T2155" t="str">
            <v>3. Otros Gastos Fuera Explotación</v>
          </cell>
          <cell r="V2155" t="str">
            <v>II. Gastos</v>
          </cell>
          <cell r="Z2155" t="str">
            <v>I. Ganacia / Pérdida - No Oper</v>
          </cell>
          <cell r="AA2155" t="str">
            <v>5. Otras pérdidas No Oper.</v>
          </cell>
          <cell r="AB2155" t="str">
            <v>7. Otros Gastos Fuera Explotación</v>
          </cell>
          <cell r="AC2155" t="str">
            <v>I. Ganancia / Pérdida No Oper.</v>
          </cell>
          <cell r="AD2155" t="str">
            <v>4. Egresos No Oper.</v>
          </cell>
          <cell r="AE2155" t="str">
            <v>1. Otros Gastos Fuera Explotación</v>
          </cell>
          <cell r="AH2155" t="str">
            <v>6. Partidas significativas de gastos</v>
          </cell>
        </row>
        <row r="2156">
          <cell r="D2156" t="str">
            <v>4350900000</v>
          </cell>
          <cell r="E2156" t="str">
            <v>4350900000</v>
          </cell>
          <cell r="F2156" t="str">
            <v>Recup Mat No Instal</v>
          </cell>
          <cell r="G2156" t="str">
            <v>4350900000  Recup Mat No Instal</v>
          </cell>
          <cell r="H2156" t="str">
            <v>Est. Resultado</v>
          </cell>
          <cell r="I2156" t="str">
            <v>Resultado</v>
          </cell>
          <cell r="J2156" t="str">
            <v>10. Otras Pérdidas</v>
          </cell>
          <cell r="K2156" t="str">
            <v>4. Otros Gastos Fuera Explotación</v>
          </cell>
          <cell r="L2156" t="str">
            <v>NO OPER</v>
          </cell>
          <cell r="N2156" t="str">
            <v>GANANCIAS (PERDIDAS) ANTES DE IMPUESTOS</v>
          </cell>
          <cell r="O2156" t="str">
            <v>GANANCIA (PÉRDIDA) NETA</v>
          </cell>
          <cell r="P2156" t="str">
            <v>Resultado Ingresos y Gastos Integrales</v>
          </cell>
          <cell r="Q2156" t="str">
            <v>I. Ganancia (pérdida), antes de impuestos</v>
          </cell>
          <cell r="R2156" t="str">
            <v>b. Ganancia (pérdida)</v>
          </cell>
          <cell r="S2156" t="str">
            <v>7. Otras ganancias (pérdidas)</v>
          </cell>
          <cell r="T2156" t="str">
            <v>3. Otros Gastos Fuera Explotación</v>
          </cell>
          <cell r="V2156" t="str">
            <v>II. Gastos</v>
          </cell>
          <cell r="Z2156" t="str">
            <v>I. Ganacia / Pérdida - No Oper</v>
          </cell>
          <cell r="AA2156" t="str">
            <v>5. Otras pérdidas No Oper.</v>
          </cell>
          <cell r="AB2156" t="str">
            <v>7. Otros Gastos Fuera Explotación</v>
          </cell>
          <cell r="AC2156" t="str">
            <v>I. Ganancia / Pérdida No Oper.</v>
          </cell>
          <cell r="AD2156" t="str">
            <v>4. Egresos No Oper.</v>
          </cell>
          <cell r="AE2156" t="str">
            <v>1. Otros Gastos Fuera Explotación</v>
          </cell>
          <cell r="AH2156" t="str">
            <v>6. Partidas significativas de gastos</v>
          </cell>
        </row>
        <row r="2157">
          <cell r="D2157" t="str">
            <v>4350950000</v>
          </cell>
          <cell r="E2157" t="str">
            <v>4350950000</v>
          </cell>
          <cell r="F2157" t="str">
            <v>Perdida Venta de Activo Fijo</v>
          </cell>
          <cell r="G2157" t="str">
            <v>4350950000  Perdida Venta de Activo Fijo</v>
          </cell>
          <cell r="H2157" t="str">
            <v>Est. Resultado</v>
          </cell>
          <cell r="I2157" t="str">
            <v>Resultado</v>
          </cell>
          <cell r="J2157" t="str">
            <v>10. Otras Pérdidas</v>
          </cell>
          <cell r="K2157" t="str">
            <v>4. Otros Gastos Fuera Explotación</v>
          </cell>
          <cell r="L2157" t="str">
            <v>NO OPER</v>
          </cell>
          <cell r="N2157" t="str">
            <v>GANANCIAS (PERDIDAS) ANTES DE IMPUESTOS</v>
          </cell>
          <cell r="O2157" t="str">
            <v>GANANCIA (PÉRDIDA) NETA</v>
          </cell>
          <cell r="P2157" t="str">
            <v>Resultado Ingresos y Gastos Integrales</v>
          </cell>
          <cell r="Q2157" t="str">
            <v>I. Ganancia (pérdida), antes de impuestos</v>
          </cell>
          <cell r="R2157" t="str">
            <v>b. Ganancia (pérdida)</v>
          </cell>
          <cell r="S2157" t="str">
            <v>7. Otras ganancias (pérdidas)</v>
          </cell>
          <cell r="T2157" t="str">
            <v>3. Otros Gastos Fuera Explotación</v>
          </cell>
          <cell r="V2157" t="str">
            <v>II. Gastos</v>
          </cell>
          <cell r="Z2157" t="str">
            <v>I. Ganacia / Pérdida - No Oper</v>
          </cell>
          <cell r="AA2157" t="str">
            <v>5. Otras pérdidas No Oper.</v>
          </cell>
          <cell r="AB2157" t="str">
            <v>7. Otros Gastos Fuera Explotación</v>
          </cell>
          <cell r="AC2157" t="str">
            <v>I. Ganancia / Pérdida No Oper.</v>
          </cell>
          <cell r="AD2157" t="str">
            <v>4. Egresos No Oper.</v>
          </cell>
          <cell r="AE2157" t="str">
            <v>1. Otros Gastos Fuera Explotación</v>
          </cell>
          <cell r="AH2157" t="str">
            <v>6. Partidas significativas de gastos</v>
          </cell>
        </row>
        <row r="2158">
          <cell r="D2158" t="str">
            <v>4350960000</v>
          </cell>
          <cell r="E2158" t="str">
            <v>4350960000</v>
          </cell>
          <cell r="F2158" t="str">
            <v>Otros Egresos</v>
          </cell>
          <cell r="G2158" t="str">
            <v>4350960000  Otros Egresos</v>
          </cell>
          <cell r="H2158" t="str">
            <v>Est. Resultado</v>
          </cell>
          <cell r="I2158" t="str">
            <v>Resultado</v>
          </cell>
          <cell r="J2158" t="str">
            <v>10. Otras Pérdidas</v>
          </cell>
          <cell r="K2158" t="str">
            <v>4. Otros Gastos Fuera Explotación</v>
          </cell>
          <cell r="L2158" t="str">
            <v>NO OPER</v>
          </cell>
          <cell r="N2158" t="str">
            <v>GANANCIAS (PERDIDAS) ANTES DE IMPUESTOS</v>
          </cell>
          <cell r="O2158" t="str">
            <v>GANANCIA (PÉRDIDA) NETA</v>
          </cell>
          <cell r="P2158" t="str">
            <v>Resultado Ingresos y Gastos Integrales</v>
          </cell>
          <cell r="Q2158" t="str">
            <v>I. Ganancia (pérdida), antes de impuestos</v>
          </cell>
          <cell r="R2158" t="str">
            <v>b. Ganancia (pérdida)</v>
          </cell>
          <cell r="S2158" t="str">
            <v>7. Otras ganancias (pérdidas)</v>
          </cell>
          <cell r="T2158" t="str">
            <v>3. Otros Gastos Fuera Explotación</v>
          </cell>
          <cell r="V2158" t="str">
            <v>II. Gastos</v>
          </cell>
          <cell r="Z2158" t="str">
            <v>I. Ganacia / Pérdida - No Oper</v>
          </cell>
          <cell r="AA2158" t="str">
            <v>5. Otras pérdidas No Oper.</v>
          </cell>
          <cell r="AB2158" t="str">
            <v>7. Otros Gastos Fuera Explotación</v>
          </cell>
          <cell r="AC2158" t="str">
            <v>I. Ganancia / Pérdida No Oper.</v>
          </cell>
          <cell r="AD2158" t="str">
            <v>4. Egresos No Oper.</v>
          </cell>
          <cell r="AE2158" t="str">
            <v>1. Otros Gastos Fuera Explotación</v>
          </cell>
          <cell r="AH2158" t="str">
            <v>6. Partidas significativas de gastos</v>
          </cell>
        </row>
        <row r="2159">
          <cell r="D2159" t="str">
            <v>4350980000</v>
          </cell>
          <cell r="E2159" t="str">
            <v>4350980000</v>
          </cell>
          <cell r="F2159" t="str">
            <v>Gastos Notariales</v>
          </cell>
          <cell r="G2159" t="str">
            <v>4350980000  Gastos Notariales</v>
          </cell>
          <cell r="H2159" t="str">
            <v>Est. Resultado</v>
          </cell>
          <cell r="I2159" t="str">
            <v>Resultado</v>
          </cell>
          <cell r="J2159" t="str">
            <v>10. Otras Pérdidas</v>
          </cell>
          <cell r="K2159" t="str">
            <v>4. Otros Gastos Fuera Explotación</v>
          </cell>
          <cell r="L2159" t="str">
            <v>NO OPER</v>
          </cell>
          <cell r="N2159" t="str">
            <v>GANANCIAS (PERDIDAS) ANTES DE IMPUESTOS</v>
          </cell>
          <cell r="O2159" t="str">
            <v>GANANCIA (PÉRDIDA) NETA</v>
          </cell>
          <cell r="P2159" t="str">
            <v>Resultado Ingresos y Gastos Integrales</v>
          </cell>
          <cell r="Q2159" t="str">
            <v>I. Ganancia (pérdida), antes de impuestos</v>
          </cell>
          <cell r="R2159" t="str">
            <v>b. Ganancia (pérdida)</v>
          </cell>
          <cell r="S2159" t="str">
            <v>7. Otras ganancias (pérdidas)</v>
          </cell>
          <cell r="T2159" t="str">
            <v>3. Otros Gastos Fuera Explotación</v>
          </cell>
          <cell r="V2159" t="str">
            <v>II. Gastos</v>
          </cell>
          <cell r="Z2159" t="str">
            <v>I. Ganacia / Pérdida - No Oper</v>
          </cell>
          <cell r="AA2159" t="str">
            <v>5. Otras pérdidas No Oper.</v>
          </cell>
          <cell r="AB2159" t="str">
            <v>7. Otros Gastos Fuera Explotación</v>
          </cell>
          <cell r="AC2159" t="str">
            <v>I. Ganancia / Pérdida No Oper.</v>
          </cell>
          <cell r="AD2159" t="str">
            <v>4. Egresos No Oper.</v>
          </cell>
          <cell r="AE2159" t="str">
            <v>1. Otros Gastos Fuera Explotación</v>
          </cell>
          <cell r="AH2159" t="str">
            <v>6. Partidas significativas de gastos</v>
          </cell>
        </row>
        <row r="2160">
          <cell r="D2160" t="str">
            <v>4355300000</v>
          </cell>
          <cell r="E2160" t="str">
            <v>4355300000</v>
          </cell>
          <cell r="F2160" t="str">
            <v>C.Vta Durm/Riel/Chat</v>
          </cell>
          <cell r="G2160" t="str">
            <v>4355300000  C.Vta Durm/Riel/Chat</v>
          </cell>
          <cell r="H2160" t="str">
            <v>Est. Resultado</v>
          </cell>
          <cell r="I2160" t="str">
            <v>Resultado</v>
          </cell>
          <cell r="J2160" t="str">
            <v>10. Otras Pérdidas</v>
          </cell>
          <cell r="K2160" t="str">
            <v>4. Otros Gastos Fuera Explotación</v>
          </cell>
          <cell r="L2160" t="str">
            <v>NO OPER</v>
          </cell>
          <cell r="N2160" t="str">
            <v>GANANCIAS (PERDIDAS) ANTES DE IMPUESTOS</v>
          </cell>
          <cell r="O2160" t="str">
            <v>GANANCIA (PÉRDIDA) NETA</v>
          </cell>
          <cell r="P2160" t="str">
            <v>Resultado Ingresos y Gastos Integrales</v>
          </cell>
          <cell r="Q2160" t="str">
            <v>I. Ganancia (pérdida), antes de impuestos</v>
          </cell>
          <cell r="R2160" t="str">
            <v>b. Ganancia (pérdida)</v>
          </cell>
          <cell r="S2160" t="str">
            <v>7. Otras ganancias (pérdidas)</v>
          </cell>
          <cell r="T2160" t="str">
            <v>3. Otros Gastos Fuera Explotación</v>
          </cell>
          <cell r="V2160" t="str">
            <v>II. Gastos</v>
          </cell>
          <cell r="Z2160" t="str">
            <v>I. Ganacia / Pérdida - No Oper</v>
          </cell>
          <cell r="AA2160" t="str">
            <v>5. Otras pérdidas No Oper.</v>
          </cell>
          <cell r="AB2160" t="str">
            <v>7. Otros Gastos Fuera Explotación</v>
          </cell>
          <cell r="AC2160" t="str">
            <v>I. Ganancia / Pérdida No Oper.</v>
          </cell>
          <cell r="AD2160" t="str">
            <v>4. Egresos No Oper.</v>
          </cell>
          <cell r="AE2160" t="str">
            <v>1. Otros Gastos Fuera Explotación</v>
          </cell>
          <cell r="AH2160" t="str">
            <v>6. Partidas significativas de gastos</v>
          </cell>
        </row>
        <row r="2161">
          <cell r="D2161" t="str">
            <v>4360200010</v>
          </cell>
          <cell r="E2161" t="str">
            <v>4360200010</v>
          </cell>
          <cell r="F2161" t="str">
            <v>CTA COMP. OTROS EGRE</v>
          </cell>
          <cell r="G2161" t="str">
            <v>4360200010  CTA COMP. OTROS EGRE</v>
          </cell>
          <cell r="H2161" t="str">
            <v>Est. Resultado</v>
          </cell>
          <cell r="I2161" t="str">
            <v>Resultado</v>
          </cell>
          <cell r="J2161" t="str">
            <v>10. Otras Pérdidas</v>
          </cell>
          <cell r="K2161" t="str">
            <v>4. Otros Gastos Fuera Explotación</v>
          </cell>
          <cell r="L2161" t="str">
            <v>NO OPER</v>
          </cell>
          <cell r="N2161" t="str">
            <v>GANANCIAS (PERDIDAS) ANTES DE IMPUESTOS</v>
          </cell>
          <cell r="O2161" t="str">
            <v>GANANCIA (PÉRDIDA) NETA</v>
          </cell>
          <cell r="P2161" t="str">
            <v>Resultado Ingresos y Gastos Integrales</v>
          </cell>
          <cell r="Q2161" t="str">
            <v>I. Ganancia (pérdida), antes de impuestos</v>
          </cell>
          <cell r="R2161" t="str">
            <v>b. Ganancia (pérdida)</v>
          </cell>
          <cell r="S2161" t="str">
            <v>7. Otras ganancias (pérdidas)</v>
          </cell>
          <cell r="T2161" t="str">
            <v>3. Otros Gastos Fuera Explotación</v>
          </cell>
          <cell r="V2161" t="str">
            <v>II. Gastos</v>
          </cell>
          <cell r="Z2161" t="str">
            <v>I. Ganacia / Pérdida - No Oper</v>
          </cell>
          <cell r="AA2161" t="str">
            <v>5. Otras pérdidas No Oper.</v>
          </cell>
          <cell r="AB2161" t="str">
            <v>7. Otros Gastos Fuera Explotación</v>
          </cell>
          <cell r="AC2161" t="str">
            <v>I. Ganancia / Pérdida No Oper.</v>
          </cell>
          <cell r="AD2161" t="str">
            <v>4. Egresos No Oper.</v>
          </cell>
          <cell r="AE2161" t="str">
            <v>1. Otros Gastos Fuera Explotación</v>
          </cell>
          <cell r="AH2161" t="str">
            <v>6. Partidas significativas de gastos</v>
          </cell>
        </row>
        <row r="2162">
          <cell r="D2162" t="str">
            <v>Ley_Nº2259</v>
          </cell>
          <cell r="E2162" t="str">
            <v>Ley_Nº2259</v>
          </cell>
          <cell r="F2162" t="str">
            <v>Sueldos Personal Ley 2259</v>
          </cell>
          <cell r="G2162" t="str">
            <v>Ley_Nº2259  Sueldos Personal Ley 2259</v>
          </cell>
          <cell r="H2162" t="str">
            <v>Est. Resultado</v>
          </cell>
          <cell r="I2162" t="str">
            <v>Resultado</v>
          </cell>
          <cell r="J2162" t="str">
            <v>10. Otras Pérdidas</v>
          </cell>
          <cell r="K2162" t="str">
            <v>4. Otros Gastos Fuera Explotación</v>
          </cell>
          <cell r="L2162" t="str">
            <v>NO OPER</v>
          </cell>
          <cell r="N2162" t="str">
            <v>GANANCIAS (PERDIDAS) ANTES DE IMPUESTOS</v>
          </cell>
          <cell r="O2162" t="str">
            <v>GANANCIA (PÉRDIDA) NETA</v>
          </cell>
          <cell r="P2162" t="str">
            <v>Resultado Ingresos y Gastos Integrales</v>
          </cell>
          <cell r="Q2162" t="str">
            <v>I. Ganancia (pérdida), antes de impuestos</v>
          </cell>
          <cell r="R2162" t="str">
            <v>b. Ganancia (pérdida)</v>
          </cell>
          <cell r="S2162" t="str">
            <v>7. Otras ganancias (pérdidas)</v>
          </cell>
          <cell r="T2162" t="str">
            <v>3. Otros Gastos Fuera Explotación</v>
          </cell>
          <cell r="V2162" t="str">
            <v>II. Gastos</v>
          </cell>
          <cell r="Z2162" t="str">
            <v>I. Ganacia / Pérdida - No Oper</v>
          </cell>
          <cell r="AA2162" t="str">
            <v>5. Otras pérdidas No Oper.</v>
          </cell>
          <cell r="AB2162" t="str">
            <v>7. Otros Gastos Fuera Explotación</v>
          </cell>
          <cell r="AC2162" t="str">
            <v>I. Ganancia / Pérdida No Oper.</v>
          </cell>
          <cell r="AD2162" t="str">
            <v>4. Egresos No Oper.</v>
          </cell>
          <cell r="AE2162" t="str">
            <v>1. Otros Gastos Fuera Explotación</v>
          </cell>
          <cell r="AH2162" t="str">
            <v>6. Partidas significativas de gastos</v>
          </cell>
        </row>
        <row r="2163">
          <cell r="D2163">
            <v>0</v>
          </cell>
          <cell r="G2163" t="str">
            <v/>
          </cell>
          <cell r="H2163" t="str">
            <v>Est. Resultado</v>
          </cell>
          <cell r="I2163" t="str">
            <v>Resultado</v>
          </cell>
          <cell r="J2163" t="str">
            <v>10. Otras Pérdidas</v>
          </cell>
          <cell r="K2163" t="str">
            <v>4. Otros Gastos Fuera Explotación</v>
          </cell>
          <cell r="L2163" t="str">
            <v>NO OPER</v>
          </cell>
          <cell r="N2163" t="str">
            <v>GANANCIAS (PERDIDAS) ANTES DE IMPUESTOS</v>
          </cell>
          <cell r="O2163" t="str">
            <v>GANANCIA (PÉRDIDA) NETA</v>
          </cell>
          <cell r="P2163" t="str">
            <v>Resultado Ingresos y Gastos Integrales</v>
          </cell>
          <cell r="Q2163" t="str">
            <v>I. Ganancia (pérdida), antes de impuestos</v>
          </cell>
          <cell r="R2163" t="str">
            <v>b. Ganancia (pérdida)</v>
          </cell>
          <cell r="S2163" t="str">
            <v>7. Otras ganancias (pérdidas)</v>
          </cell>
          <cell r="T2163" t="str">
            <v>3. Otros Gastos Fuera Explotación</v>
          </cell>
          <cell r="V2163" t="str">
            <v>II. Gastos</v>
          </cell>
          <cell r="Z2163" t="str">
            <v>I. Ganacia / Pérdida - No Oper</v>
          </cell>
          <cell r="AA2163" t="str">
            <v>5. Otras pérdidas No Oper.</v>
          </cell>
          <cell r="AB2163" t="str">
            <v>7. Otros Gastos Fuera Explotación</v>
          </cell>
          <cell r="AC2163" t="str">
            <v>I. Ganancia / Pérdida No Oper.</v>
          </cell>
          <cell r="AD2163" t="str">
            <v>4. Egresos No Oper.</v>
          </cell>
          <cell r="AE2163" t="str">
            <v>1. Otros Gastos Fuera Explotación</v>
          </cell>
          <cell r="AH2163" t="str">
            <v>6. Partidas significativas de gastos</v>
          </cell>
        </row>
        <row r="2164">
          <cell r="D2164">
            <v>0</v>
          </cell>
          <cell r="G2164" t="str">
            <v/>
          </cell>
          <cell r="H2164" t="str">
            <v>Est. Resultado</v>
          </cell>
          <cell r="I2164" t="str">
            <v>Resultado</v>
          </cell>
          <cell r="J2164" t="str">
            <v>10. Otras Pérdidas</v>
          </cell>
          <cell r="K2164" t="str">
            <v>4. Otros Gastos Fuera Explotación</v>
          </cell>
          <cell r="L2164" t="str">
            <v>NO OPER</v>
          </cell>
          <cell r="N2164" t="str">
            <v>GANANCIAS (PERDIDAS) ANTES DE IMPUESTOS</v>
          </cell>
          <cell r="O2164" t="str">
            <v>GANANCIA (PÉRDIDA) NETA</v>
          </cell>
          <cell r="P2164" t="str">
            <v>Resultado Ingresos y Gastos Integrales</v>
          </cell>
          <cell r="Q2164" t="str">
            <v>I. Ganancia (pérdida), antes de impuestos</v>
          </cell>
          <cell r="R2164" t="str">
            <v>b. Ganancia (pérdida)</v>
          </cell>
          <cell r="S2164" t="str">
            <v>7. Otras ganancias (pérdidas)</v>
          </cell>
          <cell r="T2164" t="str">
            <v>3. Otros Gastos Fuera Explotación</v>
          </cell>
          <cell r="V2164" t="str">
            <v>II. Gastos</v>
          </cell>
          <cell r="Z2164" t="str">
            <v>I. Ganacia / Pérdida - No Oper</v>
          </cell>
          <cell r="AA2164" t="str">
            <v>5. Otras pérdidas No Oper.</v>
          </cell>
          <cell r="AB2164" t="str">
            <v>7. Otros Gastos Fuera Explotación</v>
          </cell>
          <cell r="AC2164" t="str">
            <v>I. Ganancia / Pérdida No Oper.</v>
          </cell>
          <cell r="AD2164" t="str">
            <v>4. Egresos No Oper.</v>
          </cell>
          <cell r="AE2164" t="str">
            <v>1. Otros Gastos Fuera Explotación</v>
          </cell>
          <cell r="AH2164" t="str">
            <v>6. Partidas significativas de gastos</v>
          </cell>
        </row>
        <row r="2165">
          <cell r="D2165" t="str">
            <v>Otros Gastos Fuera Explotación</v>
          </cell>
          <cell r="E2165" t="str">
            <v>Otros Gastos Fuera Explotación</v>
          </cell>
          <cell r="G2165" t="str">
            <v xml:space="preserve">Otros Gastos Fuera Explotación  </v>
          </cell>
          <cell r="H2165" t="str">
            <v/>
          </cell>
          <cell r="I2165" t="str">
            <v/>
          </cell>
          <cell r="J2165" t="str">
            <v/>
          </cell>
          <cell r="N2165" t="str">
            <v/>
          </cell>
          <cell r="O2165" t="str">
            <v/>
          </cell>
          <cell r="P2165" t="str">
            <v/>
          </cell>
        </row>
        <row r="2166">
          <cell r="D2166" t="str">
            <v>3251100000</v>
          </cell>
          <cell r="E2166" t="str">
            <v>3251100000</v>
          </cell>
          <cell r="F2166" t="str">
            <v>DIF. CAMBIO CTA. ACT</v>
          </cell>
          <cell r="G2166" t="str">
            <v>3251100000  DIF. CAMBIO CTA. ACT</v>
          </cell>
          <cell r="H2166" t="str">
            <v>Est. Resultado</v>
          </cell>
          <cell r="I2166" t="str">
            <v>Resultado</v>
          </cell>
          <cell r="J2166" t="str">
            <v>10. Otras Pérdidas</v>
          </cell>
          <cell r="K2166" t="str">
            <v>5. Diferencias de Cambio</v>
          </cell>
          <cell r="L2166" t="str">
            <v>NO OPER</v>
          </cell>
          <cell r="N2166" t="str">
            <v>GANANCIAS (PERDIDAS) ANTES DE IMPUESTOS</v>
          </cell>
          <cell r="O2166" t="str">
            <v>GANANCIA (PÉRDIDA) NETA</v>
          </cell>
          <cell r="P2166" t="str">
            <v>Resultado Ingresos y Gastos Integrales</v>
          </cell>
          <cell r="Q2166" t="str">
            <v>I. Ganancia (pérdida), antes de impuestos</v>
          </cell>
          <cell r="R2166" t="str">
            <v>b. Ganancia (pérdida)</v>
          </cell>
          <cell r="S2166" t="str">
            <v>11. Diferencias de cambio</v>
          </cell>
          <cell r="T2166" t="str">
            <v>1. Diferencia de Cambio</v>
          </cell>
          <cell r="Z2166" t="str">
            <v>I. Ganacia / Pérdida - No Oper</v>
          </cell>
          <cell r="AA2166" t="str">
            <v>7. Diferencias de Cambio</v>
          </cell>
          <cell r="AB2166" t="str">
            <v>10. Diferencias de Cambio</v>
          </cell>
          <cell r="AC2166" t="str">
            <v>I. Ganancia / Pérdida No Oper.</v>
          </cell>
          <cell r="AD2166" t="str">
            <v>7. Diferencias de Cambio</v>
          </cell>
          <cell r="AE2166" t="str">
            <v>1. Diferencia de Cambio</v>
          </cell>
          <cell r="AH2166" t="str">
            <v>6. Partidas significativas de gastos</v>
          </cell>
        </row>
        <row r="2167">
          <cell r="D2167" t="str">
            <v>3251200000</v>
          </cell>
          <cell r="E2167" t="str">
            <v>3251200000</v>
          </cell>
          <cell r="F2167" t="str">
            <v>Dif Cambio Otras Cuentas</v>
          </cell>
          <cell r="G2167" t="str">
            <v>3251200000  Dif Cambio Otras Cuentas</v>
          </cell>
          <cell r="H2167" t="str">
            <v>Est. Resultado</v>
          </cell>
          <cell r="I2167" t="str">
            <v>Resultado</v>
          </cell>
          <cell r="J2167" t="str">
            <v>10. Otras Pérdidas</v>
          </cell>
          <cell r="K2167" t="str">
            <v>5. Diferencias de Cambio</v>
          </cell>
          <cell r="L2167" t="str">
            <v>NO OPER</v>
          </cell>
          <cell r="N2167" t="str">
            <v>GANANCIAS (PERDIDAS) ANTES DE IMPUESTOS</v>
          </cell>
          <cell r="O2167" t="str">
            <v>GANANCIA (PÉRDIDA) NETA</v>
          </cell>
          <cell r="P2167" t="str">
            <v>Resultado Ingresos y Gastos Integrales</v>
          </cell>
          <cell r="Q2167" t="str">
            <v>I. Ganancia (pérdida), antes de impuestos</v>
          </cell>
          <cell r="R2167" t="str">
            <v>b. Ganancia (pérdida)</v>
          </cell>
          <cell r="S2167" t="str">
            <v>11. Diferencias de cambio</v>
          </cell>
          <cell r="T2167" t="str">
            <v>1. Diferencia de Cambio</v>
          </cell>
          <cell r="Z2167" t="str">
            <v>I. Ganacia / Pérdida - No Oper</v>
          </cell>
          <cell r="AA2167" t="str">
            <v>7. Diferencias de Cambio</v>
          </cell>
          <cell r="AB2167" t="str">
            <v>10. Diferencias de Cambio</v>
          </cell>
          <cell r="AC2167" t="str">
            <v>I. Ganancia / Pérdida No Oper.</v>
          </cell>
          <cell r="AD2167" t="str">
            <v>7. Diferencias de Cambio</v>
          </cell>
          <cell r="AE2167" t="str">
            <v>1. Diferencia de Cambio</v>
          </cell>
          <cell r="AH2167" t="str">
            <v>6. Partidas significativas de gastos</v>
          </cell>
        </row>
        <row r="2168">
          <cell r="D2168" t="str">
            <v>3251300000</v>
          </cell>
          <cell r="E2168" t="str">
            <v>3251300000</v>
          </cell>
          <cell r="F2168" t="str">
            <v>Dif Cambio Cta Activo USD</v>
          </cell>
          <cell r="G2168" t="str">
            <v>3251300000  Dif Cambio Cta Activo USD</v>
          </cell>
          <cell r="H2168" t="str">
            <v>Est. Resultado</v>
          </cell>
          <cell r="I2168" t="str">
            <v>Resultado</v>
          </cell>
          <cell r="J2168" t="str">
            <v>10. Otras Pérdidas</v>
          </cell>
          <cell r="K2168" t="str">
            <v>5. Diferencias de Cambio</v>
          </cell>
          <cell r="L2168" t="str">
            <v>NO OPER</v>
          </cell>
          <cell r="N2168" t="str">
            <v>GANANCIAS (PERDIDAS) ANTES DE IMPUESTOS</v>
          </cell>
          <cell r="O2168" t="str">
            <v>GANANCIA (PÉRDIDA) NETA</v>
          </cell>
          <cell r="P2168" t="str">
            <v>Resultado Ingresos y Gastos Integrales</v>
          </cell>
          <cell r="Q2168" t="str">
            <v>I. Ganancia (pérdida), antes de impuestos</v>
          </cell>
          <cell r="R2168" t="str">
            <v>b. Ganancia (pérdida)</v>
          </cell>
          <cell r="S2168" t="str">
            <v>11. Diferencias de cambio</v>
          </cell>
          <cell r="T2168" t="str">
            <v>1. Diferencia de Cambio</v>
          </cell>
          <cell r="Z2168" t="str">
            <v>I. Ganacia / Pérdida - No Oper</v>
          </cell>
          <cell r="AA2168" t="str">
            <v>7. Diferencias de Cambio</v>
          </cell>
          <cell r="AB2168" t="str">
            <v>10. Diferencias de Cambio</v>
          </cell>
          <cell r="AC2168" t="str">
            <v>I. Ganancia / Pérdida No Oper.</v>
          </cell>
          <cell r="AD2168" t="str">
            <v>7. Diferencias de Cambio</v>
          </cell>
          <cell r="AE2168" t="str">
            <v>1. Diferencia de Cambio</v>
          </cell>
          <cell r="AH2168" t="str">
            <v>6. Partidas significativas de gastos</v>
          </cell>
        </row>
        <row r="2169">
          <cell r="D2169" t="str">
            <v>3251400000</v>
          </cell>
          <cell r="E2169" t="str">
            <v>3251400000</v>
          </cell>
          <cell r="F2169" t="str">
            <v>Dif Cambio Cta Activo EUR</v>
          </cell>
          <cell r="G2169" t="str">
            <v>3251400000  Dif Cambio Cta Activo EUR</v>
          </cell>
          <cell r="H2169" t="str">
            <v>Est. Resultado</v>
          </cell>
          <cell r="I2169" t="str">
            <v>Resultado</v>
          </cell>
          <cell r="J2169" t="str">
            <v>10. Otras Pérdidas</v>
          </cell>
          <cell r="K2169" t="str">
            <v>5. Diferencias de Cambio</v>
          </cell>
          <cell r="L2169" t="str">
            <v>NO OPER</v>
          </cell>
          <cell r="N2169" t="str">
            <v>GANANCIAS (PERDIDAS) ANTES DE IMPUESTOS</v>
          </cell>
          <cell r="O2169" t="str">
            <v>GANANCIA (PÉRDIDA) NETA</v>
          </cell>
          <cell r="P2169" t="str">
            <v>Resultado Ingresos y Gastos Integrales</v>
          </cell>
          <cell r="Q2169" t="str">
            <v>I. Ganancia (pérdida), antes de impuestos</v>
          </cell>
          <cell r="R2169" t="str">
            <v>b. Ganancia (pérdida)</v>
          </cell>
          <cell r="S2169" t="str">
            <v>11. Diferencias de cambio</v>
          </cell>
          <cell r="T2169" t="str">
            <v>1. Diferencia de Cambio</v>
          </cell>
          <cell r="Z2169" t="str">
            <v>I. Ganacia / Pérdida - No Oper</v>
          </cell>
          <cell r="AA2169" t="str">
            <v>7. Diferencias de Cambio</v>
          </cell>
          <cell r="AB2169" t="str">
            <v>10. Diferencias de Cambio</v>
          </cell>
          <cell r="AC2169" t="str">
            <v>I. Ganancia / Pérdida No Oper.</v>
          </cell>
          <cell r="AD2169" t="str">
            <v>7. Diferencias de Cambio</v>
          </cell>
          <cell r="AE2169" t="str">
            <v>1. Diferencia de Cambio</v>
          </cell>
          <cell r="AH2169" t="str">
            <v>6. Partidas significativas de gastos</v>
          </cell>
        </row>
        <row r="2170">
          <cell r="D2170" t="str">
            <v>4375100000</v>
          </cell>
          <cell r="E2170" t="str">
            <v>4375100000</v>
          </cell>
          <cell r="F2170" t="str">
            <v>DIF. CAMB. PASIVOS</v>
          </cell>
          <cell r="G2170" t="str">
            <v>4375100000  DIF. CAMB. PASIVOS</v>
          </cell>
          <cell r="H2170" t="str">
            <v>Est. Resultado</v>
          </cell>
          <cell r="I2170" t="str">
            <v>Resultado</v>
          </cell>
          <cell r="J2170" t="str">
            <v>10. Otras Pérdidas</v>
          </cell>
          <cell r="K2170" t="str">
            <v>5. Diferencias de Cambio</v>
          </cell>
          <cell r="L2170" t="str">
            <v>NO OPER</v>
          </cell>
          <cell r="N2170" t="str">
            <v>GANANCIAS (PERDIDAS) ANTES DE IMPUESTOS</v>
          </cell>
          <cell r="O2170" t="str">
            <v>GANANCIA (PÉRDIDA) NETA</v>
          </cell>
          <cell r="P2170" t="str">
            <v>Resultado Ingresos y Gastos Integrales</v>
          </cell>
          <cell r="Q2170" t="str">
            <v>I. Ganancia (pérdida), antes de impuestos</v>
          </cell>
          <cell r="R2170" t="str">
            <v>b. Ganancia (pérdida)</v>
          </cell>
          <cell r="S2170" t="str">
            <v>11. Diferencias de cambio</v>
          </cell>
          <cell r="T2170" t="str">
            <v>1. Diferencia de Cambio</v>
          </cell>
          <cell r="Z2170" t="str">
            <v>I. Ganacia / Pérdida - No Oper</v>
          </cell>
          <cell r="AA2170" t="str">
            <v>7. Diferencias de Cambio</v>
          </cell>
          <cell r="AB2170" t="str">
            <v>10. Diferencias de Cambio</v>
          </cell>
          <cell r="AC2170" t="str">
            <v>I. Ganancia / Pérdida No Oper.</v>
          </cell>
          <cell r="AD2170" t="str">
            <v>7. Diferencias de Cambio</v>
          </cell>
          <cell r="AE2170" t="str">
            <v>1. Diferencia de Cambio</v>
          </cell>
          <cell r="AH2170" t="str">
            <v>6. Partidas significativas de gastos</v>
          </cell>
        </row>
        <row r="2171">
          <cell r="D2171" t="str">
            <v>4375200000</v>
          </cell>
          <cell r="E2171" t="str">
            <v>4375200000</v>
          </cell>
          <cell r="F2171" t="str">
            <v>DIF.CAMBIOS O. CTAS</v>
          </cell>
          <cell r="G2171" t="str">
            <v>4375200000  DIF.CAMBIOS O. CTAS</v>
          </cell>
          <cell r="H2171" t="str">
            <v>Est. Resultado</v>
          </cell>
          <cell r="I2171" t="str">
            <v>Resultado</v>
          </cell>
          <cell r="J2171" t="str">
            <v>10. Otras Pérdidas</v>
          </cell>
          <cell r="K2171" t="str">
            <v>5. Diferencias de Cambio</v>
          </cell>
          <cell r="L2171" t="str">
            <v>NO OPER</v>
          </cell>
          <cell r="N2171" t="str">
            <v>GANANCIAS (PERDIDAS) ANTES DE IMPUESTOS</v>
          </cell>
          <cell r="O2171" t="str">
            <v>GANANCIA (PÉRDIDA) NETA</v>
          </cell>
          <cell r="P2171" t="str">
            <v>Resultado Ingresos y Gastos Integrales</v>
          </cell>
          <cell r="Q2171" t="str">
            <v>I. Ganancia (pérdida), antes de impuestos</v>
          </cell>
          <cell r="R2171" t="str">
            <v>b. Ganancia (pérdida)</v>
          </cell>
          <cell r="S2171" t="str">
            <v>11. Diferencias de cambio</v>
          </cell>
          <cell r="T2171" t="str">
            <v>1. Diferencia de Cambio</v>
          </cell>
          <cell r="Z2171" t="str">
            <v>I. Ganacia / Pérdida - No Oper</v>
          </cell>
          <cell r="AA2171" t="str">
            <v>7. Diferencias de Cambio</v>
          </cell>
          <cell r="AB2171" t="str">
            <v>10. Diferencias de Cambio</v>
          </cell>
          <cell r="AC2171" t="str">
            <v>I. Ganancia / Pérdida No Oper.</v>
          </cell>
          <cell r="AD2171" t="str">
            <v>7. Diferencias de Cambio</v>
          </cell>
          <cell r="AE2171" t="str">
            <v>1. Diferencia de Cambio</v>
          </cell>
          <cell r="AH2171" t="str">
            <v>6. Partidas significativas de gastos</v>
          </cell>
        </row>
        <row r="2172">
          <cell r="D2172" t="str">
            <v>4375250000</v>
          </cell>
          <cell r="E2172" t="str">
            <v>4375250000</v>
          </cell>
          <cell r="F2172" t="str">
            <v>DIF. CAMB.PAS. (USD)</v>
          </cell>
          <cell r="G2172" t="str">
            <v>4375250000  DIF. CAMB.PAS. (USD)</v>
          </cell>
          <cell r="H2172" t="str">
            <v>Est. Resultado</v>
          </cell>
          <cell r="I2172" t="str">
            <v>Resultado</v>
          </cell>
          <cell r="J2172" t="str">
            <v>10. Otras Pérdidas</v>
          </cell>
          <cell r="K2172" t="str">
            <v>5. Diferencias de Cambio</v>
          </cell>
          <cell r="L2172" t="str">
            <v>NO OPER</v>
          </cell>
          <cell r="N2172" t="str">
            <v>GANANCIAS (PERDIDAS) ANTES DE IMPUESTOS</v>
          </cell>
          <cell r="O2172" t="str">
            <v>GANANCIA (PÉRDIDA) NETA</v>
          </cell>
          <cell r="P2172" t="str">
            <v>Resultado Ingresos y Gastos Integrales</v>
          </cell>
          <cell r="Q2172" t="str">
            <v>I. Ganancia (pérdida), antes de impuestos</v>
          </cell>
          <cell r="R2172" t="str">
            <v>b. Ganancia (pérdida)</v>
          </cell>
          <cell r="S2172" t="str">
            <v>11. Diferencias de cambio</v>
          </cell>
          <cell r="T2172" t="str">
            <v>1. Diferencia de Cambio</v>
          </cell>
          <cell r="Z2172" t="str">
            <v>I. Ganacia / Pérdida - No Oper</v>
          </cell>
          <cell r="AA2172" t="str">
            <v>7. Diferencias de Cambio</v>
          </cell>
          <cell r="AB2172" t="str">
            <v>10. Diferencias de Cambio</v>
          </cell>
          <cell r="AC2172" t="str">
            <v>I. Ganancia / Pérdida No Oper.</v>
          </cell>
          <cell r="AD2172" t="str">
            <v>7. Diferencias de Cambio</v>
          </cell>
          <cell r="AE2172" t="str">
            <v>1. Diferencia de Cambio</v>
          </cell>
          <cell r="AH2172" t="str">
            <v>6. Partidas significativas de gastos</v>
          </cell>
        </row>
        <row r="2173">
          <cell r="D2173" t="str">
            <v>4375300000</v>
          </cell>
          <cell r="E2173" t="str">
            <v>4375300000</v>
          </cell>
          <cell r="F2173" t="str">
            <v>DIF. CAMB.PAS.(EURO)</v>
          </cell>
          <cell r="G2173" t="str">
            <v>4375300000  DIF. CAMB.PAS.(EURO)</v>
          </cell>
          <cell r="H2173" t="str">
            <v>Est. Resultado</v>
          </cell>
          <cell r="I2173" t="str">
            <v>Resultado</v>
          </cell>
          <cell r="J2173" t="str">
            <v>10. Otras Pérdidas</v>
          </cell>
          <cell r="K2173" t="str">
            <v>5. Diferencias de Cambio</v>
          </cell>
          <cell r="L2173" t="str">
            <v>NO OPER</v>
          </cell>
          <cell r="N2173" t="str">
            <v>GANANCIAS (PERDIDAS) ANTES DE IMPUESTOS</v>
          </cell>
          <cell r="O2173" t="str">
            <v>GANANCIA (PÉRDIDA) NETA</v>
          </cell>
          <cell r="P2173" t="str">
            <v>Resultado Ingresos y Gastos Integrales</v>
          </cell>
          <cell r="Q2173" t="str">
            <v>I. Ganancia (pérdida), antes de impuestos</v>
          </cell>
          <cell r="R2173" t="str">
            <v>b. Ganancia (pérdida)</v>
          </cell>
          <cell r="S2173" t="str">
            <v>11. Diferencias de cambio</v>
          </cell>
          <cell r="T2173" t="str">
            <v>1. Diferencia de Cambio</v>
          </cell>
          <cell r="Z2173" t="str">
            <v>I. Ganacia / Pérdida - No Oper</v>
          </cell>
          <cell r="AA2173" t="str">
            <v>7. Diferencias de Cambio</v>
          </cell>
          <cell r="AB2173" t="str">
            <v>10. Diferencias de Cambio</v>
          </cell>
          <cell r="AC2173" t="str">
            <v>I. Ganancia / Pérdida No Oper.</v>
          </cell>
          <cell r="AD2173" t="str">
            <v>7. Diferencias de Cambio</v>
          </cell>
          <cell r="AE2173" t="str">
            <v>1. Diferencia de Cambio</v>
          </cell>
          <cell r="AH2173" t="str">
            <v>6. Partidas significativas de gastos</v>
          </cell>
        </row>
        <row r="2174">
          <cell r="D2174" t="str">
            <v>4375400000</v>
          </cell>
          <cell r="E2174" t="str">
            <v>4375400000</v>
          </cell>
          <cell r="F2174" t="str">
            <v>DIF. CAMB.PAS.(YEN)</v>
          </cell>
          <cell r="G2174" t="str">
            <v>4375400000  DIF. CAMB.PAS.(YEN)</v>
          </cell>
          <cell r="H2174" t="str">
            <v>Est. Resultado</v>
          </cell>
          <cell r="I2174" t="str">
            <v>Resultado</v>
          </cell>
          <cell r="J2174" t="str">
            <v>10. Otras Pérdidas</v>
          </cell>
          <cell r="K2174" t="str">
            <v>5. Diferencias de Cambio</v>
          </cell>
          <cell r="L2174" t="str">
            <v>NO OPER</v>
          </cell>
          <cell r="N2174" t="str">
            <v>GANANCIAS (PERDIDAS) ANTES DE IMPUESTOS</v>
          </cell>
          <cell r="O2174" t="str">
            <v>GANANCIA (PÉRDIDA) NETA</v>
          </cell>
          <cell r="P2174" t="str">
            <v>Resultado Ingresos y Gastos Integrales</v>
          </cell>
          <cell r="Q2174" t="str">
            <v>I. Ganancia (pérdida), antes de impuestos</v>
          </cell>
          <cell r="R2174" t="str">
            <v>b. Ganancia (pérdida)</v>
          </cell>
          <cell r="S2174" t="str">
            <v>11. Diferencias de cambio</v>
          </cell>
          <cell r="T2174" t="str">
            <v>1. Diferencia de Cambio</v>
          </cell>
          <cell r="Z2174" t="str">
            <v>I. Ganacia / Pérdida - No Oper</v>
          </cell>
          <cell r="AA2174" t="str">
            <v>7. Diferencias de Cambio</v>
          </cell>
          <cell r="AB2174" t="str">
            <v>10. Diferencias de Cambio</v>
          </cell>
          <cell r="AC2174" t="str">
            <v>I. Ganancia / Pérdida No Oper.</v>
          </cell>
          <cell r="AD2174" t="str">
            <v>7. Diferencias de Cambio</v>
          </cell>
          <cell r="AE2174" t="str">
            <v>1. Diferencia de Cambio</v>
          </cell>
          <cell r="AH2174" t="str">
            <v>6. Partidas significativas de gastos</v>
          </cell>
        </row>
        <row r="2175">
          <cell r="D2175">
            <v>0</v>
          </cell>
          <cell r="G2175" t="str">
            <v/>
          </cell>
        </row>
        <row r="2176">
          <cell r="D2176">
            <v>0</v>
          </cell>
          <cell r="G2176" t="str">
            <v/>
          </cell>
        </row>
        <row r="2177">
          <cell r="D2177">
            <v>0</v>
          </cell>
          <cell r="G2177" t="str">
            <v/>
          </cell>
        </row>
        <row r="2178">
          <cell r="D2178" t="str">
            <v>Diferencias de Cambio</v>
          </cell>
          <cell r="E2178" t="str">
            <v>Diferencias de Cambio</v>
          </cell>
          <cell r="G2178" t="str">
            <v xml:space="preserve">Diferencias de Cambio  </v>
          </cell>
          <cell r="H2178" t="str">
            <v/>
          </cell>
          <cell r="I2178" t="str">
            <v/>
          </cell>
          <cell r="J2178" t="str">
            <v/>
          </cell>
          <cell r="N2178" t="str">
            <v/>
          </cell>
          <cell r="O2178" t="str">
            <v/>
          </cell>
          <cell r="P2178" t="str">
            <v/>
          </cell>
        </row>
        <row r="2179">
          <cell r="D2179" t="str">
            <v>3250100000</v>
          </cell>
          <cell r="E2179" t="str">
            <v>3250100000</v>
          </cell>
          <cell r="F2179" t="str">
            <v>C.Monetaria Cta Activos IPC</v>
          </cell>
          <cell r="G2179" t="str">
            <v>3250100000  C.Monetaria Cta Activos IPC</v>
          </cell>
          <cell r="H2179" t="str">
            <v>Est. Resultado</v>
          </cell>
          <cell r="I2179" t="str">
            <v>Resultado</v>
          </cell>
          <cell r="J2179" t="str">
            <v>10. Otras Pérdidas</v>
          </cell>
          <cell r="K2179" t="str">
            <v>6. Resultado Unidad de Reajuste</v>
          </cell>
          <cell r="L2179" t="str">
            <v>NO OPER</v>
          </cell>
          <cell r="N2179" t="str">
            <v>GANANCIAS (PERDIDAS) ANTES DE IMPUESTOS</v>
          </cell>
          <cell r="O2179" t="str">
            <v>GANANCIA (PÉRDIDA) NETA</v>
          </cell>
          <cell r="P2179" t="str">
            <v>Resultado Ingresos y Gastos Integrales</v>
          </cell>
          <cell r="Q2179" t="str">
            <v>I. Ganancia (pérdida), antes de impuestos</v>
          </cell>
          <cell r="R2179" t="str">
            <v>b. Ganancia (pérdida)</v>
          </cell>
          <cell r="S2179" t="str">
            <v>12. Resultados por unidades de reajuste</v>
          </cell>
          <cell r="T2179" t="str">
            <v>1. Resultado Unidad de Reajuste</v>
          </cell>
          <cell r="Z2179" t="str">
            <v>I. Ganacia / Pérdida - No Oper</v>
          </cell>
          <cell r="AA2179" t="str">
            <v>6. Unidad de Reajuste</v>
          </cell>
          <cell r="AB2179" t="str">
            <v>9. Resultado Unidad de Reajuste</v>
          </cell>
          <cell r="AC2179" t="str">
            <v>I. Ganancia / Pérdida No Oper.</v>
          </cell>
          <cell r="AD2179" t="str">
            <v>6. Unidad de Reajuste</v>
          </cell>
          <cell r="AE2179" t="str">
            <v>1. Unidad de Reajuste.</v>
          </cell>
          <cell r="AH2179" t="str">
            <v>6. Partidas significativas de gastos</v>
          </cell>
        </row>
        <row r="2180">
          <cell r="D2180" t="str">
            <v>3250200000</v>
          </cell>
          <cell r="E2180" t="str">
            <v>3250200000</v>
          </cell>
          <cell r="F2180" t="str">
            <v>C.Monetaria Cta Activos UF</v>
          </cell>
          <cell r="G2180" t="str">
            <v>3250200000  C.Monetaria Cta Activos UF</v>
          </cell>
          <cell r="H2180" t="str">
            <v>Est. Resultado</v>
          </cell>
          <cell r="I2180" t="str">
            <v>Resultado</v>
          </cell>
          <cell r="J2180" t="str">
            <v>10. Otras Pérdidas</v>
          </cell>
          <cell r="K2180" t="str">
            <v>6. Resultado Unidad de Reajuste</v>
          </cell>
          <cell r="L2180" t="str">
            <v>NO OPER</v>
          </cell>
          <cell r="N2180" t="str">
            <v>GANANCIAS (PERDIDAS) ANTES DE IMPUESTOS</v>
          </cell>
          <cell r="O2180" t="str">
            <v>GANANCIA (PÉRDIDA) NETA</v>
          </cell>
          <cell r="P2180" t="str">
            <v>Resultado Ingresos y Gastos Integrales</v>
          </cell>
          <cell r="Q2180" t="str">
            <v>I. Ganancia (pérdida), antes de impuestos</v>
          </cell>
          <cell r="R2180" t="str">
            <v>b. Ganancia (pérdida)</v>
          </cell>
          <cell r="S2180" t="str">
            <v>12. Resultados por unidades de reajuste</v>
          </cell>
          <cell r="T2180" t="str">
            <v>1. Resultado Unidad de Reajuste</v>
          </cell>
          <cell r="Z2180" t="str">
            <v>I. Ganacia / Pérdida - No Oper</v>
          </cell>
          <cell r="AA2180" t="str">
            <v>6. Unidad de Reajuste</v>
          </cell>
          <cell r="AB2180" t="str">
            <v>9. Resultado Unidad de Reajuste</v>
          </cell>
          <cell r="AC2180" t="str">
            <v>I. Ganancia / Pérdida No Oper.</v>
          </cell>
          <cell r="AD2180" t="str">
            <v>6. Unidad de Reajuste</v>
          </cell>
          <cell r="AE2180" t="str">
            <v>1. Unidad de Reajuste.</v>
          </cell>
          <cell r="AH2180" t="str">
            <v>6. Partidas significativas de gastos</v>
          </cell>
        </row>
        <row r="2181">
          <cell r="D2181" t="str">
            <v>3250300000</v>
          </cell>
          <cell r="E2181" t="str">
            <v>3250300000</v>
          </cell>
          <cell r="F2181" t="str">
            <v>C.Monetaria Cta Gastos</v>
          </cell>
          <cell r="G2181" t="str">
            <v>3250300000  C.Monetaria Cta Gastos</v>
          </cell>
          <cell r="H2181" t="str">
            <v>Est. Resultado</v>
          </cell>
          <cell r="I2181" t="str">
            <v>Resultado</v>
          </cell>
          <cell r="J2181" t="str">
            <v>10. Otras Pérdidas</v>
          </cell>
          <cell r="K2181" t="str">
            <v>6. Resultado Unidad de Reajuste</v>
          </cell>
          <cell r="L2181" t="str">
            <v>NO OPER</v>
          </cell>
          <cell r="N2181" t="str">
            <v>GANANCIAS (PERDIDAS) ANTES DE IMPUESTOS</v>
          </cell>
          <cell r="O2181" t="str">
            <v>GANANCIA (PÉRDIDA) NETA</v>
          </cell>
          <cell r="P2181" t="str">
            <v>Resultado Ingresos y Gastos Integrales</v>
          </cell>
          <cell r="Q2181" t="str">
            <v>I. Ganancia (pérdida), antes de impuestos</v>
          </cell>
          <cell r="R2181" t="str">
            <v>b. Ganancia (pérdida)</v>
          </cell>
          <cell r="S2181" t="str">
            <v>12. Resultados por unidades de reajuste</v>
          </cell>
          <cell r="T2181" t="str">
            <v>1. Resultado Unidad de Reajuste</v>
          </cell>
          <cell r="Z2181" t="str">
            <v>I. Ganacia / Pérdida - No Oper</v>
          </cell>
          <cell r="AA2181" t="str">
            <v>6. Unidad de Reajuste</v>
          </cell>
          <cell r="AB2181" t="str">
            <v>9. Resultado Unidad de Reajuste</v>
          </cell>
          <cell r="AC2181" t="str">
            <v>I. Ganancia / Pérdida No Oper.</v>
          </cell>
          <cell r="AD2181" t="str">
            <v>6. Unidad de Reajuste</v>
          </cell>
          <cell r="AE2181" t="str">
            <v>1. Unidad de Reajuste.</v>
          </cell>
          <cell r="AH2181" t="str">
            <v>6. Partidas significativas de gastos</v>
          </cell>
        </row>
        <row r="2182">
          <cell r="D2182" t="str">
            <v>3250400000</v>
          </cell>
          <cell r="E2182" t="str">
            <v>3250400000</v>
          </cell>
          <cell r="F2182" t="str">
            <v>C.Monetaria Cta Activos</v>
          </cell>
          <cell r="G2182" t="str">
            <v>3250400000  C.Monetaria Cta Activos</v>
          </cell>
          <cell r="H2182" t="str">
            <v>Est. Resultado</v>
          </cell>
          <cell r="I2182" t="str">
            <v>Resultado</v>
          </cell>
          <cell r="J2182" t="str">
            <v>10. Otras Pérdidas</v>
          </cell>
          <cell r="K2182" t="str">
            <v>6. Resultado Unidad de Reajuste</v>
          </cell>
          <cell r="L2182" t="str">
            <v>NO OPER</v>
          </cell>
          <cell r="N2182" t="str">
            <v>GANANCIAS (PERDIDAS) ANTES DE IMPUESTOS</v>
          </cell>
          <cell r="O2182" t="str">
            <v>GANANCIA (PÉRDIDA) NETA</v>
          </cell>
          <cell r="P2182" t="str">
            <v>Resultado Ingresos y Gastos Integrales</v>
          </cell>
          <cell r="Q2182" t="str">
            <v>I. Ganancia (pérdida), antes de impuestos</v>
          </cell>
          <cell r="R2182" t="str">
            <v>b. Ganancia (pérdida)</v>
          </cell>
          <cell r="S2182" t="str">
            <v>12. Resultados por unidades de reajuste</v>
          </cell>
          <cell r="T2182" t="str">
            <v>1. Resultado Unidad de Reajuste</v>
          </cell>
          <cell r="Z2182" t="str">
            <v>I. Ganacia / Pérdida - No Oper</v>
          </cell>
          <cell r="AA2182" t="str">
            <v>6. Unidad de Reajuste</v>
          </cell>
          <cell r="AB2182" t="str">
            <v>9. Resultado Unidad de Reajuste</v>
          </cell>
          <cell r="AC2182" t="str">
            <v>I. Ganancia / Pérdida No Oper.</v>
          </cell>
          <cell r="AD2182" t="str">
            <v>6. Unidad de Reajuste</v>
          </cell>
          <cell r="AE2182" t="str">
            <v>1. Unidad de Reajuste.</v>
          </cell>
          <cell r="AH2182" t="str">
            <v>6. Partidas significativas de gastos</v>
          </cell>
        </row>
        <row r="2183">
          <cell r="D2183" t="str">
            <v>3250500000</v>
          </cell>
          <cell r="E2183" t="str">
            <v>3250500000</v>
          </cell>
          <cell r="F2183" t="str">
            <v>C.Monetaria Cta Existencias</v>
          </cell>
          <cell r="G2183" t="str">
            <v>3250500000  C.Monetaria Cta Existencias</v>
          </cell>
          <cell r="H2183" t="str">
            <v>Est. Resultado</v>
          </cell>
          <cell r="I2183" t="str">
            <v>Resultado</v>
          </cell>
          <cell r="J2183" t="str">
            <v>10. Otras Pérdidas</v>
          </cell>
          <cell r="K2183" t="str">
            <v>6. Resultado Unidad de Reajuste</v>
          </cell>
          <cell r="L2183" t="str">
            <v>NO OPER</v>
          </cell>
          <cell r="N2183" t="str">
            <v>GANANCIAS (PERDIDAS) ANTES DE IMPUESTOS</v>
          </cell>
          <cell r="O2183" t="str">
            <v>GANANCIA (PÉRDIDA) NETA</v>
          </cell>
          <cell r="P2183" t="str">
            <v>Resultado Ingresos y Gastos Integrales</v>
          </cell>
          <cell r="Q2183" t="str">
            <v>I. Ganancia (pérdida), antes de impuestos</v>
          </cell>
          <cell r="R2183" t="str">
            <v>b. Ganancia (pérdida)</v>
          </cell>
          <cell r="S2183" t="str">
            <v>12. Resultados por unidades de reajuste</v>
          </cell>
          <cell r="T2183" t="str">
            <v>1. Resultado Unidad de Reajuste</v>
          </cell>
          <cell r="Z2183" t="str">
            <v>I. Ganacia / Pérdida - No Oper</v>
          </cell>
          <cell r="AA2183" t="str">
            <v>6. Unidad de Reajuste</v>
          </cell>
          <cell r="AB2183" t="str">
            <v>9. Resultado Unidad de Reajuste</v>
          </cell>
          <cell r="AC2183" t="str">
            <v>I. Ganancia / Pérdida No Oper.</v>
          </cell>
          <cell r="AD2183" t="str">
            <v>6. Unidad de Reajuste</v>
          </cell>
          <cell r="AE2183" t="str">
            <v>1. Unidad de Reajuste.</v>
          </cell>
          <cell r="AH2183" t="str">
            <v>6. Partidas significativas de gastos</v>
          </cell>
        </row>
        <row r="2184">
          <cell r="D2184" t="str">
            <v>4370100000</v>
          </cell>
          <cell r="E2184" t="str">
            <v>4370100000</v>
          </cell>
          <cell r="F2184" t="str">
            <v>CM CTAS PASIVO (IPC)</v>
          </cell>
          <cell r="G2184" t="str">
            <v>4370100000  CM CTAS PASIVO (IPC)</v>
          </cell>
          <cell r="H2184" t="str">
            <v>Est. Resultado</v>
          </cell>
          <cell r="I2184" t="str">
            <v>Resultado</v>
          </cell>
          <cell r="J2184" t="str">
            <v>10. Otras Pérdidas</v>
          </cell>
          <cell r="K2184" t="str">
            <v>6. Resultado Unidad de Reajuste</v>
          </cell>
          <cell r="L2184" t="str">
            <v>NO OPER</v>
          </cell>
          <cell r="N2184" t="str">
            <v>GANANCIAS (PERDIDAS) ANTES DE IMPUESTOS</v>
          </cell>
          <cell r="O2184" t="str">
            <v>GANANCIA (PÉRDIDA) NETA</v>
          </cell>
          <cell r="P2184" t="str">
            <v>Resultado Ingresos y Gastos Integrales</v>
          </cell>
          <cell r="Q2184" t="str">
            <v>I. Ganancia (pérdida), antes de impuestos</v>
          </cell>
          <cell r="R2184" t="str">
            <v>b. Ganancia (pérdida)</v>
          </cell>
          <cell r="S2184" t="str">
            <v>12. Resultados por unidades de reajuste</v>
          </cell>
          <cell r="T2184" t="str">
            <v>1. Resultado Unidad de Reajuste</v>
          </cell>
          <cell r="Z2184" t="str">
            <v>I. Ganacia / Pérdida - No Oper</v>
          </cell>
          <cell r="AA2184" t="str">
            <v>6. Unidad de Reajuste</v>
          </cell>
          <cell r="AB2184" t="str">
            <v>9. Resultado Unidad de Reajuste</v>
          </cell>
          <cell r="AC2184" t="str">
            <v>I. Ganancia / Pérdida No Oper.</v>
          </cell>
          <cell r="AD2184" t="str">
            <v>6. Unidad de Reajuste</v>
          </cell>
          <cell r="AE2184" t="str">
            <v>1. Unidad de Reajuste.</v>
          </cell>
          <cell r="AH2184" t="str">
            <v>6. Partidas significativas de gastos</v>
          </cell>
        </row>
        <row r="2185">
          <cell r="D2185" t="str">
            <v>4370200000</v>
          </cell>
          <cell r="E2185" t="str">
            <v>4370200000</v>
          </cell>
          <cell r="F2185" t="str">
            <v>CM CTAS PASIVO (UF)</v>
          </cell>
          <cell r="G2185" t="str">
            <v>4370200000  CM CTAS PASIVO (UF)</v>
          </cell>
          <cell r="H2185" t="str">
            <v>Est. Resultado</v>
          </cell>
          <cell r="I2185" t="str">
            <v>Resultado</v>
          </cell>
          <cell r="J2185" t="str">
            <v>10. Otras Pérdidas</v>
          </cell>
          <cell r="K2185" t="str">
            <v>6. Resultado Unidad de Reajuste</v>
          </cell>
          <cell r="L2185" t="str">
            <v>NO OPER</v>
          </cell>
          <cell r="N2185" t="str">
            <v>GANANCIAS (PERDIDAS) ANTES DE IMPUESTOS</v>
          </cell>
          <cell r="O2185" t="str">
            <v>GANANCIA (PÉRDIDA) NETA</v>
          </cell>
          <cell r="P2185" t="str">
            <v>Resultado Ingresos y Gastos Integrales</v>
          </cell>
          <cell r="Q2185" t="str">
            <v>I. Ganancia (pérdida), antes de impuestos</v>
          </cell>
          <cell r="R2185" t="str">
            <v>b. Ganancia (pérdida)</v>
          </cell>
          <cell r="S2185" t="str">
            <v>12. Resultados por unidades de reajuste</v>
          </cell>
          <cell r="T2185" t="str">
            <v>1. Resultado Unidad de Reajuste</v>
          </cell>
          <cell r="Z2185" t="str">
            <v>I. Ganacia / Pérdida - No Oper</v>
          </cell>
          <cell r="AA2185" t="str">
            <v>6. Unidad de Reajuste</v>
          </cell>
          <cell r="AB2185" t="str">
            <v>9. Resultado Unidad de Reajuste</v>
          </cell>
          <cell r="AC2185" t="str">
            <v>I. Ganancia / Pérdida No Oper.</v>
          </cell>
          <cell r="AD2185" t="str">
            <v>6. Unidad de Reajuste</v>
          </cell>
          <cell r="AE2185" t="str">
            <v>1. Unidad de Reajuste.</v>
          </cell>
          <cell r="AH2185" t="str">
            <v>6. Partidas significativas de gastos</v>
          </cell>
        </row>
        <row r="2186">
          <cell r="D2186" t="str">
            <v>4370300000</v>
          </cell>
          <cell r="E2186" t="str">
            <v>4370300000</v>
          </cell>
          <cell r="F2186" t="str">
            <v>C.Monetaria Cta Ingresos</v>
          </cell>
          <cell r="G2186" t="str">
            <v>4370300000  C.Monetaria Cta Ingresos</v>
          </cell>
          <cell r="H2186" t="str">
            <v>Est. Resultado</v>
          </cell>
          <cell r="I2186" t="str">
            <v>Resultado</v>
          </cell>
          <cell r="J2186" t="str">
            <v>10. Otras Pérdidas</v>
          </cell>
          <cell r="K2186" t="str">
            <v>6. Resultado Unidad de Reajuste</v>
          </cell>
          <cell r="L2186" t="str">
            <v>NO OPER</v>
          </cell>
          <cell r="N2186" t="str">
            <v>GANANCIAS (PERDIDAS) ANTES DE IMPUESTOS</v>
          </cell>
          <cell r="O2186" t="str">
            <v>GANANCIA (PÉRDIDA) NETA</v>
          </cell>
          <cell r="P2186" t="str">
            <v>Resultado Ingresos y Gastos Integrales</v>
          </cell>
          <cell r="Q2186" t="str">
            <v>I. Ganancia (pérdida), antes de impuestos</v>
          </cell>
          <cell r="R2186" t="str">
            <v>b. Ganancia (pérdida)</v>
          </cell>
          <cell r="S2186" t="str">
            <v>12. Resultados por unidades de reajuste</v>
          </cell>
          <cell r="T2186" t="str">
            <v>1. Resultado Unidad de Reajuste</v>
          </cell>
          <cell r="Z2186" t="str">
            <v>I. Ganacia / Pérdida - No Oper</v>
          </cell>
          <cell r="AA2186" t="str">
            <v>6. Unidad de Reajuste</v>
          </cell>
          <cell r="AB2186" t="str">
            <v>9. Resultado Unidad de Reajuste</v>
          </cell>
          <cell r="AC2186" t="str">
            <v>I. Ganancia / Pérdida No Oper.</v>
          </cell>
          <cell r="AD2186" t="str">
            <v>6. Unidad de Reajuste</v>
          </cell>
          <cell r="AE2186" t="str">
            <v>1. Unidad de Reajuste.</v>
          </cell>
          <cell r="AH2186" t="str">
            <v>6. Partidas significativas de gastos</v>
          </cell>
        </row>
        <row r="2187">
          <cell r="D2187" t="str">
            <v>4370400000</v>
          </cell>
          <cell r="E2187" t="str">
            <v>4370400000</v>
          </cell>
          <cell r="F2187" t="str">
            <v>C.Monetaria Cta Activo Fijo</v>
          </cell>
          <cell r="G2187" t="str">
            <v>4370400000  C.Monetaria Cta Activo Fijo</v>
          </cell>
          <cell r="H2187" t="str">
            <v>Est. Resultado</v>
          </cell>
          <cell r="I2187" t="str">
            <v>Resultado</v>
          </cell>
          <cell r="J2187" t="str">
            <v>10. Otras Pérdidas</v>
          </cell>
          <cell r="K2187" t="str">
            <v>6. Resultado Unidad de Reajuste</v>
          </cell>
          <cell r="L2187" t="str">
            <v>NO OPER</v>
          </cell>
          <cell r="N2187" t="str">
            <v>GANANCIAS (PERDIDAS) ANTES DE IMPUESTOS</v>
          </cell>
          <cell r="O2187" t="str">
            <v>GANANCIA (PÉRDIDA) NETA</v>
          </cell>
          <cell r="P2187" t="str">
            <v>Resultado Ingresos y Gastos Integrales</v>
          </cell>
          <cell r="Q2187" t="str">
            <v>I. Ganancia (pérdida), antes de impuestos</v>
          </cell>
          <cell r="R2187" t="str">
            <v>b. Ganancia (pérdida)</v>
          </cell>
          <cell r="S2187" t="str">
            <v>12. Resultados por unidades de reajuste</v>
          </cell>
          <cell r="T2187" t="str">
            <v>1. Resultado Unidad de Reajuste</v>
          </cell>
          <cell r="Z2187" t="str">
            <v>I. Ganacia / Pérdida - No Oper</v>
          </cell>
          <cell r="AA2187" t="str">
            <v>6. Unidad de Reajuste</v>
          </cell>
          <cell r="AB2187" t="str">
            <v>9. Resultado Unidad de Reajuste</v>
          </cell>
          <cell r="AC2187" t="str">
            <v>I. Ganancia / Pérdida No Oper.</v>
          </cell>
          <cell r="AD2187" t="str">
            <v>6. Unidad de Reajuste</v>
          </cell>
          <cell r="AE2187" t="str">
            <v>1. Unidad de Reajuste.</v>
          </cell>
          <cell r="AH2187" t="str">
            <v>6. Partidas significativas de gastos</v>
          </cell>
        </row>
        <row r="2188">
          <cell r="D2188" t="str">
            <v>4370500000</v>
          </cell>
          <cell r="E2188" t="str">
            <v>4370500000</v>
          </cell>
          <cell r="F2188" t="str">
            <v>C.Monetaria Capital años ant.</v>
          </cell>
          <cell r="G2188" t="str">
            <v>4370500000  C.Monetaria Capital años ant.</v>
          </cell>
          <cell r="H2188" t="str">
            <v>Est. Resultado</v>
          </cell>
          <cell r="I2188" t="str">
            <v>Resultado</v>
          </cell>
          <cell r="J2188" t="str">
            <v>10. Otras Pérdidas</v>
          </cell>
          <cell r="K2188" t="str">
            <v>6. Resultado Unidad de Reajuste</v>
          </cell>
          <cell r="L2188" t="str">
            <v>NO OPER</v>
          </cell>
          <cell r="N2188" t="str">
            <v>GANANCIAS (PERDIDAS) ANTES DE IMPUESTOS</v>
          </cell>
          <cell r="O2188" t="str">
            <v>GANANCIA (PÉRDIDA) NETA</v>
          </cell>
          <cell r="P2188" t="str">
            <v>Resultado Ingresos y Gastos Integrales</v>
          </cell>
          <cell r="Q2188" t="str">
            <v>I. Ganancia (pérdida), antes de impuestos</v>
          </cell>
          <cell r="R2188" t="str">
            <v>b. Ganancia (pérdida)</v>
          </cell>
          <cell r="S2188" t="str">
            <v>12. Resultados por unidades de reajuste</v>
          </cell>
          <cell r="T2188" t="str">
            <v>1. Resultado Unidad de Reajuste</v>
          </cell>
          <cell r="Z2188" t="str">
            <v>I. Ganacia / Pérdida - No Oper</v>
          </cell>
          <cell r="AA2188" t="str">
            <v>6. Unidad de Reajuste</v>
          </cell>
          <cell r="AB2188" t="str">
            <v>9. Resultado Unidad de Reajuste</v>
          </cell>
          <cell r="AC2188" t="str">
            <v>I. Ganancia / Pérdida No Oper.</v>
          </cell>
          <cell r="AD2188" t="str">
            <v>6. Unidad de Reajuste</v>
          </cell>
          <cell r="AE2188" t="str">
            <v>1. Unidad de Reajuste.</v>
          </cell>
          <cell r="AH2188" t="str">
            <v>6. Partidas significativas de gastos</v>
          </cell>
        </row>
        <row r="2189">
          <cell r="D2189">
            <v>0</v>
          </cell>
          <cell r="G2189" t="str">
            <v/>
          </cell>
        </row>
        <row r="2190">
          <cell r="D2190">
            <v>0</v>
          </cell>
          <cell r="G2190" t="str">
            <v/>
          </cell>
        </row>
        <row r="2191">
          <cell r="D2191">
            <v>0</v>
          </cell>
          <cell r="G2191" t="str">
            <v/>
          </cell>
        </row>
        <row r="2192">
          <cell r="D2192" t="str">
            <v>Resultado Unidad de Reajuste</v>
          </cell>
          <cell r="E2192" t="str">
            <v>Resultado Unidad de Reajuste</v>
          </cell>
          <cell r="G2192" t="str">
            <v xml:space="preserve">Resultado Unidad de Reajuste  </v>
          </cell>
          <cell r="H2192" t="str">
            <v/>
          </cell>
          <cell r="I2192" t="str">
            <v/>
          </cell>
        </row>
        <row r="2193">
          <cell r="D2193" t="str">
            <v>OTRAS PERDIDAS</v>
          </cell>
          <cell r="E2193" t="str">
            <v>OTRAS PERDIDAS</v>
          </cell>
          <cell r="G2193" t="str">
            <v xml:space="preserve">OTRAS PERDIDAS  </v>
          </cell>
          <cell r="H2193" t="str">
            <v/>
          </cell>
          <cell r="I2193" t="str">
            <v/>
          </cell>
        </row>
        <row r="2194">
          <cell r="D2194" t="str">
            <v>GANANCIAS (PERDIDAS) ANTES DE IMPUESTOS</v>
          </cell>
          <cell r="E2194" t="str">
            <v>GANANCIAS (PERDIDAS) ANTES DE IMPUESTOS</v>
          </cell>
          <cell r="G2194" t="str">
            <v xml:space="preserve">GANANCIAS (PERDIDAS) ANTES DE IMPUESTOS  </v>
          </cell>
          <cell r="H2194" t="str">
            <v/>
          </cell>
          <cell r="I2194" t="str">
            <v/>
          </cell>
        </row>
        <row r="2195">
          <cell r="D2195" t="str">
            <v>4340100000</v>
          </cell>
          <cell r="E2195" t="str">
            <v>4340100000</v>
          </cell>
          <cell r="F2195" t="str">
            <v>IMP. L. 824 DE 1974</v>
          </cell>
          <cell r="G2195" t="str">
            <v>4340100000  IMP. L. 824 DE 1974</v>
          </cell>
          <cell r="H2195" t="str">
            <v>Est. Resultado</v>
          </cell>
          <cell r="I2195" t="str">
            <v>Resultado</v>
          </cell>
          <cell r="J2195" t="str">
            <v>11. Impuestos</v>
          </cell>
          <cell r="K2195" t="str">
            <v>1. Impuesto a la Renta</v>
          </cell>
          <cell r="L2195" t="str">
            <v>NO OPER</v>
          </cell>
          <cell r="O2195" t="str">
            <v>GANANCIA (PÉRDIDA) NETA</v>
          </cell>
          <cell r="P2195" t="str">
            <v>Resultado Ingresos y Gastos Integrales</v>
          </cell>
          <cell r="Q2195" t="str">
            <v>II. Gasto por impuestos</v>
          </cell>
          <cell r="R2195" t="str">
            <v>c. Impuestos</v>
          </cell>
          <cell r="S2195" t="str">
            <v>1. Gasto por impuestos a las ganancias</v>
          </cell>
          <cell r="T2195" t="str">
            <v>1. Impuesto a la Renta</v>
          </cell>
          <cell r="V2195" t="str">
            <v>II. Gastos</v>
          </cell>
          <cell r="W2195" t="str">
            <v>25. Transferencias Corrientes</v>
          </cell>
          <cell r="X2195" t="str">
            <v>34. Transferencias al Fisco</v>
          </cell>
          <cell r="Z2195" t="str">
            <v>II. Impuestos</v>
          </cell>
          <cell r="AA2195" t="str">
            <v>1. Impuesto a la Renta</v>
          </cell>
          <cell r="AC2195" t="str">
            <v>II. Impuestos</v>
          </cell>
          <cell r="AD2195" t="str">
            <v>1. Impuesto a la Renta</v>
          </cell>
          <cell r="AE2195" t="str">
            <v>1. Impuesto Renta</v>
          </cell>
          <cell r="AH2195" t="str">
            <v>8. Gasto (ingreso) sobre impuesto a la renta</v>
          </cell>
        </row>
        <row r="2196">
          <cell r="D2196">
            <v>0</v>
          </cell>
          <cell r="G2196" t="str">
            <v/>
          </cell>
        </row>
        <row r="2197">
          <cell r="D2197">
            <v>0</v>
          </cell>
          <cell r="G2197" t="str">
            <v/>
          </cell>
        </row>
        <row r="2198">
          <cell r="D2198">
            <v>0</v>
          </cell>
          <cell r="G2198" t="str">
            <v/>
          </cell>
        </row>
        <row r="2199">
          <cell r="D2199" t="str">
            <v>Impuesto a la Renta</v>
          </cell>
          <cell r="E2199" t="str">
            <v>Impuesto a la Renta</v>
          </cell>
          <cell r="G2199" t="str">
            <v xml:space="preserve">Impuesto a la Renta  </v>
          </cell>
          <cell r="H2199" t="str">
            <v/>
          </cell>
          <cell r="I2199" t="str">
            <v/>
          </cell>
          <cell r="R2199" t="str">
            <v/>
          </cell>
        </row>
        <row r="2200">
          <cell r="D2200" t="str">
            <v>4319999991</v>
          </cell>
          <cell r="E2200" t="str">
            <v>4319999991</v>
          </cell>
          <cell r="G2200" t="str">
            <v xml:space="preserve">4319999991  </v>
          </cell>
          <cell r="H2200" t="str">
            <v>Est. Resultado</v>
          </cell>
          <cell r="I2200" t="str">
            <v>Resultado</v>
          </cell>
          <cell r="J2200" t="str">
            <v>12, Interés minoritario</v>
          </cell>
          <cell r="K2200" t="str">
            <v>1. Interés Minoritario</v>
          </cell>
          <cell r="L2200" t="str">
            <v>NO OPER</v>
          </cell>
          <cell r="O2200" t="str">
            <v>GANANCIA (PÉRDIDA) NETA</v>
          </cell>
          <cell r="P2200" t="str">
            <v>Resultado Ingresos y Gastos Integrales</v>
          </cell>
          <cell r="Q2200" t="str">
            <v>III. Ganancia (pérdida), atribuible</v>
          </cell>
          <cell r="R2200" t="str">
            <v>d. Ganancia (pérdida), atribuible a</v>
          </cell>
          <cell r="S2200" t="str">
            <v>1. Ganancia (pérdida), atribuible a participaciones no controladoras</v>
          </cell>
          <cell r="T2200" t="str">
            <v>1. Interés Minoritario</v>
          </cell>
          <cell r="Z2200" t="str">
            <v>III. Interés minoritario</v>
          </cell>
          <cell r="AA2200" t="str">
            <v>1. Interés Minoritario</v>
          </cell>
          <cell r="AC2200" t="str">
            <v>III. Interés Minoritario</v>
          </cell>
          <cell r="AD2200" t="str">
            <v>1. Particip. No Controladora</v>
          </cell>
          <cell r="AE2200" t="str">
            <v>1. Interés Minoritario</v>
          </cell>
          <cell r="AH2200" t="str">
            <v>6. Partidas significativas de gastos</v>
          </cell>
        </row>
        <row r="2201">
          <cell r="D2201">
            <v>0</v>
          </cell>
          <cell r="G2201" t="str">
            <v/>
          </cell>
        </row>
        <row r="2202">
          <cell r="D2202">
            <v>0</v>
          </cell>
          <cell r="G2202" t="str">
            <v/>
          </cell>
        </row>
        <row r="2203">
          <cell r="D2203">
            <v>0</v>
          </cell>
          <cell r="G2203" t="str">
            <v/>
          </cell>
        </row>
        <row r="2204">
          <cell r="D2204" t="str">
            <v>GANANCIAS (PERDIDA) NETA</v>
          </cell>
          <cell r="E2204" t="str">
            <v>GANANCIAS (PERDIDA) NETA</v>
          </cell>
          <cell r="G2204" t="str">
            <v xml:space="preserve">GANANCIAS (PERDIDA) NETA  </v>
          </cell>
          <cell r="H2204" t="str">
            <v/>
          </cell>
          <cell r="I2204" t="str">
            <v/>
          </cell>
        </row>
        <row r="2205">
          <cell r="D2205" t="str">
            <v>Resultado Ingresos y Gastos Integrales</v>
          </cell>
          <cell r="E2205" t="str">
            <v>Resultado Ingresos y Gastos Integrales</v>
          </cell>
          <cell r="G2205" t="str">
            <v xml:space="preserve">Resultado Ingresos y Gastos Integrales  </v>
          </cell>
          <cell r="H2205" t="str">
            <v/>
          </cell>
          <cell r="I2205" t="str">
            <v/>
          </cell>
        </row>
        <row r="2206">
          <cell r="D2206">
            <v>0</v>
          </cell>
          <cell r="G2206" t="str">
            <v/>
          </cell>
          <cell r="H2206" t="str">
            <v/>
          </cell>
          <cell r="I2206" t="str">
            <v/>
          </cell>
          <cell r="Q2206" t="str">
            <v/>
          </cell>
        </row>
        <row r="2207">
          <cell r="D2207">
            <v>0</v>
          </cell>
          <cell r="G2207" t="str">
            <v/>
          </cell>
          <cell r="H2207" t="str">
            <v/>
          </cell>
          <cell r="Q2207" t="str">
            <v/>
          </cell>
        </row>
        <row r="2208">
          <cell r="D2208" t="str">
            <v>3-1-01-01-01</v>
          </cell>
          <cell r="E2208" t="str">
            <v>3-1-01-01-01</v>
          </cell>
          <cell r="F2208" t="str">
            <v>Ingresos Por Venta De Pasajes</v>
          </cell>
          <cell r="G2208" t="str">
            <v>3-1-01-01-01  Ingresos Por Venta De Pasajes</v>
          </cell>
          <cell r="H2208" t="str">
            <v>Est. Resultado</v>
          </cell>
          <cell r="I2208" t="str">
            <v>Resultado</v>
          </cell>
          <cell r="J2208" t="str">
            <v>1. Ingresos Ordinarios</v>
          </cell>
          <cell r="K2208" t="str">
            <v>1. Pasajes Cercanias</v>
          </cell>
          <cell r="L2208" t="str">
            <v>EBITDA</v>
          </cell>
          <cell r="M2208" t="str">
            <v>MARGEN BRUTO</v>
          </cell>
          <cell r="N2208" t="str">
            <v>GANANCIAS (PERDIDAS) ANTES DE IMPUESTOS</v>
          </cell>
          <cell r="O2208" t="str">
            <v>GANANCIA (PÉRDIDA) NETA</v>
          </cell>
          <cell r="P2208" t="str">
            <v>Resultado Ingresos y Gastos Integrales</v>
          </cell>
          <cell r="Q2208" t="str">
            <v>I. Ganancia (pérdida), antes de impuestos</v>
          </cell>
          <cell r="R2208" t="str">
            <v>a. Ganancia bruta</v>
          </cell>
          <cell r="S2208" t="str">
            <v>1. Ingresos de actividades ordinarias</v>
          </cell>
          <cell r="T2208" t="str">
            <v>1. Pasajes Cercanias</v>
          </cell>
          <cell r="V2208" t="str">
            <v>I. Ingresos</v>
          </cell>
          <cell r="W2208" t="str">
            <v>1. Ingresos de Operación</v>
          </cell>
          <cell r="Z2208" t="str">
            <v>I. Ingresos Ordinarios</v>
          </cell>
          <cell r="AA2208" t="str">
            <v>1. Pasajes Cercanias</v>
          </cell>
          <cell r="AC2208" t="str">
            <v>I. Ingresos</v>
          </cell>
          <cell r="AD2208" t="str">
            <v>1. Pasajeros</v>
          </cell>
          <cell r="AE2208" t="str">
            <v>1. Pasajes Cercanias</v>
          </cell>
          <cell r="AH2208" t="str">
            <v>1. Ingresos de las actividades ordinarias procedentes de clientes externos</v>
          </cell>
        </row>
        <row r="2209">
          <cell r="D2209" t="str">
            <v>3-1-01-01-02</v>
          </cell>
          <cell r="E2209" t="str">
            <v>3-1-01-01-02</v>
          </cell>
          <cell r="F2209" t="str">
            <v>Ingresos Por Venta De Tarjetas</v>
          </cell>
          <cell r="G2209" t="str">
            <v>3-1-01-01-02  Ingresos Por Venta De Tarjetas</v>
          </cell>
          <cell r="H2209" t="str">
            <v>Est. Resultado</v>
          </cell>
          <cell r="I2209" t="str">
            <v>Resultado</v>
          </cell>
          <cell r="J2209" t="str">
            <v>1. Ingresos Ordinarios</v>
          </cell>
          <cell r="K2209" t="str">
            <v>1. Pasajes Cercanias</v>
          </cell>
          <cell r="L2209" t="str">
            <v>EBITDA</v>
          </cell>
          <cell r="M2209" t="str">
            <v>MARGEN BRUTO</v>
          </cell>
          <cell r="N2209" t="str">
            <v>GANANCIAS (PERDIDAS) ANTES DE IMPUESTOS</v>
          </cell>
          <cell r="O2209" t="str">
            <v>GANANCIA (PÉRDIDA) NETA</v>
          </cell>
          <cell r="P2209" t="str">
            <v>Resultado Ingresos y Gastos Integrales</v>
          </cell>
          <cell r="Q2209" t="str">
            <v>I. Ganancia (pérdida), antes de impuestos</v>
          </cell>
          <cell r="R2209" t="str">
            <v>a. Ganancia bruta</v>
          </cell>
          <cell r="S2209" t="str">
            <v>1. Ingresos de actividades ordinarias</v>
          </cell>
          <cell r="T2209" t="str">
            <v>1. Pasajes Cercanias</v>
          </cell>
          <cell r="V2209" t="str">
            <v>I. Ingresos</v>
          </cell>
          <cell r="W2209" t="str">
            <v>1. Ingresos de Operación</v>
          </cell>
          <cell r="Z2209" t="str">
            <v>I. Ingresos Ordinarios</v>
          </cell>
          <cell r="AA2209" t="str">
            <v>1. Pasajes Cercanias</v>
          </cell>
          <cell r="AC2209" t="str">
            <v>I. Ingresos</v>
          </cell>
          <cell r="AD2209" t="str">
            <v>1. Pasajeros</v>
          </cell>
          <cell r="AE2209" t="str">
            <v>1. Pasajes Cercanias</v>
          </cell>
          <cell r="AH2209" t="str">
            <v>1. Ingresos de las actividades ordinarias procedentes de clientes externos</v>
          </cell>
        </row>
        <row r="2210">
          <cell r="D2210">
            <v>0</v>
          </cell>
          <cell r="G2210" t="str">
            <v/>
          </cell>
          <cell r="H2210" t="str">
            <v>Est. Resultado</v>
          </cell>
          <cell r="I2210" t="str">
            <v>Resultado</v>
          </cell>
          <cell r="J2210" t="str">
            <v>1. Ingresos Ordinarios</v>
          </cell>
          <cell r="K2210" t="str">
            <v>1. Pasajes Cercanias</v>
          </cell>
          <cell r="L2210" t="str">
            <v>EBITDA</v>
          </cell>
          <cell r="M2210" t="str">
            <v>MARGEN BRUTO</v>
          </cell>
          <cell r="N2210" t="str">
            <v>GANANCIAS (PERDIDAS) ANTES DE IMPUESTOS</v>
          </cell>
          <cell r="O2210" t="str">
            <v>GANANCIA (PÉRDIDA) NETA</v>
          </cell>
          <cell r="P2210" t="str">
            <v>Resultado Ingresos y Gastos Integrales</v>
          </cell>
          <cell r="Q2210" t="str">
            <v>I. Ganancia (pérdida), antes de impuestos</v>
          </cell>
          <cell r="R2210" t="str">
            <v>a. Ganancia bruta</v>
          </cell>
          <cell r="S2210" t="str">
            <v>1. Ingresos de actividades ordinarias</v>
          </cell>
          <cell r="T2210" t="str">
            <v>1. Pasajes Cercanias</v>
          </cell>
          <cell r="V2210" t="str">
            <v>I. Ingresos</v>
          </cell>
          <cell r="W2210" t="str">
            <v>1. Ingresos de Operación</v>
          </cell>
          <cell r="Z2210" t="str">
            <v>I. Ingresos Ordinarios</v>
          </cell>
          <cell r="AA2210" t="str">
            <v>1. Pasajes Cercanias</v>
          </cell>
          <cell r="AC2210" t="str">
            <v>I. Ingresos</v>
          </cell>
          <cell r="AD2210" t="str">
            <v>1. Pasajeros</v>
          </cell>
          <cell r="AE2210" t="str">
            <v>1. Pasajes Cercanias</v>
          </cell>
          <cell r="AH2210" t="str">
            <v>1. Ingresos de las actividades ordinarias procedentes de clientes externos</v>
          </cell>
        </row>
        <row r="2211">
          <cell r="D2211">
            <v>0</v>
          </cell>
          <cell r="G2211" t="str">
            <v/>
          </cell>
          <cell r="H2211" t="str">
            <v>Est. Resultado</v>
          </cell>
          <cell r="I2211" t="str">
            <v>Resultado</v>
          </cell>
          <cell r="J2211" t="str">
            <v>1. Ingresos Ordinarios</v>
          </cell>
          <cell r="K2211" t="str">
            <v>1. Pasajes Cercanias</v>
          </cell>
          <cell r="L2211" t="str">
            <v>EBITDA</v>
          </cell>
          <cell r="M2211" t="str">
            <v>MARGEN BRUTO</v>
          </cell>
          <cell r="N2211" t="str">
            <v>GANANCIAS (PERDIDAS) ANTES DE IMPUESTOS</v>
          </cell>
          <cell r="O2211" t="str">
            <v>GANANCIA (PÉRDIDA) NETA</v>
          </cell>
          <cell r="P2211" t="str">
            <v>Resultado Ingresos y Gastos Integrales</v>
          </cell>
          <cell r="Q2211" t="str">
            <v>I. Ganancia (pérdida), antes de impuestos</v>
          </cell>
          <cell r="R2211" t="str">
            <v>a. Ganancia bruta</v>
          </cell>
          <cell r="S2211" t="str">
            <v>1. Ingresos de actividades ordinarias</v>
          </cell>
          <cell r="T2211" t="str">
            <v>1. Pasajes Cercanias</v>
          </cell>
          <cell r="V2211" t="str">
            <v>I. Ingresos</v>
          </cell>
          <cell r="W2211" t="str">
            <v>1. Ingresos de Operación</v>
          </cell>
          <cell r="Z2211" t="str">
            <v>I. Ingresos Ordinarios</v>
          </cell>
          <cell r="AA2211" t="str">
            <v>1. Pasajes Cercanias</v>
          </cell>
          <cell r="AC2211" t="str">
            <v>I. Ingresos</v>
          </cell>
          <cell r="AD2211" t="str">
            <v>1. Pasajeros</v>
          </cell>
          <cell r="AE2211" t="str">
            <v>1. Pasajes Cercanias</v>
          </cell>
          <cell r="AH2211" t="str">
            <v>1. Ingresos de las actividades ordinarias procedentes de clientes externos</v>
          </cell>
        </row>
        <row r="2212">
          <cell r="D2212">
            <v>0</v>
          </cell>
          <cell r="G2212" t="str">
            <v/>
          </cell>
          <cell r="H2212" t="str">
            <v>Est. Resultado</v>
          </cell>
          <cell r="I2212" t="str">
            <v>Resultado</v>
          </cell>
          <cell r="J2212" t="str">
            <v>1. Ingresos Ordinarios</v>
          </cell>
          <cell r="K2212" t="str">
            <v>1. Pasajes Cercanias</v>
          </cell>
          <cell r="L2212" t="str">
            <v>EBITDA</v>
          </cell>
          <cell r="M2212" t="str">
            <v>MARGEN BRUTO</v>
          </cell>
          <cell r="N2212" t="str">
            <v>GANANCIAS (PERDIDAS) ANTES DE IMPUESTOS</v>
          </cell>
          <cell r="O2212" t="str">
            <v>GANANCIA (PÉRDIDA) NETA</v>
          </cell>
          <cell r="P2212" t="str">
            <v>Resultado Ingresos y Gastos Integrales</v>
          </cell>
          <cell r="Q2212" t="str">
            <v>I. Ganancia (pérdida), antes de impuestos</v>
          </cell>
          <cell r="R2212" t="str">
            <v>a. Ganancia bruta</v>
          </cell>
          <cell r="S2212" t="str">
            <v>1. Ingresos de actividades ordinarias</v>
          </cell>
          <cell r="T2212" t="str">
            <v>1. Pasajes Cercanias</v>
          </cell>
          <cell r="V2212" t="str">
            <v>I. Ingresos</v>
          </cell>
          <cell r="W2212" t="str">
            <v>1. Ingresos de Operación</v>
          </cell>
          <cell r="Z2212" t="str">
            <v>I. Ingresos Ordinarios</v>
          </cell>
          <cell r="AA2212" t="str">
            <v>1. Pasajes Cercanias</v>
          </cell>
          <cell r="AC2212" t="str">
            <v>I. Ingresos</v>
          </cell>
          <cell r="AD2212" t="str">
            <v>1. Pasajeros</v>
          </cell>
          <cell r="AE2212" t="str">
            <v>1. Pasajes Cercanias</v>
          </cell>
          <cell r="AH2212" t="str">
            <v>1. Ingresos de las actividades ordinarias procedentes de clientes externos</v>
          </cell>
        </row>
        <row r="2213">
          <cell r="D2213" t="str">
            <v>Pasajes Cercanias</v>
          </cell>
          <cell r="E2213" t="str">
            <v>Pasajes Cercanias</v>
          </cell>
          <cell r="F2213" t="str">
            <v/>
          </cell>
          <cell r="G2213" t="str">
            <v xml:space="preserve">Pasajes Cercanias  </v>
          </cell>
          <cell r="Q2213">
            <v>0</v>
          </cell>
          <cell r="R2213" t="str">
            <v/>
          </cell>
        </row>
        <row r="2214">
          <cell r="D2214">
            <v>0</v>
          </cell>
          <cell r="F2214" t="str">
            <v/>
          </cell>
          <cell r="G2214" t="str">
            <v/>
          </cell>
          <cell r="Q2214">
            <v>0</v>
          </cell>
          <cell r="R2214" t="str">
            <v/>
          </cell>
        </row>
        <row r="2215">
          <cell r="D2215">
            <v>0</v>
          </cell>
          <cell r="F2215" t="str">
            <v/>
          </cell>
          <cell r="G2215" t="str">
            <v/>
          </cell>
          <cell r="Q2215">
            <v>0</v>
          </cell>
          <cell r="R2215" t="str">
            <v/>
          </cell>
          <cell r="AH2215" t="str">
            <v>1. Ingresos de las actividades ordinarias procedentes de clientes externos</v>
          </cell>
        </row>
        <row r="2216">
          <cell r="D2216" t="str">
            <v>Pasajes Largo Recorrido</v>
          </cell>
          <cell r="E2216" t="str">
            <v>Pasajes Largo Recorrido</v>
          </cell>
          <cell r="F2216" t="str">
            <v/>
          </cell>
          <cell r="G2216" t="str">
            <v xml:space="preserve">Pasajes Largo Recorrido  </v>
          </cell>
          <cell r="H2216" t="str">
            <v>Est. Resultado</v>
          </cell>
          <cell r="I2216" t="str">
            <v>Resultado</v>
          </cell>
          <cell r="Q2216">
            <v>0</v>
          </cell>
          <cell r="R2216" t="str">
            <v/>
          </cell>
        </row>
        <row r="2217">
          <cell r="D2217">
            <v>0</v>
          </cell>
          <cell r="F2217" t="str">
            <v/>
          </cell>
          <cell r="G2217" t="str">
            <v/>
          </cell>
          <cell r="Q2217">
            <v>0</v>
          </cell>
          <cell r="R2217" t="str">
            <v/>
          </cell>
        </row>
        <row r="2218">
          <cell r="D2218">
            <v>0</v>
          </cell>
          <cell r="F2218" t="str">
            <v/>
          </cell>
          <cell r="G2218" t="str">
            <v/>
          </cell>
          <cell r="Q2218">
            <v>0</v>
          </cell>
          <cell r="R2218" t="str">
            <v/>
          </cell>
          <cell r="AH2218" t="str">
            <v>1. Ingresos de las actividades ordinarias procedentes de clientes externos</v>
          </cell>
        </row>
        <row r="2219">
          <cell r="D2219" t="str">
            <v>Ingresos Operadores</v>
          </cell>
          <cell r="E2219" t="str">
            <v>Ingresos Operadores</v>
          </cell>
          <cell r="F2219" t="str">
            <v/>
          </cell>
          <cell r="G2219" t="str">
            <v xml:space="preserve">Ingresos Operadores  </v>
          </cell>
          <cell r="H2219" t="str">
            <v>Est. Resultado</v>
          </cell>
          <cell r="I2219" t="str">
            <v>Resultado</v>
          </cell>
          <cell r="Q2219">
            <v>0</v>
          </cell>
          <cell r="R2219" t="str">
            <v/>
          </cell>
        </row>
        <row r="2220">
          <cell r="D2220">
            <v>0</v>
          </cell>
          <cell r="F2220" t="str">
            <v/>
          </cell>
          <cell r="G2220" t="str">
            <v/>
          </cell>
          <cell r="Q2220">
            <v>0</v>
          </cell>
          <cell r="R2220" t="str">
            <v/>
          </cell>
        </row>
        <row r="2221">
          <cell r="D2221">
            <v>0</v>
          </cell>
          <cell r="F2221" t="str">
            <v/>
          </cell>
          <cell r="G2221" t="str">
            <v/>
          </cell>
          <cell r="Q2221">
            <v>0</v>
          </cell>
          <cell r="R2221" t="str">
            <v/>
          </cell>
          <cell r="AH2221" t="str">
            <v>1. Ingresos de las actividades ordinarias procedentes de clientes externos</v>
          </cell>
        </row>
        <row r="2222">
          <cell r="D2222" t="str">
            <v>Ingresos Atraviesos</v>
          </cell>
          <cell r="E2222" t="str">
            <v>Ingresos Atraviesos</v>
          </cell>
          <cell r="F2222" t="str">
            <v/>
          </cell>
          <cell r="G2222" t="str">
            <v xml:space="preserve">Ingresos Atraviesos  </v>
          </cell>
          <cell r="H2222" t="str">
            <v>Est. Resultado</v>
          </cell>
          <cell r="I2222" t="str">
            <v>Resultado</v>
          </cell>
          <cell r="Q2222">
            <v>0</v>
          </cell>
          <cell r="R2222" t="str">
            <v/>
          </cell>
        </row>
        <row r="2223">
          <cell r="D2223">
            <v>0</v>
          </cell>
          <cell r="F2223" t="str">
            <v/>
          </cell>
          <cell r="G2223" t="str">
            <v/>
          </cell>
          <cell r="Q2223">
            <v>0</v>
          </cell>
          <cell r="R2223" t="str">
            <v/>
          </cell>
        </row>
        <row r="2224">
          <cell r="D2224">
            <v>0</v>
          </cell>
          <cell r="F2224" t="str">
            <v/>
          </cell>
          <cell r="G2224" t="str">
            <v/>
          </cell>
          <cell r="Q2224">
            <v>0</v>
          </cell>
          <cell r="R2224" t="str">
            <v/>
          </cell>
          <cell r="AH2224" t="str">
            <v>1. Ingresos de las actividades ordinarias procedentes de clientes externos</v>
          </cell>
        </row>
        <row r="2225">
          <cell r="D2225" t="str">
            <v>Venta de Servicios y Otros</v>
          </cell>
          <cell r="E2225" t="str">
            <v>Venta de Servicios y Otros</v>
          </cell>
          <cell r="F2225" t="str">
            <v/>
          </cell>
          <cell r="G2225" t="str">
            <v xml:space="preserve">Venta de Servicios y Otros  </v>
          </cell>
          <cell r="H2225" t="str">
            <v>Est. Resultado</v>
          </cell>
          <cell r="I2225" t="str">
            <v>Resultado</v>
          </cell>
          <cell r="Q2225">
            <v>0</v>
          </cell>
          <cell r="R2225" t="str">
            <v/>
          </cell>
        </row>
        <row r="2226">
          <cell r="D2226">
            <v>0</v>
          </cell>
        </row>
        <row r="2227">
          <cell r="D2227" t="str">
            <v>3-1-02-01-01</v>
          </cell>
          <cell r="E2227" t="str">
            <v>3-1-02-01-01</v>
          </cell>
          <cell r="F2227" t="str">
            <v>Ingresos Por Subsidio Al Transporte</v>
          </cell>
          <cell r="G2227" t="str">
            <v>3-1-02-01-01  Ingresos Por Subsidio Al Transporte</v>
          </cell>
          <cell r="H2227" t="str">
            <v>Est. Resultado</v>
          </cell>
          <cell r="I2227" t="str">
            <v>Resultado</v>
          </cell>
          <cell r="J2227" t="str">
            <v>1. Ingresos Ordinarios</v>
          </cell>
          <cell r="K2227" t="str">
            <v>1. Pasajes Cercanias</v>
          </cell>
          <cell r="L2227" t="str">
            <v>EBITDA</v>
          </cell>
          <cell r="M2227" t="str">
            <v>MARGEN BRUTO</v>
          </cell>
          <cell r="N2227" t="str">
            <v>GANANCIAS (PERDIDAS) ANTES DE IMPUESTOS</v>
          </cell>
          <cell r="O2227" t="str">
            <v>GANANCIA (PÉRDIDA) NETA</v>
          </cell>
          <cell r="P2227" t="str">
            <v>Resultado Ingresos y Gastos Integrales</v>
          </cell>
          <cell r="Q2227" t="str">
            <v>I. Ganancia (pérdida), antes de impuestos</v>
          </cell>
          <cell r="R2227" t="str">
            <v>a. Ganancia bruta</v>
          </cell>
          <cell r="S2227" t="str">
            <v>1. Ingresos de actividades ordinarias</v>
          </cell>
          <cell r="T2227" t="str">
            <v>7. Transferencias Sector Público</v>
          </cell>
          <cell r="V2227" t="str">
            <v>I. Ingresos</v>
          </cell>
          <cell r="W2227" t="str">
            <v>6. Transferencias</v>
          </cell>
          <cell r="X2227" t="str">
            <v>62. Del Sector Público</v>
          </cell>
          <cell r="Z2227" t="str">
            <v>I. Ingresos Ordinarios</v>
          </cell>
          <cell r="AA2227" t="str">
            <v>8. Aporte Sector Público</v>
          </cell>
          <cell r="AC2227" t="str">
            <v>I. Ingresos</v>
          </cell>
          <cell r="AD2227" t="str">
            <v>1. Pasajeros</v>
          </cell>
          <cell r="AE2227" t="str">
            <v>8. Aporte Sector Público</v>
          </cell>
          <cell r="AH2227" t="str">
            <v>1. Ingresos de las actividades ordinarias procedentes de clientes externos</v>
          </cell>
        </row>
        <row r="2228">
          <cell r="D2228">
            <v>0</v>
          </cell>
          <cell r="J2228" t="str">
            <v>1. Ingresos Ordinarios</v>
          </cell>
          <cell r="K2228" t="str">
            <v>1. Pasajes Cercanias</v>
          </cell>
          <cell r="L2228" t="str">
            <v>EBITDA</v>
          </cell>
          <cell r="M2228" t="str">
            <v>MARGEN BRUTO</v>
          </cell>
          <cell r="N2228" t="str">
            <v>GANANCIAS (PERDIDAS) ANTES DE IMPUESTOS</v>
          </cell>
          <cell r="O2228" t="str">
            <v>GANANCIA (PÉRDIDA) NETA</v>
          </cell>
          <cell r="P2228" t="str">
            <v>Resultado Ingresos y Gastos Integrales</v>
          </cell>
          <cell r="Q2228" t="str">
            <v>I. Ganancia (pérdida), antes de impuestos</v>
          </cell>
          <cell r="R2228" t="str">
            <v>a. Ganancia bruta</v>
          </cell>
          <cell r="S2228" t="str">
            <v>1. Ingresos de actividades ordinarias</v>
          </cell>
          <cell r="T2228" t="str">
            <v>7. Transferencias Sector Público</v>
          </cell>
          <cell r="V2228" t="str">
            <v>I. Ingresos</v>
          </cell>
          <cell r="W2228" t="str">
            <v>6. Transferencias</v>
          </cell>
          <cell r="X2228" t="str">
            <v>62. Del Sector Público</v>
          </cell>
          <cell r="Z2228" t="str">
            <v>I. Ingresos Ordinarios</v>
          </cell>
          <cell r="AA2228" t="str">
            <v>8. Aporte Sector Público</v>
          </cell>
          <cell r="AC2228" t="str">
            <v>I. Ingresos</v>
          </cell>
          <cell r="AD2228" t="str">
            <v>1. Pasajeros</v>
          </cell>
          <cell r="AE2228" t="str">
            <v>8. Aporte Sector Público</v>
          </cell>
          <cell r="AH2228" t="str">
            <v>1. Ingresos de las actividades ordinarias procedentes de clientes externos</v>
          </cell>
        </row>
        <row r="2229">
          <cell r="D2229">
            <v>0</v>
          </cell>
        </row>
        <row r="2230">
          <cell r="D2230" t="str">
            <v>Transferencias Sector Publico</v>
          </cell>
          <cell r="E2230" t="str">
            <v>Transferencias Sector Publico</v>
          </cell>
          <cell r="F2230" t="str">
            <v/>
          </cell>
          <cell r="G2230" t="str">
            <v xml:space="preserve">Transferencias Sector Publico  </v>
          </cell>
          <cell r="H2230" t="str">
            <v>Est. Resultado</v>
          </cell>
          <cell r="I2230" t="str">
            <v>Resultado</v>
          </cell>
          <cell r="Q2230">
            <v>0</v>
          </cell>
          <cell r="R2230" t="str">
            <v/>
          </cell>
        </row>
        <row r="2231">
          <cell r="D2231">
            <v>0</v>
          </cell>
          <cell r="F2231" t="str">
            <v/>
          </cell>
          <cell r="G2231" t="str">
            <v/>
          </cell>
          <cell r="Q2231">
            <v>0</v>
          </cell>
          <cell r="R2231" t="str">
            <v/>
          </cell>
        </row>
        <row r="2232">
          <cell r="D2232">
            <v>0</v>
          </cell>
          <cell r="F2232" t="str">
            <v/>
          </cell>
          <cell r="G2232" t="str">
            <v/>
          </cell>
          <cell r="Q2232">
            <v>0</v>
          </cell>
          <cell r="R2232" t="str">
            <v/>
          </cell>
          <cell r="AH2232" t="str">
            <v>2. Ingresos de las actividades ordinarias entre segmentos</v>
          </cell>
        </row>
        <row r="2233">
          <cell r="D2233" t="str">
            <v>Ing Rec Filial Explotacion</v>
          </cell>
          <cell r="E2233" t="str">
            <v>Ing Rec Filial Explotacion</v>
          </cell>
          <cell r="F2233" t="str">
            <v/>
          </cell>
          <cell r="G2233" t="str">
            <v xml:space="preserve">Ing Rec Filial Explotacion  </v>
          </cell>
          <cell r="Q2233">
            <v>0</v>
          </cell>
          <cell r="R2233" t="str">
            <v/>
          </cell>
        </row>
        <row r="2234">
          <cell r="D2234" t="str">
            <v>INGRESOS ORDINARIOS</v>
          </cell>
          <cell r="E2234" t="str">
            <v>INGRESOS ORDINARIOS</v>
          </cell>
          <cell r="G2234" t="str">
            <v xml:space="preserve">INGRESOS ORDINARIOS  </v>
          </cell>
          <cell r="Q2234">
            <v>0</v>
          </cell>
          <cell r="R2234" t="str">
            <v/>
          </cell>
        </row>
        <row r="2235">
          <cell r="D2235" t="str">
            <v>4-1-01-01-01E</v>
          </cell>
          <cell r="E2235" t="str">
            <v>4-1-01-01-01</v>
          </cell>
          <cell r="F2235" t="str">
            <v>Sueldo Base Operaciones</v>
          </cell>
          <cell r="G2235" t="str">
            <v>4-1-01-01-01  Sueldo Base Operaciones</v>
          </cell>
          <cell r="H2235" t="str">
            <v>Est. Resultado</v>
          </cell>
          <cell r="I2235" t="str">
            <v>Resultado</v>
          </cell>
          <cell r="J2235" t="str">
            <v>2. Costo Personal Explotacion</v>
          </cell>
          <cell r="K2235" t="str">
            <v>1. Remuneraciones Fijas</v>
          </cell>
          <cell r="L2235" t="str">
            <v>EBITDA</v>
          </cell>
          <cell r="M2235" t="str">
            <v>MARGEN BRUTO</v>
          </cell>
          <cell r="N2235" t="str">
            <v>GANANCIAS (PERDIDAS) ANTES DE IMPUESTOS</v>
          </cell>
          <cell r="O2235" t="str">
            <v>GANANCIA (PÉRDIDA) NETA</v>
          </cell>
          <cell r="P2235" t="str">
            <v>Resultado Ingresos y Gastos Integrales</v>
          </cell>
          <cell r="Q2235" t="str">
            <v>I. Ganancia (pérdida), antes de impuestos</v>
          </cell>
          <cell r="R2235" t="str">
            <v>a. Ganancia bruta</v>
          </cell>
          <cell r="S2235" t="str">
            <v>2. Costo de ventas</v>
          </cell>
          <cell r="T2235" t="str">
            <v>7. Remuneraciones Fijas</v>
          </cell>
          <cell r="V2235" t="str">
            <v>II. Gastos</v>
          </cell>
          <cell r="W2235" t="str">
            <v>21. Gastos en Personal</v>
          </cell>
          <cell r="X2235" t="str">
            <v>2. Remuneraciones Variables</v>
          </cell>
          <cell r="Z2235" t="str">
            <v>II. Costo Ventas</v>
          </cell>
          <cell r="AA2235" t="str">
            <v>7. Personal Explotación</v>
          </cell>
          <cell r="AB2235" t="str">
            <v>1. Remu Fijas E</v>
          </cell>
          <cell r="AC2235" t="str">
            <v>II. Costo de Explotación</v>
          </cell>
          <cell r="AD2235" t="str">
            <v>1. Personal Explotación</v>
          </cell>
          <cell r="AE2235" t="str">
            <v>1. Remuneraciones Exp.</v>
          </cell>
          <cell r="AH2235" t="str">
            <v>6. Partidas significativas de gastos</v>
          </cell>
        </row>
        <row r="2236">
          <cell r="D2236" t="str">
            <v>4-1-01-01-03E</v>
          </cell>
          <cell r="E2236" t="str">
            <v>4-1-01-01-03</v>
          </cell>
          <cell r="F2236" t="str">
            <v>Colación Operaciones</v>
          </cell>
          <cell r="G2236" t="str">
            <v>4-1-01-01-03  Colación Operaciones</v>
          </cell>
          <cell r="H2236" t="str">
            <v>Est. Resultado</v>
          </cell>
          <cell r="I2236" t="str">
            <v>Resultado</v>
          </cell>
          <cell r="J2236" t="str">
            <v>2. Costo Personal Explotacion</v>
          </cell>
          <cell r="K2236" t="str">
            <v>1. Remuneraciones Fijas</v>
          </cell>
          <cell r="L2236" t="str">
            <v>EBITDA</v>
          </cell>
          <cell r="M2236" t="str">
            <v>MARGEN BRUTO</v>
          </cell>
          <cell r="N2236" t="str">
            <v>GANANCIAS (PERDIDAS) ANTES DE IMPUESTOS</v>
          </cell>
          <cell r="O2236" t="str">
            <v>GANANCIA (PÉRDIDA) NETA</v>
          </cell>
          <cell r="P2236" t="str">
            <v>Resultado Ingresos y Gastos Integrales</v>
          </cell>
          <cell r="Q2236" t="str">
            <v>I. Ganancia (pérdida), antes de impuestos</v>
          </cell>
          <cell r="R2236" t="str">
            <v>a. Ganancia bruta</v>
          </cell>
          <cell r="S2236" t="str">
            <v>2. Costo de ventas</v>
          </cell>
          <cell r="T2236" t="str">
            <v>7. Remuneraciones Fijas</v>
          </cell>
          <cell r="V2236" t="str">
            <v>II. Gastos</v>
          </cell>
          <cell r="W2236" t="str">
            <v>21. Gastos en Personal</v>
          </cell>
          <cell r="X2236" t="str">
            <v>2. Remuneraciones Variables</v>
          </cell>
          <cell r="Z2236" t="str">
            <v>II. Costo Ventas</v>
          </cell>
          <cell r="AA2236" t="str">
            <v>7. Personal Explotación</v>
          </cell>
          <cell r="AB2236" t="str">
            <v>1. Remu Fijas E</v>
          </cell>
          <cell r="AC2236" t="str">
            <v>II. Costo de Explotación</v>
          </cell>
          <cell r="AD2236" t="str">
            <v>1. Personal Explotación</v>
          </cell>
          <cell r="AE2236" t="str">
            <v>1. Remuneraciones Exp.</v>
          </cell>
          <cell r="AH2236" t="str">
            <v>6. Partidas significativas de gastos</v>
          </cell>
        </row>
        <row r="2237">
          <cell r="D2237" t="str">
            <v>4-1-01-01-02E</v>
          </cell>
          <cell r="E2237" t="str">
            <v>4-1-01-01-02</v>
          </cell>
          <cell r="F2237" t="str">
            <v>Movilización Operaciones</v>
          </cell>
          <cell r="G2237" t="str">
            <v>4-1-01-01-02  Movilización Operaciones</v>
          </cell>
          <cell r="H2237" t="str">
            <v>Est. Resultado</v>
          </cell>
          <cell r="I2237" t="str">
            <v>Resultado</v>
          </cell>
          <cell r="J2237" t="str">
            <v>2. Costo Personal Explotacion</v>
          </cell>
          <cell r="K2237" t="str">
            <v>1. Remuneraciones Fijas</v>
          </cell>
          <cell r="L2237" t="str">
            <v>EBITDA</v>
          </cell>
          <cell r="M2237" t="str">
            <v>MARGEN BRUTO</v>
          </cell>
          <cell r="N2237" t="str">
            <v>GANANCIAS (PERDIDAS) ANTES DE IMPUESTOS</v>
          </cell>
          <cell r="O2237" t="str">
            <v>GANANCIA (PÉRDIDA) NETA</v>
          </cell>
          <cell r="P2237" t="str">
            <v>Resultado Ingresos y Gastos Integrales</v>
          </cell>
          <cell r="Q2237" t="str">
            <v>I. Ganancia (pérdida), antes de impuestos</v>
          </cell>
          <cell r="R2237" t="str">
            <v>a. Ganancia bruta</v>
          </cell>
          <cell r="S2237" t="str">
            <v>2. Costo de ventas</v>
          </cell>
          <cell r="T2237" t="str">
            <v>7. Remuneraciones Fijas</v>
          </cell>
          <cell r="V2237" t="str">
            <v>II. Gastos</v>
          </cell>
          <cell r="W2237" t="str">
            <v>21. Gastos en Personal</v>
          </cell>
          <cell r="X2237" t="str">
            <v>2. Remuneraciones Variables</v>
          </cell>
          <cell r="Z2237" t="str">
            <v>II. Costo Ventas</v>
          </cell>
          <cell r="AA2237" t="str">
            <v>7. Personal Explotación</v>
          </cell>
          <cell r="AB2237" t="str">
            <v>1. Remu Fijas E</v>
          </cell>
          <cell r="AC2237" t="str">
            <v>II. Costo de Explotación</v>
          </cell>
          <cell r="AD2237" t="str">
            <v>1. Personal Explotación</v>
          </cell>
          <cell r="AE2237" t="str">
            <v>1. Remuneraciones Exp.</v>
          </cell>
          <cell r="AH2237" t="str">
            <v>6. Partidas significativas de gastos</v>
          </cell>
        </row>
        <row r="2238">
          <cell r="D2238" t="str">
            <v>4-1-01-04-01E</v>
          </cell>
          <cell r="E2238" t="str">
            <v>4-1-01-04-01</v>
          </cell>
          <cell r="F2238" t="str">
            <v>Seguro Cesantía Operaciones</v>
          </cell>
          <cell r="G2238" t="str">
            <v>4-1-01-04-01  Seguro Cesantía Operaciones</v>
          </cell>
          <cell r="H2238" t="str">
            <v>Est. Resultado</v>
          </cell>
          <cell r="I2238" t="str">
            <v>Resultado</v>
          </cell>
          <cell r="J2238" t="str">
            <v>2. Costo Personal Explotacion</v>
          </cell>
          <cell r="K2238" t="str">
            <v>1. Remuneraciones Fijas</v>
          </cell>
          <cell r="L2238" t="str">
            <v>EBITDA</v>
          </cell>
          <cell r="M2238" t="str">
            <v>MARGEN BRUTO</v>
          </cell>
          <cell r="N2238" t="str">
            <v>GANANCIAS (PERDIDAS) ANTES DE IMPUESTOS</v>
          </cell>
          <cell r="O2238" t="str">
            <v>GANANCIA (PÉRDIDA) NETA</v>
          </cell>
          <cell r="P2238" t="str">
            <v>Resultado Ingresos y Gastos Integrales</v>
          </cell>
          <cell r="Q2238" t="str">
            <v>I. Ganancia (pérdida), antes de impuestos</v>
          </cell>
          <cell r="R2238" t="str">
            <v>a. Ganancia bruta</v>
          </cell>
          <cell r="S2238" t="str">
            <v>2. Costo de ventas</v>
          </cell>
          <cell r="T2238" t="str">
            <v>7. Remuneraciones Fijas</v>
          </cell>
          <cell r="V2238" t="str">
            <v>II. Gastos</v>
          </cell>
          <cell r="W2238" t="str">
            <v>21. Gastos en Personal</v>
          </cell>
          <cell r="X2238" t="str">
            <v>2. Remuneraciones Variables</v>
          </cell>
          <cell r="Z2238" t="str">
            <v>II. Costo Ventas</v>
          </cell>
          <cell r="AA2238" t="str">
            <v>7. Personal Explotación</v>
          </cell>
          <cell r="AB2238" t="str">
            <v>1. Remu Fijas E</v>
          </cell>
          <cell r="AC2238" t="str">
            <v>II. Costo de Explotación</v>
          </cell>
          <cell r="AD2238" t="str">
            <v>1. Personal Explotación</v>
          </cell>
          <cell r="AE2238" t="str">
            <v>1. Remuneraciones Exp.</v>
          </cell>
          <cell r="AH2238" t="str">
            <v>6. Partidas significativas de gastos</v>
          </cell>
        </row>
        <row r="2239">
          <cell r="D2239" t="str">
            <v>4-1-01-04-02E</v>
          </cell>
          <cell r="E2239" t="str">
            <v>4-1-01-04-02</v>
          </cell>
          <cell r="F2239" t="str">
            <v>Aporte Mutual Operaciones</v>
          </cell>
          <cell r="G2239" t="str">
            <v>4-1-01-04-02  Aporte Mutual Operaciones</v>
          </cell>
          <cell r="H2239" t="str">
            <v>Est. Resultado</v>
          </cell>
          <cell r="I2239" t="str">
            <v>Resultado</v>
          </cell>
          <cell r="J2239" t="str">
            <v>2. Costo Personal Explotacion</v>
          </cell>
          <cell r="K2239" t="str">
            <v>1. Remuneraciones Fijas</v>
          </cell>
          <cell r="L2239" t="str">
            <v>EBITDA</v>
          </cell>
          <cell r="M2239" t="str">
            <v>MARGEN BRUTO</v>
          </cell>
          <cell r="N2239" t="str">
            <v>GANANCIAS (PERDIDAS) ANTES DE IMPUESTOS</v>
          </cell>
          <cell r="O2239" t="str">
            <v>GANANCIA (PÉRDIDA) NETA</v>
          </cell>
          <cell r="P2239" t="str">
            <v>Resultado Ingresos y Gastos Integrales</v>
          </cell>
          <cell r="Q2239" t="str">
            <v>I. Ganancia (pérdida), antes de impuestos</v>
          </cell>
          <cell r="R2239" t="str">
            <v>a. Ganancia bruta</v>
          </cell>
          <cell r="S2239" t="str">
            <v>2. Costo de ventas</v>
          </cell>
          <cell r="T2239" t="str">
            <v>7. Remuneraciones Fijas</v>
          </cell>
          <cell r="V2239" t="str">
            <v>II. Gastos</v>
          </cell>
          <cell r="W2239" t="str">
            <v>21. Gastos en Personal</v>
          </cell>
          <cell r="X2239" t="str">
            <v>2. Remuneraciones Variables</v>
          </cell>
          <cell r="Z2239" t="str">
            <v>II. Costo Ventas</v>
          </cell>
          <cell r="AA2239" t="str">
            <v>7. Personal Explotación</v>
          </cell>
          <cell r="AB2239" t="str">
            <v>1. Remu Fijas E</v>
          </cell>
          <cell r="AC2239" t="str">
            <v>II. Costo de Explotación</v>
          </cell>
          <cell r="AD2239" t="str">
            <v>1. Personal Explotación</v>
          </cell>
          <cell r="AE2239" t="str">
            <v>1. Remuneraciones Exp.</v>
          </cell>
          <cell r="AH2239" t="str">
            <v>6. Partidas significativas de gastos</v>
          </cell>
        </row>
        <row r="2240">
          <cell r="D2240" t="str">
            <v>4-1-01-04-31E</v>
          </cell>
          <cell r="E2240" t="str">
            <v>4-1-01-04-31</v>
          </cell>
          <cell r="F2240" t="str">
            <v>Seguro De Invalidez Y Sobreviv. Operacio</v>
          </cell>
          <cell r="G2240" t="str">
            <v>4-1-01-04-31  Seguro De Invalidez Y Sobreviv. Operacio</v>
          </cell>
          <cell r="H2240" t="str">
            <v>Est. Resultado</v>
          </cell>
          <cell r="I2240" t="str">
            <v>Resultado</v>
          </cell>
          <cell r="J2240" t="str">
            <v>2. Costo Personal Explotacion</v>
          </cell>
          <cell r="K2240" t="str">
            <v>1. Remuneraciones Fijas</v>
          </cell>
          <cell r="L2240" t="str">
            <v>EBITDA</v>
          </cell>
          <cell r="M2240" t="str">
            <v>MARGEN BRUTO</v>
          </cell>
          <cell r="N2240" t="str">
            <v>GANANCIAS (PERDIDAS) ANTES DE IMPUESTOS</v>
          </cell>
          <cell r="O2240" t="str">
            <v>GANANCIA (PÉRDIDA) NETA</v>
          </cell>
          <cell r="P2240" t="str">
            <v>Resultado Ingresos y Gastos Integrales</v>
          </cell>
          <cell r="Q2240" t="str">
            <v>I. Ganancia (pérdida), antes de impuestos</v>
          </cell>
          <cell r="R2240" t="str">
            <v>a. Ganancia bruta</v>
          </cell>
          <cell r="S2240" t="str">
            <v>2. Costo de ventas</v>
          </cell>
          <cell r="T2240" t="str">
            <v>7. Remuneraciones Fijas</v>
          </cell>
          <cell r="V2240" t="str">
            <v>II. Gastos</v>
          </cell>
          <cell r="W2240" t="str">
            <v>21. Gastos en Personal</v>
          </cell>
          <cell r="X2240" t="str">
            <v>2. Remuneraciones Variables</v>
          </cell>
          <cell r="Z2240" t="str">
            <v>II. Costo Ventas</v>
          </cell>
          <cell r="AA2240" t="str">
            <v>7. Personal Explotación</v>
          </cell>
          <cell r="AB2240" t="str">
            <v>1. Remu Fijas E</v>
          </cell>
          <cell r="AC2240" t="str">
            <v>II. Costo de Explotación</v>
          </cell>
          <cell r="AD2240" t="str">
            <v>1. Personal Explotación</v>
          </cell>
          <cell r="AE2240" t="str">
            <v>1. Remuneraciones Exp.</v>
          </cell>
          <cell r="AH2240" t="str">
            <v>6. Partidas significativas de gastos</v>
          </cell>
        </row>
        <row r="2241">
          <cell r="D2241" t="str">
            <v>4-1-01-03-01E</v>
          </cell>
          <cell r="E2241" t="str">
            <v>4-1-01-03-01</v>
          </cell>
          <cell r="F2241" t="str">
            <v>Aguinaldo operaciones</v>
          </cell>
          <cell r="G2241" t="str">
            <v>4-1-01-03-01  Aguinaldo operaciones</v>
          </cell>
          <cell r="H2241" t="str">
            <v>Est. Resultado</v>
          </cell>
          <cell r="I2241" t="str">
            <v>Resultado</v>
          </cell>
          <cell r="J2241" t="str">
            <v>2. Costo Personal Explotacion</v>
          </cell>
          <cell r="K2241" t="str">
            <v>1. Remuneraciones Fijas</v>
          </cell>
          <cell r="L2241" t="str">
            <v>EBITDA</v>
          </cell>
          <cell r="M2241" t="str">
            <v>MARGEN BRUTO</v>
          </cell>
          <cell r="N2241" t="str">
            <v>GANANCIAS (PERDIDAS) ANTES DE IMPUESTOS</v>
          </cell>
          <cell r="O2241" t="str">
            <v>GANANCIA (PÉRDIDA) NETA</v>
          </cell>
          <cell r="P2241" t="str">
            <v>Resultado Ingresos y Gastos Integrales</v>
          </cell>
          <cell r="Q2241" t="str">
            <v>I. Ganancia (pérdida), antes de impuestos</v>
          </cell>
          <cell r="R2241" t="str">
            <v>a. Ganancia bruta</v>
          </cell>
          <cell r="S2241" t="str">
            <v>2. Costo de ventas</v>
          </cell>
          <cell r="T2241" t="str">
            <v>7. Remuneraciones Fijas</v>
          </cell>
          <cell r="V2241" t="str">
            <v>II. Gastos</v>
          </cell>
          <cell r="W2241" t="str">
            <v>21. Gastos en Personal</v>
          </cell>
          <cell r="X2241" t="str">
            <v>2. Remuneraciones Variables</v>
          </cell>
          <cell r="Z2241" t="str">
            <v>II. Costo Ventas</v>
          </cell>
          <cell r="AA2241" t="str">
            <v>7. Personal Explotación</v>
          </cell>
          <cell r="AB2241" t="str">
            <v>1. Remu Fijas E</v>
          </cell>
          <cell r="AC2241" t="str">
            <v>II. Costo de Explotación</v>
          </cell>
          <cell r="AD2241" t="str">
            <v>1. Personal Explotación</v>
          </cell>
          <cell r="AE2241" t="str">
            <v>1. Remuneraciones Exp.</v>
          </cell>
          <cell r="AH2241" t="str">
            <v>6. Partidas significativas de gastos</v>
          </cell>
        </row>
        <row r="2242">
          <cell r="D2242">
            <v>0</v>
          </cell>
          <cell r="G2242" t="str">
            <v/>
          </cell>
          <cell r="H2242" t="str">
            <v>Est. Resultado</v>
          </cell>
          <cell r="I2242" t="str">
            <v>Resultado</v>
          </cell>
          <cell r="J2242" t="str">
            <v>2. Costo Personal Explotacion</v>
          </cell>
          <cell r="K2242" t="str">
            <v>1. Remuneraciones Fijas</v>
          </cell>
          <cell r="L2242" t="str">
            <v>EBITDA</v>
          </cell>
          <cell r="M2242" t="str">
            <v>MARGEN BRUTO</v>
          </cell>
          <cell r="N2242" t="str">
            <v>GANANCIAS (PERDIDAS) ANTES DE IMPUESTOS</v>
          </cell>
          <cell r="O2242" t="str">
            <v>GANANCIA (PÉRDIDA) NETA</v>
          </cell>
          <cell r="P2242" t="str">
            <v>Resultado Ingresos y Gastos Integrales</v>
          </cell>
          <cell r="Q2242" t="str">
            <v>I. Ganancia (pérdida), antes de impuestos</v>
          </cell>
          <cell r="R2242" t="str">
            <v>a. Ganancia bruta</v>
          </cell>
          <cell r="S2242" t="str">
            <v>2. Costo de ventas</v>
          </cell>
          <cell r="T2242" t="str">
            <v>7. Remuneraciones Fijas</v>
          </cell>
          <cell r="V2242" t="str">
            <v>II. Gastos</v>
          </cell>
          <cell r="W2242" t="str">
            <v>21. Gastos en Personal</v>
          </cell>
          <cell r="X2242" t="str">
            <v>2. Remuneraciones Variables</v>
          </cell>
          <cell r="Z2242" t="str">
            <v>II. Costo Ventas</v>
          </cell>
          <cell r="AA2242" t="str">
            <v>7. Personal Explotación</v>
          </cell>
          <cell r="AB2242" t="str">
            <v>1. Remu Fijas E</v>
          </cell>
          <cell r="AC2242" t="str">
            <v>II. Costo de Explotación</v>
          </cell>
          <cell r="AD2242" t="str">
            <v>1. Personal Explotación</v>
          </cell>
          <cell r="AE2242" t="str">
            <v>1. Remuneraciones Exp.</v>
          </cell>
          <cell r="AH2242" t="str">
            <v>6. Partidas significativas de gastos</v>
          </cell>
        </row>
        <row r="2243">
          <cell r="D2243">
            <v>0</v>
          </cell>
          <cell r="G2243" t="str">
            <v/>
          </cell>
          <cell r="H2243" t="str">
            <v>Est. Resultado</v>
          </cell>
          <cell r="I2243" t="str">
            <v>Resultado</v>
          </cell>
          <cell r="J2243" t="str">
            <v>2. Costo Personal Explotacion</v>
          </cell>
          <cell r="K2243" t="str">
            <v>1. Remuneraciones Fijas</v>
          </cell>
          <cell r="L2243" t="str">
            <v>EBITDA</v>
          </cell>
          <cell r="M2243" t="str">
            <v>MARGEN BRUTO</v>
          </cell>
          <cell r="N2243" t="str">
            <v>GANANCIAS (PERDIDAS) ANTES DE IMPUESTOS</v>
          </cell>
          <cell r="O2243" t="str">
            <v>GANANCIA (PÉRDIDA) NETA</v>
          </cell>
          <cell r="P2243" t="str">
            <v>Resultado Ingresos y Gastos Integrales</v>
          </cell>
          <cell r="Q2243" t="str">
            <v>I. Ganancia (pérdida), antes de impuestos</v>
          </cell>
          <cell r="R2243" t="str">
            <v>a. Ganancia bruta</v>
          </cell>
          <cell r="S2243" t="str">
            <v>2. Costo de ventas</v>
          </cell>
          <cell r="T2243" t="str">
            <v>7. Remuneraciones Fijas</v>
          </cell>
          <cell r="V2243" t="str">
            <v>II. Gastos</v>
          </cell>
          <cell r="W2243" t="str">
            <v>21. Gastos en Personal</v>
          </cell>
          <cell r="X2243" t="str">
            <v>2. Remuneraciones Variables</v>
          </cell>
          <cell r="Z2243" t="str">
            <v>II. Costo Ventas</v>
          </cell>
          <cell r="AA2243" t="str">
            <v>7. Personal Explotación</v>
          </cell>
          <cell r="AB2243" t="str">
            <v>1. Remu Fijas E</v>
          </cell>
          <cell r="AC2243" t="str">
            <v>II. Costo de Explotación</v>
          </cell>
          <cell r="AD2243" t="str">
            <v>1. Personal Explotación</v>
          </cell>
          <cell r="AE2243" t="str">
            <v>1. Remuneraciones Exp.</v>
          </cell>
          <cell r="AH2243" t="str">
            <v>6. Partidas significativas de gastos</v>
          </cell>
        </row>
        <row r="2244">
          <cell r="D2244" t="str">
            <v>Remuneraciones FijasE</v>
          </cell>
          <cell r="E2244" t="str">
            <v>Remuneraciones Fijas</v>
          </cell>
          <cell r="G2244" t="str">
            <v xml:space="preserve">Remuneraciones Fijas  </v>
          </cell>
          <cell r="J2244" t="str">
            <v/>
          </cell>
          <cell r="L2244" t="str">
            <v/>
          </cell>
          <cell r="M2244" t="str">
            <v/>
          </cell>
          <cell r="N2244" t="str">
            <v/>
          </cell>
          <cell r="O2244" t="str">
            <v/>
          </cell>
          <cell r="P2244" t="str">
            <v/>
          </cell>
          <cell r="Q2244">
            <v>0</v>
          </cell>
          <cell r="R2244" t="str">
            <v/>
          </cell>
        </row>
        <row r="2245">
          <cell r="D2245" t="str">
            <v>4-1-01-03-03E</v>
          </cell>
          <cell r="E2245" t="str">
            <v>4-1-01-03-03</v>
          </cell>
          <cell r="F2245" t="str">
            <v>Bonos Operaciones</v>
          </cell>
          <cell r="G2245" t="str">
            <v>4-1-01-03-03  Bonos Operaciones</v>
          </cell>
          <cell r="H2245" t="str">
            <v>Est. Resultado</v>
          </cell>
          <cell r="I2245" t="str">
            <v>Resultado</v>
          </cell>
          <cell r="J2245" t="str">
            <v>2. Costo Personal Explotacion</v>
          </cell>
          <cell r="K2245" t="str">
            <v>2. Remuneraciones Variables</v>
          </cell>
          <cell r="L2245" t="str">
            <v>EBITDA</v>
          </cell>
          <cell r="M2245" t="str">
            <v>MARGEN BRUTO</v>
          </cell>
          <cell r="N2245" t="str">
            <v>GANANCIAS (PERDIDAS) ANTES DE IMPUESTOS</v>
          </cell>
          <cell r="O2245" t="str">
            <v>GANANCIA (PÉRDIDA) NETA</v>
          </cell>
          <cell r="P2245" t="str">
            <v>Resultado Ingresos y Gastos Integrales</v>
          </cell>
          <cell r="Q2245" t="str">
            <v>I. Ganancia (pérdida), antes de impuestos</v>
          </cell>
          <cell r="R2245" t="str">
            <v>a. Ganancia bruta</v>
          </cell>
          <cell r="S2245" t="str">
            <v>2. Costo de ventas</v>
          </cell>
          <cell r="T2245" t="str">
            <v>8. Remuneraciones Variables</v>
          </cell>
          <cell r="V2245" t="str">
            <v>II. Gastos</v>
          </cell>
          <cell r="W2245" t="str">
            <v>21. Gastos en Personal</v>
          </cell>
          <cell r="X2245" t="str">
            <v>2. Remuneraciones Variables</v>
          </cell>
          <cell r="Z2245" t="str">
            <v>II. Costo Ventas</v>
          </cell>
          <cell r="AA2245" t="str">
            <v>7. Personal Explotación</v>
          </cell>
          <cell r="AB2245" t="str">
            <v>2. Remu Variable E</v>
          </cell>
          <cell r="AC2245" t="str">
            <v>II. Costo de Explotación</v>
          </cell>
          <cell r="AD2245" t="str">
            <v>1. Personal Explotación</v>
          </cell>
          <cell r="AE2245" t="str">
            <v>1. Remuneraciones Exp.</v>
          </cell>
          <cell r="AH2245" t="str">
            <v>6. Partidas significativas de gastos</v>
          </cell>
        </row>
        <row r="2246">
          <cell r="D2246" t="str">
            <v>4-1-01-01-04E</v>
          </cell>
          <cell r="E2246" t="str">
            <v>4-1-01-01-04</v>
          </cell>
          <cell r="F2246" t="str">
            <v>Gratificación Operaciones</v>
          </cell>
          <cell r="G2246" t="str">
            <v>4-1-01-01-04  Gratificación Operaciones</v>
          </cell>
          <cell r="H2246" t="str">
            <v>Est. Resultado</v>
          </cell>
          <cell r="I2246" t="str">
            <v>Resultado</v>
          </cell>
          <cell r="J2246" t="str">
            <v>2. Costo Personal Explotacion</v>
          </cell>
          <cell r="K2246" t="str">
            <v>2. Remuneraciones Variables</v>
          </cell>
          <cell r="L2246" t="str">
            <v>EBITDA</v>
          </cell>
          <cell r="M2246" t="str">
            <v>MARGEN BRUTO</v>
          </cell>
          <cell r="N2246" t="str">
            <v>GANANCIAS (PERDIDAS) ANTES DE IMPUESTOS</v>
          </cell>
          <cell r="O2246" t="str">
            <v>GANANCIA (PÉRDIDA) NETA</v>
          </cell>
          <cell r="P2246" t="str">
            <v>Resultado Ingresos y Gastos Integrales</v>
          </cell>
          <cell r="Q2246" t="str">
            <v>I. Ganancia (pérdida), antes de impuestos</v>
          </cell>
          <cell r="R2246" t="str">
            <v>a. Ganancia bruta</v>
          </cell>
          <cell r="S2246" t="str">
            <v>2. Costo de ventas</v>
          </cell>
          <cell r="T2246" t="str">
            <v>8. Remuneraciones Variables</v>
          </cell>
          <cell r="V2246" t="str">
            <v>II. Gastos</v>
          </cell>
          <cell r="W2246" t="str">
            <v>21. Gastos en Personal</v>
          </cell>
          <cell r="X2246" t="str">
            <v>2. Remuneraciones Variables</v>
          </cell>
          <cell r="Z2246" t="str">
            <v>II. Costo Ventas</v>
          </cell>
          <cell r="AA2246" t="str">
            <v>7. Personal Explotación</v>
          </cell>
          <cell r="AB2246" t="str">
            <v>2. Remu Variable E</v>
          </cell>
          <cell r="AC2246" t="str">
            <v>II. Costo de Explotación</v>
          </cell>
          <cell r="AD2246" t="str">
            <v>1. Personal Explotación</v>
          </cell>
          <cell r="AE2246" t="str">
            <v>1. Remuneraciones Exp.</v>
          </cell>
          <cell r="AH2246" t="str">
            <v>6. Partidas significativas de gastos</v>
          </cell>
        </row>
        <row r="2247">
          <cell r="D2247" t="str">
            <v>4-1-01-02-01E</v>
          </cell>
          <cell r="E2247" t="str">
            <v>4-1-01-02-01</v>
          </cell>
          <cell r="F2247" t="str">
            <v>Sobretiempo Operaciones</v>
          </cell>
          <cell r="G2247" t="str">
            <v>4-1-01-02-01  Sobretiempo Operaciones</v>
          </cell>
          <cell r="H2247" t="str">
            <v>Est. Resultado</v>
          </cell>
          <cell r="I2247" t="str">
            <v>Resultado</v>
          </cell>
          <cell r="J2247" t="str">
            <v>2. Costo Personal Explotacion</v>
          </cell>
          <cell r="K2247" t="str">
            <v>2. Remuneraciones Variables</v>
          </cell>
          <cell r="L2247" t="str">
            <v>EBITDA</v>
          </cell>
          <cell r="M2247" t="str">
            <v>MARGEN BRUTO</v>
          </cell>
          <cell r="N2247" t="str">
            <v>GANANCIAS (PERDIDAS) ANTES DE IMPUESTOS</v>
          </cell>
          <cell r="O2247" t="str">
            <v>GANANCIA (PÉRDIDA) NETA</v>
          </cell>
          <cell r="P2247" t="str">
            <v>Resultado Ingresos y Gastos Integrales</v>
          </cell>
          <cell r="Q2247" t="str">
            <v>I. Ganancia (pérdida), antes de impuestos</v>
          </cell>
          <cell r="R2247" t="str">
            <v>a. Ganancia bruta</v>
          </cell>
          <cell r="S2247" t="str">
            <v>2. Costo de ventas</v>
          </cell>
          <cell r="T2247" t="str">
            <v>8. Remuneraciones Variables</v>
          </cell>
          <cell r="V2247" t="str">
            <v>II. Gastos</v>
          </cell>
          <cell r="W2247" t="str">
            <v>21. Gastos en Personal</v>
          </cell>
          <cell r="X2247" t="str">
            <v>2. Remuneraciones Variables</v>
          </cell>
          <cell r="Z2247" t="str">
            <v>II. Costo Ventas</v>
          </cell>
          <cell r="AA2247" t="str">
            <v>7. Personal Explotación</v>
          </cell>
          <cell r="AB2247" t="str">
            <v>2. Remu Variable E</v>
          </cell>
          <cell r="AC2247" t="str">
            <v>II. Costo de Explotación</v>
          </cell>
          <cell r="AD2247" t="str">
            <v>1. Personal Explotación</v>
          </cell>
          <cell r="AE2247" t="str">
            <v>1. Remuneraciones Exp.</v>
          </cell>
          <cell r="AH2247" t="str">
            <v>6. Partidas significativas de gastos</v>
          </cell>
        </row>
        <row r="2248">
          <cell r="D2248">
            <v>0</v>
          </cell>
          <cell r="G2248" t="str">
            <v/>
          </cell>
          <cell r="H2248" t="str">
            <v>Est. Resultado</v>
          </cell>
          <cell r="I2248" t="str">
            <v>Resultado</v>
          </cell>
          <cell r="J2248" t="str">
            <v>2. Costo Personal Explotacion</v>
          </cell>
          <cell r="K2248" t="str">
            <v>2. Remuneraciones Variables</v>
          </cell>
          <cell r="L2248" t="str">
            <v>EBITDA</v>
          </cell>
          <cell r="M2248" t="str">
            <v>MARGEN BRUTO</v>
          </cell>
          <cell r="N2248" t="str">
            <v>GANANCIAS (PERDIDAS) ANTES DE IMPUESTOS</v>
          </cell>
          <cell r="O2248" t="str">
            <v>GANANCIA (PÉRDIDA) NETA</v>
          </cell>
          <cell r="P2248" t="str">
            <v>Resultado Ingresos y Gastos Integrales</v>
          </cell>
          <cell r="Q2248" t="str">
            <v>I. Ganancia (pérdida), antes de impuestos</v>
          </cell>
          <cell r="R2248" t="str">
            <v>a. Ganancia bruta</v>
          </cell>
          <cell r="S2248" t="str">
            <v>2. Costo de ventas</v>
          </cell>
          <cell r="T2248" t="str">
            <v>8. Remuneraciones Variables</v>
          </cell>
          <cell r="V2248" t="str">
            <v>II. Gastos</v>
          </cell>
          <cell r="W2248" t="str">
            <v>21. Gastos en Personal</v>
          </cell>
          <cell r="X2248" t="str">
            <v>2. Remuneraciones Variables</v>
          </cell>
          <cell r="Z2248" t="str">
            <v>II. Costo Ventas</v>
          </cell>
          <cell r="AA2248" t="str">
            <v>7. Personal Explotación</v>
          </cell>
          <cell r="AB2248" t="str">
            <v>2. Remu Variable E</v>
          </cell>
          <cell r="AC2248" t="str">
            <v>II. Costo de Explotación</v>
          </cell>
          <cell r="AD2248" t="str">
            <v>1. Personal Explotación</v>
          </cell>
          <cell r="AE2248" t="str">
            <v>1. Remuneraciones Exp.</v>
          </cell>
          <cell r="AH2248" t="str">
            <v>6. Partidas significativas de gastos</v>
          </cell>
        </row>
        <row r="2249">
          <cell r="D2249">
            <v>0</v>
          </cell>
          <cell r="G2249" t="str">
            <v/>
          </cell>
          <cell r="H2249" t="str">
            <v>Est. Resultado</v>
          </cell>
          <cell r="I2249" t="str">
            <v>Resultado</v>
          </cell>
          <cell r="J2249" t="str">
            <v>2. Costo Personal Explotacion</v>
          </cell>
          <cell r="K2249" t="str">
            <v>2. Remuneraciones Variables</v>
          </cell>
          <cell r="L2249" t="str">
            <v>EBITDA</v>
          </cell>
          <cell r="M2249" t="str">
            <v>MARGEN BRUTO</v>
          </cell>
          <cell r="N2249" t="str">
            <v>GANANCIAS (PERDIDAS) ANTES DE IMPUESTOS</v>
          </cell>
          <cell r="O2249" t="str">
            <v>GANANCIA (PÉRDIDA) NETA</v>
          </cell>
          <cell r="P2249" t="str">
            <v>Resultado Ingresos y Gastos Integrales</v>
          </cell>
          <cell r="Q2249" t="str">
            <v>I. Ganancia (pérdida), antes de impuestos</v>
          </cell>
          <cell r="R2249" t="str">
            <v>a. Ganancia bruta</v>
          </cell>
          <cell r="S2249" t="str">
            <v>2. Costo de ventas</v>
          </cell>
          <cell r="T2249" t="str">
            <v>8. Remuneraciones Variables</v>
          </cell>
          <cell r="V2249" t="str">
            <v>II. Gastos</v>
          </cell>
          <cell r="W2249" t="str">
            <v>21. Gastos en Personal</v>
          </cell>
          <cell r="X2249" t="str">
            <v>2. Remuneraciones Variables</v>
          </cell>
          <cell r="Z2249" t="str">
            <v>II. Costo Ventas</v>
          </cell>
          <cell r="AA2249" t="str">
            <v>7. Personal Explotación</v>
          </cell>
          <cell r="AB2249" t="str">
            <v>2. Remu Variable E</v>
          </cell>
          <cell r="AC2249" t="str">
            <v>II. Costo de Explotación</v>
          </cell>
          <cell r="AD2249" t="str">
            <v>1. Personal Explotación</v>
          </cell>
          <cell r="AE2249" t="str">
            <v>1. Remuneraciones Exp.</v>
          </cell>
          <cell r="AH2249" t="str">
            <v>6. Partidas significativas de gastos</v>
          </cell>
        </row>
        <row r="2250">
          <cell r="D2250" t="str">
            <v>Remuneraciones Variables</v>
          </cell>
          <cell r="E2250" t="str">
            <v>Remuneraciones Variables</v>
          </cell>
          <cell r="G2250" t="str">
            <v xml:space="preserve">Remuneraciones Variables  </v>
          </cell>
          <cell r="Q2250">
            <v>0</v>
          </cell>
          <cell r="R2250" t="str">
            <v/>
          </cell>
          <cell r="T2250" t="str">
            <v/>
          </cell>
        </row>
        <row r="2251">
          <cell r="D2251" t="str">
            <v>4-1-01-02-03E</v>
          </cell>
          <cell r="E2251" t="str">
            <v>4-1-01-02-03</v>
          </cell>
          <cell r="F2251" t="str">
            <v>Indemnizaciones por años de serv.</v>
          </cell>
          <cell r="G2251" t="str">
            <v>4-1-01-02-03  Indemnizaciones por años de serv.</v>
          </cell>
          <cell r="H2251" t="str">
            <v>Est. Resultado</v>
          </cell>
          <cell r="I2251" t="str">
            <v>Resultado</v>
          </cell>
          <cell r="J2251" t="str">
            <v>2. Costo Personal Explotacion</v>
          </cell>
          <cell r="K2251" t="str">
            <v>3. Provisiones e indemnizaciones</v>
          </cell>
          <cell r="L2251" t="str">
            <v>EBITDA</v>
          </cell>
          <cell r="M2251" t="str">
            <v>MARGEN BRUTO</v>
          </cell>
          <cell r="N2251" t="str">
            <v>GANANCIAS (PERDIDAS) ANTES DE IMPUESTOS</v>
          </cell>
          <cell r="O2251" t="str">
            <v>GANANCIA (PÉRDIDA) NETA</v>
          </cell>
          <cell r="P2251" t="str">
            <v>Resultado Ingresos y Gastos Integrales</v>
          </cell>
          <cell r="Q2251" t="str">
            <v>I. Ganancia (pérdida), antes de impuestos</v>
          </cell>
          <cell r="R2251" t="str">
            <v>a. Ganancia bruta</v>
          </cell>
          <cell r="S2251" t="str">
            <v>2. Costo de ventas</v>
          </cell>
          <cell r="T2251" t="str">
            <v>9. Provisiones e indemnizaciones</v>
          </cell>
          <cell r="Z2251" t="str">
            <v>II. Costo Ventas</v>
          </cell>
          <cell r="AA2251" t="str">
            <v>7. Personal Explotación</v>
          </cell>
          <cell r="AB2251" t="str">
            <v>2. Remu Variable E</v>
          </cell>
          <cell r="AC2251" t="str">
            <v>II. Costo de Explotación</v>
          </cell>
          <cell r="AD2251" t="str">
            <v>1. Personal Explotación</v>
          </cell>
          <cell r="AE2251" t="str">
            <v>1. Remuneraciones Exp.</v>
          </cell>
          <cell r="AH2251" t="str">
            <v>6. Partidas significativas de gastos</v>
          </cell>
        </row>
        <row r="2252">
          <cell r="D2252">
            <v>0</v>
          </cell>
          <cell r="G2252" t="str">
            <v/>
          </cell>
          <cell r="H2252" t="str">
            <v>Est. Resultado</v>
          </cell>
          <cell r="I2252" t="str">
            <v>Resultado</v>
          </cell>
          <cell r="J2252" t="str">
            <v>2. Costo Personal Explotacion</v>
          </cell>
          <cell r="K2252" t="str">
            <v>3. Provisiones e indemnizaciones</v>
          </cell>
          <cell r="L2252" t="str">
            <v>EBITDA</v>
          </cell>
          <cell r="M2252" t="str">
            <v>MARGEN BRUTO</v>
          </cell>
          <cell r="N2252" t="str">
            <v>GANANCIAS (PERDIDAS) ANTES DE IMPUESTOS</v>
          </cell>
          <cell r="O2252" t="str">
            <v>GANANCIA (PÉRDIDA) NETA</v>
          </cell>
          <cell r="P2252" t="str">
            <v>Resultado Ingresos y Gastos Integrales</v>
          </cell>
          <cell r="Q2252" t="str">
            <v>I. Ganancia (pérdida), antes de impuestos</v>
          </cell>
          <cell r="R2252" t="str">
            <v>a. Ganancia bruta</v>
          </cell>
          <cell r="S2252" t="str">
            <v>2. Costo de ventas</v>
          </cell>
          <cell r="T2252" t="str">
            <v>9. Provisiones e indemnizaciones</v>
          </cell>
          <cell r="Z2252" t="str">
            <v>II. Costo Ventas</v>
          </cell>
          <cell r="AA2252" t="str">
            <v>7. Personal Explotación</v>
          </cell>
          <cell r="AB2252" t="str">
            <v>2. Remu Variable E</v>
          </cell>
          <cell r="AC2252" t="str">
            <v>II. Costo de Explotación</v>
          </cell>
          <cell r="AD2252" t="str">
            <v>1. Personal Explotación</v>
          </cell>
          <cell r="AE2252" t="str">
            <v>1. Remuneraciones Exp.</v>
          </cell>
          <cell r="AH2252" t="str">
            <v>6. Partidas significativas de gastos</v>
          </cell>
        </row>
        <row r="2253">
          <cell r="D2253">
            <v>0</v>
          </cell>
          <cell r="F2253" t="str">
            <v/>
          </cell>
          <cell r="G2253" t="str">
            <v/>
          </cell>
          <cell r="H2253" t="str">
            <v>Est. Resultado</v>
          </cell>
          <cell r="I2253" t="str">
            <v>Resultado</v>
          </cell>
          <cell r="J2253" t="str">
            <v>2. Costo Personal Explotacion</v>
          </cell>
          <cell r="K2253" t="str">
            <v>3. Provisiones e indemnizaciones</v>
          </cell>
          <cell r="L2253" t="str">
            <v>EBITDA</v>
          </cell>
          <cell r="M2253" t="str">
            <v>MARGEN BRUTO</v>
          </cell>
          <cell r="N2253" t="str">
            <v>GANANCIAS (PERDIDAS) ANTES DE IMPUESTOS</v>
          </cell>
          <cell r="O2253" t="str">
            <v>GANANCIA (PÉRDIDA) NETA</v>
          </cell>
          <cell r="P2253" t="str">
            <v>Resultado Ingresos y Gastos Integrales</v>
          </cell>
          <cell r="Q2253" t="str">
            <v>I. Ganancia (pérdida), antes de impuestos</v>
          </cell>
          <cell r="R2253" t="str">
            <v>a. Ganancia bruta</v>
          </cell>
          <cell r="S2253" t="str">
            <v>2. Costo de ventas</v>
          </cell>
          <cell r="T2253" t="str">
            <v>9. Provisiones e indemnizaciones</v>
          </cell>
          <cell r="Z2253" t="str">
            <v>II. Costo Ventas</v>
          </cell>
          <cell r="AA2253" t="str">
            <v>7. Personal Explotación</v>
          </cell>
          <cell r="AB2253" t="str">
            <v>2. Remu Variable E</v>
          </cell>
          <cell r="AC2253" t="str">
            <v>II. Costo de Explotación</v>
          </cell>
          <cell r="AD2253" t="str">
            <v>1. Personal Explotación</v>
          </cell>
          <cell r="AE2253" t="str">
            <v>1. Remuneraciones Exp.</v>
          </cell>
          <cell r="AH2253" t="str">
            <v>6. Partidas significativas de gastos</v>
          </cell>
        </row>
        <row r="2254">
          <cell r="D2254" t="str">
            <v>Provisiones e indemnizaciones</v>
          </cell>
          <cell r="E2254" t="str">
            <v>Provisiones e indemnizaciones</v>
          </cell>
          <cell r="G2254" t="str">
            <v xml:space="preserve">Provisiones e indemnizaciones  </v>
          </cell>
        </row>
        <row r="2255">
          <cell r="D2255" t="str">
            <v>COSTO PERSONAL EXPLOTACION</v>
          </cell>
          <cell r="E2255" t="str">
            <v>COSTO PERSONAL EXPLOTACION</v>
          </cell>
          <cell r="G2255" t="str">
            <v xml:space="preserve">COSTO PERSONAL EXPLOTACION  </v>
          </cell>
          <cell r="Q2255">
            <v>0</v>
          </cell>
          <cell r="R2255" t="str">
            <v/>
          </cell>
          <cell r="T2255" t="str">
            <v/>
          </cell>
        </row>
        <row r="2256">
          <cell r="D2256" t="str">
            <v>4-1-03-01-01</v>
          </cell>
          <cell r="E2256" t="str">
            <v>4-1-03-01-01</v>
          </cell>
          <cell r="F2256" t="str">
            <v>Energía Tracción</v>
          </cell>
          <cell r="G2256" t="str">
            <v>4-1-03-01-01  Energía Tracción</v>
          </cell>
          <cell r="H2256" t="str">
            <v>Est. Resultado</v>
          </cell>
          <cell r="I2256" t="str">
            <v>Resultado</v>
          </cell>
          <cell r="J2256" t="str">
            <v>3. Costo de Venta</v>
          </cell>
          <cell r="K2256" t="str">
            <v>1. Energia y Combustibles</v>
          </cell>
          <cell r="L2256" t="str">
            <v>EBITDA</v>
          </cell>
          <cell r="M2256" t="str">
            <v>MARGEN BRUTO</v>
          </cell>
          <cell r="N2256" t="str">
            <v>GANANCIAS (PERDIDAS) ANTES DE IMPUESTOS</v>
          </cell>
          <cell r="O2256" t="str">
            <v>GANANCIA (PÉRDIDA) NETA</v>
          </cell>
          <cell r="P2256" t="str">
            <v>Resultado Ingresos y Gastos Integrales</v>
          </cell>
          <cell r="Q2256" t="str">
            <v>I. Ganancia (pérdida), antes de impuestos</v>
          </cell>
          <cell r="R2256" t="str">
            <v>a. Ganancia bruta</v>
          </cell>
          <cell r="S2256" t="str">
            <v>2. Costo de ventas</v>
          </cell>
          <cell r="T2256" t="str">
            <v>1. Energia y Combustibles</v>
          </cell>
          <cell r="V2256" t="str">
            <v>II. Gastos</v>
          </cell>
          <cell r="W2256" t="str">
            <v>23. Bienes y Servicios para la Producción</v>
          </cell>
          <cell r="X2256" t="str">
            <v>1. Energía y Combustible</v>
          </cell>
          <cell r="Z2256" t="str">
            <v>II. Costo Ventas</v>
          </cell>
          <cell r="AA2256" t="str">
            <v>1. Energía y Combustible</v>
          </cell>
          <cell r="AB2256" t="str">
            <v>1. Electricidad</v>
          </cell>
          <cell r="AC2256" t="str">
            <v>II. Costo de Explotación</v>
          </cell>
          <cell r="AD2256" t="str">
            <v>2. Bienes y servicios Expl.</v>
          </cell>
          <cell r="AE2256" t="str">
            <v>1. Energía y Combustible</v>
          </cell>
          <cell r="AH2256" t="str">
            <v>6. Partidas significativas de gastos</v>
          </cell>
        </row>
        <row r="2257">
          <cell r="D2257">
            <v>0</v>
          </cell>
          <cell r="F2257" t="str">
            <v/>
          </cell>
          <cell r="G2257" t="str">
            <v/>
          </cell>
          <cell r="Q2257">
            <v>0</v>
          </cell>
          <cell r="R2257" t="str">
            <v/>
          </cell>
          <cell r="T2257" t="str">
            <v/>
          </cell>
        </row>
        <row r="2258">
          <cell r="D2258">
            <v>0</v>
          </cell>
          <cell r="G2258" t="str">
            <v/>
          </cell>
        </row>
        <row r="2259">
          <cell r="D2259" t="str">
            <v>Energia y Combustibles</v>
          </cell>
          <cell r="E2259" t="str">
            <v>Energia y Combustibles</v>
          </cell>
          <cell r="F2259" t="str">
            <v/>
          </cell>
          <cell r="G2259" t="str">
            <v xml:space="preserve">Energia y Combustibles  </v>
          </cell>
          <cell r="Q2259">
            <v>0</v>
          </cell>
          <cell r="R2259" t="str">
            <v/>
          </cell>
        </row>
        <row r="2260">
          <cell r="D2260" t="str">
            <v>4-1-08-01-01</v>
          </cell>
          <cell r="E2260" t="str">
            <v>4-1-08-01-01</v>
          </cell>
          <cell r="F2260" t="str">
            <v>Repuestos</v>
          </cell>
          <cell r="G2260" t="str">
            <v>4-1-08-01-01  Repuestos</v>
          </cell>
          <cell r="H2260" t="str">
            <v>Est. Resultado</v>
          </cell>
          <cell r="I2260" t="str">
            <v>Resultado</v>
          </cell>
          <cell r="J2260" t="str">
            <v>3. Costo de Venta</v>
          </cell>
          <cell r="K2260" t="str">
            <v>2. Mantenimiento Mat Rodante</v>
          </cell>
          <cell r="L2260" t="str">
            <v>EBITDA</v>
          </cell>
          <cell r="M2260" t="str">
            <v>MARGEN BRUTO</v>
          </cell>
          <cell r="N2260" t="str">
            <v>GANANCIAS (PERDIDAS) ANTES DE IMPUESTOS</v>
          </cell>
          <cell r="O2260" t="str">
            <v>GANANCIA (PÉRDIDA) NETA</v>
          </cell>
          <cell r="P2260" t="str">
            <v>Resultado Ingresos y Gastos Integrales</v>
          </cell>
          <cell r="Q2260" t="str">
            <v>I. Ganancia (pérdida), antes de impuestos</v>
          </cell>
          <cell r="R2260" t="str">
            <v>a. Ganancia bruta</v>
          </cell>
          <cell r="S2260" t="str">
            <v>2. Costo de ventas</v>
          </cell>
          <cell r="T2260" t="str">
            <v>2. Mantenimiento Mat Rodante</v>
          </cell>
          <cell r="V2260" t="str">
            <v>II. Gastos</v>
          </cell>
          <cell r="W2260" t="str">
            <v>23. Bienes y Servicios para la Producción</v>
          </cell>
          <cell r="Z2260" t="str">
            <v>II. Costo Ventas</v>
          </cell>
          <cell r="AA2260" t="str">
            <v>2. Mantenimiento Mat Rodante</v>
          </cell>
          <cell r="AC2260" t="str">
            <v>II. Costo de Explotación</v>
          </cell>
          <cell r="AD2260" t="str">
            <v>2. Bienes y servicios Expl.</v>
          </cell>
          <cell r="AE2260" t="str">
            <v>2. Mantenimiento Mat. Rodante</v>
          </cell>
          <cell r="AH2260" t="str">
            <v>6. Partidas significativas de gastos</v>
          </cell>
        </row>
        <row r="2261">
          <cell r="D2261" t="str">
            <v>4-1-08-01-02</v>
          </cell>
          <cell r="E2261" t="str">
            <v>4-1-08-01-02</v>
          </cell>
          <cell r="F2261" t="str">
            <v>Herramientas</v>
          </cell>
          <cell r="G2261" t="str">
            <v>4-1-08-01-02  Herramientas</v>
          </cell>
          <cell r="H2261" t="str">
            <v>Est. Resultado</v>
          </cell>
          <cell r="I2261" t="str">
            <v>Resultado</v>
          </cell>
          <cell r="J2261" t="str">
            <v>3. Costo de Venta</v>
          </cell>
          <cell r="K2261" t="str">
            <v>2. Mantenimiento Mat Rodante</v>
          </cell>
          <cell r="L2261" t="str">
            <v>EBITDA</v>
          </cell>
          <cell r="M2261" t="str">
            <v>MARGEN BRUTO</v>
          </cell>
          <cell r="N2261" t="str">
            <v>GANANCIAS (PERDIDAS) ANTES DE IMPUESTOS</v>
          </cell>
          <cell r="O2261" t="str">
            <v>GANANCIA (PÉRDIDA) NETA</v>
          </cell>
          <cell r="P2261" t="str">
            <v>Resultado Ingresos y Gastos Integrales</v>
          </cell>
          <cell r="Q2261" t="str">
            <v>I. Ganancia (pérdida), antes de impuestos</v>
          </cell>
          <cell r="R2261" t="str">
            <v>a. Ganancia bruta</v>
          </cell>
          <cell r="S2261" t="str">
            <v>2. Costo de ventas</v>
          </cell>
          <cell r="T2261" t="str">
            <v>2. Mantenimiento Mat Rodante</v>
          </cell>
          <cell r="V2261" t="str">
            <v>II. Gastos</v>
          </cell>
          <cell r="W2261" t="str">
            <v>23. Bienes y Servicios para la Producción</v>
          </cell>
          <cell r="Z2261" t="str">
            <v>II. Costo Ventas</v>
          </cell>
          <cell r="AA2261" t="str">
            <v>2. Mantenimiento Mat Rodante</v>
          </cell>
          <cell r="AC2261" t="str">
            <v>II. Costo de Explotación</v>
          </cell>
          <cell r="AD2261" t="str">
            <v>2. Bienes y servicios Expl.</v>
          </cell>
          <cell r="AE2261" t="str">
            <v>2. Mantenimiento Mat. Rodante</v>
          </cell>
          <cell r="AH2261" t="str">
            <v>6. Partidas significativas de gastos</v>
          </cell>
        </row>
        <row r="2262">
          <cell r="D2262" t="str">
            <v>4-1-02-02-01</v>
          </cell>
          <cell r="E2262" t="str">
            <v>4-1-02-02-01</v>
          </cell>
          <cell r="F2262" t="str">
            <v>Mantenimientode Automotores</v>
          </cell>
          <cell r="G2262" t="str">
            <v>4-1-02-02-01  Mantenimientode Automotores</v>
          </cell>
          <cell r="H2262" t="str">
            <v>Est. Resultado</v>
          </cell>
          <cell r="I2262" t="str">
            <v>Resultado</v>
          </cell>
          <cell r="J2262" t="str">
            <v>3. Costo de Venta</v>
          </cell>
          <cell r="K2262" t="str">
            <v>2. Mantenimiento Mat Rodante</v>
          </cell>
          <cell r="L2262" t="str">
            <v>EBITDA</v>
          </cell>
          <cell r="M2262" t="str">
            <v>MARGEN BRUTO</v>
          </cell>
          <cell r="N2262" t="str">
            <v>GANANCIAS (PERDIDAS) ANTES DE IMPUESTOS</v>
          </cell>
          <cell r="O2262" t="str">
            <v>GANANCIA (PÉRDIDA) NETA</v>
          </cell>
          <cell r="P2262" t="str">
            <v>Resultado Ingresos y Gastos Integrales</v>
          </cell>
          <cell r="Q2262" t="str">
            <v>I. Ganancia (pérdida), antes de impuestos</v>
          </cell>
          <cell r="R2262" t="str">
            <v>a. Ganancia bruta</v>
          </cell>
          <cell r="S2262" t="str">
            <v>2. Costo de ventas</v>
          </cell>
          <cell r="T2262" t="str">
            <v>2. Mantenimiento Mat Rodante</v>
          </cell>
          <cell r="V2262" t="str">
            <v>II. Gastos</v>
          </cell>
          <cell r="W2262" t="str">
            <v>23. Bienes y Servicios para la Producción</v>
          </cell>
          <cell r="Z2262" t="str">
            <v>II. Costo Ventas</v>
          </cell>
          <cell r="AA2262" t="str">
            <v>2. Mantenimiento Mat Rodante</v>
          </cell>
          <cell r="AC2262" t="str">
            <v>II. Costo de Explotación</v>
          </cell>
          <cell r="AD2262" t="str">
            <v>2. Bienes y servicios Expl.</v>
          </cell>
          <cell r="AE2262" t="str">
            <v>2. Mantenimiento Mat. Rodante</v>
          </cell>
          <cell r="AH2262" t="str">
            <v>6. Partidas significativas de gastos</v>
          </cell>
        </row>
        <row r="2263">
          <cell r="D2263" t="str">
            <v>4-1-02-02-03</v>
          </cell>
          <cell r="E2263" t="str">
            <v>4-1-02-02-03</v>
          </cell>
          <cell r="F2263" t="str">
            <v>Mantenimiento Maquinas Y Equipos De Oper</v>
          </cell>
          <cell r="G2263" t="str">
            <v>4-1-02-02-03  Mantenimiento Maquinas Y Equipos De Oper</v>
          </cell>
          <cell r="H2263" t="str">
            <v>Est. Resultado</v>
          </cell>
          <cell r="I2263" t="str">
            <v>Resultado</v>
          </cell>
          <cell r="J2263" t="str">
            <v>3. Costo de Venta</v>
          </cell>
          <cell r="K2263" t="str">
            <v>2. Mantenimiento Mat Rodante</v>
          </cell>
          <cell r="L2263" t="str">
            <v>EBITDA</v>
          </cell>
          <cell r="M2263" t="str">
            <v>MARGEN BRUTO</v>
          </cell>
          <cell r="N2263" t="str">
            <v>GANANCIAS (PERDIDAS) ANTES DE IMPUESTOS</v>
          </cell>
          <cell r="O2263" t="str">
            <v>GANANCIA (PÉRDIDA) NETA</v>
          </cell>
          <cell r="P2263" t="str">
            <v>Resultado Ingresos y Gastos Integrales</v>
          </cell>
          <cell r="Q2263" t="str">
            <v>I. Ganancia (pérdida), antes de impuestos</v>
          </cell>
          <cell r="R2263" t="str">
            <v>a. Ganancia bruta</v>
          </cell>
          <cell r="S2263" t="str">
            <v>2. Costo de ventas</v>
          </cell>
          <cell r="T2263" t="str">
            <v>2. Mantenimiento Mat Rodante</v>
          </cell>
          <cell r="V2263" t="str">
            <v>II. Gastos</v>
          </cell>
          <cell r="W2263" t="str">
            <v>23. Bienes y Servicios para la Producción</v>
          </cell>
          <cell r="Z2263" t="str">
            <v>II. Costo Ventas</v>
          </cell>
          <cell r="AA2263" t="str">
            <v>2. Mantenimiento Mat Rodante</v>
          </cell>
          <cell r="AC2263" t="str">
            <v>II. Costo de Explotación</v>
          </cell>
          <cell r="AD2263" t="str">
            <v>2. Bienes y servicios Expl.</v>
          </cell>
          <cell r="AE2263" t="str">
            <v>2. Mantenimiento Mat. Rodante</v>
          </cell>
          <cell r="AH2263" t="str">
            <v>6. Partidas significativas de gastos</v>
          </cell>
        </row>
        <row r="2264">
          <cell r="D2264">
            <v>0</v>
          </cell>
          <cell r="G2264" t="str">
            <v/>
          </cell>
          <cell r="H2264" t="str">
            <v>Est. Resultado</v>
          </cell>
          <cell r="I2264" t="str">
            <v>Resultado</v>
          </cell>
          <cell r="J2264" t="str">
            <v>3. Costo de Venta</v>
          </cell>
          <cell r="K2264" t="str">
            <v>2. Mantenimiento Mat Rodante</v>
          </cell>
          <cell r="L2264" t="str">
            <v>EBITDA</v>
          </cell>
          <cell r="M2264" t="str">
            <v>MARGEN BRUTO</v>
          </cell>
          <cell r="N2264" t="str">
            <v>GANANCIAS (PERDIDAS) ANTES DE IMPUESTOS</v>
          </cell>
          <cell r="O2264" t="str">
            <v>GANANCIA (PÉRDIDA) NETA</v>
          </cell>
          <cell r="P2264" t="str">
            <v>Resultado Ingresos y Gastos Integrales</v>
          </cell>
          <cell r="Q2264" t="str">
            <v>I. Ganancia (pérdida), antes de impuestos</v>
          </cell>
          <cell r="R2264" t="str">
            <v>a. Ganancia bruta</v>
          </cell>
          <cell r="S2264" t="str">
            <v>2. Costo de ventas</v>
          </cell>
          <cell r="T2264" t="str">
            <v>2. Mantenimiento Mat Rodante</v>
          </cell>
          <cell r="V2264" t="str">
            <v>II. Gastos</v>
          </cell>
          <cell r="W2264" t="str">
            <v>23. Bienes y Servicios para la Producción</v>
          </cell>
          <cell r="Z2264" t="str">
            <v>II. Costo Ventas</v>
          </cell>
          <cell r="AA2264" t="str">
            <v>2. Mantenimiento Mat Rodante</v>
          </cell>
          <cell r="AC2264" t="str">
            <v>II. Costo de Explotación</v>
          </cell>
          <cell r="AD2264" t="str">
            <v>2. Bienes y servicios Expl.</v>
          </cell>
          <cell r="AE2264" t="str">
            <v>2. Mantenimiento Mat. Rodante</v>
          </cell>
          <cell r="AH2264" t="str">
            <v>6. Partidas significativas de gastos</v>
          </cell>
        </row>
        <row r="2265">
          <cell r="D2265">
            <v>0</v>
          </cell>
          <cell r="F2265" t="str">
            <v/>
          </cell>
          <cell r="G2265" t="str">
            <v/>
          </cell>
          <cell r="H2265" t="str">
            <v>Est. Resultado</v>
          </cell>
          <cell r="I2265" t="str">
            <v>Resultado</v>
          </cell>
          <cell r="J2265" t="str">
            <v>3. Costo de Venta</v>
          </cell>
          <cell r="K2265" t="str">
            <v>2. Mantenimiento Mat Rodante</v>
          </cell>
          <cell r="L2265" t="str">
            <v>EBITDA</v>
          </cell>
          <cell r="M2265" t="str">
            <v>MARGEN BRUTO</v>
          </cell>
          <cell r="N2265" t="str">
            <v>GANANCIAS (PERDIDAS) ANTES DE IMPUESTOS</v>
          </cell>
          <cell r="O2265" t="str">
            <v>GANANCIA (PÉRDIDA) NETA</v>
          </cell>
          <cell r="P2265" t="str">
            <v>Resultado Ingresos y Gastos Integrales</v>
          </cell>
          <cell r="Q2265" t="str">
            <v>I. Ganancia (pérdida), antes de impuestos</v>
          </cell>
          <cell r="R2265" t="str">
            <v>a. Ganancia bruta</v>
          </cell>
          <cell r="S2265" t="str">
            <v>2. Costo de ventas</v>
          </cell>
          <cell r="T2265" t="str">
            <v>2. Mantenimiento Mat Rodante</v>
          </cell>
          <cell r="V2265" t="str">
            <v>II. Gastos</v>
          </cell>
          <cell r="W2265" t="str">
            <v>23. Bienes y Servicios para la Producción</v>
          </cell>
          <cell r="Z2265" t="str">
            <v>II. Costo Ventas</v>
          </cell>
          <cell r="AA2265" t="str">
            <v>2. Mantenimiento Mat Rodante</v>
          </cell>
          <cell r="AC2265" t="str">
            <v>II. Costo de Explotación</v>
          </cell>
          <cell r="AD2265" t="str">
            <v>2. Bienes y servicios Expl.</v>
          </cell>
          <cell r="AE2265" t="str">
            <v>2. Mantenimiento Mat. Rodante</v>
          </cell>
          <cell r="AH2265" t="str">
            <v>6. Partidas significativas de gastos</v>
          </cell>
        </row>
        <row r="2266">
          <cell r="D2266" t="str">
            <v>Mantenimiento Mat Rodante</v>
          </cell>
          <cell r="E2266" t="str">
            <v>Mantenimiento Mat Rodante</v>
          </cell>
          <cell r="F2266" t="str">
            <v/>
          </cell>
          <cell r="G2266" t="str">
            <v xml:space="preserve">Mantenimiento Mat Rodante  </v>
          </cell>
          <cell r="Q2266">
            <v>0</v>
          </cell>
          <cell r="R2266" t="str">
            <v/>
          </cell>
        </row>
        <row r="2267">
          <cell r="D2267" t="str">
            <v>4-1-04-01-01</v>
          </cell>
          <cell r="E2267" t="str">
            <v>4-1-04-01-01</v>
          </cell>
          <cell r="F2267" t="str">
            <v>Peaje Fijo</v>
          </cell>
          <cell r="G2267" t="str">
            <v>4-1-04-01-01  Peaje Fijo</v>
          </cell>
          <cell r="H2267" t="str">
            <v>Est. Resultado</v>
          </cell>
          <cell r="I2267" t="str">
            <v>Resultado</v>
          </cell>
          <cell r="J2267" t="str">
            <v>3. Costo de Venta</v>
          </cell>
          <cell r="K2267" t="str">
            <v>3. Mantenimiento Infraestructura</v>
          </cell>
          <cell r="L2267" t="str">
            <v>EBITDA</v>
          </cell>
          <cell r="M2267" t="str">
            <v>MARGEN BRUTO</v>
          </cell>
          <cell r="N2267" t="str">
            <v>GANANCIAS (PERDIDAS) ANTES DE IMPUESTOS</v>
          </cell>
          <cell r="O2267" t="str">
            <v>GANANCIA (PÉRDIDA) NETA</v>
          </cell>
          <cell r="P2267" t="str">
            <v>Resultado Ingresos y Gastos Integrales</v>
          </cell>
          <cell r="Q2267" t="str">
            <v>I. Ganancia (pérdida), antes de impuestos</v>
          </cell>
          <cell r="R2267" t="str">
            <v>a. Ganancia bruta</v>
          </cell>
          <cell r="S2267" t="str">
            <v>2. Costo de ventas</v>
          </cell>
          <cell r="T2267" t="str">
            <v>3. Mantenimiento Infraestructura</v>
          </cell>
          <cell r="V2267" t="str">
            <v>II. Gastos</v>
          </cell>
          <cell r="W2267" t="str">
            <v>23. Bienes y Servicios para la Producción</v>
          </cell>
          <cell r="Z2267" t="str">
            <v>II. Costo Ventas</v>
          </cell>
          <cell r="AA2267" t="str">
            <v>3. Mantenimiento Infraestructura</v>
          </cell>
          <cell r="AC2267" t="str">
            <v>II. Costo de Explotación</v>
          </cell>
          <cell r="AD2267" t="str">
            <v>2. Bienes y servicios Expl.</v>
          </cell>
          <cell r="AE2267" t="str">
            <v>3. Mantenimiento Infraestructura</v>
          </cell>
          <cell r="AH2267" t="str">
            <v>6. Partidas significativas de gastos</v>
          </cell>
        </row>
        <row r="2268">
          <cell r="D2268" t="str">
            <v>4-1-04-01-02</v>
          </cell>
          <cell r="E2268" t="str">
            <v>4-1-04-01-02</v>
          </cell>
          <cell r="F2268" t="str">
            <v>Peaje Variable</v>
          </cell>
          <cell r="G2268" t="str">
            <v>4-1-04-01-02  Peaje Variable</v>
          </cell>
          <cell r="H2268" t="str">
            <v>Est. Resultado</v>
          </cell>
          <cell r="I2268" t="str">
            <v>Resultado</v>
          </cell>
          <cell r="J2268" t="str">
            <v>3. Costo de Venta</v>
          </cell>
          <cell r="K2268" t="str">
            <v>3. Mantenimiento Infraestructura</v>
          </cell>
          <cell r="L2268" t="str">
            <v>EBITDA</v>
          </cell>
          <cell r="M2268" t="str">
            <v>MARGEN BRUTO</v>
          </cell>
          <cell r="N2268" t="str">
            <v>GANANCIAS (PERDIDAS) ANTES DE IMPUESTOS</v>
          </cell>
          <cell r="O2268" t="str">
            <v>GANANCIA (PÉRDIDA) NETA</v>
          </cell>
          <cell r="P2268" t="str">
            <v>Resultado Ingresos y Gastos Integrales</v>
          </cell>
          <cell r="Q2268" t="str">
            <v>I. Ganancia (pérdida), antes de impuestos</v>
          </cell>
          <cell r="R2268" t="str">
            <v>a. Ganancia bruta</v>
          </cell>
          <cell r="S2268" t="str">
            <v>2. Costo de ventas</v>
          </cell>
          <cell r="T2268" t="str">
            <v>3. Mantenimiento Infraestructura</v>
          </cell>
          <cell r="V2268" t="str">
            <v>II. Gastos</v>
          </cell>
          <cell r="W2268" t="str">
            <v>23. Bienes y Servicios para la Producción</v>
          </cell>
          <cell r="Z2268" t="str">
            <v>II. Costo Ventas</v>
          </cell>
          <cell r="AA2268" t="str">
            <v>3. Mantenimiento Infraestructura</v>
          </cell>
          <cell r="AC2268" t="str">
            <v>II. Costo de Explotación</v>
          </cell>
          <cell r="AD2268" t="str">
            <v>2. Bienes y servicios Expl.</v>
          </cell>
          <cell r="AE2268" t="str">
            <v>3. Mantenimiento Infraestructura</v>
          </cell>
          <cell r="AH2268" t="str">
            <v>6. Partidas significativas de gastos</v>
          </cell>
        </row>
        <row r="2269">
          <cell r="D2269" t="str">
            <v>4-1-04-02-01</v>
          </cell>
          <cell r="E2269" t="str">
            <v>4-1-04-02-01</v>
          </cell>
          <cell r="F2269" t="str">
            <v>Canon De Acceso</v>
          </cell>
          <cell r="G2269" t="str">
            <v>4-1-04-02-01  Canon De Acceso</v>
          </cell>
          <cell r="H2269" t="str">
            <v>Est. Resultado</v>
          </cell>
          <cell r="I2269" t="str">
            <v>Resultado</v>
          </cell>
          <cell r="J2269" t="str">
            <v>3. Costo de Venta</v>
          </cell>
          <cell r="K2269" t="str">
            <v>3. Mantenimiento Infraestructura</v>
          </cell>
          <cell r="L2269" t="str">
            <v>EBITDA</v>
          </cell>
          <cell r="M2269" t="str">
            <v>MARGEN BRUTO</v>
          </cell>
          <cell r="N2269" t="str">
            <v>GANANCIAS (PERDIDAS) ANTES DE IMPUESTOS</v>
          </cell>
          <cell r="O2269" t="str">
            <v>GANANCIA (PÉRDIDA) NETA</v>
          </cell>
          <cell r="P2269" t="str">
            <v>Resultado Ingresos y Gastos Integrales</v>
          </cell>
          <cell r="Q2269" t="str">
            <v>I. Ganancia (pérdida), antes de impuestos</v>
          </cell>
          <cell r="R2269" t="str">
            <v>a. Ganancia bruta</v>
          </cell>
          <cell r="S2269" t="str">
            <v>2. Costo de ventas</v>
          </cell>
          <cell r="T2269" t="str">
            <v>3. Mantenimiento Infraestructura</v>
          </cell>
          <cell r="V2269" t="str">
            <v>II. Gastos</v>
          </cell>
          <cell r="W2269" t="str">
            <v>23. Bienes y Servicios para la Producción</v>
          </cell>
          <cell r="Z2269" t="str">
            <v>II. Costo Ventas</v>
          </cell>
          <cell r="AA2269" t="str">
            <v>3. Mantenimiento Infraestructura</v>
          </cell>
          <cell r="AC2269" t="str">
            <v>II. Costo de Explotación</v>
          </cell>
          <cell r="AD2269" t="str">
            <v>2. Bienes y servicios Expl.</v>
          </cell>
          <cell r="AE2269" t="str">
            <v>3. Mantenimiento Infraestructura</v>
          </cell>
          <cell r="AH2269" t="str">
            <v>6. Partidas significativas de gastos</v>
          </cell>
        </row>
        <row r="2270">
          <cell r="D2270">
            <v>0</v>
          </cell>
          <cell r="G2270" t="str">
            <v/>
          </cell>
          <cell r="H2270" t="str">
            <v>Est. Resultado</v>
          </cell>
          <cell r="I2270" t="str">
            <v>Resultado</v>
          </cell>
          <cell r="J2270" t="str">
            <v>3. Costo de Venta</v>
          </cell>
          <cell r="K2270" t="str">
            <v>3. Mantenimiento Infraestructura</v>
          </cell>
          <cell r="L2270" t="str">
            <v>EBITDA</v>
          </cell>
          <cell r="M2270" t="str">
            <v>MARGEN BRUTO</v>
          </cell>
          <cell r="N2270" t="str">
            <v>GANANCIAS (PERDIDAS) ANTES DE IMPUESTOS</v>
          </cell>
          <cell r="O2270" t="str">
            <v>GANANCIA (PÉRDIDA) NETA</v>
          </cell>
          <cell r="P2270" t="str">
            <v>Resultado Ingresos y Gastos Integrales</v>
          </cell>
          <cell r="Q2270" t="str">
            <v>I. Ganancia (pérdida), antes de impuestos</v>
          </cell>
          <cell r="R2270" t="str">
            <v>a. Ganancia bruta</v>
          </cell>
          <cell r="S2270" t="str">
            <v>2. Costo de ventas</v>
          </cell>
          <cell r="T2270" t="str">
            <v>3. Mantenimiento Infraestructura</v>
          </cell>
          <cell r="V2270" t="str">
            <v>II. Gastos</v>
          </cell>
          <cell r="W2270" t="str">
            <v>23. Bienes y Servicios para la Producción</v>
          </cell>
          <cell r="Z2270" t="str">
            <v>II. Costo Ventas</v>
          </cell>
          <cell r="AA2270" t="str">
            <v>3. Mantenimiento Infraestructura</v>
          </cell>
          <cell r="AC2270" t="str">
            <v>II. Costo de Explotación</v>
          </cell>
          <cell r="AD2270" t="str">
            <v>2. Bienes y servicios Expl.</v>
          </cell>
          <cell r="AE2270" t="str">
            <v>3. Mantenimiento Infraestructura</v>
          </cell>
          <cell r="AH2270" t="str">
            <v>6. Partidas significativas de gastos</v>
          </cell>
        </row>
        <row r="2271">
          <cell r="D2271">
            <v>0</v>
          </cell>
          <cell r="F2271" t="str">
            <v/>
          </cell>
          <cell r="G2271" t="str">
            <v/>
          </cell>
          <cell r="H2271" t="str">
            <v>Est. Resultado</v>
          </cell>
          <cell r="I2271" t="str">
            <v>Resultado</v>
          </cell>
          <cell r="J2271" t="str">
            <v>3. Costo de Venta</v>
          </cell>
          <cell r="K2271" t="str">
            <v>3. Mantenimiento Infraestructura</v>
          </cell>
          <cell r="L2271" t="str">
            <v>EBITDA</v>
          </cell>
          <cell r="M2271" t="str">
            <v>MARGEN BRUTO</v>
          </cell>
          <cell r="N2271" t="str">
            <v>GANANCIAS (PERDIDAS) ANTES DE IMPUESTOS</v>
          </cell>
          <cell r="O2271" t="str">
            <v>GANANCIA (PÉRDIDA) NETA</v>
          </cell>
          <cell r="P2271" t="str">
            <v>Resultado Ingresos y Gastos Integrales</v>
          </cell>
          <cell r="Q2271" t="str">
            <v>I. Ganancia (pérdida), antes de impuestos</v>
          </cell>
          <cell r="R2271" t="str">
            <v>a. Ganancia bruta</v>
          </cell>
          <cell r="S2271" t="str">
            <v>2. Costo de ventas</v>
          </cell>
          <cell r="T2271" t="str">
            <v>3. Mantenimiento Infraestructura</v>
          </cell>
          <cell r="V2271" t="str">
            <v>II. Gastos</v>
          </cell>
          <cell r="W2271" t="str">
            <v>23. Bienes y Servicios para la Producción</v>
          </cell>
          <cell r="Z2271" t="str">
            <v>II. Costo Ventas</v>
          </cell>
          <cell r="AA2271" t="str">
            <v>3. Mantenimiento Infraestructura</v>
          </cell>
          <cell r="AC2271" t="str">
            <v>II. Costo de Explotación</v>
          </cell>
          <cell r="AD2271" t="str">
            <v>2. Bienes y servicios Expl.</v>
          </cell>
          <cell r="AE2271" t="str">
            <v>3. Mantenimiento Infraestructura</v>
          </cell>
          <cell r="AH2271" t="str">
            <v>6. Partidas significativas de gastos</v>
          </cell>
        </row>
        <row r="2272">
          <cell r="D2272" t="str">
            <v>Mantenimiento Infraestructura</v>
          </cell>
          <cell r="E2272" t="str">
            <v>Mantenimiento Infraestructura</v>
          </cell>
          <cell r="F2272" t="str">
            <v/>
          </cell>
          <cell r="G2272" t="str">
            <v xml:space="preserve">Mantenimiento Infraestructura  </v>
          </cell>
          <cell r="Q2272">
            <v>0</v>
          </cell>
          <cell r="R2272" t="str">
            <v/>
          </cell>
        </row>
        <row r="2273">
          <cell r="D2273">
            <v>0</v>
          </cell>
          <cell r="G2273" t="str">
            <v/>
          </cell>
          <cell r="H2273" t="str">
            <v>Est. Resultado</v>
          </cell>
          <cell r="I2273" t="str">
            <v>Resultado</v>
          </cell>
          <cell r="J2273" t="str">
            <v>3. Costo de Venta</v>
          </cell>
          <cell r="K2273" t="str">
            <v>4. Mantenimiento SEC y Tráfico</v>
          </cell>
          <cell r="L2273" t="str">
            <v>EBITDA</v>
          </cell>
          <cell r="M2273" t="str">
            <v>MARGEN BRUTO</v>
          </cell>
          <cell r="N2273" t="str">
            <v>GANANCIAS (PERDIDAS) ANTES DE IMPUESTOS</v>
          </cell>
          <cell r="O2273" t="str">
            <v>GANANCIA (PÉRDIDA) NETA</v>
          </cell>
          <cell r="P2273" t="str">
            <v>Resultado Ingresos y Gastos Integrales</v>
          </cell>
          <cell r="Q2273" t="str">
            <v>I. Ganancia (pérdida), antes de impuestos</v>
          </cell>
          <cell r="R2273" t="str">
            <v>a. Ganancia bruta</v>
          </cell>
          <cell r="S2273" t="str">
            <v>2. Costo de ventas</v>
          </cell>
          <cell r="T2273" t="str">
            <v>4. Mantenimiento SEC y Tráfico</v>
          </cell>
          <cell r="V2273" t="str">
            <v>II. Gastos</v>
          </cell>
          <cell r="W2273" t="str">
            <v>23. Bienes y Servicios para la Producción</v>
          </cell>
          <cell r="Z2273" t="str">
            <v>II. Costo Ventas</v>
          </cell>
          <cell r="AA2273" t="str">
            <v>4. Mantenimiento SEC y Tráfico</v>
          </cell>
          <cell r="AC2273" t="str">
            <v>II. Costo de Explotación</v>
          </cell>
          <cell r="AD2273" t="str">
            <v>2. Bienes y servicios Expl.</v>
          </cell>
          <cell r="AE2273" t="str">
            <v>4. Mantenimiento SEC y Tráfico</v>
          </cell>
          <cell r="AH2273" t="str">
            <v>6. Partidas significativas de gastos</v>
          </cell>
        </row>
        <row r="2274">
          <cell r="D2274">
            <v>0</v>
          </cell>
          <cell r="G2274" t="str">
            <v/>
          </cell>
          <cell r="H2274" t="str">
            <v>Est. Resultado</v>
          </cell>
          <cell r="I2274" t="str">
            <v>Resultado</v>
          </cell>
          <cell r="J2274" t="str">
            <v>3. Costo de Venta</v>
          </cell>
          <cell r="K2274" t="str">
            <v>4. Mantenimiento SEC y Tráfico</v>
          </cell>
          <cell r="L2274" t="str">
            <v>EBITDA</v>
          </cell>
          <cell r="M2274" t="str">
            <v>MARGEN BRUTO</v>
          </cell>
          <cell r="N2274" t="str">
            <v>GANANCIAS (PERDIDAS) ANTES DE IMPUESTOS</v>
          </cell>
          <cell r="O2274" t="str">
            <v>GANANCIA (PÉRDIDA) NETA</v>
          </cell>
          <cell r="P2274" t="str">
            <v>Resultado Ingresos y Gastos Integrales</v>
          </cell>
          <cell r="Q2274" t="str">
            <v>I. Ganancia (pérdida), antes de impuestos</v>
          </cell>
          <cell r="R2274" t="str">
            <v>a. Ganancia bruta</v>
          </cell>
          <cell r="S2274" t="str">
            <v>2. Costo de ventas</v>
          </cell>
          <cell r="T2274" t="str">
            <v>4. Mantenimiento SEC y Tráfico</v>
          </cell>
          <cell r="V2274" t="str">
            <v>II. Gastos</v>
          </cell>
          <cell r="W2274" t="str">
            <v>23. Bienes y Servicios para la Producción</v>
          </cell>
          <cell r="Z2274" t="str">
            <v>II. Costo Ventas</v>
          </cell>
          <cell r="AA2274" t="str">
            <v>4. Mantenimiento SEC y Tráfico</v>
          </cell>
          <cell r="AC2274" t="str">
            <v>II. Costo de Explotación</v>
          </cell>
          <cell r="AD2274" t="str">
            <v>2. Bienes y servicios Expl.</v>
          </cell>
          <cell r="AE2274" t="str">
            <v>4. Mantenimiento SEC y Tráfico</v>
          </cell>
          <cell r="AH2274" t="str">
            <v>6. Partidas significativas de gastos</v>
          </cell>
        </row>
        <row r="2275">
          <cell r="D2275">
            <v>0</v>
          </cell>
          <cell r="G2275" t="str">
            <v/>
          </cell>
          <cell r="H2275" t="str">
            <v>Est. Resultado</v>
          </cell>
          <cell r="I2275" t="str">
            <v>Resultado</v>
          </cell>
          <cell r="J2275" t="str">
            <v>3. Costo de Venta</v>
          </cell>
          <cell r="K2275" t="str">
            <v>4. Mantenimiento SEC y Tráfico</v>
          </cell>
          <cell r="L2275" t="str">
            <v>EBITDA</v>
          </cell>
          <cell r="M2275" t="str">
            <v>MARGEN BRUTO</v>
          </cell>
          <cell r="N2275" t="str">
            <v>GANANCIAS (PERDIDAS) ANTES DE IMPUESTOS</v>
          </cell>
          <cell r="O2275" t="str">
            <v>GANANCIA (PÉRDIDA) NETA</v>
          </cell>
          <cell r="P2275" t="str">
            <v>Resultado Ingresos y Gastos Integrales</v>
          </cell>
          <cell r="Q2275" t="str">
            <v>I. Ganancia (pérdida), antes de impuestos</v>
          </cell>
          <cell r="R2275" t="str">
            <v>a. Ganancia bruta</v>
          </cell>
          <cell r="S2275" t="str">
            <v>2. Costo de ventas</v>
          </cell>
          <cell r="T2275" t="str">
            <v>4. Mantenimiento SEC y Tráfico</v>
          </cell>
          <cell r="V2275" t="str">
            <v>II. Gastos</v>
          </cell>
          <cell r="W2275" t="str">
            <v>23. Bienes y Servicios para la Producción</v>
          </cell>
          <cell r="Z2275" t="str">
            <v>II. Costo Ventas</v>
          </cell>
          <cell r="AA2275" t="str">
            <v>4. Mantenimiento SEC y Tráfico</v>
          </cell>
          <cell r="AC2275" t="str">
            <v>II. Costo de Explotación</v>
          </cell>
          <cell r="AD2275" t="str">
            <v>2. Bienes y servicios Expl.</v>
          </cell>
          <cell r="AE2275" t="str">
            <v>4. Mantenimiento SEC y Tráfico</v>
          </cell>
          <cell r="AH2275" t="str">
            <v>6. Partidas significativas de gastos</v>
          </cell>
        </row>
        <row r="2276">
          <cell r="D2276" t="str">
            <v>Mantenimiento SEC y Tráfico</v>
          </cell>
          <cell r="E2276" t="str">
            <v>Mantenimiento SEC y Tráfico</v>
          </cell>
        </row>
        <row r="2277">
          <cell r="D2277">
            <v>0</v>
          </cell>
          <cell r="F2277" t="str">
            <v>Guardias</v>
          </cell>
          <cell r="G2277" t="str">
            <v/>
          </cell>
          <cell r="H2277" t="str">
            <v>Est. Resultado</v>
          </cell>
          <cell r="I2277" t="str">
            <v>Resultado</v>
          </cell>
          <cell r="J2277" t="str">
            <v>3. Costo de Venta</v>
          </cell>
          <cell r="K2277" t="str">
            <v>5. Serv Guardia y Guarda Cruce</v>
          </cell>
          <cell r="L2277" t="str">
            <v>EBITDA</v>
          </cell>
          <cell r="M2277" t="str">
            <v>MARGEN BRUTO</v>
          </cell>
          <cell r="N2277" t="str">
            <v>GANANCIAS (PERDIDAS) ANTES DE IMPUESTOS</v>
          </cell>
          <cell r="O2277" t="str">
            <v>GANANCIA (PÉRDIDA) NETA</v>
          </cell>
          <cell r="P2277" t="str">
            <v>Resultado Ingresos y Gastos Integrales</v>
          </cell>
          <cell r="Q2277" t="str">
            <v>I. Ganancia (pérdida), antes de impuestos</v>
          </cell>
          <cell r="R2277" t="str">
            <v>a. Ganancia bruta</v>
          </cell>
          <cell r="S2277" t="str">
            <v>2. Costo de ventas</v>
          </cell>
          <cell r="T2277" t="str">
            <v>5. Serv Guardia y Guarda Cruce</v>
          </cell>
          <cell r="V2277" t="str">
            <v>II. Gastos</v>
          </cell>
          <cell r="W2277" t="str">
            <v>23. Bienes y Servicios para la Producción</v>
          </cell>
          <cell r="Z2277" t="str">
            <v>II. Costo Ventas</v>
          </cell>
          <cell r="AA2277" t="str">
            <v>5. Serv Guardia y Guarda Cruce</v>
          </cell>
          <cell r="AC2277" t="str">
            <v>II. Costo de Explotación</v>
          </cell>
          <cell r="AD2277" t="str">
            <v>2. Bienes y servicios Expl.</v>
          </cell>
          <cell r="AE2277" t="str">
            <v>5. Serv Guardia y Guarda Cruce</v>
          </cell>
          <cell r="AH2277" t="str">
            <v>6. Partidas significativas de gastos</v>
          </cell>
        </row>
        <row r="2278">
          <cell r="D2278">
            <v>0</v>
          </cell>
          <cell r="G2278" t="str">
            <v/>
          </cell>
        </row>
        <row r="2279">
          <cell r="D2279">
            <v>0</v>
          </cell>
          <cell r="G2279" t="str">
            <v/>
          </cell>
        </row>
        <row r="2280">
          <cell r="D2280" t="str">
            <v>Serv Guardia y Guarda Cruce</v>
          </cell>
          <cell r="E2280" t="str">
            <v>Serv Guardia y Guarda Cruce</v>
          </cell>
        </row>
        <row r="2281">
          <cell r="D2281" t="str">
            <v>4-1-01-04-04</v>
          </cell>
          <cell r="E2281" t="str">
            <v>4-1-01-04-04</v>
          </cell>
          <cell r="F2281" t="str">
            <v>Capacitación operaciones</v>
          </cell>
          <cell r="G2281" t="str">
            <v>4-1-01-04-04  Capacitación operaciones</v>
          </cell>
          <cell r="H2281" t="str">
            <v>Est. Resultado</v>
          </cell>
          <cell r="I2281" t="str">
            <v>Resultado</v>
          </cell>
          <cell r="J2281" t="str">
            <v>3. Costo de Venta</v>
          </cell>
          <cell r="K2281" t="str">
            <v>6. Serv Terceros y Ventas</v>
          </cell>
          <cell r="L2281" t="str">
            <v>EBITDA</v>
          </cell>
          <cell r="M2281" t="str">
            <v>MARGEN BRUTO</v>
          </cell>
          <cell r="N2281" t="str">
            <v>GANANCIAS (PERDIDAS) ANTES DE IMPUESTOS</v>
          </cell>
          <cell r="O2281" t="str">
            <v>GANANCIA (PÉRDIDA) NETA</v>
          </cell>
          <cell r="P2281" t="str">
            <v>Resultado Ingresos y Gastos Integrales</v>
          </cell>
          <cell r="Q2281" t="str">
            <v>I. Ganancia (pérdida), antes de impuestos</v>
          </cell>
          <cell r="R2281" t="str">
            <v>a. Ganancia bruta</v>
          </cell>
          <cell r="S2281" t="str">
            <v>2. Costo de ventas</v>
          </cell>
          <cell r="T2281" t="str">
            <v>6. Serv Terceros y Ventas</v>
          </cell>
          <cell r="V2281" t="str">
            <v>II. Gastos</v>
          </cell>
          <cell r="W2281" t="str">
            <v>23. Bienes y Servicios para la Producción</v>
          </cell>
          <cell r="Z2281" t="str">
            <v>II. Costo Ventas</v>
          </cell>
          <cell r="AA2281" t="str">
            <v>6. Serv Terceros y Ventas</v>
          </cell>
          <cell r="AC2281" t="str">
            <v>II. Costo de Explotación</v>
          </cell>
          <cell r="AD2281" t="str">
            <v>2. Bienes y servicios Expl.</v>
          </cell>
          <cell r="AE2281" t="str">
            <v>6. Serv Terceros y Ventas</v>
          </cell>
          <cell r="AH2281" t="str">
            <v>6. Partidas significativas de gastos</v>
          </cell>
        </row>
        <row r="2282">
          <cell r="D2282" t="str">
            <v>4-1-01-04-05</v>
          </cell>
          <cell r="E2282" t="str">
            <v>4-1-01-04-05</v>
          </cell>
          <cell r="F2282" t="str">
            <v>Uniformes operaciones</v>
          </cell>
          <cell r="G2282" t="str">
            <v>4-1-01-04-05  Uniformes operaciones</v>
          </cell>
          <cell r="H2282" t="str">
            <v>Est. Resultado</v>
          </cell>
          <cell r="I2282" t="str">
            <v>Resultado</v>
          </cell>
          <cell r="J2282" t="str">
            <v>3. Costo de Venta</v>
          </cell>
          <cell r="K2282" t="str">
            <v>6. Serv Terceros y Ventas</v>
          </cell>
          <cell r="L2282" t="str">
            <v>EBITDA</v>
          </cell>
          <cell r="M2282" t="str">
            <v>MARGEN BRUTO</v>
          </cell>
          <cell r="N2282" t="str">
            <v>GANANCIAS (PERDIDAS) ANTES DE IMPUESTOS</v>
          </cell>
          <cell r="O2282" t="str">
            <v>GANANCIA (PÉRDIDA) NETA</v>
          </cell>
          <cell r="P2282" t="str">
            <v>Resultado Ingresos y Gastos Integrales</v>
          </cell>
          <cell r="Q2282" t="str">
            <v>I. Ganancia (pérdida), antes de impuestos</v>
          </cell>
          <cell r="R2282" t="str">
            <v>a. Ganancia bruta</v>
          </cell>
          <cell r="S2282" t="str">
            <v>2. Costo de ventas</v>
          </cell>
          <cell r="T2282" t="str">
            <v>6. Serv Terceros y Ventas</v>
          </cell>
          <cell r="V2282" t="str">
            <v>II. Gastos</v>
          </cell>
          <cell r="W2282" t="str">
            <v>23. Bienes y Servicios para la Producción</v>
          </cell>
          <cell r="Z2282" t="str">
            <v>II. Costo Ventas</v>
          </cell>
          <cell r="AA2282" t="str">
            <v>6. Serv Terceros y Ventas</v>
          </cell>
          <cell r="AC2282" t="str">
            <v>II. Costo de Explotación</v>
          </cell>
          <cell r="AD2282" t="str">
            <v>2. Bienes y servicios Expl.</v>
          </cell>
          <cell r="AE2282" t="str">
            <v>6. Serv Terceros y Ventas</v>
          </cell>
          <cell r="AH2282" t="str">
            <v>6. Partidas significativas de gastos</v>
          </cell>
        </row>
        <row r="2283">
          <cell r="D2283" t="str">
            <v>4-1-01-04-06</v>
          </cell>
          <cell r="E2283" t="str">
            <v>4-1-01-04-06</v>
          </cell>
          <cell r="F2283" t="str">
            <v>Elementos De Protec. Personal Operacione</v>
          </cell>
          <cell r="G2283" t="str">
            <v>4-1-01-04-06  Elementos De Protec. Personal Operacione</v>
          </cell>
          <cell r="H2283" t="str">
            <v>Est. Resultado</v>
          </cell>
          <cell r="I2283" t="str">
            <v>Resultado</v>
          </cell>
          <cell r="J2283" t="str">
            <v>3. Costo de Venta</v>
          </cell>
          <cell r="K2283" t="str">
            <v>6. Serv Terceros y Ventas</v>
          </cell>
          <cell r="L2283" t="str">
            <v>EBITDA</v>
          </cell>
          <cell r="M2283" t="str">
            <v>MARGEN BRUTO</v>
          </cell>
          <cell r="N2283" t="str">
            <v>GANANCIAS (PERDIDAS) ANTES DE IMPUESTOS</v>
          </cell>
          <cell r="O2283" t="str">
            <v>GANANCIA (PÉRDIDA) NETA</v>
          </cell>
          <cell r="P2283" t="str">
            <v>Resultado Ingresos y Gastos Integrales</v>
          </cell>
          <cell r="Q2283" t="str">
            <v>I. Ganancia (pérdida), antes de impuestos</v>
          </cell>
          <cell r="R2283" t="str">
            <v>a. Ganancia bruta</v>
          </cell>
          <cell r="S2283" t="str">
            <v>2. Costo de ventas</v>
          </cell>
          <cell r="T2283" t="str">
            <v>6. Serv Terceros y Ventas</v>
          </cell>
          <cell r="V2283" t="str">
            <v>II. Gastos</v>
          </cell>
          <cell r="W2283" t="str">
            <v>23. Bienes y Servicios para la Producción</v>
          </cell>
          <cell r="Z2283" t="str">
            <v>II. Costo Ventas</v>
          </cell>
          <cell r="AA2283" t="str">
            <v>6. Serv Terceros y Ventas</v>
          </cell>
          <cell r="AC2283" t="str">
            <v>II. Costo de Explotación</v>
          </cell>
          <cell r="AD2283" t="str">
            <v>2. Bienes y servicios Expl.</v>
          </cell>
          <cell r="AE2283" t="str">
            <v>6. Serv Terceros y Ventas</v>
          </cell>
          <cell r="AH2283" t="str">
            <v>6. Partidas significativas de gastos</v>
          </cell>
        </row>
        <row r="2284">
          <cell r="D2284" t="str">
            <v>4-1-02-01-09</v>
          </cell>
          <cell r="E2284" t="str">
            <v>4-1-02-01-09</v>
          </cell>
          <cell r="F2284" t="str">
            <v>Traslado De Pasajeros</v>
          </cell>
          <cell r="G2284" t="str">
            <v>4-1-02-01-09  Traslado De Pasajeros</v>
          </cell>
          <cell r="H2284" t="str">
            <v>Est. Resultado</v>
          </cell>
          <cell r="I2284" t="str">
            <v>Resultado</v>
          </cell>
          <cell r="J2284" t="str">
            <v>3. Costo de Venta</v>
          </cell>
          <cell r="K2284" t="str">
            <v>6. Serv Terceros y Ventas</v>
          </cell>
          <cell r="L2284" t="str">
            <v>EBITDA</v>
          </cell>
          <cell r="M2284" t="str">
            <v>MARGEN BRUTO</v>
          </cell>
          <cell r="N2284" t="str">
            <v>GANANCIAS (PERDIDAS) ANTES DE IMPUESTOS</v>
          </cell>
          <cell r="O2284" t="str">
            <v>GANANCIA (PÉRDIDA) NETA</v>
          </cell>
          <cell r="P2284" t="str">
            <v>Resultado Ingresos y Gastos Integrales</v>
          </cell>
          <cell r="Q2284" t="str">
            <v>I. Ganancia (pérdida), antes de impuestos</v>
          </cell>
          <cell r="R2284" t="str">
            <v>a. Ganancia bruta</v>
          </cell>
          <cell r="S2284" t="str">
            <v>2. Costo de ventas</v>
          </cell>
          <cell r="T2284" t="str">
            <v>6. Serv Terceros y Ventas</v>
          </cell>
          <cell r="V2284" t="str">
            <v>II. Gastos</v>
          </cell>
          <cell r="W2284" t="str">
            <v>23. Bienes y Servicios para la Producción</v>
          </cell>
          <cell r="Z2284" t="str">
            <v>II. Costo Ventas</v>
          </cell>
          <cell r="AA2284" t="str">
            <v>6. Serv Terceros y Ventas</v>
          </cell>
          <cell r="AC2284" t="str">
            <v>II. Costo de Explotación</v>
          </cell>
          <cell r="AD2284" t="str">
            <v>2. Bienes y servicios Expl.</v>
          </cell>
          <cell r="AE2284" t="str">
            <v>6. Serv Terceros y Ventas</v>
          </cell>
          <cell r="AH2284" t="str">
            <v>6. Partidas significativas de gastos</v>
          </cell>
        </row>
        <row r="2285">
          <cell r="D2285" t="str">
            <v>4-1-03-02-01</v>
          </cell>
          <cell r="E2285" t="str">
            <v>4-1-03-02-01</v>
          </cell>
          <cell r="F2285" t="str">
            <v>Agua Operaciones</v>
          </cell>
          <cell r="G2285" t="str">
            <v>4-1-03-02-01  Agua Operaciones</v>
          </cell>
          <cell r="H2285" t="str">
            <v>Est. Resultado</v>
          </cell>
          <cell r="I2285" t="str">
            <v>Resultado</v>
          </cell>
          <cell r="J2285" t="str">
            <v>3. Costo de Venta</v>
          </cell>
          <cell r="K2285" t="str">
            <v>6. Serv Terceros y Ventas</v>
          </cell>
          <cell r="L2285" t="str">
            <v>EBITDA</v>
          </cell>
          <cell r="M2285" t="str">
            <v>MARGEN BRUTO</v>
          </cell>
          <cell r="N2285" t="str">
            <v>GANANCIAS (PERDIDAS) ANTES DE IMPUESTOS</v>
          </cell>
          <cell r="O2285" t="str">
            <v>GANANCIA (PÉRDIDA) NETA</v>
          </cell>
          <cell r="P2285" t="str">
            <v>Resultado Ingresos y Gastos Integrales</v>
          </cell>
          <cell r="Q2285" t="str">
            <v>I. Ganancia (pérdida), antes de impuestos</v>
          </cell>
          <cell r="R2285" t="str">
            <v>a. Ganancia bruta</v>
          </cell>
          <cell r="S2285" t="str">
            <v>2. Costo de ventas</v>
          </cell>
          <cell r="T2285" t="str">
            <v>6. Serv Terceros y Ventas</v>
          </cell>
          <cell r="V2285" t="str">
            <v>II. Gastos</v>
          </cell>
          <cell r="W2285" t="str">
            <v>23. Bienes y Servicios para la Producción</v>
          </cell>
          <cell r="Z2285" t="str">
            <v>II. Costo Ventas</v>
          </cell>
          <cell r="AA2285" t="str">
            <v>6. Serv Terceros y Ventas</v>
          </cell>
          <cell r="AC2285" t="str">
            <v>II. Costo de Explotación</v>
          </cell>
          <cell r="AD2285" t="str">
            <v>2. Bienes y servicios Expl.</v>
          </cell>
          <cell r="AE2285" t="str">
            <v>6. Serv Terceros y Ventas</v>
          </cell>
          <cell r="AH2285" t="str">
            <v>6. Partidas significativas de gastos</v>
          </cell>
        </row>
        <row r="2286">
          <cell r="D2286" t="str">
            <v>4-1-03-02-02</v>
          </cell>
          <cell r="E2286" t="str">
            <v>4-1-03-02-02</v>
          </cell>
          <cell r="F2286" t="str">
            <v>Luz Operaciones</v>
          </cell>
          <cell r="G2286" t="str">
            <v>4-1-03-02-02  Luz Operaciones</v>
          </cell>
          <cell r="H2286" t="str">
            <v>Est. Resultado</v>
          </cell>
          <cell r="I2286" t="str">
            <v>Resultado</v>
          </cell>
          <cell r="J2286" t="str">
            <v>3. Costo de Venta</v>
          </cell>
          <cell r="K2286" t="str">
            <v>6. Serv Terceros y Ventas</v>
          </cell>
          <cell r="L2286" t="str">
            <v>EBITDA</v>
          </cell>
          <cell r="M2286" t="str">
            <v>MARGEN BRUTO</v>
          </cell>
          <cell r="N2286" t="str">
            <v>GANANCIAS (PERDIDAS) ANTES DE IMPUESTOS</v>
          </cell>
          <cell r="O2286" t="str">
            <v>GANANCIA (PÉRDIDA) NETA</v>
          </cell>
          <cell r="P2286" t="str">
            <v>Resultado Ingresos y Gastos Integrales</v>
          </cell>
          <cell r="Q2286" t="str">
            <v>I. Ganancia (pérdida), antes de impuestos</v>
          </cell>
          <cell r="R2286" t="str">
            <v>a. Ganancia bruta</v>
          </cell>
          <cell r="S2286" t="str">
            <v>2. Costo de ventas</v>
          </cell>
          <cell r="T2286" t="str">
            <v>6. Serv Terceros y Ventas</v>
          </cell>
          <cell r="V2286" t="str">
            <v>II. Gastos</v>
          </cell>
          <cell r="W2286" t="str">
            <v>23. Bienes y Servicios para la Producción</v>
          </cell>
          <cell r="Z2286" t="str">
            <v>II. Costo Ventas</v>
          </cell>
          <cell r="AA2286" t="str">
            <v>6. Serv Terceros y Ventas</v>
          </cell>
          <cell r="AC2286" t="str">
            <v>II. Costo de Explotación</v>
          </cell>
          <cell r="AD2286" t="str">
            <v>2. Bienes y servicios Expl.</v>
          </cell>
          <cell r="AE2286" t="str">
            <v>6. Serv Terceros y Ventas</v>
          </cell>
          <cell r="AH2286" t="str">
            <v>6. Partidas significativas de gastos</v>
          </cell>
        </row>
        <row r="2287">
          <cell r="D2287" t="str">
            <v>4-1-03-02-03</v>
          </cell>
          <cell r="E2287" t="str">
            <v>4-1-03-02-03</v>
          </cell>
          <cell r="F2287" t="str">
            <v>Telefonía Fija Operaciones</v>
          </cell>
          <cell r="G2287" t="str">
            <v>4-1-03-02-03  Telefonía Fija Operaciones</v>
          </cell>
          <cell r="H2287" t="str">
            <v>Est. Resultado</v>
          </cell>
          <cell r="I2287" t="str">
            <v>Resultado</v>
          </cell>
          <cell r="J2287" t="str">
            <v>3. Costo de Venta</v>
          </cell>
          <cell r="K2287" t="str">
            <v>6. Serv Terceros y Ventas</v>
          </cell>
          <cell r="L2287" t="str">
            <v>EBITDA</v>
          </cell>
          <cell r="M2287" t="str">
            <v>MARGEN BRUTO</v>
          </cell>
          <cell r="N2287" t="str">
            <v>GANANCIAS (PERDIDAS) ANTES DE IMPUESTOS</v>
          </cell>
          <cell r="O2287" t="str">
            <v>GANANCIA (PÉRDIDA) NETA</v>
          </cell>
          <cell r="P2287" t="str">
            <v>Resultado Ingresos y Gastos Integrales</v>
          </cell>
          <cell r="Q2287" t="str">
            <v>I. Ganancia (pérdida), antes de impuestos</v>
          </cell>
          <cell r="R2287" t="str">
            <v>a. Ganancia bruta</v>
          </cell>
          <cell r="S2287" t="str">
            <v>2. Costo de ventas</v>
          </cell>
          <cell r="T2287" t="str">
            <v>6. Serv Terceros y Ventas</v>
          </cell>
          <cell r="V2287" t="str">
            <v>II. Gastos</v>
          </cell>
          <cell r="W2287" t="str">
            <v>23. Bienes y Servicios para la Producción</v>
          </cell>
          <cell r="Z2287" t="str">
            <v>II. Costo Ventas</v>
          </cell>
          <cell r="AA2287" t="str">
            <v>6. Serv Terceros y Ventas</v>
          </cell>
          <cell r="AC2287" t="str">
            <v>II. Costo de Explotación</v>
          </cell>
          <cell r="AD2287" t="str">
            <v>2. Bienes y servicios Expl.</v>
          </cell>
          <cell r="AE2287" t="str">
            <v>6. Serv Terceros y Ventas</v>
          </cell>
          <cell r="AH2287" t="str">
            <v>6. Partidas significativas de gastos</v>
          </cell>
        </row>
        <row r="2288">
          <cell r="D2288" t="str">
            <v>4-1-03-02-04</v>
          </cell>
          <cell r="E2288" t="str">
            <v>4-1-03-02-04</v>
          </cell>
          <cell r="F2288" t="str">
            <v>Telefonía Celular Operaciones</v>
          </cell>
          <cell r="G2288" t="str">
            <v>4-1-03-02-04  Telefonía Celular Operaciones</v>
          </cell>
          <cell r="H2288" t="str">
            <v>Est. Resultado</v>
          </cell>
          <cell r="I2288" t="str">
            <v>Resultado</v>
          </cell>
          <cell r="J2288" t="str">
            <v>3. Costo de Venta</v>
          </cell>
          <cell r="K2288" t="str">
            <v>6. Serv Terceros y Ventas</v>
          </cell>
          <cell r="L2288" t="str">
            <v>EBITDA</v>
          </cell>
          <cell r="M2288" t="str">
            <v>MARGEN BRUTO</v>
          </cell>
          <cell r="N2288" t="str">
            <v>GANANCIAS (PERDIDAS) ANTES DE IMPUESTOS</v>
          </cell>
          <cell r="O2288" t="str">
            <v>GANANCIA (PÉRDIDA) NETA</v>
          </cell>
          <cell r="P2288" t="str">
            <v>Resultado Ingresos y Gastos Integrales</v>
          </cell>
          <cell r="Q2288" t="str">
            <v>I. Ganancia (pérdida), antes de impuestos</v>
          </cell>
          <cell r="R2288" t="str">
            <v>a. Ganancia bruta</v>
          </cell>
          <cell r="S2288" t="str">
            <v>2. Costo de ventas</v>
          </cell>
          <cell r="T2288" t="str">
            <v>6. Serv Terceros y Ventas</v>
          </cell>
          <cell r="V2288" t="str">
            <v>II. Gastos</v>
          </cell>
          <cell r="W2288" t="str">
            <v>23. Bienes y Servicios para la Producción</v>
          </cell>
          <cell r="Z2288" t="str">
            <v>II. Costo Ventas</v>
          </cell>
          <cell r="AA2288" t="str">
            <v>6. Serv Terceros y Ventas</v>
          </cell>
          <cell r="AC2288" t="str">
            <v>II. Costo de Explotación</v>
          </cell>
          <cell r="AD2288" t="str">
            <v>2. Bienes y servicios Expl.</v>
          </cell>
          <cell r="AE2288" t="str">
            <v>6. Serv Terceros y Ventas</v>
          </cell>
          <cell r="AH2288" t="str">
            <v>6. Partidas significativas de gastos</v>
          </cell>
        </row>
        <row r="2289">
          <cell r="D2289" t="str">
            <v>4-1-03-02-06</v>
          </cell>
          <cell r="E2289" t="str">
            <v>4-1-03-02-06</v>
          </cell>
          <cell r="F2289" t="str">
            <v>Radiocomunicaciones Operaciones</v>
          </cell>
          <cell r="G2289" t="str">
            <v>4-1-03-02-06  Radiocomunicaciones Operaciones</v>
          </cell>
          <cell r="H2289" t="str">
            <v>Est. Resultado</v>
          </cell>
          <cell r="I2289" t="str">
            <v>Resultado</v>
          </cell>
          <cell r="J2289" t="str">
            <v>3. Costo de Venta</v>
          </cell>
          <cell r="K2289" t="str">
            <v>6. Serv Terceros y Ventas</v>
          </cell>
          <cell r="L2289" t="str">
            <v>EBITDA</v>
          </cell>
          <cell r="M2289" t="str">
            <v>MARGEN BRUTO</v>
          </cell>
          <cell r="N2289" t="str">
            <v>GANANCIAS (PERDIDAS) ANTES DE IMPUESTOS</v>
          </cell>
          <cell r="O2289" t="str">
            <v>GANANCIA (PÉRDIDA) NETA</v>
          </cell>
          <cell r="P2289" t="str">
            <v>Resultado Ingresos y Gastos Integrales</v>
          </cell>
          <cell r="Q2289" t="str">
            <v>I. Ganancia (pérdida), antes de impuestos</v>
          </cell>
          <cell r="R2289" t="str">
            <v>a. Ganancia bruta</v>
          </cell>
          <cell r="S2289" t="str">
            <v>2. Costo de ventas</v>
          </cell>
          <cell r="T2289" t="str">
            <v>6. Serv Terceros y Ventas</v>
          </cell>
          <cell r="V2289" t="str">
            <v>II. Gastos</v>
          </cell>
          <cell r="W2289" t="str">
            <v>23. Bienes y Servicios para la Producción</v>
          </cell>
          <cell r="Z2289" t="str">
            <v>II. Costo Ventas</v>
          </cell>
          <cell r="AA2289" t="str">
            <v>6. Serv Terceros y Ventas</v>
          </cell>
          <cell r="AC2289" t="str">
            <v>II. Costo de Explotación</v>
          </cell>
          <cell r="AD2289" t="str">
            <v>2. Bienes y servicios Expl.</v>
          </cell>
          <cell r="AE2289" t="str">
            <v>6. Serv Terceros y Ventas</v>
          </cell>
          <cell r="AH2289" t="str">
            <v>6. Partidas significativas de gastos</v>
          </cell>
        </row>
        <row r="2290">
          <cell r="D2290" t="str">
            <v>4-1-05-01-01</v>
          </cell>
          <cell r="E2290" t="str">
            <v>4-1-05-01-01</v>
          </cell>
          <cell r="F2290" t="str">
            <v>Seguros Automotores</v>
          </cell>
          <cell r="G2290" t="str">
            <v>4-1-05-01-01  Seguros Automotores</v>
          </cell>
          <cell r="H2290" t="str">
            <v>Est. Resultado</v>
          </cell>
          <cell r="I2290" t="str">
            <v>Resultado</v>
          </cell>
          <cell r="J2290" t="str">
            <v>3. Costo de Venta</v>
          </cell>
          <cell r="K2290" t="str">
            <v>6. Serv Terceros y Ventas</v>
          </cell>
          <cell r="L2290" t="str">
            <v>EBITDA</v>
          </cell>
          <cell r="M2290" t="str">
            <v>MARGEN BRUTO</v>
          </cell>
          <cell r="N2290" t="str">
            <v>GANANCIAS (PERDIDAS) ANTES DE IMPUESTOS</v>
          </cell>
          <cell r="O2290" t="str">
            <v>GANANCIA (PÉRDIDA) NETA</v>
          </cell>
          <cell r="P2290" t="str">
            <v>Resultado Ingresos y Gastos Integrales</v>
          </cell>
          <cell r="Q2290" t="str">
            <v>I. Ganancia (pérdida), antes de impuestos</v>
          </cell>
          <cell r="R2290" t="str">
            <v>a. Ganancia bruta</v>
          </cell>
          <cell r="S2290" t="str">
            <v>2. Costo de ventas</v>
          </cell>
          <cell r="T2290" t="str">
            <v>6. Serv Terceros y Ventas</v>
          </cell>
          <cell r="V2290" t="str">
            <v>II. Gastos</v>
          </cell>
          <cell r="W2290" t="str">
            <v>23. Bienes y Servicios para la Producción</v>
          </cell>
          <cell r="Z2290" t="str">
            <v>II. Costo Ventas</v>
          </cell>
          <cell r="AA2290" t="str">
            <v>6. Serv Terceros y Ventas</v>
          </cell>
          <cell r="AC2290" t="str">
            <v>II. Costo de Explotación</v>
          </cell>
          <cell r="AD2290" t="str">
            <v>2. Bienes y servicios Expl.</v>
          </cell>
          <cell r="AE2290" t="str">
            <v>6. Serv Terceros y Ventas</v>
          </cell>
          <cell r="AH2290" t="str">
            <v>6. Partidas significativas de gastos</v>
          </cell>
        </row>
        <row r="2291">
          <cell r="D2291" t="str">
            <v>4-1-06-01-02</v>
          </cell>
          <cell r="E2291" t="str">
            <v>4-1-06-01-02</v>
          </cell>
          <cell r="F2291" t="str">
            <v>Asesorías Operaciones</v>
          </cell>
          <cell r="G2291" t="str">
            <v>4-1-06-01-02  Asesorías Operaciones</v>
          </cell>
          <cell r="H2291" t="str">
            <v>Est. Resultado</v>
          </cell>
          <cell r="I2291" t="str">
            <v>Resultado</v>
          </cell>
          <cell r="J2291" t="str">
            <v>3. Costo de Venta</v>
          </cell>
          <cell r="K2291" t="str">
            <v>6. Serv Terceros y Ventas</v>
          </cell>
          <cell r="L2291" t="str">
            <v>EBITDA</v>
          </cell>
          <cell r="M2291" t="str">
            <v>MARGEN BRUTO</v>
          </cell>
          <cell r="N2291" t="str">
            <v>GANANCIAS (PERDIDAS) ANTES DE IMPUESTOS</v>
          </cell>
          <cell r="O2291" t="str">
            <v>GANANCIA (PÉRDIDA) NETA</v>
          </cell>
          <cell r="P2291" t="str">
            <v>Resultado Ingresos y Gastos Integrales</v>
          </cell>
          <cell r="Q2291" t="str">
            <v>I. Ganancia (pérdida), antes de impuestos</v>
          </cell>
          <cell r="R2291" t="str">
            <v>a. Ganancia bruta</v>
          </cell>
          <cell r="S2291" t="str">
            <v>2. Costo de ventas</v>
          </cell>
          <cell r="T2291" t="str">
            <v>6. Serv Terceros y Ventas</v>
          </cell>
          <cell r="V2291" t="str">
            <v>II. Gastos</v>
          </cell>
          <cell r="W2291" t="str">
            <v>23. Bienes y Servicios para la Producción</v>
          </cell>
          <cell r="Z2291" t="str">
            <v>II. Costo Ventas</v>
          </cell>
          <cell r="AA2291" t="str">
            <v>6. Serv Terceros y Ventas</v>
          </cell>
          <cell r="AC2291" t="str">
            <v>II. Costo de Explotación</v>
          </cell>
          <cell r="AD2291" t="str">
            <v>2. Bienes y servicios Expl.</v>
          </cell>
          <cell r="AE2291" t="str">
            <v>6. Serv Terceros y Ventas</v>
          </cell>
          <cell r="AH2291" t="str">
            <v>6. Partidas significativas de gastos</v>
          </cell>
        </row>
        <row r="2292">
          <cell r="D2292" t="str">
            <v>4-1-03-03-01</v>
          </cell>
          <cell r="E2292" t="str">
            <v>4-1-03-03-01</v>
          </cell>
          <cell r="F2292" t="str">
            <v>Tarjetas Mifare Std (1K)</v>
          </cell>
          <cell r="G2292" t="str">
            <v>4-1-03-03-01  Tarjetas Mifare Std (1K)</v>
          </cell>
          <cell r="H2292" t="str">
            <v>Est. Resultado</v>
          </cell>
          <cell r="I2292" t="str">
            <v>Resultado</v>
          </cell>
          <cell r="J2292" t="str">
            <v>3. Costo de Venta</v>
          </cell>
          <cell r="K2292" t="str">
            <v>6. Serv Terceros y Ventas</v>
          </cell>
          <cell r="L2292" t="str">
            <v>EBITDA</v>
          </cell>
          <cell r="M2292" t="str">
            <v>MARGEN BRUTO</v>
          </cell>
          <cell r="N2292" t="str">
            <v>GANANCIAS (PERDIDAS) ANTES DE IMPUESTOS</v>
          </cell>
          <cell r="O2292" t="str">
            <v>GANANCIA (PÉRDIDA) NETA</v>
          </cell>
          <cell r="P2292" t="str">
            <v>Resultado Ingresos y Gastos Integrales</v>
          </cell>
          <cell r="Q2292" t="str">
            <v>I. Ganancia (pérdida), antes de impuestos</v>
          </cell>
          <cell r="R2292" t="str">
            <v>a. Ganancia bruta</v>
          </cell>
          <cell r="S2292" t="str">
            <v>2. Costo de ventas</v>
          </cell>
          <cell r="T2292" t="str">
            <v>6. Serv Terceros y Ventas</v>
          </cell>
          <cell r="V2292" t="str">
            <v>II. Gastos</v>
          </cell>
          <cell r="W2292" t="str">
            <v>23. Bienes y Servicios para la Producción</v>
          </cell>
          <cell r="Z2292" t="str">
            <v>II. Costo Ventas</v>
          </cell>
          <cell r="AA2292" t="str">
            <v>6. Serv Terceros y Ventas</v>
          </cell>
          <cell r="AC2292" t="str">
            <v>II. Costo de Explotación</v>
          </cell>
          <cell r="AD2292" t="str">
            <v>2. Bienes y servicios Expl.</v>
          </cell>
          <cell r="AE2292" t="str">
            <v>6. Serv Terceros y Ventas</v>
          </cell>
          <cell r="AH2292" t="str">
            <v>6. Partidas significativas de gastos</v>
          </cell>
        </row>
        <row r="2293">
          <cell r="D2293" t="str">
            <v>4-1-03-99-01</v>
          </cell>
          <cell r="E2293" t="str">
            <v>4-1-03-99-01</v>
          </cell>
          <cell r="F2293" t="str">
            <v>Otros Insumos Operaciones</v>
          </cell>
          <cell r="G2293" t="str">
            <v>4-1-03-99-01  Otros Insumos Operaciones</v>
          </cell>
          <cell r="H2293" t="str">
            <v>Est. Resultado</v>
          </cell>
          <cell r="I2293" t="str">
            <v>Resultado</v>
          </cell>
          <cell r="J2293" t="str">
            <v>3. Costo de Venta</v>
          </cell>
          <cell r="K2293" t="str">
            <v>6. Serv Terceros y Ventas</v>
          </cell>
          <cell r="L2293" t="str">
            <v>EBITDA</v>
          </cell>
          <cell r="M2293" t="str">
            <v>MARGEN BRUTO</v>
          </cell>
          <cell r="N2293" t="str">
            <v>GANANCIAS (PERDIDAS) ANTES DE IMPUESTOS</v>
          </cell>
          <cell r="O2293" t="str">
            <v>GANANCIA (PÉRDIDA) NETA</v>
          </cell>
          <cell r="P2293" t="str">
            <v>Resultado Ingresos y Gastos Integrales</v>
          </cell>
          <cell r="Q2293" t="str">
            <v>I. Ganancia (pérdida), antes de impuestos</v>
          </cell>
          <cell r="R2293" t="str">
            <v>a. Ganancia bruta</v>
          </cell>
          <cell r="S2293" t="str">
            <v>2. Costo de ventas</v>
          </cell>
          <cell r="T2293" t="str">
            <v>6. Serv Terceros y Ventas</v>
          </cell>
          <cell r="V2293" t="str">
            <v>II. Gastos</v>
          </cell>
          <cell r="W2293" t="str">
            <v>23. Bienes y Servicios para la Producción</v>
          </cell>
          <cell r="Z2293" t="str">
            <v>II. Costo Ventas</v>
          </cell>
          <cell r="AA2293" t="str">
            <v>6. Serv Terceros y Ventas</v>
          </cell>
          <cell r="AC2293" t="str">
            <v>II. Costo de Explotación</v>
          </cell>
          <cell r="AD2293" t="str">
            <v>2. Bienes y servicios Expl.</v>
          </cell>
          <cell r="AE2293" t="str">
            <v>6. Serv Terceros y Ventas</v>
          </cell>
          <cell r="AH2293" t="str">
            <v>6. Partidas significativas de gastos</v>
          </cell>
        </row>
        <row r="2294">
          <cell r="D2294" t="str">
            <v>4-1-05-01-02</v>
          </cell>
          <cell r="E2294" t="str">
            <v>4-1-05-01-02</v>
          </cell>
          <cell r="F2294" t="str">
            <v>Seguros Vehículos</v>
          </cell>
          <cell r="G2294" t="str">
            <v>4-1-05-01-02  Seguros Vehículos</v>
          </cell>
          <cell r="H2294" t="str">
            <v>Est. Resultado</v>
          </cell>
          <cell r="I2294" t="str">
            <v>Resultado</v>
          </cell>
          <cell r="J2294" t="str">
            <v>3. Costo de Venta</v>
          </cell>
          <cell r="K2294" t="str">
            <v>6. Serv Terceros y Ventas</v>
          </cell>
          <cell r="L2294" t="str">
            <v>EBITDA</v>
          </cell>
          <cell r="M2294" t="str">
            <v>MARGEN BRUTO</v>
          </cell>
          <cell r="N2294" t="str">
            <v>GANANCIAS (PERDIDAS) ANTES DE IMPUESTOS</v>
          </cell>
          <cell r="O2294" t="str">
            <v>GANANCIA (PÉRDIDA) NETA</v>
          </cell>
          <cell r="P2294" t="str">
            <v>Resultado Ingresos y Gastos Integrales</v>
          </cell>
          <cell r="Q2294" t="str">
            <v>I. Ganancia (pérdida), antes de impuestos</v>
          </cell>
          <cell r="R2294" t="str">
            <v>a. Ganancia bruta</v>
          </cell>
          <cell r="S2294" t="str">
            <v>2. Costo de ventas</v>
          </cell>
          <cell r="T2294" t="str">
            <v>6. Serv Terceros y Ventas</v>
          </cell>
          <cell r="V2294" t="str">
            <v>II. Gastos</v>
          </cell>
          <cell r="W2294" t="str">
            <v>23. Bienes y Servicios para la Producción</v>
          </cell>
          <cell r="Z2294" t="str">
            <v>II. Costo Ventas</v>
          </cell>
          <cell r="AA2294" t="str">
            <v>6. Serv Terceros y Ventas</v>
          </cell>
          <cell r="AC2294" t="str">
            <v>II. Costo de Explotación</v>
          </cell>
          <cell r="AD2294" t="str">
            <v>2. Bienes y servicios Expl.</v>
          </cell>
          <cell r="AE2294" t="str">
            <v>6. Serv Terceros y Ventas</v>
          </cell>
          <cell r="AH2294" t="str">
            <v>6. Partidas significativas de gastos</v>
          </cell>
        </row>
        <row r="2295">
          <cell r="D2295" t="str">
            <v>4-1-07-02-01</v>
          </cell>
          <cell r="E2295" t="str">
            <v>4-1-07-02-01</v>
          </cell>
          <cell r="F2295" t="str">
            <v>Materiales Aseo Operaciones</v>
          </cell>
          <cell r="G2295" t="str">
            <v>4-1-07-02-01  Materiales Aseo Operaciones</v>
          </cell>
          <cell r="H2295" t="str">
            <v>Est. Resultado</v>
          </cell>
          <cell r="I2295" t="str">
            <v>Resultado</v>
          </cell>
          <cell r="J2295" t="str">
            <v>3. Costo de Venta</v>
          </cell>
          <cell r="K2295" t="str">
            <v>6. Serv Terceros y Ventas</v>
          </cell>
          <cell r="L2295" t="str">
            <v>EBITDA</v>
          </cell>
          <cell r="M2295" t="str">
            <v>MARGEN BRUTO</v>
          </cell>
          <cell r="N2295" t="str">
            <v>GANANCIAS (PERDIDAS) ANTES DE IMPUESTOS</v>
          </cell>
          <cell r="O2295" t="str">
            <v>GANANCIA (PÉRDIDA) NETA</v>
          </cell>
          <cell r="P2295" t="str">
            <v>Resultado Ingresos y Gastos Integrales</v>
          </cell>
          <cell r="Q2295" t="str">
            <v>I. Ganancia (pérdida), antes de impuestos</v>
          </cell>
          <cell r="R2295" t="str">
            <v>a. Ganancia bruta</v>
          </cell>
          <cell r="S2295" t="str">
            <v>2. Costo de ventas</v>
          </cell>
          <cell r="T2295" t="str">
            <v>6. Serv Terceros y Ventas</v>
          </cell>
          <cell r="V2295" t="str">
            <v>II. Gastos</v>
          </cell>
          <cell r="W2295" t="str">
            <v>23. Bienes y Servicios para la Producción</v>
          </cell>
          <cell r="Z2295" t="str">
            <v>II. Costo Ventas</v>
          </cell>
          <cell r="AA2295" t="str">
            <v>6. Serv Terceros y Ventas</v>
          </cell>
          <cell r="AC2295" t="str">
            <v>II. Costo de Explotación</v>
          </cell>
          <cell r="AD2295" t="str">
            <v>2. Bienes y servicios Expl.</v>
          </cell>
          <cell r="AE2295" t="str">
            <v>6. Serv Terceros y Ventas</v>
          </cell>
          <cell r="AH2295" t="str">
            <v>6. Partidas significativas de gastos</v>
          </cell>
        </row>
        <row r="2296">
          <cell r="D2296">
            <v>0</v>
          </cell>
          <cell r="F2296" t="str">
            <v>Aseo</v>
          </cell>
          <cell r="G2296" t="str">
            <v/>
          </cell>
          <cell r="H2296" t="str">
            <v>Est. Resultado</v>
          </cell>
          <cell r="I2296" t="str">
            <v>Resultado</v>
          </cell>
          <cell r="J2296" t="str">
            <v>3. Costo de Venta</v>
          </cell>
          <cell r="K2296" t="str">
            <v>6. Serv Terceros y Ventas</v>
          </cell>
          <cell r="L2296" t="str">
            <v>EBITDA</v>
          </cell>
          <cell r="M2296" t="str">
            <v>MARGEN BRUTO</v>
          </cell>
          <cell r="N2296" t="str">
            <v>GANANCIAS (PERDIDAS) ANTES DE IMPUESTOS</v>
          </cell>
          <cell r="O2296" t="str">
            <v>GANANCIA (PÉRDIDA) NETA</v>
          </cell>
          <cell r="P2296" t="str">
            <v>Resultado Ingresos y Gastos Integrales</v>
          </cell>
          <cell r="Q2296" t="str">
            <v>I. Ganancia (pérdida), antes de impuestos</v>
          </cell>
          <cell r="R2296" t="str">
            <v>a. Ganancia bruta</v>
          </cell>
          <cell r="S2296" t="str">
            <v>2. Costo de ventas</v>
          </cell>
          <cell r="T2296" t="str">
            <v>6. Serv Terceros y Ventas</v>
          </cell>
          <cell r="V2296" t="str">
            <v>II. Gastos</v>
          </cell>
          <cell r="W2296" t="str">
            <v>23. Bienes y Servicios para la Producción</v>
          </cell>
          <cell r="Z2296" t="str">
            <v>II. Costo Ventas</v>
          </cell>
          <cell r="AA2296" t="str">
            <v>6. Serv Terceros y Ventas</v>
          </cell>
          <cell r="AC2296" t="str">
            <v>II. Costo de Explotación</v>
          </cell>
          <cell r="AD2296" t="str">
            <v>2. Bienes y servicios Expl.</v>
          </cell>
          <cell r="AE2296" t="str">
            <v>6. Serv Terceros y Ventas</v>
          </cell>
          <cell r="AH2296" t="str">
            <v>6. Partidas significativas de gastos</v>
          </cell>
        </row>
        <row r="2297">
          <cell r="D2297">
            <v>0</v>
          </cell>
          <cell r="F2297" t="str">
            <v>Cajeros</v>
          </cell>
          <cell r="G2297" t="str">
            <v/>
          </cell>
          <cell r="H2297" t="str">
            <v>Est. Resultado</v>
          </cell>
          <cell r="I2297" t="str">
            <v>Resultado</v>
          </cell>
          <cell r="J2297" t="str">
            <v>3. Costo de Venta</v>
          </cell>
          <cell r="K2297" t="str">
            <v>6. Serv Terceros y Ventas</v>
          </cell>
          <cell r="L2297" t="str">
            <v>EBITDA</v>
          </cell>
          <cell r="M2297" t="str">
            <v>MARGEN BRUTO</v>
          </cell>
          <cell r="N2297" t="str">
            <v>GANANCIAS (PERDIDAS) ANTES DE IMPUESTOS</v>
          </cell>
          <cell r="O2297" t="str">
            <v>GANANCIA (PÉRDIDA) NETA</v>
          </cell>
          <cell r="P2297" t="str">
            <v>Resultado Ingresos y Gastos Integrales</v>
          </cell>
          <cell r="Q2297" t="str">
            <v>I. Ganancia (pérdida), antes de impuestos</v>
          </cell>
          <cell r="R2297" t="str">
            <v>a. Ganancia bruta</v>
          </cell>
          <cell r="S2297" t="str">
            <v>2. Costo de ventas</v>
          </cell>
          <cell r="T2297" t="str">
            <v>6. Serv Terceros y Ventas</v>
          </cell>
          <cell r="V2297" t="str">
            <v>II. Gastos</v>
          </cell>
          <cell r="W2297" t="str">
            <v>23. Bienes y Servicios para la Producción</v>
          </cell>
          <cell r="Z2297" t="str">
            <v>II. Costo Ventas</v>
          </cell>
          <cell r="AA2297" t="str">
            <v>6. Serv Terceros y Ventas</v>
          </cell>
          <cell r="AC2297" t="str">
            <v>II. Costo de Explotación</v>
          </cell>
          <cell r="AD2297" t="str">
            <v>2. Bienes y servicios Expl.</v>
          </cell>
          <cell r="AE2297" t="str">
            <v>6. Serv Terceros y Ventas</v>
          </cell>
          <cell r="AH2297" t="str">
            <v>6. Partidas significativas de gastos</v>
          </cell>
        </row>
        <row r="2298">
          <cell r="D2298">
            <v>0</v>
          </cell>
          <cell r="G2298" t="str">
            <v/>
          </cell>
        </row>
        <row r="2299">
          <cell r="D2299">
            <v>0</v>
          </cell>
          <cell r="G2299" t="str">
            <v/>
          </cell>
        </row>
        <row r="2300">
          <cell r="D2300">
            <v>0</v>
          </cell>
          <cell r="G2300" t="str">
            <v/>
          </cell>
        </row>
        <row r="2301">
          <cell r="D2301" t="str">
            <v>Serv Terceros y Ventas</v>
          </cell>
          <cell r="E2301" t="str">
            <v>Serv Terceros y Ventas</v>
          </cell>
          <cell r="F2301" t="str">
            <v/>
          </cell>
          <cell r="G2301" t="str">
            <v xml:space="preserve">Serv Terceros y Ventas  </v>
          </cell>
          <cell r="Q2301">
            <v>0</v>
          </cell>
          <cell r="R2301" t="str">
            <v/>
          </cell>
          <cell r="T2301" t="str">
            <v/>
          </cell>
        </row>
        <row r="2302">
          <cell r="D2302" t="str">
            <v>COSTO DE VENTA</v>
          </cell>
          <cell r="E2302" t="str">
            <v>COSTO DE VENTA</v>
          </cell>
          <cell r="F2302" t="str">
            <v/>
          </cell>
          <cell r="G2302" t="str">
            <v xml:space="preserve">COSTO DE VENTA  </v>
          </cell>
          <cell r="Q2302">
            <v>0</v>
          </cell>
          <cell r="R2302" t="str">
            <v/>
          </cell>
          <cell r="T2302" t="str">
            <v/>
          </cell>
        </row>
        <row r="2303">
          <cell r="D2303" t="str">
            <v>4-1-09-01-02</v>
          </cell>
          <cell r="E2303" t="str">
            <v>4-1-09-01-02</v>
          </cell>
          <cell r="F2303" t="str">
            <v>Deprec. Del Ejerc. Maquinas Y Herramient</v>
          </cell>
          <cell r="G2303" t="str">
            <v>4-1-09-01-02  Deprec. Del Ejerc. Maquinas Y Herramient</v>
          </cell>
          <cell r="H2303" t="str">
            <v>Est. Resultado</v>
          </cell>
          <cell r="I2303" t="str">
            <v>Resultado</v>
          </cell>
          <cell r="J2303" t="str">
            <v>4. Depreciación</v>
          </cell>
          <cell r="K2303" t="str">
            <v>1. Depreciación</v>
          </cell>
          <cell r="L2303" t="str">
            <v>EBITDA</v>
          </cell>
          <cell r="M2303" t="str">
            <v>MARGEN BRUTO</v>
          </cell>
          <cell r="N2303" t="str">
            <v>GANANCIAS (PERDIDAS) ANTES DE IMPUESTOS</v>
          </cell>
          <cell r="O2303" t="str">
            <v>GANANCIA (PÉRDIDA) NETA</v>
          </cell>
          <cell r="P2303" t="str">
            <v>Resultado Ingresos y Gastos Integrales</v>
          </cell>
          <cell r="Q2303" t="str">
            <v>I. Ganancia (pérdida), antes de impuestos</v>
          </cell>
          <cell r="R2303" t="str">
            <v>a. Ganancia bruta</v>
          </cell>
          <cell r="S2303" t="str">
            <v>2. Costo de ventas</v>
          </cell>
          <cell r="T2303" t="str">
            <v>10. Depreciación</v>
          </cell>
          <cell r="Z2303" t="str">
            <v>II. Costo Ventas</v>
          </cell>
          <cell r="AA2303" t="str">
            <v>8. Depreciación</v>
          </cell>
          <cell r="AC2303" t="str">
            <v>IV. Depreciación</v>
          </cell>
          <cell r="AD2303" t="str">
            <v>1. Depreciación</v>
          </cell>
          <cell r="AE2303" t="str">
            <v>1. Depreciación A.F.</v>
          </cell>
          <cell r="AH2303" t="str">
            <v>4. Depreciaciones y amortizaciones</v>
          </cell>
        </row>
        <row r="2304">
          <cell r="D2304" t="str">
            <v>4-1-09-01-03</v>
          </cell>
          <cell r="E2304" t="str">
            <v>4-1-09-01-03</v>
          </cell>
          <cell r="F2304" t="str">
            <v>Deprec.Del Ejerc. Vehiculos</v>
          </cell>
          <cell r="G2304" t="str">
            <v>4-1-09-01-03  Deprec.Del Ejerc. Vehiculos</v>
          </cell>
          <cell r="H2304" t="str">
            <v>Est. Resultado</v>
          </cell>
          <cell r="I2304" t="str">
            <v>Resultado</v>
          </cell>
          <cell r="J2304" t="str">
            <v>4. Depreciación</v>
          </cell>
          <cell r="K2304" t="str">
            <v>1. Depreciación</v>
          </cell>
          <cell r="L2304" t="str">
            <v>EBITDA</v>
          </cell>
          <cell r="M2304" t="str">
            <v>MARGEN BRUTO</v>
          </cell>
          <cell r="N2304" t="str">
            <v>GANANCIAS (PERDIDAS) ANTES DE IMPUESTOS</v>
          </cell>
          <cell r="O2304" t="str">
            <v>GANANCIA (PÉRDIDA) NETA</v>
          </cell>
          <cell r="P2304" t="str">
            <v>Resultado Ingresos y Gastos Integrales</v>
          </cell>
          <cell r="Q2304" t="str">
            <v>I. Ganancia (pérdida), antes de impuestos</v>
          </cell>
          <cell r="R2304" t="str">
            <v>a. Ganancia bruta</v>
          </cell>
          <cell r="S2304" t="str">
            <v>2. Costo de ventas</v>
          </cell>
          <cell r="T2304" t="str">
            <v>10. Depreciación</v>
          </cell>
          <cell r="Z2304" t="str">
            <v>II. Costo Ventas</v>
          </cell>
          <cell r="AA2304" t="str">
            <v>8. Depreciación</v>
          </cell>
          <cell r="AC2304" t="str">
            <v>IV. Depreciación</v>
          </cell>
          <cell r="AD2304" t="str">
            <v>1. Depreciación</v>
          </cell>
          <cell r="AE2304" t="str">
            <v>1. Depreciación A.F.</v>
          </cell>
          <cell r="AH2304" t="str">
            <v>4. Depreciaciones y amortizaciones</v>
          </cell>
        </row>
        <row r="2305">
          <cell r="D2305" t="str">
            <v>4-1-09-01-01</v>
          </cell>
          <cell r="E2305" t="str">
            <v>4-1-09-01-01</v>
          </cell>
          <cell r="F2305" t="str">
            <v>Deprec.Del Ejerc. Automotores</v>
          </cell>
          <cell r="G2305" t="str">
            <v>4-1-09-01-01  Deprec.Del Ejerc. Automotores</v>
          </cell>
          <cell r="H2305" t="str">
            <v>Est. Resultado</v>
          </cell>
          <cell r="I2305" t="str">
            <v>Resultado</v>
          </cell>
          <cell r="J2305" t="str">
            <v>4. Depreciación</v>
          </cell>
          <cell r="K2305" t="str">
            <v>1. Depreciación</v>
          </cell>
          <cell r="L2305" t="str">
            <v>EBITDA</v>
          </cell>
          <cell r="M2305" t="str">
            <v>MARGEN BRUTO</v>
          </cell>
          <cell r="N2305" t="str">
            <v>GANANCIAS (PERDIDAS) ANTES DE IMPUESTOS</v>
          </cell>
          <cell r="O2305" t="str">
            <v>GANANCIA (PÉRDIDA) NETA</v>
          </cell>
          <cell r="P2305" t="str">
            <v>Resultado Ingresos y Gastos Integrales</v>
          </cell>
          <cell r="Q2305" t="str">
            <v>I. Ganancia (pérdida), antes de impuestos</v>
          </cell>
          <cell r="R2305" t="str">
            <v>a. Ganancia bruta</v>
          </cell>
          <cell r="S2305" t="str">
            <v>2. Costo de ventas</v>
          </cell>
          <cell r="T2305" t="str">
            <v>10. Depreciación</v>
          </cell>
          <cell r="Z2305" t="str">
            <v>II. Costo Ventas</v>
          </cell>
          <cell r="AA2305" t="str">
            <v>8. Depreciación</v>
          </cell>
          <cell r="AC2305" t="str">
            <v>IV. Depreciación</v>
          </cell>
          <cell r="AD2305" t="str">
            <v>1. Depreciación</v>
          </cell>
          <cell r="AE2305" t="str">
            <v>1. Depreciación A.F.</v>
          </cell>
          <cell r="AH2305" t="str">
            <v>4. Depreciaciones y amortizaciones</v>
          </cell>
        </row>
        <row r="2306">
          <cell r="D2306" t="str">
            <v>4-1-09-02-01</v>
          </cell>
          <cell r="E2306" t="str">
            <v>4-1-09-02-01</v>
          </cell>
          <cell r="F2306" t="str">
            <v>Deprec. Del Ejerc. Edificios Y Construc.</v>
          </cell>
          <cell r="G2306" t="str">
            <v>4-1-09-02-01  Deprec. Del Ejerc. Edificios Y Construc.</v>
          </cell>
          <cell r="H2306" t="str">
            <v>Est. Resultado</v>
          </cell>
          <cell r="I2306" t="str">
            <v>Resultado</v>
          </cell>
          <cell r="J2306" t="str">
            <v>4. Depreciación</v>
          </cell>
          <cell r="K2306" t="str">
            <v>1. Depreciación</v>
          </cell>
          <cell r="L2306" t="str">
            <v>EBITDA</v>
          </cell>
          <cell r="M2306" t="str">
            <v>MARGEN BRUTO</v>
          </cell>
          <cell r="N2306" t="str">
            <v>GANANCIAS (PERDIDAS) ANTES DE IMPUESTOS</v>
          </cell>
          <cell r="O2306" t="str">
            <v>GANANCIA (PÉRDIDA) NETA</v>
          </cell>
          <cell r="P2306" t="str">
            <v>Resultado Ingresos y Gastos Integrales</v>
          </cell>
          <cell r="Q2306" t="str">
            <v>I. Ganancia (pérdida), antes de impuestos</v>
          </cell>
          <cell r="R2306" t="str">
            <v>b. Ganancia (pérdida)</v>
          </cell>
          <cell r="S2306" t="str">
            <v>5. Gasto de administración</v>
          </cell>
          <cell r="T2306" t="str">
            <v>16. Depreciación</v>
          </cell>
          <cell r="Z2306" t="str">
            <v>II. Costo Ventas</v>
          </cell>
          <cell r="AA2306" t="str">
            <v>8. Depreciación</v>
          </cell>
          <cell r="AC2306" t="str">
            <v>IV. Depreciación</v>
          </cell>
          <cell r="AD2306" t="str">
            <v>1. Depreciación</v>
          </cell>
          <cell r="AE2306" t="str">
            <v>1. Depreciación A.F.</v>
          </cell>
          <cell r="AH2306" t="str">
            <v>4. Depreciaciones y amortizaciones</v>
          </cell>
        </row>
        <row r="2307">
          <cell r="D2307" t="str">
            <v>4-1-09-02-02</v>
          </cell>
          <cell r="E2307" t="str">
            <v>4-1-09-02-02</v>
          </cell>
          <cell r="F2307" t="str">
            <v>Deprec. Del Ejerc. Maquinas Y Equip. Ofi</v>
          </cell>
          <cell r="G2307" t="str">
            <v>4-1-09-02-02  Deprec. Del Ejerc. Maquinas Y Equip. Ofi</v>
          </cell>
          <cell r="H2307" t="str">
            <v>Est. Resultado</v>
          </cell>
          <cell r="I2307" t="str">
            <v>Resultado</v>
          </cell>
          <cell r="J2307" t="str">
            <v>4. Depreciación</v>
          </cell>
          <cell r="K2307" t="str">
            <v>1. Depreciación</v>
          </cell>
          <cell r="L2307" t="str">
            <v>EBITDA</v>
          </cell>
          <cell r="M2307" t="str">
            <v>MARGEN BRUTO</v>
          </cell>
          <cell r="N2307" t="str">
            <v>GANANCIAS (PERDIDAS) ANTES DE IMPUESTOS</v>
          </cell>
          <cell r="O2307" t="str">
            <v>GANANCIA (PÉRDIDA) NETA</v>
          </cell>
          <cell r="P2307" t="str">
            <v>Resultado Ingresos y Gastos Integrales</v>
          </cell>
          <cell r="Q2307" t="str">
            <v>I. Ganancia (pérdida), antes de impuestos</v>
          </cell>
          <cell r="R2307" t="str">
            <v>b. Ganancia (pérdida)</v>
          </cell>
          <cell r="S2307" t="str">
            <v>5. Gasto de administración</v>
          </cell>
          <cell r="T2307" t="str">
            <v>16. Depreciación</v>
          </cell>
          <cell r="Z2307" t="str">
            <v>II. Costo Ventas</v>
          </cell>
          <cell r="AA2307" t="str">
            <v>8. Depreciación</v>
          </cell>
          <cell r="AC2307" t="str">
            <v>IV. Depreciación</v>
          </cell>
          <cell r="AD2307" t="str">
            <v>1. Depreciación</v>
          </cell>
          <cell r="AE2307" t="str">
            <v>1. Depreciación A.F.</v>
          </cell>
          <cell r="AH2307" t="str">
            <v>4. Depreciaciones y amortizaciones</v>
          </cell>
        </row>
        <row r="2308">
          <cell r="D2308" t="str">
            <v>4-1-09-02-03</v>
          </cell>
          <cell r="E2308" t="str">
            <v>4-1-09-02-03</v>
          </cell>
          <cell r="F2308" t="str">
            <v>Deprec. Del Ejerc. Muebles ( Adm. Y Vent</v>
          </cell>
          <cell r="G2308" t="str">
            <v>4-1-09-02-03  Deprec. Del Ejerc. Muebles ( Adm. Y Vent</v>
          </cell>
          <cell r="H2308" t="str">
            <v>Est. Resultado</v>
          </cell>
          <cell r="I2308" t="str">
            <v>Resultado</v>
          </cell>
          <cell r="J2308" t="str">
            <v>4. Depreciación</v>
          </cell>
          <cell r="K2308" t="str">
            <v>1. Depreciación</v>
          </cell>
          <cell r="L2308" t="str">
            <v>EBITDA</v>
          </cell>
          <cell r="M2308" t="str">
            <v>MARGEN BRUTO</v>
          </cell>
          <cell r="N2308" t="str">
            <v>GANANCIAS (PERDIDAS) ANTES DE IMPUESTOS</v>
          </cell>
          <cell r="O2308" t="str">
            <v>GANANCIA (PÉRDIDA) NETA</v>
          </cell>
          <cell r="P2308" t="str">
            <v>Resultado Ingresos y Gastos Integrales</v>
          </cell>
          <cell r="Q2308" t="str">
            <v>I. Ganancia (pérdida), antes de impuestos</v>
          </cell>
          <cell r="R2308" t="str">
            <v>b. Ganancia (pérdida)</v>
          </cell>
          <cell r="S2308" t="str">
            <v>5. Gasto de administración</v>
          </cell>
          <cell r="T2308" t="str">
            <v>16. Depreciación</v>
          </cell>
          <cell r="Z2308" t="str">
            <v>II. Costo Ventas</v>
          </cell>
          <cell r="AA2308" t="str">
            <v>8. Depreciación</v>
          </cell>
          <cell r="AC2308" t="str">
            <v>IV. Depreciación</v>
          </cell>
          <cell r="AD2308" t="str">
            <v>1. Depreciación</v>
          </cell>
          <cell r="AE2308" t="str">
            <v>1. Depreciación A.F.</v>
          </cell>
          <cell r="AH2308" t="str">
            <v>4. Depreciaciones y amortizaciones</v>
          </cell>
        </row>
        <row r="2309">
          <cell r="D2309" t="str">
            <v>4-1-09-02-04</v>
          </cell>
          <cell r="E2309" t="str">
            <v>4-1-09-02-04</v>
          </cell>
          <cell r="F2309" t="str">
            <v>Deprec. Del Ejerc. Equi. Computacionales</v>
          </cell>
          <cell r="G2309" t="str">
            <v>4-1-09-02-04  Deprec. Del Ejerc. Equi. Computacionales</v>
          </cell>
          <cell r="H2309" t="str">
            <v>Est. Resultado</v>
          </cell>
          <cell r="I2309" t="str">
            <v>Resultado</v>
          </cell>
          <cell r="J2309" t="str">
            <v>4. Depreciación</v>
          </cell>
          <cell r="K2309" t="str">
            <v>1. Depreciación</v>
          </cell>
          <cell r="L2309" t="str">
            <v>EBITDA</v>
          </cell>
          <cell r="M2309" t="str">
            <v>MARGEN BRUTO</v>
          </cell>
          <cell r="N2309" t="str">
            <v>GANANCIAS (PERDIDAS) ANTES DE IMPUESTOS</v>
          </cell>
          <cell r="O2309" t="str">
            <v>GANANCIA (PÉRDIDA) NETA</v>
          </cell>
          <cell r="P2309" t="str">
            <v>Resultado Ingresos y Gastos Integrales</v>
          </cell>
          <cell r="Q2309" t="str">
            <v>I. Ganancia (pérdida), antes de impuestos</v>
          </cell>
          <cell r="R2309" t="str">
            <v>b. Ganancia (pérdida)</v>
          </cell>
          <cell r="S2309" t="str">
            <v>5. Gasto de administración</v>
          </cell>
          <cell r="T2309" t="str">
            <v>16. Depreciación</v>
          </cell>
          <cell r="Z2309" t="str">
            <v>II. Costo Ventas</v>
          </cell>
          <cell r="AA2309" t="str">
            <v>8. Depreciación</v>
          </cell>
          <cell r="AC2309" t="str">
            <v>IV. Depreciación</v>
          </cell>
          <cell r="AD2309" t="str">
            <v>1. Depreciación</v>
          </cell>
          <cell r="AE2309" t="str">
            <v>1. Depreciación A.F.</v>
          </cell>
          <cell r="AH2309" t="str">
            <v>4. Depreciaciones y amortizaciones</v>
          </cell>
        </row>
        <row r="2310">
          <cell r="D2310" t="str">
            <v>4-1-09-02-05</v>
          </cell>
          <cell r="E2310" t="str">
            <v>4-1-09-02-05</v>
          </cell>
          <cell r="F2310" t="str">
            <v>Deprec. Del Ejerc. Software</v>
          </cell>
          <cell r="G2310" t="str">
            <v>4-1-09-02-05  Deprec. Del Ejerc. Software</v>
          </cell>
          <cell r="H2310" t="str">
            <v>Est. Resultado</v>
          </cell>
          <cell r="I2310" t="str">
            <v>Resultado</v>
          </cell>
          <cell r="J2310" t="str">
            <v>4. Depreciación</v>
          </cell>
          <cell r="K2310" t="str">
            <v>1. Depreciación</v>
          </cell>
          <cell r="L2310" t="str">
            <v>EBITDA</v>
          </cell>
          <cell r="M2310" t="str">
            <v>MARGEN BRUTO</v>
          </cell>
          <cell r="N2310" t="str">
            <v>GANANCIAS (PERDIDAS) ANTES DE IMPUESTOS</v>
          </cell>
          <cell r="O2310" t="str">
            <v>GANANCIA (PÉRDIDA) NETA</v>
          </cell>
          <cell r="P2310" t="str">
            <v>Resultado Ingresos y Gastos Integrales</v>
          </cell>
          <cell r="Q2310" t="str">
            <v>I. Ganancia (pérdida), antes de impuestos</v>
          </cell>
          <cell r="R2310" t="str">
            <v>b. Ganancia (pérdida)</v>
          </cell>
          <cell r="S2310" t="str">
            <v>5. Gasto de administración</v>
          </cell>
          <cell r="T2310" t="str">
            <v>16. Depreciación</v>
          </cell>
          <cell r="Z2310" t="str">
            <v>II. Costo Ventas</v>
          </cell>
          <cell r="AA2310" t="str">
            <v>8. Depreciación</v>
          </cell>
          <cell r="AC2310" t="str">
            <v>IV. Depreciación</v>
          </cell>
          <cell r="AD2310" t="str">
            <v>1. Depreciación</v>
          </cell>
          <cell r="AE2310" t="str">
            <v>1. Depreciación A.F.</v>
          </cell>
          <cell r="AH2310" t="str">
            <v>4. Depreciaciones y amortizaciones</v>
          </cell>
        </row>
        <row r="2311">
          <cell r="D2311" t="str">
            <v>4-1-09-02-06</v>
          </cell>
          <cell r="E2311" t="str">
            <v>4-1-09-02-06</v>
          </cell>
          <cell r="F2311" t="str">
            <v>Deprec. Del Ejerc. Edif. y Constr.</v>
          </cell>
          <cell r="G2311" t="str">
            <v>4-1-09-02-06  Deprec. Del Ejerc. Edif. y Constr.</v>
          </cell>
          <cell r="H2311" t="str">
            <v>Est. Resultado</v>
          </cell>
          <cell r="I2311" t="str">
            <v>Resultado</v>
          </cell>
          <cell r="J2311" t="str">
            <v>4. Depreciación</v>
          </cell>
          <cell r="K2311" t="str">
            <v>1. Depreciación</v>
          </cell>
          <cell r="L2311" t="str">
            <v>EBITDA</v>
          </cell>
          <cell r="M2311" t="str">
            <v>MARGEN BRUTO</v>
          </cell>
          <cell r="N2311" t="str">
            <v>GANANCIAS (PERDIDAS) ANTES DE IMPUESTOS</v>
          </cell>
          <cell r="O2311" t="str">
            <v>GANANCIA (PÉRDIDA) NETA</v>
          </cell>
          <cell r="P2311" t="str">
            <v>Resultado Ingresos y Gastos Integrales</v>
          </cell>
          <cell r="Q2311" t="str">
            <v>I. Ganancia (pérdida), antes de impuestos</v>
          </cell>
          <cell r="R2311" t="str">
            <v>b. Ganancia (pérdida)</v>
          </cell>
          <cell r="S2311" t="str">
            <v>5. Gasto de administración</v>
          </cell>
          <cell r="T2311" t="str">
            <v>16. Depreciación</v>
          </cell>
          <cell r="Z2311" t="str">
            <v>II. Costo Ventas</v>
          </cell>
          <cell r="AA2311" t="str">
            <v>8. Depreciación</v>
          </cell>
          <cell r="AC2311" t="str">
            <v>IV. Depreciación</v>
          </cell>
          <cell r="AD2311" t="str">
            <v>1. Depreciación</v>
          </cell>
          <cell r="AE2311" t="str">
            <v>1. Depreciación A.F.</v>
          </cell>
          <cell r="AH2311" t="str">
            <v>4. Depreciaciones y amortizaciones</v>
          </cell>
        </row>
        <row r="2312">
          <cell r="D2312">
            <v>0</v>
          </cell>
        </row>
        <row r="2313">
          <cell r="D2313">
            <v>0</v>
          </cell>
        </row>
        <row r="2314">
          <cell r="D2314" t="str">
            <v>Depreciación</v>
          </cell>
          <cell r="E2314" t="str">
            <v>Depreciación</v>
          </cell>
          <cell r="F2314" t="str">
            <v/>
          </cell>
          <cell r="G2314" t="str">
            <v xml:space="preserve">Depreciación  </v>
          </cell>
          <cell r="Q2314">
            <v>0</v>
          </cell>
          <cell r="R2314" t="str">
            <v/>
          </cell>
          <cell r="T2314" t="str">
            <v/>
          </cell>
        </row>
        <row r="2315">
          <cell r="D2315">
            <v>0</v>
          </cell>
          <cell r="F2315" t="str">
            <v/>
          </cell>
          <cell r="G2315" t="str">
            <v/>
          </cell>
          <cell r="Q2315">
            <v>0</v>
          </cell>
          <cell r="R2315" t="str">
            <v/>
          </cell>
          <cell r="T2315" t="str">
            <v/>
          </cell>
          <cell r="AH2315" t="str">
            <v>6. Partidas significativas de gastos</v>
          </cell>
        </row>
        <row r="2316">
          <cell r="D2316" t="str">
            <v>IVA Explotación</v>
          </cell>
          <cell r="E2316" t="str">
            <v>IVA Explotación</v>
          </cell>
          <cell r="F2316" t="str">
            <v/>
          </cell>
          <cell r="G2316" t="str">
            <v xml:space="preserve">IVA Explotación  </v>
          </cell>
          <cell r="Q2316">
            <v>0</v>
          </cell>
          <cell r="R2316" t="str">
            <v/>
          </cell>
          <cell r="T2316" t="str">
            <v/>
          </cell>
        </row>
        <row r="2317">
          <cell r="D2317" t="str">
            <v>MARGEN BRUTO</v>
          </cell>
          <cell r="E2317" t="str">
            <v>MARGEN BRUTO</v>
          </cell>
          <cell r="F2317" t="str">
            <v/>
          </cell>
          <cell r="G2317" t="str">
            <v xml:space="preserve">MARGEN BRUTO  </v>
          </cell>
          <cell r="Q2317">
            <v>0</v>
          </cell>
          <cell r="R2317" t="str">
            <v/>
          </cell>
          <cell r="T2317" t="str">
            <v/>
          </cell>
        </row>
        <row r="2318">
          <cell r="D2318" t="str">
            <v>4-1-01-01-11</v>
          </cell>
          <cell r="E2318" t="str">
            <v>4-1-01-01-11</v>
          </cell>
          <cell r="F2318" t="str">
            <v>Sueldo Base Administracion</v>
          </cell>
          <cell r="G2318" t="str">
            <v>4-1-01-01-11  Sueldo Base Administracion</v>
          </cell>
          <cell r="H2318" t="str">
            <v>Est. Resultado</v>
          </cell>
          <cell r="I2318" t="str">
            <v>Resultado</v>
          </cell>
          <cell r="J2318" t="str">
            <v>6. Costo Personal Administración</v>
          </cell>
          <cell r="K2318" t="str">
            <v>1. Remuneraciones Fijas</v>
          </cell>
          <cell r="L2318" t="str">
            <v>EBITDA</v>
          </cell>
          <cell r="N2318" t="str">
            <v>GANANCIAS (PERDIDAS) ANTES DE IMPUESTOS</v>
          </cell>
          <cell r="O2318" t="str">
            <v>GANANCIA (PÉRDIDA) NETA</v>
          </cell>
          <cell r="P2318" t="str">
            <v>Resultado Ingresos y Gastos Integrales</v>
          </cell>
          <cell r="Q2318" t="str">
            <v>I. Ganancia (pérdida), antes de impuestos</v>
          </cell>
          <cell r="R2318" t="str">
            <v>b. Ganancia (pérdida)</v>
          </cell>
          <cell r="S2318" t="str">
            <v>5. Gasto de administración</v>
          </cell>
          <cell r="T2318" t="str">
            <v>1. Remuneraciones Fijas</v>
          </cell>
          <cell r="V2318" t="str">
            <v>II. Gastos</v>
          </cell>
          <cell r="W2318" t="str">
            <v>21. Gastos en Personal</v>
          </cell>
          <cell r="Z2318" t="str">
            <v>III. Gastos de Administración</v>
          </cell>
          <cell r="AA2318" t="str">
            <v>9. Personal Administrativo</v>
          </cell>
          <cell r="AB2318" t="str">
            <v>1. Remu Fijas</v>
          </cell>
          <cell r="AC2318" t="str">
            <v>III. Gasto Administración</v>
          </cell>
          <cell r="AD2318" t="str">
            <v>1. Personal Administrativo</v>
          </cell>
          <cell r="AE2318" t="str">
            <v>1. Remuneraciones Adm.</v>
          </cell>
          <cell r="AH2318" t="str">
            <v>6. Partidas significativas de gastos</v>
          </cell>
        </row>
        <row r="2319">
          <cell r="D2319" t="str">
            <v>4-1-01-01-21</v>
          </cell>
          <cell r="E2319" t="str">
            <v>4-1-01-01-21</v>
          </cell>
          <cell r="F2319" t="str">
            <v>Sueldo Base Ventas</v>
          </cell>
          <cell r="G2319" t="str">
            <v>4-1-01-01-21  Sueldo Base Ventas</v>
          </cell>
          <cell r="H2319" t="str">
            <v>Est. Resultado</v>
          </cell>
          <cell r="I2319" t="str">
            <v>Resultado</v>
          </cell>
          <cell r="J2319" t="str">
            <v>6. Costo Personal Administración</v>
          </cell>
          <cell r="K2319" t="str">
            <v>1. Remuneraciones Fijas</v>
          </cell>
          <cell r="L2319" t="str">
            <v>EBITDA</v>
          </cell>
          <cell r="N2319" t="str">
            <v>GANANCIAS (PERDIDAS) ANTES DE IMPUESTOS</v>
          </cell>
          <cell r="O2319" t="str">
            <v>GANANCIA (PÉRDIDA) NETA</v>
          </cell>
          <cell r="P2319" t="str">
            <v>Resultado Ingresos y Gastos Integrales</v>
          </cell>
          <cell r="Q2319" t="str">
            <v>I. Ganancia (pérdida), antes de impuestos</v>
          </cell>
          <cell r="R2319" t="str">
            <v>b. Ganancia (pérdida)</v>
          </cell>
          <cell r="S2319" t="str">
            <v>5. Gasto de administración</v>
          </cell>
          <cell r="T2319" t="str">
            <v>1. Remuneraciones Fijas</v>
          </cell>
          <cell r="V2319" t="str">
            <v>II. Gastos</v>
          </cell>
          <cell r="W2319" t="str">
            <v>21. Gastos en Personal</v>
          </cell>
          <cell r="Z2319" t="str">
            <v>III. Gastos de Administración</v>
          </cell>
          <cell r="AA2319" t="str">
            <v>9. Personal Administrativo</v>
          </cell>
          <cell r="AB2319" t="str">
            <v>1. Remu Fijas</v>
          </cell>
          <cell r="AC2319" t="str">
            <v>III. Gasto Administración</v>
          </cell>
          <cell r="AD2319" t="str">
            <v>1. Personal Administrativo</v>
          </cell>
          <cell r="AE2319" t="str">
            <v>1. Remuneraciones Adm.</v>
          </cell>
          <cell r="AH2319" t="str">
            <v>6. Partidas significativas de gastos</v>
          </cell>
        </row>
        <row r="2320">
          <cell r="D2320" t="str">
            <v>4-1-01-01-23</v>
          </cell>
          <cell r="E2320" t="str">
            <v>4-1-01-01-23</v>
          </cell>
          <cell r="F2320" t="str">
            <v>Colacion Ventas</v>
          </cell>
          <cell r="G2320" t="str">
            <v>4-1-01-01-23  Colacion Ventas</v>
          </cell>
          <cell r="H2320" t="str">
            <v>Est. Resultado</v>
          </cell>
          <cell r="I2320" t="str">
            <v>Resultado</v>
          </cell>
          <cell r="J2320" t="str">
            <v>6. Costo Personal Administración</v>
          </cell>
          <cell r="K2320" t="str">
            <v>1. Remuneraciones Fijas</v>
          </cell>
          <cell r="L2320" t="str">
            <v>EBITDA</v>
          </cell>
          <cell r="N2320" t="str">
            <v>GANANCIAS (PERDIDAS) ANTES DE IMPUESTOS</v>
          </cell>
          <cell r="O2320" t="str">
            <v>GANANCIA (PÉRDIDA) NETA</v>
          </cell>
          <cell r="P2320" t="str">
            <v>Resultado Ingresos y Gastos Integrales</v>
          </cell>
          <cell r="Q2320" t="str">
            <v>I. Ganancia (pérdida), antes de impuestos</v>
          </cell>
          <cell r="R2320" t="str">
            <v>b. Ganancia (pérdida)</v>
          </cell>
          <cell r="S2320" t="str">
            <v>5. Gasto de administración</v>
          </cell>
          <cell r="T2320" t="str">
            <v>1. Remuneraciones Fijas</v>
          </cell>
          <cell r="V2320" t="str">
            <v>II. Gastos</v>
          </cell>
          <cell r="W2320" t="str">
            <v>21. Gastos en Personal</v>
          </cell>
          <cell r="Z2320" t="str">
            <v>III. Gastos de Administración</v>
          </cell>
          <cell r="AA2320" t="str">
            <v>9. Personal Administrativo</v>
          </cell>
          <cell r="AB2320" t="str">
            <v>1. Remu Fijas</v>
          </cell>
          <cell r="AC2320" t="str">
            <v>III. Gasto Administración</v>
          </cell>
          <cell r="AD2320" t="str">
            <v>1. Personal Administrativo</v>
          </cell>
          <cell r="AE2320" t="str">
            <v>1. Remuneraciones Adm.</v>
          </cell>
          <cell r="AH2320" t="str">
            <v>6. Partidas significativas de gastos</v>
          </cell>
        </row>
        <row r="2321">
          <cell r="D2321" t="str">
            <v>4-1-01-01-13</v>
          </cell>
          <cell r="E2321" t="str">
            <v>4-1-01-01-13</v>
          </cell>
          <cell r="F2321" t="str">
            <v>Colacion Administracion</v>
          </cell>
          <cell r="G2321" t="str">
            <v>4-1-01-01-13  Colacion Administracion</v>
          </cell>
          <cell r="H2321" t="str">
            <v>Est. Resultado</v>
          </cell>
          <cell r="I2321" t="str">
            <v>Resultado</v>
          </cell>
          <cell r="J2321" t="str">
            <v>6. Costo Personal Administración</v>
          </cell>
          <cell r="K2321" t="str">
            <v>1. Remuneraciones Fijas</v>
          </cell>
          <cell r="L2321" t="str">
            <v>EBITDA</v>
          </cell>
          <cell r="N2321" t="str">
            <v>GANANCIAS (PERDIDAS) ANTES DE IMPUESTOS</v>
          </cell>
          <cell r="O2321" t="str">
            <v>GANANCIA (PÉRDIDA) NETA</v>
          </cell>
          <cell r="P2321" t="str">
            <v>Resultado Ingresos y Gastos Integrales</v>
          </cell>
          <cell r="Q2321" t="str">
            <v>I. Ganancia (pérdida), antes de impuestos</v>
          </cell>
          <cell r="R2321" t="str">
            <v>b. Ganancia (pérdida)</v>
          </cell>
          <cell r="S2321" t="str">
            <v>5. Gasto de administración</v>
          </cell>
          <cell r="T2321" t="str">
            <v>1. Remuneraciones Fijas</v>
          </cell>
          <cell r="V2321" t="str">
            <v>II. Gastos</v>
          </cell>
          <cell r="W2321" t="str">
            <v>21. Gastos en Personal</v>
          </cell>
          <cell r="Z2321" t="str">
            <v>III. Gastos de Administración</v>
          </cell>
          <cell r="AA2321" t="str">
            <v>9. Personal Administrativo</v>
          </cell>
          <cell r="AB2321" t="str">
            <v>1. Remu Fijas</v>
          </cell>
          <cell r="AC2321" t="str">
            <v>III. Gasto Administración</v>
          </cell>
          <cell r="AD2321" t="str">
            <v>1. Personal Administrativo</v>
          </cell>
          <cell r="AE2321" t="str">
            <v>1. Remuneraciones Adm.</v>
          </cell>
          <cell r="AH2321" t="str">
            <v>6. Partidas significativas de gastos</v>
          </cell>
        </row>
        <row r="2322">
          <cell r="D2322" t="str">
            <v>4-1-01-01-12</v>
          </cell>
          <cell r="E2322" t="str">
            <v>4-1-01-01-12</v>
          </cell>
          <cell r="F2322" t="str">
            <v>Movilizacion Administracion</v>
          </cell>
          <cell r="G2322" t="str">
            <v>4-1-01-01-12  Movilizacion Administracion</v>
          </cell>
          <cell r="H2322" t="str">
            <v>Est. Resultado</v>
          </cell>
          <cell r="I2322" t="str">
            <v>Resultado</v>
          </cell>
          <cell r="J2322" t="str">
            <v>6. Costo Personal Administración</v>
          </cell>
          <cell r="K2322" t="str">
            <v>1. Remuneraciones Fijas</v>
          </cell>
          <cell r="L2322" t="str">
            <v>EBITDA</v>
          </cell>
          <cell r="N2322" t="str">
            <v>GANANCIAS (PERDIDAS) ANTES DE IMPUESTOS</v>
          </cell>
          <cell r="O2322" t="str">
            <v>GANANCIA (PÉRDIDA) NETA</v>
          </cell>
          <cell r="P2322" t="str">
            <v>Resultado Ingresos y Gastos Integrales</v>
          </cell>
          <cell r="Q2322" t="str">
            <v>I. Ganancia (pérdida), antes de impuestos</v>
          </cell>
          <cell r="R2322" t="str">
            <v>b. Ganancia (pérdida)</v>
          </cell>
          <cell r="S2322" t="str">
            <v>5. Gasto de administración</v>
          </cell>
          <cell r="T2322" t="str">
            <v>1. Remuneraciones Fijas</v>
          </cell>
          <cell r="V2322" t="str">
            <v>II. Gastos</v>
          </cell>
          <cell r="W2322" t="str">
            <v>21. Gastos en Personal</v>
          </cell>
          <cell r="Z2322" t="str">
            <v>III. Gastos de Administración</v>
          </cell>
          <cell r="AA2322" t="str">
            <v>9. Personal Administrativo</v>
          </cell>
          <cell r="AB2322" t="str">
            <v>1. Remu Fijas</v>
          </cell>
          <cell r="AC2322" t="str">
            <v>III. Gasto Administración</v>
          </cell>
          <cell r="AD2322" t="str">
            <v>1. Personal Administrativo</v>
          </cell>
          <cell r="AE2322" t="str">
            <v>1. Remuneraciones Adm.</v>
          </cell>
          <cell r="AH2322" t="str">
            <v>6. Partidas significativas de gastos</v>
          </cell>
        </row>
        <row r="2323">
          <cell r="D2323" t="str">
            <v>4-1-01-01-22</v>
          </cell>
          <cell r="E2323" t="str">
            <v>4-1-01-01-22</v>
          </cell>
          <cell r="F2323" t="str">
            <v>Movilizacion Ventas</v>
          </cell>
          <cell r="G2323" t="str">
            <v>4-1-01-01-22  Movilizacion Ventas</v>
          </cell>
          <cell r="H2323" t="str">
            <v>Est. Resultado</v>
          </cell>
          <cell r="I2323" t="str">
            <v>Resultado</v>
          </cell>
          <cell r="J2323" t="str">
            <v>6. Costo Personal Administración</v>
          </cell>
          <cell r="K2323" t="str">
            <v>1. Remuneraciones Fijas</v>
          </cell>
          <cell r="L2323" t="str">
            <v>EBITDA</v>
          </cell>
          <cell r="N2323" t="str">
            <v>GANANCIAS (PERDIDAS) ANTES DE IMPUESTOS</v>
          </cell>
          <cell r="O2323" t="str">
            <v>GANANCIA (PÉRDIDA) NETA</v>
          </cell>
          <cell r="P2323" t="str">
            <v>Resultado Ingresos y Gastos Integrales</v>
          </cell>
          <cell r="Q2323" t="str">
            <v>I. Ganancia (pérdida), antes de impuestos</v>
          </cell>
          <cell r="R2323" t="str">
            <v>b. Ganancia (pérdida)</v>
          </cell>
          <cell r="S2323" t="str">
            <v>5. Gasto de administración</v>
          </cell>
          <cell r="T2323" t="str">
            <v>1. Remuneraciones Fijas</v>
          </cell>
          <cell r="V2323" t="str">
            <v>II. Gastos</v>
          </cell>
          <cell r="W2323" t="str">
            <v>21. Gastos en Personal</v>
          </cell>
          <cell r="Z2323" t="str">
            <v>III. Gastos de Administración</v>
          </cell>
          <cell r="AA2323" t="str">
            <v>9. Personal Administrativo</v>
          </cell>
          <cell r="AB2323" t="str">
            <v>1. Remu Fijas</v>
          </cell>
          <cell r="AC2323" t="str">
            <v>III. Gasto Administración</v>
          </cell>
          <cell r="AD2323" t="str">
            <v>1. Personal Administrativo</v>
          </cell>
          <cell r="AE2323" t="str">
            <v>1. Remuneraciones Adm.</v>
          </cell>
          <cell r="AH2323" t="str">
            <v>6. Partidas significativas de gastos</v>
          </cell>
        </row>
        <row r="2324">
          <cell r="D2324">
            <v>0</v>
          </cell>
          <cell r="G2324" t="str">
            <v/>
          </cell>
          <cell r="H2324" t="str">
            <v>Est. Resultado</v>
          </cell>
          <cell r="I2324" t="str">
            <v>Resultado</v>
          </cell>
          <cell r="J2324" t="str">
            <v>6. Costo Personal Administración</v>
          </cell>
          <cell r="K2324" t="str">
            <v>1. Remuneraciones Fijas</v>
          </cell>
          <cell r="L2324" t="str">
            <v>EBITDA</v>
          </cell>
          <cell r="N2324" t="str">
            <v>GANANCIAS (PERDIDAS) ANTES DE IMPUESTOS</v>
          </cell>
          <cell r="O2324" t="str">
            <v>GANANCIA (PÉRDIDA) NETA</v>
          </cell>
          <cell r="P2324" t="str">
            <v>Resultado Ingresos y Gastos Integrales</v>
          </cell>
          <cell r="Q2324" t="str">
            <v>I. Ganancia (pérdida), antes de impuestos</v>
          </cell>
          <cell r="R2324" t="str">
            <v>b. Ganancia (pérdida)</v>
          </cell>
          <cell r="S2324" t="str">
            <v>5. Gasto de administración</v>
          </cell>
          <cell r="T2324" t="str">
            <v>1. Remuneraciones Fijas</v>
          </cell>
          <cell r="V2324" t="str">
            <v>II. Gastos</v>
          </cell>
          <cell r="W2324" t="str">
            <v>21. Gastos en Personal</v>
          </cell>
          <cell r="Z2324" t="str">
            <v>III. Gastos de Administración</v>
          </cell>
          <cell r="AA2324" t="str">
            <v>9. Personal Administrativo</v>
          </cell>
          <cell r="AB2324" t="str">
            <v>1. Remu Fijas</v>
          </cell>
          <cell r="AC2324" t="str">
            <v>III. Gasto Administración</v>
          </cell>
          <cell r="AD2324" t="str">
            <v>1. Personal Administrativo</v>
          </cell>
          <cell r="AE2324" t="str">
            <v>1. Remuneraciones Adm.</v>
          </cell>
          <cell r="AH2324" t="str">
            <v>6. Partidas significativas de gastos</v>
          </cell>
        </row>
        <row r="2325">
          <cell r="D2325">
            <v>0</v>
          </cell>
          <cell r="F2325" t="str">
            <v/>
          </cell>
          <cell r="G2325" t="str">
            <v/>
          </cell>
          <cell r="H2325" t="str">
            <v>Est. Resultado</v>
          </cell>
          <cell r="I2325" t="str">
            <v>Resultado</v>
          </cell>
          <cell r="J2325" t="str">
            <v>6. Costo Personal Administración</v>
          </cell>
          <cell r="K2325" t="str">
            <v>1. Remuneraciones Fijas</v>
          </cell>
          <cell r="L2325" t="str">
            <v>EBITDA</v>
          </cell>
          <cell r="N2325" t="str">
            <v>GANANCIAS (PERDIDAS) ANTES DE IMPUESTOS</v>
          </cell>
          <cell r="O2325" t="str">
            <v>GANANCIA (PÉRDIDA) NETA</v>
          </cell>
          <cell r="P2325" t="str">
            <v>Resultado Ingresos y Gastos Integrales</v>
          </cell>
          <cell r="Q2325" t="str">
            <v>I. Ganancia (pérdida), antes de impuestos</v>
          </cell>
          <cell r="R2325" t="str">
            <v>b. Ganancia (pérdida)</v>
          </cell>
          <cell r="S2325" t="str">
            <v>5. Gasto de administración</v>
          </cell>
          <cell r="T2325" t="str">
            <v>1. Remuneraciones Fijas</v>
          </cell>
          <cell r="V2325" t="str">
            <v>II. Gastos</v>
          </cell>
          <cell r="W2325" t="str">
            <v>21. Gastos en Personal</v>
          </cell>
          <cell r="Z2325" t="str">
            <v>III. Gastos de Administración</v>
          </cell>
          <cell r="AA2325" t="str">
            <v>9. Personal Administrativo</v>
          </cell>
          <cell r="AB2325" t="str">
            <v>1. Remu Fijas</v>
          </cell>
          <cell r="AC2325" t="str">
            <v>III. Gasto Administración</v>
          </cell>
          <cell r="AD2325" t="str">
            <v>1. Personal Administrativo</v>
          </cell>
          <cell r="AE2325" t="str">
            <v>1. Remuneraciones Adm.</v>
          </cell>
          <cell r="AH2325" t="str">
            <v>6. Partidas significativas de gastos</v>
          </cell>
        </row>
        <row r="2326">
          <cell r="D2326" t="str">
            <v>Remuneraciones Fijas</v>
          </cell>
          <cell r="E2326" t="str">
            <v>Remuneraciones Fijas</v>
          </cell>
          <cell r="F2326" t="str">
            <v/>
          </cell>
          <cell r="G2326" t="str">
            <v xml:space="preserve">Remuneraciones Fijas  </v>
          </cell>
          <cell r="J2326" t="str">
            <v/>
          </cell>
          <cell r="L2326" t="str">
            <v/>
          </cell>
          <cell r="N2326" t="str">
            <v/>
          </cell>
          <cell r="O2326" t="str">
            <v/>
          </cell>
          <cell r="P2326" t="str">
            <v/>
          </cell>
          <cell r="Q2326">
            <v>0</v>
          </cell>
          <cell r="R2326" t="str">
            <v/>
          </cell>
          <cell r="T2326" t="str">
            <v/>
          </cell>
        </row>
        <row r="2327">
          <cell r="D2327" t="str">
            <v>4-1-01-03-11</v>
          </cell>
          <cell r="E2327" t="str">
            <v>4-1-01-03-11</v>
          </cell>
          <cell r="F2327" t="str">
            <v>Aguinaldos administración</v>
          </cell>
          <cell r="G2327" t="str">
            <v>4-1-01-03-11  Aguinaldos administración</v>
          </cell>
          <cell r="H2327" t="str">
            <v>Est. Resultado</v>
          </cell>
          <cell r="I2327" t="str">
            <v>Resultado</v>
          </cell>
          <cell r="J2327" t="str">
            <v>6. Costo Personal Administración</v>
          </cell>
          <cell r="K2327" t="str">
            <v>2. Remuneraciones Variables</v>
          </cell>
          <cell r="L2327" t="str">
            <v>EBITDA</v>
          </cell>
          <cell r="N2327" t="str">
            <v>GANANCIAS (PERDIDAS) ANTES DE IMPUESTOS</v>
          </cell>
          <cell r="O2327" t="str">
            <v>GANANCIA (PÉRDIDA) NETA</v>
          </cell>
          <cell r="P2327" t="str">
            <v>Resultado Ingresos y Gastos Integrales</v>
          </cell>
          <cell r="Q2327" t="str">
            <v>I. Ganancia (pérdida), antes de impuestos</v>
          </cell>
          <cell r="R2327" t="str">
            <v>b. Ganancia (pérdida)</v>
          </cell>
          <cell r="S2327" t="str">
            <v>5. Gasto de administración</v>
          </cell>
          <cell r="T2327" t="str">
            <v>2. Remuneraciones Variables</v>
          </cell>
          <cell r="V2327" t="str">
            <v>II. Gastos</v>
          </cell>
          <cell r="W2327" t="str">
            <v>21. Gastos en Personal</v>
          </cell>
          <cell r="Z2327" t="str">
            <v>III. Gastos de Administración</v>
          </cell>
          <cell r="AA2327" t="str">
            <v>9. Personal Administrativo</v>
          </cell>
          <cell r="AB2327" t="str">
            <v>2. Remu Variable</v>
          </cell>
          <cell r="AC2327" t="str">
            <v>III. Gasto Administración</v>
          </cell>
          <cell r="AD2327" t="str">
            <v>1. Personal Administrativo</v>
          </cell>
          <cell r="AE2327" t="str">
            <v>1. Remuneraciones Adm.</v>
          </cell>
          <cell r="AH2327" t="str">
            <v>6. Partidas significativas de gastos</v>
          </cell>
        </row>
        <row r="2328">
          <cell r="D2328" t="str">
            <v>4-1-01-03-13</v>
          </cell>
          <cell r="E2328" t="str">
            <v>4-1-01-03-13</v>
          </cell>
          <cell r="F2328" t="str">
            <v>Bonos Administracion</v>
          </cell>
          <cell r="G2328" t="str">
            <v>4-1-01-03-13  Bonos Administracion</v>
          </cell>
          <cell r="H2328" t="str">
            <v>Est. Resultado</v>
          </cell>
          <cell r="I2328" t="str">
            <v>Resultado</v>
          </cell>
          <cell r="J2328" t="str">
            <v>6. Costo Personal Administración</v>
          </cell>
          <cell r="K2328" t="str">
            <v>2. Remuneraciones Variables</v>
          </cell>
          <cell r="L2328" t="str">
            <v>EBITDA</v>
          </cell>
          <cell r="N2328" t="str">
            <v>GANANCIAS (PERDIDAS) ANTES DE IMPUESTOS</v>
          </cell>
          <cell r="O2328" t="str">
            <v>GANANCIA (PÉRDIDA) NETA</v>
          </cell>
          <cell r="P2328" t="str">
            <v>Resultado Ingresos y Gastos Integrales</v>
          </cell>
          <cell r="Q2328" t="str">
            <v>I. Ganancia (pérdida), antes de impuestos</v>
          </cell>
          <cell r="R2328" t="str">
            <v>b. Ganancia (pérdida)</v>
          </cell>
          <cell r="S2328" t="str">
            <v>5. Gasto de administración</v>
          </cell>
          <cell r="T2328" t="str">
            <v>2. Remuneraciones Variables</v>
          </cell>
          <cell r="V2328" t="str">
            <v>II. Gastos</v>
          </cell>
          <cell r="W2328" t="str">
            <v>21. Gastos en Personal</v>
          </cell>
          <cell r="Z2328" t="str">
            <v>III. Gastos de Administración</v>
          </cell>
          <cell r="AA2328" t="str">
            <v>9. Personal Administrativo</v>
          </cell>
          <cell r="AB2328" t="str">
            <v>2. Remu Variable</v>
          </cell>
          <cell r="AC2328" t="str">
            <v>III. Gasto Administración</v>
          </cell>
          <cell r="AD2328" t="str">
            <v>1. Personal Administrativo</v>
          </cell>
          <cell r="AE2328" t="str">
            <v>1. Remuneraciones Adm.</v>
          </cell>
          <cell r="AH2328" t="str">
            <v>6. Partidas significativas de gastos</v>
          </cell>
        </row>
        <row r="2329">
          <cell r="D2329" t="str">
            <v>4-1-01-03-21</v>
          </cell>
          <cell r="E2329" t="str">
            <v>4-1-01-03-21</v>
          </cell>
          <cell r="F2329" t="str">
            <v>Aguinaldo ventas</v>
          </cell>
          <cell r="G2329" t="str">
            <v>4-1-01-03-21  Aguinaldo ventas</v>
          </cell>
          <cell r="H2329" t="str">
            <v>Est. Resultado</v>
          </cell>
          <cell r="I2329" t="str">
            <v>Resultado</v>
          </cell>
          <cell r="J2329" t="str">
            <v>6. Costo Personal Administración</v>
          </cell>
          <cell r="K2329" t="str">
            <v>2. Remuneraciones Variables</v>
          </cell>
          <cell r="L2329" t="str">
            <v>EBITDA</v>
          </cell>
          <cell r="N2329" t="str">
            <v>GANANCIAS (PERDIDAS) ANTES DE IMPUESTOS</v>
          </cell>
          <cell r="O2329" t="str">
            <v>GANANCIA (PÉRDIDA) NETA</v>
          </cell>
          <cell r="P2329" t="str">
            <v>Resultado Ingresos y Gastos Integrales</v>
          </cell>
          <cell r="Q2329" t="str">
            <v>I. Ganancia (pérdida), antes de impuestos</v>
          </cell>
          <cell r="R2329" t="str">
            <v>b. Ganancia (pérdida)</v>
          </cell>
          <cell r="S2329" t="str">
            <v>5. Gasto de administración</v>
          </cell>
          <cell r="T2329" t="str">
            <v>2. Remuneraciones Variables</v>
          </cell>
          <cell r="V2329" t="str">
            <v>II. Gastos</v>
          </cell>
          <cell r="W2329" t="str">
            <v>21. Gastos en Personal</v>
          </cell>
          <cell r="Z2329" t="str">
            <v>III. Gastos de Administración</v>
          </cell>
          <cell r="AA2329" t="str">
            <v>9. Personal Administrativo</v>
          </cell>
          <cell r="AB2329" t="str">
            <v>2. Remu Variable</v>
          </cell>
          <cell r="AC2329" t="str">
            <v>III. Gasto Administración</v>
          </cell>
          <cell r="AD2329" t="str">
            <v>1. Personal Administrativo</v>
          </cell>
          <cell r="AE2329" t="str">
            <v>1. Remuneraciones Adm.</v>
          </cell>
          <cell r="AH2329" t="str">
            <v>6. Partidas significativas de gastos</v>
          </cell>
        </row>
        <row r="2330">
          <cell r="D2330" t="str">
            <v>4-1-01-03-23</v>
          </cell>
          <cell r="E2330" t="str">
            <v>4-1-01-03-23</v>
          </cell>
          <cell r="F2330" t="str">
            <v>Bonos Ventas</v>
          </cell>
          <cell r="G2330" t="str">
            <v>4-1-01-03-23  Bonos Ventas</v>
          </cell>
          <cell r="H2330" t="str">
            <v>Est. Resultado</v>
          </cell>
          <cell r="I2330" t="str">
            <v>Resultado</v>
          </cell>
          <cell r="J2330" t="str">
            <v>6. Costo Personal Administración</v>
          </cell>
          <cell r="K2330" t="str">
            <v>2. Remuneraciones Variables</v>
          </cell>
          <cell r="L2330" t="str">
            <v>EBITDA</v>
          </cell>
          <cell r="N2330" t="str">
            <v>GANANCIAS (PERDIDAS) ANTES DE IMPUESTOS</v>
          </cell>
          <cell r="O2330" t="str">
            <v>GANANCIA (PÉRDIDA) NETA</v>
          </cell>
          <cell r="P2330" t="str">
            <v>Resultado Ingresos y Gastos Integrales</v>
          </cell>
          <cell r="Q2330" t="str">
            <v>I. Ganancia (pérdida), antes de impuestos</v>
          </cell>
          <cell r="R2330" t="str">
            <v>b. Ganancia (pérdida)</v>
          </cell>
          <cell r="S2330" t="str">
            <v>5. Gasto de administración</v>
          </cell>
          <cell r="T2330" t="str">
            <v>2. Remuneraciones Variables</v>
          </cell>
          <cell r="V2330" t="str">
            <v>II. Gastos</v>
          </cell>
          <cell r="W2330" t="str">
            <v>21. Gastos en Personal</v>
          </cell>
          <cell r="Z2330" t="str">
            <v>III. Gastos de Administración</v>
          </cell>
          <cell r="AA2330" t="str">
            <v>9. Personal Administrativo</v>
          </cell>
          <cell r="AB2330" t="str">
            <v>2. Remu Variable</v>
          </cell>
          <cell r="AC2330" t="str">
            <v>III. Gasto Administración</v>
          </cell>
          <cell r="AD2330" t="str">
            <v>1. Personal Administrativo</v>
          </cell>
          <cell r="AE2330" t="str">
            <v>1. Remuneraciones Adm.</v>
          </cell>
          <cell r="AH2330" t="str">
            <v>6. Partidas significativas de gastos</v>
          </cell>
        </row>
        <row r="2331">
          <cell r="D2331" t="str">
            <v>4-1-01-01-24</v>
          </cell>
          <cell r="E2331" t="str">
            <v>4-1-01-01-24</v>
          </cell>
          <cell r="F2331" t="str">
            <v>Gratificacion Ventas</v>
          </cell>
          <cell r="G2331" t="str">
            <v>4-1-01-01-24  Gratificacion Ventas</v>
          </cell>
          <cell r="H2331" t="str">
            <v>Est. Resultado</v>
          </cell>
          <cell r="I2331" t="str">
            <v>Resultado</v>
          </cell>
          <cell r="J2331" t="str">
            <v>6. Costo Personal Administración</v>
          </cell>
          <cell r="K2331" t="str">
            <v>2. Remuneraciones Variables</v>
          </cell>
          <cell r="L2331" t="str">
            <v>EBITDA</v>
          </cell>
          <cell r="N2331" t="str">
            <v>GANANCIAS (PERDIDAS) ANTES DE IMPUESTOS</v>
          </cell>
          <cell r="O2331" t="str">
            <v>GANANCIA (PÉRDIDA) NETA</v>
          </cell>
          <cell r="P2331" t="str">
            <v>Resultado Ingresos y Gastos Integrales</v>
          </cell>
          <cell r="Q2331" t="str">
            <v>I. Ganancia (pérdida), antes de impuestos</v>
          </cell>
          <cell r="R2331" t="str">
            <v>b. Ganancia (pérdida)</v>
          </cell>
          <cell r="S2331" t="str">
            <v>5. Gasto de administración</v>
          </cell>
          <cell r="T2331" t="str">
            <v>2. Remuneraciones Variables</v>
          </cell>
          <cell r="V2331" t="str">
            <v>II. Gastos</v>
          </cell>
          <cell r="W2331" t="str">
            <v>21. Gastos en Personal</v>
          </cell>
          <cell r="Z2331" t="str">
            <v>III. Gastos de Administración</v>
          </cell>
          <cell r="AA2331" t="str">
            <v>9. Personal Administrativo</v>
          </cell>
          <cell r="AB2331" t="str">
            <v>2. Remu Variable</v>
          </cell>
          <cell r="AC2331" t="str">
            <v>III. Gasto Administración</v>
          </cell>
          <cell r="AD2331" t="str">
            <v>1. Personal Administrativo</v>
          </cell>
          <cell r="AE2331" t="str">
            <v>1. Remuneraciones Adm.</v>
          </cell>
          <cell r="AH2331" t="str">
            <v>6. Partidas significativas de gastos</v>
          </cell>
        </row>
        <row r="2332">
          <cell r="D2332" t="str">
            <v>4-1-01-01-25</v>
          </cell>
          <cell r="E2332" t="str">
            <v>4-1-01-01-25</v>
          </cell>
          <cell r="F2332" t="str">
            <v>Asignaciones varias ventas</v>
          </cell>
          <cell r="G2332" t="str">
            <v>4-1-01-01-25  Asignaciones varias ventas</v>
          </cell>
          <cell r="H2332" t="str">
            <v>Est. Resultado</v>
          </cell>
          <cell r="I2332" t="str">
            <v>Resultado</v>
          </cell>
          <cell r="J2332" t="str">
            <v>6. Costo Personal Administración</v>
          </cell>
          <cell r="K2332" t="str">
            <v>2. Remuneraciones Variables</v>
          </cell>
          <cell r="L2332" t="str">
            <v>EBITDA</v>
          </cell>
          <cell r="N2332" t="str">
            <v>GANANCIAS (PERDIDAS) ANTES DE IMPUESTOS</v>
          </cell>
          <cell r="O2332" t="str">
            <v>GANANCIA (PÉRDIDA) NETA</v>
          </cell>
          <cell r="P2332" t="str">
            <v>Resultado Ingresos y Gastos Integrales</v>
          </cell>
          <cell r="Q2332" t="str">
            <v>I. Ganancia (pérdida), antes de impuestos</v>
          </cell>
          <cell r="R2332" t="str">
            <v>b. Ganancia (pérdida)</v>
          </cell>
          <cell r="S2332" t="str">
            <v>5. Gasto de administración</v>
          </cell>
          <cell r="T2332" t="str">
            <v>2. Remuneraciones Variables</v>
          </cell>
          <cell r="V2332" t="str">
            <v>II. Gastos</v>
          </cell>
          <cell r="W2332" t="str">
            <v>21. Gastos en Personal</v>
          </cell>
          <cell r="Z2332" t="str">
            <v>III. Gastos de Administración</v>
          </cell>
          <cell r="AA2332" t="str">
            <v>9. Personal Administrativo</v>
          </cell>
          <cell r="AB2332" t="str">
            <v>2. Remu Variable</v>
          </cell>
          <cell r="AC2332" t="str">
            <v>III. Gasto Administración</v>
          </cell>
          <cell r="AD2332" t="str">
            <v>1. Personal Administrativo</v>
          </cell>
          <cell r="AE2332" t="str">
            <v>1. Remuneraciones Adm.</v>
          </cell>
          <cell r="AH2332" t="str">
            <v>6. Partidas significativas de gastos</v>
          </cell>
        </row>
        <row r="2333">
          <cell r="D2333" t="str">
            <v>4-1-01-01-14</v>
          </cell>
          <cell r="E2333" t="str">
            <v>4-1-01-01-14</v>
          </cell>
          <cell r="F2333" t="str">
            <v>Gratificacion Administracion</v>
          </cell>
          <cell r="G2333" t="str">
            <v>4-1-01-01-14  Gratificacion Administracion</v>
          </cell>
          <cell r="H2333" t="str">
            <v>Est. Resultado</v>
          </cell>
          <cell r="I2333" t="str">
            <v>Resultado</v>
          </cell>
          <cell r="J2333" t="str">
            <v>6. Costo Personal Administración</v>
          </cell>
          <cell r="K2333" t="str">
            <v>2. Remuneraciones Variables</v>
          </cell>
          <cell r="L2333" t="str">
            <v>EBITDA</v>
          </cell>
          <cell r="N2333" t="str">
            <v>GANANCIAS (PERDIDAS) ANTES DE IMPUESTOS</v>
          </cell>
          <cell r="O2333" t="str">
            <v>GANANCIA (PÉRDIDA) NETA</v>
          </cell>
          <cell r="P2333" t="str">
            <v>Resultado Ingresos y Gastos Integrales</v>
          </cell>
          <cell r="Q2333" t="str">
            <v>I. Ganancia (pérdida), antes de impuestos</v>
          </cell>
          <cell r="R2333" t="str">
            <v>b. Ganancia (pérdida)</v>
          </cell>
          <cell r="S2333" t="str">
            <v>5. Gasto de administración</v>
          </cell>
          <cell r="T2333" t="str">
            <v>2. Remuneraciones Variables</v>
          </cell>
          <cell r="V2333" t="str">
            <v>II. Gastos</v>
          </cell>
          <cell r="W2333" t="str">
            <v>21. Gastos en Personal</v>
          </cell>
          <cell r="Z2333" t="str">
            <v>III. Gastos de Administración</v>
          </cell>
          <cell r="AA2333" t="str">
            <v>9. Personal Administrativo</v>
          </cell>
          <cell r="AB2333" t="str">
            <v>2. Remu Variable</v>
          </cell>
          <cell r="AC2333" t="str">
            <v>III. Gasto Administración</v>
          </cell>
          <cell r="AD2333" t="str">
            <v>1. Personal Administrativo</v>
          </cell>
          <cell r="AE2333" t="str">
            <v>1. Remuneraciones Adm.</v>
          </cell>
          <cell r="AH2333" t="str">
            <v>6. Partidas significativas de gastos</v>
          </cell>
        </row>
        <row r="2334">
          <cell r="D2334" t="str">
            <v>4-1-01-02-24</v>
          </cell>
          <cell r="E2334" t="str">
            <v>4-1-01-02-24</v>
          </cell>
          <cell r="F2334" t="str">
            <v>Comisiones Por Ventas</v>
          </cell>
          <cell r="G2334" t="str">
            <v>4-1-01-02-24  Comisiones Por Ventas</v>
          </cell>
          <cell r="H2334" t="str">
            <v>Est. Resultado</v>
          </cell>
          <cell r="I2334" t="str">
            <v>Resultado</v>
          </cell>
          <cell r="J2334" t="str">
            <v>6. Costo Personal Administración</v>
          </cell>
          <cell r="K2334" t="str">
            <v>2. Remuneraciones Variables</v>
          </cell>
          <cell r="L2334" t="str">
            <v>EBITDA</v>
          </cell>
          <cell r="N2334" t="str">
            <v>GANANCIAS (PERDIDAS) ANTES DE IMPUESTOS</v>
          </cell>
          <cell r="O2334" t="str">
            <v>GANANCIA (PÉRDIDA) NETA</v>
          </cell>
          <cell r="P2334" t="str">
            <v>Resultado Ingresos y Gastos Integrales</v>
          </cell>
          <cell r="Q2334" t="str">
            <v>I. Ganancia (pérdida), antes de impuestos</v>
          </cell>
          <cell r="R2334" t="str">
            <v>b. Ganancia (pérdida)</v>
          </cell>
          <cell r="S2334" t="str">
            <v>5. Gasto de administración</v>
          </cell>
          <cell r="T2334" t="str">
            <v>2. Remuneraciones Variables</v>
          </cell>
          <cell r="V2334" t="str">
            <v>II. Gastos</v>
          </cell>
          <cell r="W2334" t="str">
            <v>21. Gastos en Personal</v>
          </cell>
          <cell r="Z2334" t="str">
            <v>III. Gastos de Administración</v>
          </cell>
          <cell r="AA2334" t="str">
            <v>9. Personal Administrativo</v>
          </cell>
          <cell r="AB2334" t="str">
            <v>2. Remu Variable</v>
          </cell>
          <cell r="AC2334" t="str">
            <v>III. Gasto Administración</v>
          </cell>
          <cell r="AD2334" t="str">
            <v>1. Personal Administrativo</v>
          </cell>
          <cell r="AE2334" t="str">
            <v>1. Remuneraciones Adm.</v>
          </cell>
          <cell r="AH2334" t="str">
            <v>6. Partidas significativas de gastos</v>
          </cell>
        </row>
        <row r="2335">
          <cell r="D2335" t="str">
            <v>4-1-01-02-11</v>
          </cell>
          <cell r="E2335" t="str">
            <v>4-1-01-02-11</v>
          </cell>
          <cell r="F2335" t="str">
            <v>Sobretiempo Administracion</v>
          </cell>
          <cell r="G2335" t="str">
            <v>4-1-01-02-11  Sobretiempo Administracion</v>
          </cell>
          <cell r="H2335" t="str">
            <v>Est. Resultado</v>
          </cell>
          <cell r="I2335" t="str">
            <v>Resultado</v>
          </cell>
          <cell r="J2335" t="str">
            <v>6. Costo Personal Administración</v>
          </cell>
          <cell r="K2335" t="str">
            <v>2. Remuneraciones Variables</v>
          </cell>
          <cell r="L2335" t="str">
            <v>EBITDA</v>
          </cell>
          <cell r="N2335" t="str">
            <v>GANANCIAS (PERDIDAS) ANTES DE IMPUESTOS</v>
          </cell>
          <cell r="O2335" t="str">
            <v>GANANCIA (PÉRDIDA) NETA</v>
          </cell>
          <cell r="P2335" t="str">
            <v>Resultado Ingresos y Gastos Integrales</v>
          </cell>
          <cell r="Q2335" t="str">
            <v>I. Ganancia (pérdida), antes de impuestos</v>
          </cell>
          <cell r="R2335" t="str">
            <v>b. Ganancia (pérdida)</v>
          </cell>
          <cell r="S2335" t="str">
            <v>5. Gasto de administración</v>
          </cell>
          <cell r="T2335" t="str">
            <v>2. Remuneraciones Variables</v>
          </cell>
          <cell r="V2335" t="str">
            <v>II. Gastos</v>
          </cell>
          <cell r="W2335" t="str">
            <v>21. Gastos en Personal</v>
          </cell>
          <cell r="Z2335" t="str">
            <v>III. Gastos de Administración</v>
          </cell>
          <cell r="AA2335" t="str">
            <v>9. Personal Administrativo</v>
          </cell>
          <cell r="AB2335" t="str">
            <v>2. Remu Variable</v>
          </cell>
          <cell r="AC2335" t="str">
            <v>III. Gasto Administración</v>
          </cell>
          <cell r="AD2335" t="str">
            <v>1. Personal Administrativo</v>
          </cell>
          <cell r="AE2335" t="str">
            <v>1. Remuneraciones Adm.</v>
          </cell>
          <cell r="AH2335" t="str">
            <v>6. Partidas significativas de gastos</v>
          </cell>
        </row>
        <row r="2336">
          <cell r="D2336" t="str">
            <v>4-1-01-02-21</v>
          </cell>
          <cell r="E2336" t="str">
            <v>4-1-01-02-21</v>
          </cell>
          <cell r="F2336" t="str">
            <v>Sobretiempo Ventas</v>
          </cell>
          <cell r="G2336" t="str">
            <v>4-1-01-02-21  Sobretiempo Ventas</v>
          </cell>
          <cell r="H2336" t="str">
            <v>Est. Resultado</v>
          </cell>
          <cell r="I2336" t="str">
            <v>Resultado</v>
          </cell>
          <cell r="J2336" t="str">
            <v>6. Costo Personal Administración</v>
          </cell>
          <cell r="K2336" t="str">
            <v>2. Remuneraciones Variables</v>
          </cell>
          <cell r="L2336" t="str">
            <v>EBITDA</v>
          </cell>
          <cell r="N2336" t="str">
            <v>GANANCIAS (PERDIDAS) ANTES DE IMPUESTOS</v>
          </cell>
          <cell r="O2336" t="str">
            <v>GANANCIA (PÉRDIDA) NETA</v>
          </cell>
          <cell r="P2336" t="str">
            <v>Resultado Ingresos y Gastos Integrales</v>
          </cell>
          <cell r="Q2336" t="str">
            <v>I. Ganancia (pérdida), antes de impuestos</v>
          </cell>
          <cell r="R2336" t="str">
            <v>b. Ganancia (pérdida)</v>
          </cell>
          <cell r="S2336" t="str">
            <v>5. Gasto de administración</v>
          </cell>
          <cell r="T2336" t="str">
            <v>2. Remuneraciones Variables</v>
          </cell>
          <cell r="V2336" t="str">
            <v>II. Gastos</v>
          </cell>
          <cell r="W2336" t="str">
            <v>21. Gastos en Personal</v>
          </cell>
          <cell r="Z2336" t="str">
            <v>III. Gastos de Administración</v>
          </cell>
          <cell r="AA2336" t="str">
            <v>9. Personal Administrativo</v>
          </cell>
          <cell r="AB2336" t="str">
            <v>2. Remu Variable</v>
          </cell>
          <cell r="AC2336" t="str">
            <v>III. Gasto Administración</v>
          </cell>
          <cell r="AD2336" t="str">
            <v>1. Personal Administrativo</v>
          </cell>
          <cell r="AE2336" t="str">
            <v>1. Remuneraciones Adm.</v>
          </cell>
          <cell r="AH2336" t="str">
            <v>6. Partidas significativas de gastos</v>
          </cell>
        </row>
        <row r="2337">
          <cell r="D2337">
            <v>0</v>
          </cell>
          <cell r="G2337" t="str">
            <v/>
          </cell>
          <cell r="H2337" t="str">
            <v>Est. Resultado</v>
          </cell>
          <cell r="I2337" t="str">
            <v>Resultado</v>
          </cell>
          <cell r="J2337" t="str">
            <v>6. Costo Personal Administración</v>
          </cell>
          <cell r="K2337" t="str">
            <v>2. Remuneraciones Variables</v>
          </cell>
          <cell r="L2337" t="str">
            <v>EBITDA</v>
          </cell>
          <cell r="N2337" t="str">
            <v>GANANCIAS (PERDIDAS) ANTES DE IMPUESTOS</v>
          </cell>
          <cell r="O2337" t="str">
            <v>GANANCIA (PÉRDIDA) NETA</v>
          </cell>
          <cell r="P2337" t="str">
            <v>Resultado Ingresos y Gastos Integrales</v>
          </cell>
          <cell r="Q2337" t="str">
            <v>I. Ganancia (pérdida), antes de impuestos</v>
          </cell>
          <cell r="R2337" t="str">
            <v>b. Ganancia (pérdida)</v>
          </cell>
          <cell r="S2337" t="str">
            <v>5. Gasto de administración</v>
          </cell>
          <cell r="T2337" t="str">
            <v>2. Remuneraciones Variables</v>
          </cell>
          <cell r="V2337" t="str">
            <v>II. Gastos</v>
          </cell>
          <cell r="W2337" t="str">
            <v>21. Gastos en Personal</v>
          </cell>
          <cell r="Z2337" t="str">
            <v>III. Gastos de Administración</v>
          </cell>
          <cell r="AA2337" t="str">
            <v>9. Personal Administrativo</v>
          </cell>
          <cell r="AB2337" t="str">
            <v>2. Remu Variable</v>
          </cell>
          <cell r="AC2337" t="str">
            <v>III. Gasto Administración</v>
          </cell>
          <cell r="AD2337" t="str">
            <v>1. Personal Administrativo</v>
          </cell>
          <cell r="AE2337" t="str">
            <v>1. Remuneraciones Adm.</v>
          </cell>
          <cell r="AH2337" t="str">
            <v>6. Partidas significativas de gastos</v>
          </cell>
        </row>
        <row r="2338">
          <cell r="D2338">
            <v>0</v>
          </cell>
          <cell r="G2338" t="str">
            <v/>
          </cell>
          <cell r="H2338" t="str">
            <v>Est. Resultado</v>
          </cell>
          <cell r="I2338" t="str">
            <v>Resultado</v>
          </cell>
          <cell r="J2338" t="str">
            <v>6. Costo Personal Administración</v>
          </cell>
          <cell r="K2338" t="str">
            <v>2. Remuneraciones Variables</v>
          </cell>
          <cell r="L2338" t="str">
            <v>EBITDA</v>
          </cell>
          <cell r="N2338" t="str">
            <v>GANANCIAS (PERDIDAS) ANTES DE IMPUESTOS</v>
          </cell>
          <cell r="O2338" t="str">
            <v>GANANCIA (PÉRDIDA) NETA</v>
          </cell>
          <cell r="P2338" t="str">
            <v>Resultado Ingresos y Gastos Integrales</v>
          </cell>
          <cell r="Q2338" t="str">
            <v>I. Ganancia (pérdida), antes de impuestos</v>
          </cell>
          <cell r="R2338" t="str">
            <v>b. Ganancia (pérdida)</v>
          </cell>
          <cell r="S2338" t="str">
            <v>5. Gasto de administración</v>
          </cell>
          <cell r="T2338" t="str">
            <v>2. Remuneraciones Variables</v>
          </cell>
          <cell r="V2338" t="str">
            <v>II. Gastos</v>
          </cell>
          <cell r="W2338" t="str">
            <v>21. Gastos en Personal</v>
          </cell>
          <cell r="Z2338" t="str">
            <v>III. Gastos de Administración</v>
          </cell>
          <cell r="AA2338" t="str">
            <v>9. Personal Administrativo</v>
          </cell>
          <cell r="AB2338" t="str">
            <v>2. Remu Variable</v>
          </cell>
          <cell r="AC2338" t="str">
            <v>III. Gasto Administración</v>
          </cell>
          <cell r="AD2338" t="str">
            <v>1. Personal Administrativo</v>
          </cell>
          <cell r="AE2338" t="str">
            <v>1. Remuneraciones Adm.</v>
          </cell>
          <cell r="AH2338" t="str">
            <v>6. Partidas significativas de gastos</v>
          </cell>
        </row>
        <row r="2339">
          <cell r="D2339" t="str">
            <v>Remuneraciones Variables</v>
          </cell>
          <cell r="E2339" t="str">
            <v>Remuneraciones Variables</v>
          </cell>
          <cell r="F2339" t="str">
            <v/>
          </cell>
          <cell r="G2339" t="str">
            <v xml:space="preserve">Remuneraciones Variables  </v>
          </cell>
          <cell r="Q2339">
            <v>0</v>
          </cell>
          <cell r="R2339" t="str">
            <v/>
          </cell>
        </row>
        <row r="2340">
          <cell r="D2340" t="str">
            <v>4-1-01-02-13</v>
          </cell>
          <cell r="E2340" t="str">
            <v>4-1-01-02-13</v>
          </cell>
          <cell r="F2340" t="str">
            <v>Indemnizacion Por Años De Servicio Admin</v>
          </cell>
          <cell r="G2340" t="str">
            <v>4-1-01-02-13  Indemnizacion Por Años De Servicio Admin</v>
          </cell>
          <cell r="H2340" t="str">
            <v>Est. Resultado</v>
          </cell>
          <cell r="I2340" t="str">
            <v>Resultado</v>
          </cell>
          <cell r="J2340" t="str">
            <v>6. Costo Personal Administración</v>
          </cell>
          <cell r="K2340" t="str">
            <v>3. Provisiones e indemnizaciones</v>
          </cell>
          <cell r="L2340" t="str">
            <v>EBITDA</v>
          </cell>
          <cell r="N2340" t="str">
            <v>GANANCIAS (PERDIDAS) ANTES DE IMPUESTOS</v>
          </cell>
          <cell r="O2340" t="str">
            <v>GANANCIA (PÉRDIDA) NETA</v>
          </cell>
          <cell r="P2340" t="str">
            <v>Resultado Ingresos y Gastos Integrales</v>
          </cell>
          <cell r="Q2340" t="str">
            <v>I. Ganancia (pérdida), antes de impuestos</v>
          </cell>
          <cell r="R2340" t="str">
            <v>b. Ganancia (pérdida)</v>
          </cell>
          <cell r="S2340" t="str">
            <v>5. Gasto de administración</v>
          </cell>
          <cell r="T2340" t="str">
            <v>3. Provisiones e indemnizaciones</v>
          </cell>
          <cell r="Z2340" t="str">
            <v>III. Gastos de Administración</v>
          </cell>
          <cell r="AA2340" t="str">
            <v>9. Personal Administrativo</v>
          </cell>
          <cell r="AB2340" t="str">
            <v>2. Remu Variable</v>
          </cell>
          <cell r="AC2340" t="str">
            <v>III. Gasto Administración</v>
          </cell>
          <cell r="AD2340" t="str">
            <v>1. Personal Administrativo</v>
          </cell>
          <cell r="AE2340" t="str">
            <v>1. Remuneraciones Adm.</v>
          </cell>
          <cell r="AH2340" t="str">
            <v>6. Partidas significativas de gastos</v>
          </cell>
        </row>
        <row r="2341">
          <cell r="D2341">
            <v>0</v>
          </cell>
          <cell r="G2341" t="str">
            <v/>
          </cell>
          <cell r="H2341" t="str">
            <v>Est. Resultado</v>
          </cell>
          <cell r="I2341" t="str">
            <v>Resultado</v>
          </cell>
          <cell r="J2341" t="str">
            <v>6. Costo Personal Administración</v>
          </cell>
          <cell r="K2341" t="str">
            <v>3. Provisiones e indemnizaciones</v>
          </cell>
          <cell r="L2341" t="str">
            <v>EBITDA</v>
          </cell>
          <cell r="N2341" t="str">
            <v>GANANCIAS (PERDIDAS) ANTES DE IMPUESTOS</v>
          </cell>
          <cell r="O2341" t="str">
            <v>GANANCIA (PÉRDIDA) NETA</v>
          </cell>
          <cell r="P2341" t="str">
            <v>Resultado Ingresos y Gastos Integrales</v>
          </cell>
          <cell r="Q2341" t="str">
            <v>I. Ganancia (pérdida), antes de impuestos</v>
          </cell>
          <cell r="R2341" t="str">
            <v>b. Ganancia (pérdida)</v>
          </cell>
          <cell r="S2341" t="str">
            <v>5. Gasto de administración</v>
          </cell>
          <cell r="T2341" t="str">
            <v>3. Provisiones e indemnizaciones</v>
          </cell>
          <cell r="Z2341" t="str">
            <v>III. Gastos de Administración</v>
          </cell>
          <cell r="AA2341" t="str">
            <v>9. Personal Administrativo</v>
          </cell>
          <cell r="AB2341" t="str">
            <v>2. Remu Variable</v>
          </cell>
          <cell r="AC2341" t="str">
            <v>III. Gasto Administración</v>
          </cell>
          <cell r="AD2341" t="str">
            <v>1. Personal Administrativo</v>
          </cell>
          <cell r="AE2341" t="str">
            <v>1. Remuneraciones Adm.</v>
          </cell>
          <cell r="AH2341" t="str">
            <v>6. Partidas significativas de gastos</v>
          </cell>
        </row>
        <row r="2342">
          <cell r="D2342">
            <v>0</v>
          </cell>
          <cell r="F2342" t="str">
            <v/>
          </cell>
          <cell r="G2342" t="str">
            <v/>
          </cell>
          <cell r="H2342" t="str">
            <v>Est. Resultado</v>
          </cell>
          <cell r="I2342" t="str">
            <v>Resultado</v>
          </cell>
          <cell r="J2342" t="str">
            <v>6. Costo Personal Administración</v>
          </cell>
          <cell r="K2342" t="str">
            <v>3. Provisiones e indemnizaciones</v>
          </cell>
          <cell r="L2342" t="str">
            <v>EBITDA</v>
          </cell>
          <cell r="N2342" t="str">
            <v>GANANCIAS (PERDIDAS) ANTES DE IMPUESTOS</v>
          </cell>
          <cell r="O2342" t="str">
            <v>GANANCIA (PÉRDIDA) NETA</v>
          </cell>
          <cell r="P2342" t="str">
            <v>Resultado Ingresos y Gastos Integrales</v>
          </cell>
          <cell r="Q2342" t="str">
            <v>I. Ganancia (pérdida), antes de impuestos</v>
          </cell>
          <cell r="R2342" t="str">
            <v>b. Ganancia (pérdida)</v>
          </cell>
          <cell r="S2342" t="str">
            <v>5. Gasto de administración</v>
          </cell>
          <cell r="T2342" t="str">
            <v>3. Provisiones e indemnizaciones</v>
          </cell>
          <cell r="Z2342" t="str">
            <v>III. Gastos de Administración</v>
          </cell>
          <cell r="AA2342" t="str">
            <v>9. Personal Administrativo</v>
          </cell>
          <cell r="AB2342" t="str">
            <v>2. Remu Variable</v>
          </cell>
          <cell r="AC2342" t="str">
            <v>III. Gasto Administración</v>
          </cell>
          <cell r="AD2342" t="str">
            <v>1. Personal Administrativo</v>
          </cell>
          <cell r="AE2342" t="str">
            <v>1. Remuneraciones Adm.</v>
          </cell>
          <cell r="AH2342" t="str">
            <v>6. Partidas significativas de gastos</v>
          </cell>
        </row>
        <row r="2343">
          <cell r="D2343" t="str">
            <v>Provisiones e indemnizaciones</v>
          </cell>
          <cell r="E2343" t="str">
            <v>Provisiones e indemnizaciones</v>
          </cell>
          <cell r="G2343" t="str">
            <v xml:space="preserve">Provisiones e indemnizaciones  </v>
          </cell>
          <cell r="Q2343">
            <v>0</v>
          </cell>
          <cell r="R2343" t="str">
            <v/>
          </cell>
        </row>
        <row r="2344">
          <cell r="D2344" t="str">
            <v>COSTO PERSONAL ADMINISTRACION</v>
          </cell>
          <cell r="E2344" t="str">
            <v>COSTO PERSONAL ADMINISTRACION</v>
          </cell>
          <cell r="G2344" t="str">
            <v xml:space="preserve">COSTO PERSONAL ADMINISTRACION  </v>
          </cell>
          <cell r="Q2344">
            <v>0</v>
          </cell>
          <cell r="R2344" t="str">
            <v/>
          </cell>
        </row>
        <row r="2345">
          <cell r="D2345" t="str">
            <v>4-1-06-99-11</v>
          </cell>
          <cell r="E2345" t="str">
            <v>4-1-06-99-11</v>
          </cell>
          <cell r="F2345" t="str">
            <v>Otros Honorarios Administracion</v>
          </cell>
          <cell r="G2345" t="str">
            <v>4-1-06-99-11  Otros Honorarios Administracion</v>
          </cell>
          <cell r="H2345" t="str">
            <v>Est. Resultado</v>
          </cell>
          <cell r="I2345" t="str">
            <v>Resultado</v>
          </cell>
          <cell r="J2345" t="str">
            <v>7. Gastos de Administración</v>
          </cell>
          <cell r="K2345" t="str">
            <v>1. Honorarios</v>
          </cell>
          <cell r="L2345" t="str">
            <v>EBITDA</v>
          </cell>
          <cell r="N2345" t="str">
            <v>GANANCIAS (PERDIDAS) ANTES DE IMPUESTOS</v>
          </cell>
          <cell r="O2345" t="str">
            <v>GANANCIA (PÉRDIDA) NETA</v>
          </cell>
          <cell r="P2345" t="str">
            <v>Resultado Ingresos y Gastos Integrales</v>
          </cell>
          <cell r="Q2345" t="str">
            <v>I. Ganancia (pérdida), antes de impuestos</v>
          </cell>
          <cell r="R2345" t="str">
            <v>b. Ganancia (pérdida)</v>
          </cell>
          <cell r="S2345" t="str">
            <v>5. Gasto de administración</v>
          </cell>
          <cell r="T2345" t="str">
            <v>5. Honorarios</v>
          </cell>
          <cell r="V2345" t="str">
            <v>II. Gastos</v>
          </cell>
          <cell r="W2345" t="str">
            <v>21. Gastos en Personal</v>
          </cell>
          <cell r="Z2345" t="str">
            <v>III. Gastos de Administración</v>
          </cell>
          <cell r="AA2345" t="str">
            <v>6. Gastos Generales</v>
          </cell>
          <cell r="AC2345" t="str">
            <v>III. Gasto Administración</v>
          </cell>
          <cell r="AD2345" t="str">
            <v>2. Bienes y servicios Adm.</v>
          </cell>
          <cell r="AE2345" t="str">
            <v>6. Gastos Generales</v>
          </cell>
          <cell r="AH2345" t="str">
            <v>6. Partidas significativas de gastos</v>
          </cell>
        </row>
        <row r="2346">
          <cell r="D2346" t="str">
            <v>4-1-06-99-21</v>
          </cell>
          <cell r="E2346" t="str">
            <v>4-1-06-99-21</v>
          </cell>
          <cell r="F2346" t="str">
            <v>OTROS HONORARIOS VENTAS</v>
          </cell>
          <cell r="G2346" t="str">
            <v>4-1-06-99-21  OTROS HONORARIOS VENTAS</v>
          </cell>
          <cell r="H2346" t="str">
            <v>Est. Resultado</v>
          </cell>
          <cell r="I2346" t="str">
            <v>Resultado</v>
          </cell>
          <cell r="J2346" t="str">
            <v>7. Gastos de Administración</v>
          </cell>
          <cell r="K2346" t="str">
            <v>1. Honorarios</v>
          </cell>
          <cell r="L2346" t="str">
            <v>EBITDA</v>
          </cell>
          <cell r="N2346" t="str">
            <v>GANANCIAS (PERDIDAS) ANTES DE IMPUESTOS</v>
          </cell>
          <cell r="O2346" t="str">
            <v>GANANCIA (PÉRDIDA) NETA</v>
          </cell>
          <cell r="P2346" t="str">
            <v>Resultado Ingresos y Gastos Integrales</v>
          </cell>
          <cell r="Q2346" t="str">
            <v>I. Ganancia (pérdida), antes de impuestos</v>
          </cell>
          <cell r="R2346" t="str">
            <v>b. Ganancia (pérdida)</v>
          </cell>
          <cell r="S2346" t="str">
            <v>5. Gasto de administración</v>
          </cell>
          <cell r="T2346" t="str">
            <v>5. Honorarios</v>
          </cell>
          <cell r="V2346" t="str">
            <v>II. Gastos</v>
          </cell>
          <cell r="W2346" t="str">
            <v>21. Gastos en Personal</v>
          </cell>
          <cell r="Z2346" t="str">
            <v>III. Gastos de Administración</v>
          </cell>
          <cell r="AA2346" t="str">
            <v>6. Gastos Generales</v>
          </cell>
          <cell r="AC2346" t="str">
            <v>III. Gasto Administración</v>
          </cell>
          <cell r="AD2346" t="str">
            <v>2. Bienes y servicios Adm.</v>
          </cell>
          <cell r="AE2346" t="str">
            <v>6. Gastos Generales</v>
          </cell>
          <cell r="AH2346" t="str">
            <v>6. Partidas significativas de gastos</v>
          </cell>
        </row>
        <row r="2347">
          <cell r="D2347">
            <v>0</v>
          </cell>
          <cell r="G2347" t="str">
            <v/>
          </cell>
          <cell r="H2347" t="str">
            <v>Est. Resultado</v>
          </cell>
          <cell r="I2347" t="str">
            <v>Resultado</v>
          </cell>
          <cell r="J2347" t="str">
            <v>7. Gastos de Administración</v>
          </cell>
          <cell r="K2347" t="str">
            <v>1. Honorarios</v>
          </cell>
          <cell r="L2347" t="str">
            <v>EBITDA</v>
          </cell>
          <cell r="N2347" t="str">
            <v>GANANCIAS (PERDIDAS) ANTES DE IMPUESTOS</v>
          </cell>
          <cell r="O2347" t="str">
            <v>GANANCIA (PÉRDIDA) NETA</v>
          </cell>
          <cell r="P2347" t="str">
            <v>Resultado Ingresos y Gastos Integrales</v>
          </cell>
          <cell r="Q2347" t="str">
            <v>I. Ganancia (pérdida), antes de impuestos</v>
          </cell>
          <cell r="R2347" t="str">
            <v>b. Ganancia (pérdida)</v>
          </cell>
          <cell r="S2347" t="str">
            <v>5. Gasto de administración</v>
          </cell>
          <cell r="T2347" t="str">
            <v>5. Honorarios</v>
          </cell>
          <cell r="V2347" t="str">
            <v>II. Gastos</v>
          </cell>
          <cell r="W2347" t="str">
            <v>21. Gastos en Personal</v>
          </cell>
          <cell r="Z2347" t="str">
            <v>III. Gastos de Administración</v>
          </cell>
          <cell r="AA2347" t="str">
            <v>6. Gastos Generales</v>
          </cell>
          <cell r="AC2347" t="str">
            <v>III. Gasto Administración</v>
          </cell>
          <cell r="AD2347" t="str">
            <v>2. Bienes y servicios Adm.</v>
          </cell>
          <cell r="AE2347" t="str">
            <v>6. Gastos Generales</v>
          </cell>
          <cell r="AH2347" t="str">
            <v>6. Partidas significativas de gastos</v>
          </cell>
        </row>
        <row r="2348">
          <cell r="D2348" t="str">
            <v>Honorarios</v>
          </cell>
          <cell r="E2348" t="str">
            <v>Honorarios</v>
          </cell>
          <cell r="G2348" t="str">
            <v xml:space="preserve">Honorarios  </v>
          </cell>
          <cell r="Q2348">
            <v>0</v>
          </cell>
          <cell r="R2348" t="str">
            <v/>
          </cell>
        </row>
        <row r="2349">
          <cell r="D2349" t="str">
            <v>4-1-01-04-12</v>
          </cell>
          <cell r="E2349" t="str">
            <v>4-1-01-04-12</v>
          </cell>
          <cell r="F2349" t="str">
            <v>Aporte Mutual Administracion</v>
          </cell>
          <cell r="G2349" t="str">
            <v>4-1-01-04-12  Aporte Mutual Administracion</v>
          </cell>
          <cell r="H2349" t="str">
            <v>Est. Resultado</v>
          </cell>
          <cell r="I2349" t="str">
            <v>Resultado</v>
          </cell>
          <cell r="J2349" t="str">
            <v>7. Gastos de Administración</v>
          </cell>
          <cell r="K2349" t="str">
            <v>2. Otros Gastos en Personal</v>
          </cell>
          <cell r="L2349" t="str">
            <v>EBITDA</v>
          </cell>
          <cell r="N2349" t="str">
            <v>GANANCIAS (PERDIDAS) ANTES DE IMPUESTOS</v>
          </cell>
          <cell r="O2349" t="str">
            <v>GANANCIA (PÉRDIDA) NETA</v>
          </cell>
          <cell r="P2349" t="str">
            <v>Resultado Ingresos y Gastos Integrales</v>
          </cell>
          <cell r="Q2349" t="str">
            <v>I. Ganancia (pérdida), antes de impuestos</v>
          </cell>
          <cell r="R2349" t="str">
            <v>b. Ganancia (pérdida)</v>
          </cell>
          <cell r="S2349" t="str">
            <v>5. Gasto de administración</v>
          </cell>
          <cell r="T2349" t="str">
            <v>4. Otros Gastos en Personal</v>
          </cell>
          <cell r="V2349" t="str">
            <v>II. Gastos</v>
          </cell>
          <cell r="W2349" t="str">
            <v>21. Gastos en Personal</v>
          </cell>
          <cell r="Z2349" t="str">
            <v>III. Gastos de Administración</v>
          </cell>
          <cell r="AA2349" t="str">
            <v>8. Otros Gastos en Personal</v>
          </cell>
          <cell r="AC2349" t="str">
            <v>III. Gasto Administración</v>
          </cell>
          <cell r="AD2349" t="str">
            <v>2. Bienes y servicios Adm.</v>
          </cell>
          <cell r="AE2349" t="str">
            <v>2. Otros Gastos en Personal</v>
          </cell>
          <cell r="AH2349" t="str">
            <v>6. Partidas significativas de gastos</v>
          </cell>
        </row>
        <row r="2350">
          <cell r="D2350" t="str">
            <v>4-1-01-04-22</v>
          </cell>
          <cell r="E2350" t="str">
            <v>4-1-01-04-22</v>
          </cell>
          <cell r="F2350" t="str">
            <v>Aporte Mutual Ventas</v>
          </cell>
          <cell r="G2350" t="str">
            <v>4-1-01-04-22  Aporte Mutual Ventas</v>
          </cell>
          <cell r="H2350" t="str">
            <v>Est. Resultado</v>
          </cell>
          <cell r="I2350" t="str">
            <v>Resultado</v>
          </cell>
          <cell r="J2350" t="str">
            <v>7. Gastos de Administración</v>
          </cell>
          <cell r="K2350" t="str">
            <v>2. Otros Gastos en Personal</v>
          </cell>
          <cell r="L2350" t="str">
            <v>EBITDA</v>
          </cell>
          <cell r="N2350" t="str">
            <v>GANANCIAS (PERDIDAS) ANTES DE IMPUESTOS</v>
          </cell>
          <cell r="O2350" t="str">
            <v>GANANCIA (PÉRDIDA) NETA</v>
          </cell>
          <cell r="P2350" t="str">
            <v>Resultado Ingresos y Gastos Integrales</v>
          </cell>
          <cell r="Q2350" t="str">
            <v>I. Ganancia (pérdida), antes de impuestos</v>
          </cell>
          <cell r="R2350" t="str">
            <v>b. Ganancia (pérdida)</v>
          </cell>
          <cell r="S2350" t="str">
            <v>5. Gasto de administración</v>
          </cell>
          <cell r="T2350" t="str">
            <v>4. Otros Gastos en Personal</v>
          </cell>
          <cell r="V2350" t="str">
            <v>II. Gastos</v>
          </cell>
          <cell r="W2350" t="str">
            <v>21. Gastos en Personal</v>
          </cell>
          <cell r="Z2350" t="str">
            <v>III. Gastos de Administración</v>
          </cell>
          <cell r="AA2350" t="str">
            <v>8. Otros Gastos en Personal</v>
          </cell>
          <cell r="AC2350" t="str">
            <v>III. Gasto Administración</v>
          </cell>
          <cell r="AD2350" t="str">
            <v>2. Bienes y servicios Adm.</v>
          </cell>
          <cell r="AE2350" t="str">
            <v>2. Otros Gastos en Personal</v>
          </cell>
          <cell r="AH2350" t="str">
            <v>6. Partidas significativas de gastos</v>
          </cell>
        </row>
        <row r="2351">
          <cell r="D2351" t="str">
            <v>4-1-01-04-14</v>
          </cell>
          <cell r="E2351" t="str">
            <v>4-1-01-04-14</v>
          </cell>
          <cell r="F2351" t="str">
            <v>Capacitacion Administracion</v>
          </cell>
          <cell r="G2351" t="str">
            <v>4-1-01-04-14  Capacitacion Administracion</v>
          </cell>
          <cell r="H2351" t="str">
            <v>Est. Resultado</v>
          </cell>
          <cell r="I2351" t="str">
            <v>Resultado</v>
          </cell>
          <cell r="J2351" t="str">
            <v>7. Gastos de Administración</v>
          </cell>
          <cell r="K2351" t="str">
            <v>2. Otros Gastos en Personal</v>
          </cell>
          <cell r="L2351" t="str">
            <v>EBITDA</v>
          </cell>
          <cell r="N2351" t="str">
            <v>GANANCIAS (PERDIDAS) ANTES DE IMPUESTOS</v>
          </cell>
          <cell r="O2351" t="str">
            <v>GANANCIA (PÉRDIDA) NETA</v>
          </cell>
          <cell r="P2351" t="str">
            <v>Resultado Ingresos y Gastos Integrales</v>
          </cell>
          <cell r="Q2351" t="str">
            <v>I. Ganancia (pérdida), antes de impuestos</v>
          </cell>
          <cell r="R2351" t="str">
            <v>b. Ganancia (pérdida)</v>
          </cell>
          <cell r="S2351" t="str">
            <v>5. Gasto de administración</v>
          </cell>
          <cell r="T2351" t="str">
            <v>4. Otros Gastos en Personal</v>
          </cell>
          <cell r="V2351" t="str">
            <v>II. Gastos</v>
          </cell>
          <cell r="W2351" t="str">
            <v>21. Gastos en Personal</v>
          </cell>
          <cell r="Z2351" t="str">
            <v>III. Gastos de Administración</v>
          </cell>
          <cell r="AA2351" t="str">
            <v>8. Otros Gastos en Personal</v>
          </cell>
          <cell r="AC2351" t="str">
            <v>III. Gasto Administración</v>
          </cell>
          <cell r="AD2351" t="str">
            <v>2. Bienes y servicios Adm.</v>
          </cell>
          <cell r="AE2351" t="str">
            <v>2. Otros Gastos en Personal</v>
          </cell>
          <cell r="AH2351" t="str">
            <v>6. Partidas significativas de gastos</v>
          </cell>
        </row>
        <row r="2352">
          <cell r="D2352" t="str">
            <v>4-1-01-04-15</v>
          </cell>
          <cell r="E2352" t="str">
            <v>4-1-01-04-15</v>
          </cell>
          <cell r="F2352" t="str">
            <v>Uniformes Administracion</v>
          </cell>
          <cell r="G2352" t="str">
            <v>4-1-01-04-15  Uniformes Administracion</v>
          </cell>
          <cell r="H2352" t="str">
            <v>Est. Resultado</v>
          </cell>
          <cell r="I2352" t="str">
            <v>Resultado</v>
          </cell>
          <cell r="J2352" t="str">
            <v>7. Gastos de Administración</v>
          </cell>
          <cell r="K2352" t="str">
            <v>2. Otros Gastos en Personal</v>
          </cell>
          <cell r="L2352" t="str">
            <v>EBITDA</v>
          </cell>
          <cell r="N2352" t="str">
            <v>GANANCIAS (PERDIDAS) ANTES DE IMPUESTOS</v>
          </cell>
          <cell r="O2352" t="str">
            <v>GANANCIA (PÉRDIDA) NETA</v>
          </cell>
          <cell r="P2352" t="str">
            <v>Resultado Ingresos y Gastos Integrales</v>
          </cell>
          <cell r="Q2352" t="str">
            <v>I. Ganancia (pérdida), antes de impuestos</v>
          </cell>
          <cell r="R2352" t="str">
            <v>b. Ganancia (pérdida)</v>
          </cell>
          <cell r="S2352" t="str">
            <v>5. Gasto de administración</v>
          </cell>
          <cell r="T2352" t="str">
            <v>4. Otros Gastos en Personal</v>
          </cell>
          <cell r="V2352" t="str">
            <v>II. Gastos</v>
          </cell>
          <cell r="W2352" t="str">
            <v>21. Gastos en Personal</v>
          </cell>
          <cell r="Z2352" t="str">
            <v>III. Gastos de Administración</v>
          </cell>
          <cell r="AA2352" t="str">
            <v>8. Otros Gastos en Personal</v>
          </cell>
          <cell r="AC2352" t="str">
            <v>III. Gasto Administración</v>
          </cell>
          <cell r="AD2352" t="str">
            <v>2. Bienes y servicios Adm.</v>
          </cell>
          <cell r="AE2352" t="str">
            <v>2. Otros Gastos en Personal</v>
          </cell>
          <cell r="AH2352" t="str">
            <v>6. Partidas significativas de gastos</v>
          </cell>
        </row>
        <row r="2353">
          <cell r="D2353" t="str">
            <v>4-1-01-04-24</v>
          </cell>
          <cell r="E2353" t="str">
            <v>4-1-01-04-24</v>
          </cell>
          <cell r="F2353" t="str">
            <v>Capacitacion Ventas</v>
          </cell>
          <cell r="G2353" t="str">
            <v>4-1-01-04-24  Capacitacion Ventas</v>
          </cell>
          <cell r="H2353" t="str">
            <v>Est. Resultado</v>
          </cell>
          <cell r="I2353" t="str">
            <v>Resultado</v>
          </cell>
          <cell r="J2353" t="str">
            <v>7. Gastos de Administración</v>
          </cell>
          <cell r="K2353" t="str">
            <v>2. Otros Gastos en Personal</v>
          </cell>
          <cell r="L2353" t="str">
            <v>EBITDA</v>
          </cell>
          <cell r="N2353" t="str">
            <v>GANANCIAS (PERDIDAS) ANTES DE IMPUESTOS</v>
          </cell>
          <cell r="O2353" t="str">
            <v>GANANCIA (PÉRDIDA) NETA</v>
          </cell>
          <cell r="P2353" t="str">
            <v>Resultado Ingresos y Gastos Integrales</v>
          </cell>
          <cell r="Q2353" t="str">
            <v>I. Ganancia (pérdida), antes de impuestos</v>
          </cell>
          <cell r="R2353" t="str">
            <v>b. Ganancia (pérdida)</v>
          </cell>
          <cell r="S2353" t="str">
            <v>5. Gasto de administración</v>
          </cell>
          <cell r="T2353" t="str">
            <v>4. Otros Gastos en Personal</v>
          </cell>
          <cell r="V2353" t="str">
            <v>II. Gastos</v>
          </cell>
          <cell r="W2353" t="str">
            <v>21. Gastos en Personal</v>
          </cell>
          <cell r="Z2353" t="str">
            <v>III. Gastos de Administración</v>
          </cell>
          <cell r="AA2353" t="str">
            <v>8. Otros Gastos en Personal</v>
          </cell>
          <cell r="AC2353" t="str">
            <v>III. Gasto Administración</v>
          </cell>
          <cell r="AD2353" t="str">
            <v>2. Bienes y servicios Adm.</v>
          </cell>
          <cell r="AE2353" t="str">
            <v>2. Otros Gastos en Personal</v>
          </cell>
          <cell r="AH2353" t="str">
            <v>6. Partidas significativas de gastos</v>
          </cell>
        </row>
        <row r="2354">
          <cell r="D2354" t="str">
            <v>4-1-01-04-27</v>
          </cell>
          <cell r="E2354" t="str">
            <v>4-1-01-04-27</v>
          </cell>
          <cell r="F2354" t="str">
            <v>Seguros Obligatorios Ventas</v>
          </cell>
          <cell r="G2354" t="str">
            <v>4-1-01-04-27  Seguros Obligatorios Ventas</v>
          </cell>
          <cell r="H2354" t="str">
            <v>Est. Resultado</v>
          </cell>
          <cell r="I2354" t="str">
            <v>Resultado</v>
          </cell>
          <cell r="J2354" t="str">
            <v>7. Gastos de Administración</v>
          </cell>
          <cell r="K2354" t="str">
            <v>2. Otros Gastos en Personal</v>
          </cell>
          <cell r="L2354" t="str">
            <v>EBITDA</v>
          </cell>
          <cell r="N2354" t="str">
            <v>GANANCIAS (PERDIDAS) ANTES DE IMPUESTOS</v>
          </cell>
          <cell r="O2354" t="str">
            <v>GANANCIA (PÉRDIDA) NETA</v>
          </cell>
          <cell r="P2354" t="str">
            <v>Resultado Ingresos y Gastos Integrales</v>
          </cell>
          <cell r="Q2354" t="str">
            <v>I. Ganancia (pérdida), antes de impuestos</v>
          </cell>
          <cell r="R2354" t="str">
            <v>b. Ganancia (pérdida)</v>
          </cell>
          <cell r="S2354" t="str">
            <v>5. Gasto de administración</v>
          </cell>
          <cell r="T2354" t="str">
            <v>4. Otros Gastos en Personal</v>
          </cell>
          <cell r="V2354" t="str">
            <v>II. Gastos</v>
          </cell>
          <cell r="W2354" t="str">
            <v>21. Gastos en Personal</v>
          </cell>
          <cell r="Z2354" t="str">
            <v>III. Gastos de Administración</v>
          </cell>
          <cell r="AA2354" t="str">
            <v>8. Otros Gastos en Personal</v>
          </cell>
          <cell r="AC2354" t="str">
            <v>III. Gasto Administración</v>
          </cell>
          <cell r="AD2354" t="str">
            <v>2. Bienes y servicios Adm.</v>
          </cell>
          <cell r="AE2354" t="str">
            <v>2. Otros Gastos en Personal</v>
          </cell>
          <cell r="AH2354" t="str">
            <v>6. Partidas significativas de gastos</v>
          </cell>
        </row>
        <row r="2355">
          <cell r="D2355" t="str">
            <v>4-1-01-04-41</v>
          </cell>
          <cell r="E2355" t="str">
            <v>4-1-01-04-41</v>
          </cell>
          <cell r="F2355" t="str">
            <v>Seguro De Invalidez Y Sobreviv. Administ</v>
          </cell>
          <cell r="G2355" t="str">
            <v>4-1-01-04-41  Seguro De Invalidez Y Sobreviv. Administ</v>
          </cell>
          <cell r="H2355" t="str">
            <v>Est. Resultado</v>
          </cell>
          <cell r="I2355" t="str">
            <v>Resultado</v>
          </cell>
          <cell r="J2355" t="str">
            <v>7. Gastos de Administración</v>
          </cell>
          <cell r="K2355" t="str">
            <v>2. Otros Gastos en Personal</v>
          </cell>
          <cell r="L2355" t="str">
            <v>EBITDA</v>
          </cell>
          <cell r="N2355" t="str">
            <v>GANANCIAS (PERDIDAS) ANTES DE IMPUESTOS</v>
          </cell>
          <cell r="O2355" t="str">
            <v>GANANCIA (PÉRDIDA) NETA</v>
          </cell>
          <cell r="P2355" t="str">
            <v>Resultado Ingresos y Gastos Integrales</v>
          </cell>
          <cell r="Q2355" t="str">
            <v>I. Ganancia (pérdida), antes de impuestos</v>
          </cell>
          <cell r="R2355" t="str">
            <v>b. Ganancia (pérdida)</v>
          </cell>
          <cell r="S2355" t="str">
            <v>5. Gasto de administración</v>
          </cell>
          <cell r="T2355" t="str">
            <v>4. Otros Gastos en Personal</v>
          </cell>
          <cell r="V2355" t="str">
            <v>II. Gastos</v>
          </cell>
          <cell r="W2355" t="str">
            <v>21. Gastos en Personal</v>
          </cell>
          <cell r="Z2355" t="str">
            <v>III. Gastos de Administración</v>
          </cell>
          <cell r="AA2355" t="str">
            <v>8. Otros Gastos en Personal</v>
          </cell>
          <cell r="AC2355" t="str">
            <v>III. Gasto Administración</v>
          </cell>
          <cell r="AD2355" t="str">
            <v>2. Bienes y servicios Adm.</v>
          </cell>
          <cell r="AE2355" t="str">
            <v>2. Otros Gastos en Personal</v>
          </cell>
          <cell r="AH2355" t="str">
            <v>6. Partidas significativas de gastos</v>
          </cell>
        </row>
        <row r="2356">
          <cell r="D2356" t="str">
            <v>4-1-01-04-51</v>
          </cell>
          <cell r="E2356" t="str">
            <v>4-1-01-04-51</v>
          </cell>
          <cell r="F2356" t="str">
            <v>Seguro De Invalidez Y Sobreviv. Ventas</v>
          </cell>
          <cell r="G2356" t="str">
            <v>4-1-01-04-51  Seguro De Invalidez Y Sobreviv. Ventas</v>
          </cell>
          <cell r="H2356" t="str">
            <v>Est. Resultado</v>
          </cell>
          <cell r="I2356" t="str">
            <v>Resultado</v>
          </cell>
          <cell r="J2356" t="str">
            <v>7. Gastos de Administración</v>
          </cell>
          <cell r="K2356" t="str">
            <v>2. Otros Gastos en Personal</v>
          </cell>
          <cell r="L2356" t="str">
            <v>EBITDA</v>
          </cell>
          <cell r="N2356" t="str">
            <v>GANANCIAS (PERDIDAS) ANTES DE IMPUESTOS</v>
          </cell>
          <cell r="O2356" t="str">
            <v>GANANCIA (PÉRDIDA) NETA</v>
          </cell>
          <cell r="P2356" t="str">
            <v>Resultado Ingresos y Gastos Integrales</v>
          </cell>
          <cell r="Q2356" t="str">
            <v>I. Ganancia (pérdida), antes de impuestos</v>
          </cell>
          <cell r="R2356" t="str">
            <v>b. Ganancia (pérdida)</v>
          </cell>
          <cell r="S2356" t="str">
            <v>5. Gasto de administración</v>
          </cell>
          <cell r="T2356" t="str">
            <v>4. Otros Gastos en Personal</v>
          </cell>
          <cell r="V2356" t="str">
            <v>II. Gastos</v>
          </cell>
          <cell r="W2356" t="str">
            <v>21. Gastos en Personal</v>
          </cell>
          <cell r="Z2356" t="str">
            <v>III. Gastos de Administración</v>
          </cell>
          <cell r="AA2356" t="str">
            <v>8. Otros Gastos en Personal</v>
          </cell>
          <cell r="AC2356" t="str">
            <v>III. Gasto Administración</v>
          </cell>
          <cell r="AD2356" t="str">
            <v>2. Bienes y servicios Adm.</v>
          </cell>
          <cell r="AE2356" t="str">
            <v>2. Otros Gastos en Personal</v>
          </cell>
          <cell r="AH2356" t="str">
            <v>6. Partidas significativas de gastos</v>
          </cell>
        </row>
        <row r="2357">
          <cell r="D2357" t="str">
            <v>4-1-01-04-26</v>
          </cell>
          <cell r="E2357" t="str">
            <v>4-1-01-04-26</v>
          </cell>
          <cell r="F2357" t="str">
            <v>Elementos De Protec. Personal Ventas</v>
          </cell>
          <cell r="G2357" t="str">
            <v>4-1-01-04-26  Elementos De Protec. Personal Ventas</v>
          </cell>
          <cell r="H2357" t="str">
            <v>Est. Resultado</v>
          </cell>
          <cell r="I2357" t="str">
            <v>Resultado</v>
          </cell>
          <cell r="J2357" t="str">
            <v>7. Gastos de Administración</v>
          </cell>
          <cell r="K2357" t="str">
            <v>2. Otros Gastos en Personal</v>
          </cell>
          <cell r="L2357" t="str">
            <v>EBITDA</v>
          </cell>
          <cell r="N2357" t="str">
            <v>GANANCIAS (PERDIDAS) ANTES DE IMPUESTOS</v>
          </cell>
          <cell r="O2357" t="str">
            <v>GANANCIA (PÉRDIDA) NETA</v>
          </cell>
          <cell r="P2357" t="str">
            <v>Resultado Ingresos y Gastos Integrales</v>
          </cell>
          <cell r="Q2357" t="str">
            <v>I. Ganancia (pérdida), antes de impuestos</v>
          </cell>
          <cell r="R2357" t="str">
            <v>b. Ganancia (pérdida)</v>
          </cell>
          <cell r="S2357" t="str">
            <v>5. Gasto de administración</v>
          </cell>
          <cell r="T2357" t="str">
            <v>4. Otros Gastos en Personal</v>
          </cell>
          <cell r="V2357" t="str">
            <v>II. Gastos</v>
          </cell>
          <cell r="W2357" t="str">
            <v>21. Gastos en Personal</v>
          </cell>
          <cell r="Z2357" t="str">
            <v>III. Gastos de Administración</v>
          </cell>
          <cell r="AA2357" t="str">
            <v>8. Otros Gastos en Personal</v>
          </cell>
          <cell r="AC2357" t="str">
            <v>III. Gasto Administración</v>
          </cell>
          <cell r="AD2357" t="str">
            <v>2. Bienes y servicios Adm.</v>
          </cell>
          <cell r="AE2357" t="str">
            <v>2. Otros Gastos en Personal</v>
          </cell>
          <cell r="AH2357" t="str">
            <v>6. Partidas significativas de gastos</v>
          </cell>
        </row>
        <row r="2358">
          <cell r="D2358" t="str">
            <v>4-1-01-04-25</v>
          </cell>
          <cell r="E2358" t="str">
            <v>4-1-01-04-25</v>
          </cell>
          <cell r="F2358" t="str">
            <v>Uniformes Ventas</v>
          </cell>
          <cell r="G2358" t="str">
            <v>4-1-01-04-25  Uniformes Ventas</v>
          </cell>
          <cell r="H2358" t="str">
            <v>Est. Resultado</v>
          </cell>
          <cell r="I2358" t="str">
            <v>Resultado</v>
          </cell>
          <cell r="J2358" t="str">
            <v>7. Gastos de Administración</v>
          </cell>
          <cell r="K2358" t="str">
            <v>2. Otros Gastos en Personal</v>
          </cell>
          <cell r="L2358" t="str">
            <v>EBITDA</v>
          </cell>
          <cell r="N2358" t="str">
            <v>GANANCIAS (PERDIDAS) ANTES DE IMPUESTOS</v>
          </cell>
          <cell r="O2358" t="str">
            <v>GANANCIA (PÉRDIDA) NETA</v>
          </cell>
          <cell r="P2358" t="str">
            <v>Resultado Ingresos y Gastos Integrales</v>
          </cell>
          <cell r="Q2358" t="str">
            <v>I. Ganancia (pérdida), antes de impuestos</v>
          </cell>
          <cell r="R2358" t="str">
            <v>b. Ganancia (pérdida)</v>
          </cell>
          <cell r="S2358" t="str">
            <v>5. Gasto de administración</v>
          </cell>
          <cell r="T2358" t="str">
            <v>4. Otros Gastos en Personal</v>
          </cell>
          <cell r="V2358" t="str">
            <v>II. Gastos</v>
          </cell>
          <cell r="W2358" t="str">
            <v>21. Gastos en Personal</v>
          </cell>
          <cell r="Z2358" t="str">
            <v>III. Gastos de Administración</v>
          </cell>
          <cell r="AA2358" t="str">
            <v>8. Otros Gastos en Personal</v>
          </cell>
          <cell r="AC2358" t="str">
            <v>III. Gasto Administración</v>
          </cell>
          <cell r="AD2358" t="str">
            <v>2. Bienes y servicios Adm.</v>
          </cell>
          <cell r="AE2358" t="str">
            <v>2. Otros Gastos en Personal</v>
          </cell>
          <cell r="AH2358" t="str">
            <v>6. Partidas significativas de gastos</v>
          </cell>
        </row>
        <row r="2359">
          <cell r="D2359" t="str">
            <v>4-1-01-04-11</v>
          </cell>
          <cell r="E2359" t="str">
            <v>4-1-01-04-11</v>
          </cell>
          <cell r="F2359" t="str">
            <v>Seguro Cesantia Administracion</v>
          </cell>
          <cell r="G2359" t="str">
            <v>4-1-01-04-11  Seguro Cesantia Administracion</v>
          </cell>
          <cell r="H2359" t="str">
            <v>Est. Resultado</v>
          </cell>
          <cell r="I2359" t="str">
            <v>Resultado</v>
          </cell>
          <cell r="J2359" t="str">
            <v>7. Gastos de Administración</v>
          </cell>
          <cell r="K2359" t="str">
            <v>2. Otros Gastos en Personal</v>
          </cell>
          <cell r="L2359" t="str">
            <v>EBITDA</v>
          </cell>
          <cell r="N2359" t="str">
            <v>GANANCIAS (PERDIDAS) ANTES DE IMPUESTOS</v>
          </cell>
          <cell r="O2359" t="str">
            <v>GANANCIA (PÉRDIDA) NETA</v>
          </cell>
          <cell r="P2359" t="str">
            <v>Resultado Ingresos y Gastos Integrales</v>
          </cell>
          <cell r="Q2359" t="str">
            <v>I. Ganancia (pérdida), antes de impuestos</v>
          </cell>
          <cell r="R2359" t="str">
            <v>b. Ganancia (pérdida)</v>
          </cell>
          <cell r="S2359" t="str">
            <v>5. Gasto de administración</v>
          </cell>
          <cell r="T2359" t="str">
            <v>4. Otros Gastos en Personal</v>
          </cell>
          <cell r="V2359" t="str">
            <v>II. Gastos</v>
          </cell>
          <cell r="W2359" t="str">
            <v>21. Gastos en Personal</v>
          </cell>
          <cell r="Z2359" t="str">
            <v>III. Gastos de Administración</v>
          </cell>
          <cell r="AA2359" t="str">
            <v>8. Otros Gastos en Personal</v>
          </cell>
          <cell r="AC2359" t="str">
            <v>III. Gasto Administración</v>
          </cell>
          <cell r="AD2359" t="str">
            <v>2. Bienes y servicios Adm.</v>
          </cell>
          <cell r="AE2359" t="str">
            <v>2. Otros Gastos en Personal</v>
          </cell>
          <cell r="AH2359" t="str">
            <v>6. Partidas significativas de gastos</v>
          </cell>
        </row>
        <row r="2360">
          <cell r="D2360" t="str">
            <v>4-1-01-04-19</v>
          </cell>
          <cell r="E2360" t="str">
            <v>4-1-01-04-19</v>
          </cell>
          <cell r="F2360" t="str">
            <v>Seguro Complementario Salud</v>
          </cell>
          <cell r="G2360" t="str">
            <v>4-1-01-04-19  Seguro Complementario Salud</v>
          </cell>
          <cell r="H2360" t="str">
            <v>Est. Resultado</v>
          </cell>
          <cell r="I2360" t="str">
            <v>Resultado</v>
          </cell>
          <cell r="J2360" t="str">
            <v>7. Gastos de Administración</v>
          </cell>
          <cell r="K2360" t="str">
            <v>2. Otros Gastos en Personal</v>
          </cell>
          <cell r="L2360" t="str">
            <v>EBITDA</v>
          </cell>
          <cell r="N2360" t="str">
            <v>GANANCIAS (PERDIDAS) ANTES DE IMPUESTOS</v>
          </cell>
          <cell r="O2360" t="str">
            <v>GANANCIA (PÉRDIDA) NETA</v>
          </cell>
          <cell r="P2360" t="str">
            <v>Resultado Ingresos y Gastos Integrales</v>
          </cell>
          <cell r="Q2360" t="str">
            <v>I. Ganancia (pérdida), antes de impuestos</v>
          </cell>
          <cell r="R2360" t="str">
            <v>b. Ganancia (pérdida)</v>
          </cell>
          <cell r="S2360" t="str">
            <v>5. Gasto de administración</v>
          </cell>
          <cell r="T2360" t="str">
            <v>4. Otros Gastos en Personal</v>
          </cell>
          <cell r="V2360" t="str">
            <v>II. Gastos</v>
          </cell>
          <cell r="W2360" t="str">
            <v>21. Gastos en Personal</v>
          </cell>
          <cell r="Z2360" t="str">
            <v>III. Gastos de Administración</v>
          </cell>
          <cell r="AA2360" t="str">
            <v>8. Otros Gastos en Personal</v>
          </cell>
          <cell r="AC2360" t="str">
            <v>III. Gasto Administración</v>
          </cell>
          <cell r="AD2360" t="str">
            <v>2. Bienes y servicios Adm.</v>
          </cell>
          <cell r="AE2360" t="str">
            <v>2. Otros Gastos en Personal</v>
          </cell>
          <cell r="AH2360" t="str">
            <v>6. Partidas significativas de gastos</v>
          </cell>
        </row>
        <row r="2361">
          <cell r="D2361" t="str">
            <v>4-1-01-04-21</v>
          </cell>
          <cell r="E2361" t="str">
            <v>4-1-01-04-21</v>
          </cell>
          <cell r="F2361" t="str">
            <v>Seguro Cesantia Ventas</v>
          </cell>
          <cell r="G2361" t="str">
            <v>4-1-01-04-21  Seguro Cesantia Ventas</v>
          </cell>
          <cell r="H2361" t="str">
            <v>Est. Resultado</v>
          </cell>
          <cell r="I2361" t="str">
            <v>Resultado</v>
          </cell>
          <cell r="J2361" t="str">
            <v>7. Gastos de Administración</v>
          </cell>
          <cell r="K2361" t="str">
            <v>2. Otros Gastos en Personal</v>
          </cell>
          <cell r="L2361" t="str">
            <v>EBITDA</v>
          </cell>
          <cell r="N2361" t="str">
            <v>GANANCIAS (PERDIDAS) ANTES DE IMPUESTOS</v>
          </cell>
          <cell r="O2361" t="str">
            <v>GANANCIA (PÉRDIDA) NETA</v>
          </cell>
          <cell r="P2361" t="str">
            <v>Resultado Ingresos y Gastos Integrales</v>
          </cell>
          <cell r="Q2361" t="str">
            <v>I. Ganancia (pérdida), antes de impuestos</v>
          </cell>
          <cell r="R2361" t="str">
            <v>b. Ganancia (pérdida)</v>
          </cell>
          <cell r="S2361" t="str">
            <v>5. Gasto de administración</v>
          </cell>
          <cell r="T2361" t="str">
            <v>4. Otros Gastos en Personal</v>
          </cell>
          <cell r="V2361" t="str">
            <v>II. Gastos</v>
          </cell>
          <cell r="W2361" t="str">
            <v>21. Gastos en Personal</v>
          </cell>
          <cell r="Z2361" t="str">
            <v>III. Gastos de Administración</v>
          </cell>
          <cell r="AA2361" t="str">
            <v>8. Otros Gastos en Personal</v>
          </cell>
          <cell r="AC2361" t="str">
            <v>III. Gasto Administración</v>
          </cell>
          <cell r="AD2361" t="str">
            <v>2. Bienes y servicios Adm.</v>
          </cell>
          <cell r="AE2361" t="str">
            <v>2. Otros Gastos en Personal</v>
          </cell>
          <cell r="AH2361" t="str">
            <v>6. Partidas significativas de gastos</v>
          </cell>
        </row>
        <row r="2362">
          <cell r="D2362">
            <v>0</v>
          </cell>
          <cell r="G2362" t="str">
            <v/>
          </cell>
          <cell r="H2362" t="str">
            <v>Est. Resultado</v>
          </cell>
          <cell r="I2362" t="str">
            <v>Resultado</v>
          </cell>
          <cell r="J2362" t="str">
            <v>7. Gastos de Administración</v>
          </cell>
          <cell r="K2362" t="str">
            <v>2. Otros Gastos en Personal</v>
          </cell>
          <cell r="L2362" t="str">
            <v>EBITDA</v>
          </cell>
          <cell r="N2362" t="str">
            <v>GANANCIAS (PERDIDAS) ANTES DE IMPUESTOS</v>
          </cell>
          <cell r="O2362" t="str">
            <v>GANANCIA (PÉRDIDA) NETA</v>
          </cell>
          <cell r="P2362" t="str">
            <v>Resultado Ingresos y Gastos Integrales</v>
          </cell>
          <cell r="Q2362" t="str">
            <v>I. Ganancia (pérdida), antes de impuestos</v>
          </cell>
          <cell r="R2362" t="str">
            <v>b. Ganancia (pérdida)</v>
          </cell>
          <cell r="S2362" t="str">
            <v>5. Gasto de administración</v>
          </cell>
          <cell r="T2362" t="str">
            <v>4. Otros Gastos en Personal</v>
          </cell>
          <cell r="V2362" t="str">
            <v>II. Gastos</v>
          </cell>
          <cell r="W2362" t="str">
            <v>21. Gastos en Personal</v>
          </cell>
          <cell r="Z2362" t="str">
            <v>III. Gastos de Administración</v>
          </cell>
          <cell r="AA2362" t="str">
            <v>8. Otros Gastos en Personal</v>
          </cell>
          <cell r="AC2362" t="str">
            <v>III. Gasto Administración</v>
          </cell>
          <cell r="AD2362" t="str">
            <v>2. Bienes y servicios Adm.</v>
          </cell>
          <cell r="AE2362" t="str">
            <v>2. Otros Gastos en Personal</v>
          </cell>
          <cell r="AH2362" t="str">
            <v>6. Partidas significativas de gastos</v>
          </cell>
        </row>
        <row r="2363">
          <cell r="D2363">
            <v>0</v>
          </cell>
          <cell r="G2363" t="str">
            <v/>
          </cell>
          <cell r="H2363" t="str">
            <v>Est. Resultado</v>
          </cell>
          <cell r="I2363" t="str">
            <v>Resultado</v>
          </cell>
          <cell r="J2363" t="str">
            <v>7. Gastos de Administración</v>
          </cell>
          <cell r="K2363" t="str">
            <v>2. Otros Gastos en Personal</v>
          </cell>
          <cell r="L2363" t="str">
            <v>EBITDA</v>
          </cell>
          <cell r="N2363" t="str">
            <v>GANANCIAS (PERDIDAS) ANTES DE IMPUESTOS</v>
          </cell>
          <cell r="O2363" t="str">
            <v>GANANCIA (PÉRDIDA) NETA</v>
          </cell>
          <cell r="P2363" t="str">
            <v>Resultado Ingresos y Gastos Integrales</v>
          </cell>
          <cell r="Q2363" t="str">
            <v>I. Ganancia (pérdida), antes de impuestos</v>
          </cell>
          <cell r="R2363" t="str">
            <v>b. Ganancia (pérdida)</v>
          </cell>
          <cell r="S2363" t="str">
            <v>5. Gasto de administración</v>
          </cell>
          <cell r="T2363" t="str">
            <v>4. Otros Gastos en Personal</v>
          </cell>
          <cell r="V2363" t="str">
            <v>II. Gastos</v>
          </cell>
          <cell r="W2363" t="str">
            <v>21. Gastos en Personal</v>
          </cell>
          <cell r="Z2363" t="str">
            <v>III. Gastos de Administración</v>
          </cell>
          <cell r="AA2363" t="str">
            <v>8. Otros Gastos en Personal</v>
          </cell>
          <cell r="AC2363" t="str">
            <v>III. Gasto Administración</v>
          </cell>
          <cell r="AD2363" t="str">
            <v>2. Bienes y servicios Adm.</v>
          </cell>
          <cell r="AE2363" t="str">
            <v>2. Otros Gastos en Personal</v>
          </cell>
          <cell r="AH2363" t="str">
            <v>6. Partidas significativas de gastos</v>
          </cell>
        </row>
        <row r="2364">
          <cell r="D2364" t="str">
            <v>Otros Gastos en Personal</v>
          </cell>
          <cell r="E2364" t="str">
            <v>Otros Gastos en Personal</v>
          </cell>
          <cell r="G2364" t="str">
            <v xml:space="preserve">Otros Gastos en Personal  </v>
          </cell>
          <cell r="Q2364">
            <v>0</v>
          </cell>
          <cell r="R2364" t="str">
            <v/>
          </cell>
        </row>
        <row r="2365">
          <cell r="D2365" t="str">
            <v>4-1-06-02-01</v>
          </cell>
          <cell r="E2365" t="str">
            <v>4-1-06-02-01</v>
          </cell>
          <cell r="F2365" t="str">
            <v>Dietas</v>
          </cell>
          <cell r="G2365" t="str">
            <v>4-1-06-02-01  Dietas</v>
          </cell>
          <cell r="H2365" t="str">
            <v>Est. Resultado</v>
          </cell>
          <cell r="I2365" t="str">
            <v>Resultado</v>
          </cell>
          <cell r="J2365" t="str">
            <v>7. Gastos de Administración</v>
          </cell>
          <cell r="K2365" t="str">
            <v>3. Directorio</v>
          </cell>
          <cell r="L2365" t="str">
            <v>EBITDA</v>
          </cell>
          <cell r="N2365" t="str">
            <v>GANANCIAS (PERDIDAS) ANTES DE IMPUESTOS</v>
          </cell>
          <cell r="O2365" t="str">
            <v>GANANCIA (PÉRDIDA) NETA</v>
          </cell>
          <cell r="P2365" t="str">
            <v>Resultado Ingresos y Gastos Integrales</v>
          </cell>
          <cell r="Q2365" t="str">
            <v>I. Ganancia (pérdida), antes de impuestos</v>
          </cell>
          <cell r="R2365" t="str">
            <v>b. Ganancia (pérdida)</v>
          </cell>
          <cell r="S2365" t="str">
            <v>5. Gasto de administración</v>
          </cell>
          <cell r="T2365" t="str">
            <v>6. Directorio</v>
          </cell>
          <cell r="V2365" t="str">
            <v>II. Gastos</v>
          </cell>
          <cell r="W2365" t="str">
            <v>21. Gastos en Personal</v>
          </cell>
          <cell r="Z2365" t="str">
            <v>III. Gastos de Administración</v>
          </cell>
          <cell r="AA2365" t="str">
            <v>8. Otros Gastos en Personal</v>
          </cell>
          <cell r="AC2365" t="str">
            <v>III. Gasto Administración</v>
          </cell>
          <cell r="AD2365" t="str">
            <v>2. Bienes y servicios Adm.</v>
          </cell>
          <cell r="AE2365" t="str">
            <v>2. Otros Gastos en Personal</v>
          </cell>
          <cell r="AH2365" t="str">
            <v>6. Partidas significativas de gastos</v>
          </cell>
        </row>
        <row r="2366">
          <cell r="D2366">
            <v>0</v>
          </cell>
          <cell r="G2366" t="str">
            <v/>
          </cell>
          <cell r="H2366" t="str">
            <v>Est. Resultado</v>
          </cell>
          <cell r="I2366" t="str">
            <v>Resultado</v>
          </cell>
          <cell r="J2366" t="str">
            <v>7. Gastos de Administración</v>
          </cell>
          <cell r="K2366" t="str">
            <v>3. Directorio</v>
          </cell>
          <cell r="L2366" t="str">
            <v>EBITDA</v>
          </cell>
          <cell r="N2366" t="str">
            <v>GANANCIAS (PERDIDAS) ANTES DE IMPUESTOS</v>
          </cell>
          <cell r="O2366" t="str">
            <v>GANANCIA (PÉRDIDA) NETA</v>
          </cell>
          <cell r="P2366" t="str">
            <v>Resultado Ingresos y Gastos Integrales</v>
          </cell>
          <cell r="Q2366" t="str">
            <v>I. Ganancia (pérdida), antes de impuestos</v>
          </cell>
          <cell r="R2366" t="str">
            <v>b. Ganancia (pérdida)</v>
          </cell>
          <cell r="S2366" t="str">
            <v>5. Gasto de administración</v>
          </cell>
          <cell r="T2366" t="str">
            <v>6. Directorio</v>
          </cell>
          <cell r="V2366" t="str">
            <v>II. Gastos</v>
          </cell>
          <cell r="W2366" t="str">
            <v>21. Gastos en Personal</v>
          </cell>
          <cell r="Z2366" t="str">
            <v>III. Gastos de Administración</v>
          </cell>
          <cell r="AA2366" t="str">
            <v>8. Otros Gastos en Personal</v>
          </cell>
          <cell r="AC2366" t="str">
            <v>III. Gasto Administración</v>
          </cell>
          <cell r="AD2366" t="str">
            <v>2. Bienes y servicios Adm.</v>
          </cell>
          <cell r="AE2366" t="str">
            <v>2. Otros Gastos en Personal</v>
          </cell>
          <cell r="AH2366" t="str">
            <v>6. Partidas significativas de gastos</v>
          </cell>
        </row>
        <row r="2367">
          <cell r="D2367">
            <v>0</v>
          </cell>
          <cell r="F2367" t="str">
            <v/>
          </cell>
          <cell r="G2367" t="str">
            <v/>
          </cell>
          <cell r="H2367" t="str">
            <v>Est. Resultado</v>
          </cell>
          <cell r="I2367" t="str">
            <v>Resultado</v>
          </cell>
          <cell r="J2367" t="str">
            <v>7. Gastos de Administración</v>
          </cell>
          <cell r="K2367" t="str">
            <v>3. Directorio</v>
          </cell>
          <cell r="L2367" t="str">
            <v>EBITDA</v>
          </cell>
          <cell r="N2367" t="str">
            <v>GANANCIAS (PERDIDAS) ANTES DE IMPUESTOS</v>
          </cell>
          <cell r="O2367" t="str">
            <v>GANANCIA (PÉRDIDA) NETA</v>
          </cell>
          <cell r="P2367" t="str">
            <v>Resultado Ingresos y Gastos Integrales</v>
          </cell>
          <cell r="Q2367" t="str">
            <v>I. Ganancia (pérdida), antes de impuestos</v>
          </cell>
          <cell r="R2367" t="str">
            <v>b. Ganancia (pérdida)</v>
          </cell>
          <cell r="S2367" t="str">
            <v>5. Gasto de administración</v>
          </cell>
          <cell r="T2367" t="str">
            <v>6. Directorio</v>
          </cell>
          <cell r="V2367" t="str">
            <v>II. Gastos</v>
          </cell>
          <cell r="W2367" t="str">
            <v>21. Gastos en Personal</v>
          </cell>
          <cell r="Z2367" t="str">
            <v>III. Gastos de Administración</v>
          </cell>
          <cell r="AA2367" t="str">
            <v>8. Otros Gastos en Personal</v>
          </cell>
          <cell r="AC2367" t="str">
            <v>III. Gasto Administración</v>
          </cell>
          <cell r="AD2367" t="str">
            <v>2. Bienes y servicios Adm.</v>
          </cell>
          <cell r="AE2367" t="str">
            <v>2. Otros Gastos en Personal</v>
          </cell>
          <cell r="AH2367" t="str">
            <v>6. Partidas significativas de gastos</v>
          </cell>
        </row>
        <row r="2368">
          <cell r="D2368" t="str">
            <v>Directorio</v>
          </cell>
          <cell r="E2368" t="str">
            <v>Directorio</v>
          </cell>
          <cell r="F2368" t="str">
            <v/>
          </cell>
          <cell r="G2368" t="str">
            <v xml:space="preserve">Directorio  </v>
          </cell>
          <cell r="Q2368">
            <v>0</v>
          </cell>
          <cell r="R2368" t="str">
            <v/>
          </cell>
        </row>
        <row r="2369">
          <cell r="D2369" t="str">
            <v>4-1-06-01-21</v>
          </cell>
          <cell r="E2369" t="str">
            <v>4-1-06-01-21</v>
          </cell>
          <cell r="F2369" t="str">
            <v>Personal Apoyo Ventas</v>
          </cell>
          <cell r="G2369" t="str">
            <v>4-1-06-01-21  Personal Apoyo Ventas</v>
          </cell>
          <cell r="H2369" t="str">
            <v>Est. Resultado</v>
          </cell>
          <cell r="I2369" t="str">
            <v>Resultado</v>
          </cell>
          <cell r="J2369" t="str">
            <v>7. Gastos de Administración</v>
          </cell>
          <cell r="K2369" t="str">
            <v>4. Investigacion y Desarrollo</v>
          </cell>
          <cell r="L2369" t="str">
            <v>EBITDA</v>
          </cell>
          <cell r="N2369" t="str">
            <v>GANANCIAS (PERDIDAS) ANTES DE IMPUESTOS</v>
          </cell>
          <cell r="O2369" t="str">
            <v>GANANCIA (PÉRDIDA) NETA</v>
          </cell>
          <cell r="P2369" t="str">
            <v>Resultado Ingresos y Gastos Integrales</v>
          </cell>
          <cell r="Q2369" t="str">
            <v>I. Ganancia (pérdida), antes de impuestos</v>
          </cell>
          <cell r="R2369" t="str">
            <v>b. Ganancia (pérdida)</v>
          </cell>
          <cell r="S2369" t="str">
            <v>5. Gasto de administración</v>
          </cell>
          <cell r="T2369" t="str">
            <v>7. Investigacion y Desarrollo</v>
          </cell>
          <cell r="V2369" t="str">
            <v>II. Gastos</v>
          </cell>
          <cell r="W2369" t="str">
            <v>23. Bienes y Servicios para Producción</v>
          </cell>
          <cell r="Z2369" t="str">
            <v>III. Gastos de Administración</v>
          </cell>
          <cell r="AA2369" t="str">
            <v>1. Investigacion y Desarrollo</v>
          </cell>
          <cell r="AC2369" t="str">
            <v>III. Gasto Administración</v>
          </cell>
          <cell r="AD2369" t="str">
            <v>2. Bienes y servicios Adm.</v>
          </cell>
          <cell r="AE2369" t="str">
            <v>1. Investigacion y Desarrollo</v>
          </cell>
          <cell r="AH2369" t="str">
            <v>6. Partidas significativas de gastos</v>
          </cell>
        </row>
        <row r="2370">
          <cell r="D2370" t="str">
            <v>4-1-06-01-22</v>
          </cell>
          <cell r="E2370" t="str">
            <v>4-1-06-01-22</v>
          </cell>
          <cell r="F2370" t="str">
            <v>Asesorias Ventas</v>
          </cell>
          <cell r="G2370" t="str">
            <v>4-1-06-01-22  Asesorias Ventas</v>
          </cell>
          <cell r="H2370" t="str">
            <v>Est. Resultado</v>
          </cell>
          <cell r="I2370" t="str">
            <v>Resultado</v>
          </cell>
          <cell r="J2370" t="str">
            <v>7. Gastos de Administración</v>
          </cell>
          <cell r="K2370" t="str">
            <v>4. Investigacion y Desarrollo</v>
          </cell>
          <cell r="L2370" t="str">
            <v>EBITDA</v>
          </cell>
          <cell r="N2370" t="str">
            <v>GANANCIAS (PERDIDAS) ANTES DE IMPUESTOS</v>
          </cell>
          <cell r="O2370" t="str">
            <v>GANANCIA (PÉRDIDA) NETA</v>
          </cell>
          <cell r="P2370" t="str">
            <v>Resultado Ingresos y Gastos Integrales</v>
          </cell>
          <cell r="Q2370" t="str">
            <v>I. Ganancia (pérdida), antes de impuestos</v>
          </cell>
          <cell r="R2370" t="str">
            <v>b. Ganancia (pérdida)</v>
          </cell>
          <cell r="S2370" t="str">
            <v>5. Gasto de administración</v>
          </cell>
          <cell r="T2370" t="str">
            <v>7. Investigacion y Desarrollo</v>
          </cell>
          <cell r="V2370" t="str">
            <v>II. Gastos</v>
          </cell>
          <cell r="W2370" t="str">
            <v>23. Bienes y Servicios para Producción</v>
          </cell>
          <cell r="Z2370" t="str">
            <v>III. Gastos de Administración</v>
          </cell>
          <cell r="AA2370" t="str">
            <v>1. Investigacion y Desarrollo</v>
          </cell>
          <cell r="AC2370" t="str">
            <v>III. Gasto Administración</v>
          </cell>
          <cell r="AD2370" t="str">
            <v>2. Bienes y servicios Adm.</v>
          </cell>
          <cell r="AE2370" t="str">
            <v>1. Investigacion y Desarrollo</v>
          </cell>
          <cell r="AH2370" t="str">
            <v>6. Partidas significativas de gastos</v>
          </cell>
        </row>
        <row r="2371">
          <cell r="D2371" t="str">
            <v>4-1-02-01-99</v>
          </cell>
          <cell r="E2371" t="str">
            <v>4-1-02-01-99</v>
          </cell>
          <cell r="F2371" t="str">
            <v>Otros Servicios Externos</v>
          </cell>
          <cell r="G2371" t="str">
            <v>4-1-02-01-99  Otros Servicios Externos</v>
          </cell>
          <cell r="H2371" t="str">
            <v>Est. Resultado</v>
          </cell>
          <cell r="I2371" t="str">
            <v>Resultado</v>
          </cell>
          <cell r="J2371" t="str">
            <v>7. Gastos de Administración</v>
          </cell>
          <cell r="K2371" t="str">
            <v>4. Investigacion y Desarrollo</v>
          </cell>
          <cell r="L2371" t="str">
            <v>EBITDA</v>
          </cell>
          <cell r="N2371" t="str">
            <v>GANANCIAS (PERDIDAS) ANTES DE IMPUESTOS</v>
          </cell>
          <cell r="O2371" t="str">
            <v>GANANCIA (PÉRDIDA) NETA</v>
          </cell>
          <cell r="P2371" t="str">
            <v>Resultado Ingresos y Gastos Integrales</v>
          </cell>
          <cell r="Q2371" t="str">
            <v>I. Ganancia (pérdida), antes de impuestos</v>
          </cell>
          <cell r="R2371" t="str">
            <v>b. Ganancia (pérdida)</v>
          </cell>
          <cell r="S2371" t="str">
            <v>5. Gasto de administración</v>
          </cell>
          <cell r="T2371" t="str">
            <v>7. Investigacion y Desarrollo</v>
          </cell>
          <cell r="V2371" t="str">
            <v>II. Gastos</v>
          </cell>
          <cell r="W2371" t="str">
            <v>23. Bienes y Servicios para Producción</v>
          </cell>
          <cell r="Z2371" t="str">
            <v>III. Gastos de Administración</v>
          </cell>
          <cell r="AA2371" t="str">
            <v>1. Investigacion y Desarrollo</v>
          </cell>
          <cell r="AC2371" t="str">
            <v>III. Gasto Administración</v>
          </cell>
          <cell r="AD2371" t="str">
            <v>2. Bienes y servicios Adm.</v>
          </cell>
          <cell r="AE2371" t="str">
            <v>1. Investigacion y Desarrollo</v>
          </cell>
          <cell r="AH2371" t="str">
            <v>6. Partidas significativas de gastos</v>
          </cell>
        </row>
        <row r="2372">
          <cell r="D2372" t="str">
            <v>4-1-02-06-01</v>
          </cell>
          <cell r="E2372" t="str">
            <v>4-1-02-06-01</v>
          </cell>
          <cell r="F2372" t="str">
            <v>Auditorias Estados Financieros Anuales</v>
          </cell>
          <cell r="G2372" t="str">
            <v>4-1-02-06-01  Auditorias Estados Financieros Anuales</v>
          </cell>
          <cell r="H2372" t="str">
            <v>Est. Resultado</v>
          </cell>
          <cell r="I2372" t="str">
            <v>Resultado</v>
          </cell>
          <cell r="J2372" t="str">
            <v>7. Gastos de Administración</v>
          </cell>
          <cell r="K2372" t="str">
            <v>4. Investigacion y Desarrollo</v>
          </cell>
          <cell r="L2372" t="str">
            <v>EBITDA</v>
          </cell>
          <cell r="N2372" t="str">
            <v>GANANCIAS (PERDIDAS) ANTES DE IMPUESTOS</v>
          </cell>
          <cell r="O2372" t="str">
            <v>GANANCIA (PÉRDIDA) NETA</v>
          </cell>
          <cell r="P2372" t="str">
            <v>Resultado Ingresos y Gastos Integrales</v>
          </cell>
          <cell r="Q2372" t="str">
            <v>I. Ganancia (pérdida), antes de impuestos</v>
          </cell>
          <cell r="R2372" t="str">
            <v>b. Ganancia (pérdida)</v>
          </cell>
          <cell r="S2372" t="str">
            <v>5. Gasto de administración</v>
          </cell>
          <cell r="T2372" t="str">
            <v>7. Investigacion y Desarrollo</v>
          </cell>
          <cell r="V2372" t="str">
            <v>II. Gastos</v>
          </cell>
          <cell r="W2372" t="str">
            <v>23. Bienes y Servicios para Producción</v>
          </cell>
          <cell r="Z2372" t="str">
            <v>III. Gastos de Administración</v>
          </cell>
          <cell r="AA2372" t="str">
            <v>1. Investigacion y Desarrollo</v>
          </cell>
          <cell r="AC2372" t="str">
            <v>III. Gasto Administración</v>
          </cell>
          <cell r="AD2372" t="str">
            <v>2. Bienes y servicios Adm.</v>
          </cell>
          <cell r="AE2372" t="str">
            <v>1. Investigacion y Desarrollo</v>
          </cell>
          <cell r="AH2372" t="str">
            <v>6. Partidas significativas de gastos</v>
          </cell>
        </row>
        <row r="2373">
          <cell r="D2373" t="str">
            <v>4-1-02-06-03</v>
          </cell>
          <cell r="E2373" t="str">
            <v>4-1-02-06-03</v>
          </cell>
          <cell r="F2373" t="str">
            <v>Auditorias Tecnicas Administracion Y Ven</v>
          </cell>
          <cell r="G2373" t="str">
            <v>4-1-02-06-03  Auditorias Tecnicas Administracion Y Ven</v>
          </cell>
          <cell r="H2373" t="str">
            <v>Est. Resultado</v>
          </cell>
          <cell r="I2373" t="str">
            <v>Resultado</v>
          </cell>
          <cell r="J2373" t="str">
            <v>7. Gastos de Administración</v>
          </cell>
          <cell r="K2373" t="str">
            <v>4. Investigacion y Desarrollo</v>
          </cell>
          <cell r="L2373" t="str">
            <v>EBITDA</v>
          </cell>
          <cell r="N2373" t="str">
            <v>GANANCIAS (PERDIDAS) ANTES DE IMPUESTOS</v>
          </cell>
          <cell r="O2373" t="str">
            <v>GANANCIA (PÉRDIDA) NETA</v>
          </cell>
          <cell r="P2373" t="str">
            <v>Resultado Ingresos y Gastos Integrales</v>
          </cell>
          <cell r="Q2373" t="str">
            <v>I. Ganancia (pérdida), antes de impuestos</v>
          </cell>
          <cell r="R2373" t="str">
            <v>b. Ganancia (pérdida)</v>
          </cell>
          <cell r="S2373" t="str">
            <v>5. Gasto de administración</v>
          </cell>
          <cell r="T2373" t="str">
            <v>7. Investigacion y Desarrollo</v>
          </cell>
          <cell r="V2373" t="str">
            <v>II. Gastos</v>
          </cell>
          <cell r="W2373" t="str">
            <v>23. Bienes y Servicios para Producción</v>
          </cell>
          <cell r="Z2373" t="str">
            <v>III. Gastos de Administración</v>
          </cell>
          <cell r="AA2373" t="str">
            <v>1. Investigacion y Desarrollo</v>
          </cell>
          <cell r="AC2373" t="str">
            <v>III. Gasto Administración</v>
          </cell>
          <cell r="AD2373" t="str">
            <v>2. Bienes y servicios Adm.</v>
          </cell>
          <cell r="AE2373" t="str">
            <v>1. Investigacion y Desarrollo</v>
          </cell>
          <cell r="AH2373" t="str">
            <v>6. Partidas significativas de gastos</v>
          </cell>
        </row>
        <row r="2374">
          <cell r="D2374" t="str">
            <v>4-1-06-01-12</v>
          </cell>
          <cell r="E2374" t="str">
            <v>4-1-06-01-12</v>
          </cell>
          <cell r="F2374" t="str">
            <v>Asesorias Administracion</v>
          </cell>
          <cell r="G2374" t="str">
            <v>4-1-06-01-12  Asesorias Administracion</v>
          </cell>
          <cell r="H2374" t="str">
            <v>Est. Resultado</v>
          </cell>
          <cell r="I2374" t="str">
            <v>Resultado</v>
          </cell>
          <cell r="J2374" t="str">
            <v>7. Gastos de Administración</v>
          </cell>
          <cell r="K2374" t="str">
            <v>4. Investigacion y Desarrollo</v>
          </cell>
          <cell r="L2374" t="str">
            <v>EBITDA</v>
          </cell>
          <cell r="N2374" t="str">
            <v>GANANCIAS (PERDIDAS) ANTES DE IMPUESTOS</v>
          </cell>
          <cell r="O2374" t="str">
            <v>GANANCIA (PÉRDIDA) NETA</v>
          </cell>
          <cell r="P2374" t="str">
            <v>Resultado Ingresos y Gastos Integrales</v>
          </cell>
          <cell r="Q2374" t="str">
            <v>I. Ganancia (pérdida), antes de impuestos</v>
          </cell>
          <cell r="R2374" t="str">
            <v>b. Ganancia (pérdida)</v>
          </cell>
          <cell r="S2374" t="str">
            <v>5. Gasto de administración</v>
          </cell>
          <cell r="T2374" t="str">
            <v>7. Investigacion y Desarrollo</v>
          </cell>
          <cell r="V2374" t="str">
            <v>II. Gastos</v>
          </cell>
          <cell r="W2374" t="str">
            <v>23. Bienes y Servicios para Producción</v>
          </cell>
          <cell r="Z2374" t="str">
            <v>III. Gastos de Administración</v>
          </cell>
          <cell r="AA2374" t="str">
            <v>1. Investigacion y Desarrollo</v>
          </cell>
          <cell r="AC2374" t="str">
            <v>III. Gasto Administración</v>
          </cell>
          <cell r="AD2374" t="str">
            <v>2. Bienes y servicios Adm.</v>
          </cell>
          <cell r="AE2374" t="str">
            <v>1. Investigacion y Desarrollo</v>
          </cell>
          <cell r="AH2374" t="str">
            <v>6. Partidas significativas de gastos</v>
          </cell>
        </row>
        <row r="2375">
          <cell r="D2375">
            <v>0</v>
          </cell>
          <cell r="G2375" t="str">
            <v/>
          </cell>
        </row>
        <row r="2376">
          <cell r="D2376">
            <v>0</v>
          </cell>
          <cell r="F2376" t="str">
            <v/>
          </cell>
          <cell r="G2376" t="str">
            <v/>
          </cell>
          <cell r="Q2376">
            <v>0</v>
          </cell>
          <cell r="R2376" t="str">
            <v/>
          </cell>
        </row>
        <row r="2377">
          <cell r="D2377" t="str">
            <v>Investigacion y Desarrollo</v>
          </cell>
          <cell r="E2377" t="str">
            <v>Investigacion y Desarrollo</v>
          </cell>
          <cell r="G2377" t="str">
            <v xml:space="preserve">Investigacion y Desarrollo  </v>
          </cell>
          <cell r="Q2377">
            <v>0</v>
          </cell>
          <cell r="R2377" t="str">
            <v/>
          </cell>
        </row>
        <row r="2378">
          <cell r="D2378" t="str">
            <v>4-1-07-01-01</v>
          </cell>
          <cell r="E2378" t="str">
            <v>4-1-07-01-01</v>
          </cell>
          <cell r="F2378" t="str">
            <v>Publicidad</v>
          </cell>
          <cell r="G2378" t="str">
            <v>4-1-07-01-01  Publicidad</v>
          </cell>
          <cell r="H2378" t="str">
            <v>Est. Resultado</v>
          </cell>
          <cell r="I2378" t="str">
            <v>Resultado</v>
          </cell>
          <cell r="J2378" t="str">
            <v>7. Gastos de Administración</v>
          </cell>
          <cell r="K2378" t="str">
            <v>5. Costo Mercadotecnia</v>
          </cell>
          <cell r="L2378" t="str">
            <v>EBITDA</v>
          </cell>
          <cell r="N2378" t="str">
            <v>GANANCIAS (PERDIDAS) ANTES DE IMPUESTOS</v>
          </cell>
          <cell r="O2378" t="str">
            <v>GANANCIA (PÉRDIDA) NETA</v>
          </cell>
          <cell r="P2378" t="str">
            <v>Resultado Ingresos y Gastos Integrales</v>
          </cell>
          <cell r="Q2378" t="str">
            <v>I. Ganancia (pérdida), antes de impuestos</v>
          </cell>
          <cell r="R2378" t="str">
            <v>b. Ganancia (pérdida)</v>
          </cell>
          <cell r="S2378" t="str">
            <v>5. Gasto de administración</v>
          </cell>
          <cell r="T2378" t="str">
            <v>8. Costo Mercadotecnia</v>
          </cell>
          <cell r="V2378" t="str">
            <v>II. Gastos</v>
          </cell>
          <cell r="W2378" t="str">
            <v>23. Bienes y Servicios para Producción</v>
          </cell>
          <cell r="Z2378" t="str">
            <v>III. Gastos de Administración</v>
          </cell>
          <cell r="AA2378" t="str">
            <v>2. Mercadotecnia</v>
          </cell>
          <cell r="AC2378" t="str">
            <v>III. Gasto Administración</v>
          </cell>
          <cell r="AD2378" t="str">
            <v>2. Bienes y servicios Adm.</v>
          </cell>
          <cell r="AE2378" t="str">
            <v>2. Mercadotecnia</v>
          </cell>
          <cell r="AH2378" t="str">
            <v>6. Partidas significativas de gastos</v>
          </cell>
        </row>
        <row r="2379">
          <cell r="D2379" t="str">
            <v>4-1-07-01-07</v>
          </cell>
          <cell r="E2379" t="str">
            <v>4-1-07-01-07</v>
          </cell>
          <cell r="F2379" t="str">
            <v>Señaletica</v>
          </cell>
          <cell r="G2379" t="str">
            <v>4-1-07-01-07  Señaletica</v>
          </cell>
          <cell r="H2379" t="str">
            <v>Est. Resultado</v>
          </cell>
          <cell r="I2379" t="str">
            <v>Resultado</v>
          </cell>
          <cell r="J2379" t="str">
            <v>7. Gastos de Administración</v>
          </cell>
          <cell r="K2379" t="str">
            <v>5. Costo Mercadotecnia</v>
          </cell>
          <cell r="L2379" t="str">
            <v>EBITDA</v>
          </cell>
          <cell r="N2379" t="str">
            <v>GANANCIAS (PERDIDAS) ANTES DE IMPUESTOS</v>
          </cell>
          <cell r="O2379" t="str">
            <v>GANANCIA (PÉRDIDA) NETA</v>
          </cell>
          <cell r="P2379" t="str">
            <v>Resultado Ingresos y Gastos Integrales</v>
          </cell>
          <cell r="Q2379" t="str">
            <v>I. Ganancia (pérdida), antes de impuestos</v>
          </cell>
          <cell r="R2379" t="str">
            <v>b. Ganancia (pérdida)</v>
          </cell>
          <cell r="S2379" t="str">
            <v>5. Gasto de administración</v>
          </cell>
          <cell r="T2379" t="str">
            <v>8. Costo Mercadotecnia</v>
          </cell>
          <cell r="V2379" t="str">
            <v>II. Gastos</v>
          </cell>
          <cell r="W2379" t="str">
            <v>23. Bienes y Servicios para Producción</v>
          </cell>
          <cell r="Z2379" t="str">
            <v>III. Gastos de Administración</v>
          </cell>
          <cell r="AA2379" t="str">
            <v>2. Mercadotecnia</v>
          </cell>
          <cell r="AC2379" t="str">
            <v>III. Gasto Administración</v>
          </cell>
          <cell r="AD2379" t="str">
            <v>2. Bienes y servicios Adm.</v>
          </cell>
          <cell r="AE2379" t="str">
            <v>2. Mercadotecnia</v>
          </cell>
          <cell r="AH2379" t="str">
            <v>6. Partidas significativas de gastos</v>
          </cell>
        </row>
        <row r="2380">
          <cell r="D2380" t="str">
            <v>4-1-07-01-05</v>
          </cell>
          <cell r="E2380" t="str">
            <v>4-1-07-01-05</v>
          </cell>
          <cell r="F2380" t="str">
            <v>Material Impreso Y Formularios</v>
          </cell>
          <cell r="G2380" t="str">
            <v>4-1-07-01-05  Material Impreso Y Formularios</v>
          </cell>
          <cell r="H2380" t="str">
            <v>Est. Resultado</v>
          </cell>
          <cell r="I2380" t="str">
            <v>Resultado</v>
          </cell>
          <cell r="J2380" t="str">
            <v>7. Gastos de Administración</v>
          </cell>
          <cell r="K2380" t="str">
            <v>5. Costo Mercadotecnia</v>
          </cell>
          <cell r="L2380" t="str">
            <v>EBITDA</v>
          </cell>
          <cell r="N2380" t="str">
            <v>GANANCIAS (PERDIDAS) ANTES DE IMPUESTOS</v>
          </cell>
          <cell r="O2380" t="str">
            <v>GANANCIA (PÉRDIDA) NETA</v>
          </cell>
          <cell r="P2380" t="str">
            <v>Resultado Ingresos y Gastos Integrales</v>
          </cell>
          <cell r="Q2380" t="str">
            <v>I. Ganancia (pérdida), antes de impuestos</v>
          </cell>
          <cell r="R2380" t="str">
            <v>b. Ganancia (pérdida)</v>
          </cell>
          <cell r="S2380" t="str">
            <v>5. Gasto de administración</v>
          </cell>
          <cell r="T2380" t="str">
            <v>8. Costo Mercadotecnia</v>
          </cell>
          <cell r="V2380" t="str">
            <v>II. Gastos</v>
          </cell>
          <cell r="W2380" t="str">
            <v>23. Bienes y Servicios para Producción</v>
          </cell>
          <cell r="Z2380" t="str">
            <v>III. Gastos de Administración</v>
          </cell>
          <cell r="AA2380" t="str">
            <v>2. Mercadotecnia</v>
          </cell>
          <cell r="AC2380" t="str">
            <v>III. Gasto Administración</v>
          </cell>
          <cell r="AD2380" t="str">
            <v>2. Bienes y servicios Adm.</v>
          </cell>
          <cell r="AE2380" t="str">
            <v>2. Mercadotecnia</v>
          </cell>
          <cell r="AH2380" t="str">
            <v>6. Partidas significativas de gastos</v>
          </cell>
        </row>
        <row r="2381">
          <cell r="D2381">
            <v>0</v>
          </cell>
          <cell r="G2381" t="str">
            <v/>
          </cell>
          <cell r="H2381" t="str">
            <v>Est. Resultado</v>
          </cell>
          <cell r="I2381" t="str">
            <v>Resultado</v>
          </cell>
          <cell r="J2381" t="str">
            <v>7. Gastos de Administración</v>
          </cell>
          <cell r="K2381" t="str">
            <v>5. Costo Mercadotecnia</v>
          </cell>
          <cell r="L2381" t="str">
            <v>EBITDA</v>
          </cell>
          <cell r="N2381" t="str">
            <v>GANANCIAS (PERDIDAS) ANTES DE IMPUESTOS</v>
          </cell>
          <cell r="O2381" t="str">
            <v>GANANCIA (PÉRDIDA) NETA</v>
          </cell>
          <cell r="P2381" t="str">
            <v>Resultado Ingresos y Gastos Integrales</v>
          </cell>
          <cell r="Q2381" t="str">
            <v>I. Ganancia (pérdida), antes de impuestos</v>
          </cell>
          <cell r="R2381" t="str">
            <v>b. Ganancia (pérdida)</v>
          </cell>
          <cell r="S2381" t="str">
            <v>5. Gasto de administración</v>
          </cell>
          <cell r="T2381" t="str">
            <v>8. Costo Mercadotecnia</v>
          </cell>
          <cell r="V2381" t="str">
            <v>II. Gastos</v>
          </cell>
          <cell r="W2381" t="str">
            <v>23. Bienes y Servicios para Producción</v>
          </cell>
          <cell r="Z2381" t="str">
            <v>III. Gastos de Administración</v>
          </cell>
          <cell r="AA2381" t="str">
            <v>2. Mercadotecnia</v>
          </cell>
          <cell r="AC2381" t="str">
            <v>III. Gasto Administración</v>
          </cell>
          <cell r="AD2381" t="str">
            <v>2. Bienes y servicios Adm.</v>
          </cell>
          <cell r="AE2381" t="str">
            <v>2. Mercadotecnia</v>
          </cell>
          <cell r="AH2381" t="str">
            <v>6. Partidas significativas de gastos</v>
          </cell>
        </row>
        <row r="2382">
          <cell r="D2382">
            <v>0</v>
          </cell>
          <cell r="G2382" t="str">
            <v/>
          </cell>
          <cell r="H2382" t="str">
            <v>Est. Resultado</v>
          </cell>
          <cell r="I2382" t="str">
            <v>Resultado</v>
          </cell>
          <cell r="J2382" t="str">
            <v>7. Gastos de Administración</v>
          </cell>
          <cell r="K2382" t="str">
            <v>5. Costo Mercadotecnia</v>
          </cell>
          <cell r="L2382" t="str">
            <v>EBITDA</v>
          </cell>
          <cell r="N2382" t="str">
            <v>GANANCIAS (PERDIDAS) ANTES DE IMPUESTOS</v>
          </cell>
          <cell r="O2382" t="str">
            <v>GANANCIA (PÉRDIDA) NETA</v>
          </cell>
          <cell r="P2382" t="str">
            <v>Resultado Ingresos y Gastos Integrales</v>
          </cell>
          <cell r="Q2382" t="str">
            <v>I. Ganancia (pérdida), antes de impuestos</v>
          </cell>
          <cell r="R2382" t="str">
            <v>b. Ganancia (pérdida)</v>
          </cell>
          <cell r="S2382" t="str">
            <v>5. Gasto de administración</v>
          </cell>
          <cell r="T2382" t="str">
            <v>8. Costo Mercadotecnia</v>
          </cell>
          <cell r="V2382" t="str">
            <v>II. Gastos</v>
          </cell>
          <cell r="W2382" t="str">
            <v>23. Bienes y Servicios para Producción</v>
          </cell>
          <cell r="Z2382" t="str">
            <v>III. Gastos de Administración</v>
          </cell>
          <cell r="AA2382" t="str">
            <v>2. Mercadotecnia</v>
          </cell>
          <cell r="AC2382" t="str">
            <v>III. Gasto Administración</v>
          </cell>
          <cell r="AD2382" t="str">
            <v>2. Bienes y servicios Adm.</v>
          </cell>
          <cell r="AE2382" t="str">
            <v>2. Mercadotecnia</v>
          </cell>
          <cell r="AH2382" t="str">
            <v>6. Partidas significativas de gastos</v>
          </cell>
        </row>
        <row r="2383">
          <cell r="D2383" t="str">
            <v>Costo Mercadotecnia</v>
          </cell>
          <cell r="E2383" t="str">
            <v>Costo Mercadotecnia</v>
          </cell>
          <cell r="G2383" t="str">
            <v xml:space="preserve">Costo Mercadotecnia  </v>
          </cell>
          <cell r="J2383" t="str">
            <v/>
          </cell>
          <cell r="L2383" t="str">
            <v/>
          </cell>
          <cell r="N2383" t="str">
            <v/>
          </cell>
          <cell r="O2383" t="str">
            <v/>
          </cell>
          <cell r="P2383" t="str">
            <v/>
          </cell>
          <cell r="Q2383">
            <v>0</v>
          </cell>
          <cell r="R2383" t="str">
            <v/>
          </cell>
        </row>
        <row r="2384">
          <cell r="D2384">
            <v>0</v>
          </cell>
          <cell r="G2384" t="str">
            <v/>
          </cell>
          <cell r="H2384" t="str">
            <v>Est. Resultado</v>
          </cell>
          <cell r="I2384" t="str">
            <v>Resultado</v>
          </cell>
          <cell r="J2384" t="str">
            <v>7. Gastos de Administración</v>
          </cell>
          <cell r="K2384" t="str">
            <v>6. Serv Administración</v>
          </cell>
          <cell r="L2384" t="str">
            <v>EBITDA</v>
          </cell>
          <cell r="N2384" t="str">
            <v>GANANCIAS (PERDIDAS) ANTES DE IMPUESTOS</v>
          </cell>
          <cell r="O2384" t="str">
            <v>GANANCIA (PÉRDIDA) NETA</v>
          </cell>
          <cell r="P2384" t="str">
            <v>Resultado Ingresos y Gastos Integrales</v>
          </cell>
          <cell r="Q2384" t="str">
            <v>I. Ganancia (pérdida), antes de impuestos</v>
          </cell>
          <cell r="R2384" t="str">
            <v>b. Ganancia (pérdida)</v>
          </cell>
          <cell r="S2384" t="str">
            <v>5. Gasto de administración</v>
          </cell>
          <cell r="T2384" t="str">
            <v>12. Serv Administración</v>
          </cell>
          <cell r="V2384" t="str">
            <v>II. Gastos</v>
          </cell>
          <cell r="W2384" t="str">
            <v>23. Bienes y Servicios para Producción</v>
          </cell>
          <cell r="Z2384" t="str">
            <v>III. Gastos de Administración</v>
          </cell>
          <cell r="AA2384" t="str">
            <v>7. Serv. Adm. E Impuestos</v>
          </cell>
          <cell r="AC2384" t="str">
            <v>III. Gasto Administración</v>
          </cell>
          <cell r="AD2384" t="str">
            <v>2. Bienes y servicios Adm.</v>
          </cell>
          <cell r="AE2384" t="str">
            <v>7. Serv. Adm. E Impuestos</v>
          </cell>
          <cell r="AH2384" t="str">
            <v>6. Partidas significativas de gastos</v>
          </cell>
        </row>
        <row r="2385">
          <cell r="D2385">
            <v>0</v>
          </cell>
          <cell r="G2385" t="str">
            <v/>
          </cell>
          <cell r="H2385" t="str">
            <v>Est. Resultado</v>
          </cell>
          <cell r="I2385" t="str">
            <v>Resultado</v>
          </cell>
          <cell r="J2385" t="str">
            <v>7. Gastos de Administración</v>
          </cell>
          <cell r="K2385" t="str">
            <v>6. Serv Administración</v>
          </cell>
          <cell r="L2385" t="str">
            <v>EBITDA</v>
          </cell>
          <cell r="N2385" t="str">
            <v>GANANCIAS (PERDIDAS) ANTES DE IMPUESTOS</v>
          </cell>
          <cell r="O2385" t="str">
            <v>GANANCIA (PÉRDIDA) NETA</v>
          </cell>
          <cell r="P2385" t="str">
            <v>Resultado Ingresos y Gastos Integrales</v>
          </cell>
          <cell r="Q2385" t="str">
            <v>I. Ganancia (pérdida), antes de impuestos</v>
          </cell>
          <cell r="R2385" t="str">
            <v>b. Ganancia (pérdida)</v>
          </cell>
          <cell r="S2385" t="str">
            <v>5. Gasto de administración</v>
          </cell>
          <cell r="T2385" t="str">
            <v>12. Serv Administración</v>
          </cell>
          <cell r="V2385" t="str">
            <v>II. Gastos</v>
          </cell>
          <cell r="W2385" t="str">
            <v>23. Bienes y Servicios para Producción</v>
          </cell>
          <cell r="Z2385" t="str">
            <v>III. Gastos de Administración</v>
          </cell>
          <cell r="AA2385" t="str">
            <v>7. Serv. Adm. E Impuestos</v>
          </cell>
          <cell r="AC2385" t="str">
            <v>III. Gasto Administración</v>
          </cell>
          <cell r="AD2385" t="str">
            <v>2. Bienes y servicios Adm.</v>
          </cell>
          <cell r="AE2385" t="str">
            <v>7. Serv. Adm. E Impuestos</v>
          </cell>
          <cell r="AH2385" t="str">
            <v>6. Partidas significativas de gastos</v>
          </cell>
        </row>
        <row r="2386">
          <cell r="D2386">
            <v>0</v>
          </cell>
          <cell r="G2386" t="str">
            <v/>
          </cell>
          <cell r="H2386" t="str">
            <v>Est. Resultado</v>
          </cell>
          <cell r="I2386" t="str">
            <v>Resultado</v>
          </cell>
          <cell r="J2386" t="str">
            <v>7. Gastos de Administración</v>
          </cell>
          <cell r="K2386" t="str">
            <v>6. Serv Administración</v>
          </cell>
          <cell r="L2386" t="str">
            <v>EBITDA</v>
          </cell>
          <cell r="N2386" t="str">
            <v>GANANCIAS (PERDIDAS) ANTES DE IMPUESTOS</v>
          </cell>
          <cell r="O2386" t="str">
            <v>GANANCIA (PÉRDIDA) NETA</v>
          </cell>
          <cell r="P2386" t="str">
            <v>Resultado Ingresos y Gastos Integrales</v>
          </cell>
          <cell r="Q2386" t="str">
            <v>I. Ganancia (pérdida), antes de impuestos</v>
          </cell>
          <cell r="R2386" t="str">
            <v>b. Ganancia (pérdida)</v>
          </cell>
          <cell r="S2386" t="str">
            <v>5. Gasto de administración</v>
          </cell>
          <cell r="T2386" t="str">
            <v>12. Serv Administración</v>
          </cell>
          <cell r="V2386" t="str">
            <v>II. Gastos</v>
          </cell>
          <cell r="W2386" t="str">
            <v>23. Bienes y Servicios para Producción</v>
          </cell>
          <cell r="Z2386" t="str">
            <v>III. Gastos de Administración</v>
          </cell>
          <cell r="AA2386" t="str">
            <v>7. Serv. Adm. E Impuestos</v>
          </cell>
          <cell r="AC2386" t="str">
            <v>III. Gasto Administración</v>
          </cell>
          <cell r="AD2386" t="str">
            <v>2. Bienes y servicios Adm.</v>
          </cell>
          <cell r="AE2386" t="str">
            <v>7. Serv. Adm. E Impuestos</v>
          </cell>
          <cell r="AH2386" t="str">
            <v>6. Partidas significativas de gastos</v>
          </cell>
        </row>
        <row r="2387">
          <cell r="D2387">
            <v>0</v>
          </cell>
          <cell r="G2387" t="str">
            <v/>
          </cell>
          <cell r="H2387" t="str">
            <v>Est. Resultado</v>
          </cell>
          <cell r="I2387" t="str">
            <v>Resultado</v>
          </cell>
          <cell r="J2387" t="str">
            <v>7. Gastos de Administración</v>
          </cell>
          <cell r="K2387" t="str">
            <v>6. Serv Administración</v>
          </cell>
          <cell r="L2387" t="str">
            <v>EBITDA</v>
          </cell>
          <cell r="N2387" t="str">
            <v>GANANCIAS (PERDIDAS) ANTES DE IMPUESTOS</v>
          </cell>
          <cell r="O2387" t="str">
            <v>GANANCIA (PÉRDIDA) NETA</v>
          </cell>
          <cell r="P2387" t="str">
            <v>Resultado Ingresos y Gastos Integrales</v>
          </cell>
          <cell r="Q2387" t="str">
            <v>I. Ganancia (pérdida), antes de impuestos</v>
          </cell>
          <cell r="R2387" t="str">
            <v>b. Ganancia (pérdida)</v>
          </cell>
          <cell r="S2387" t="str">
            <v>5. Gasto de administración</v>
          </cell>
          <cell r="T2387" t="str">
            <v>12. Serv Administración</v>
          </cell>
          <cell r="V2387" t="str">
            <v>II. Gastos</v>
          </cell>
          <cell r="W2387" t="str">
            <v>23. Bienes y Servicios para Producción</v>
          </cell>
          <cell r="Z2387" t="str">
            <v>III. Gastos de Administración</v>
          </cell>
          <cell r="AA2387" t="str">
            <v>7. Serv. Adm. E Impuestos</v>
          </cell>
          <cell r="AC2387" t="str">
            <v>III. Gasto Administración</v>
          </cell>
          <cell r="AD2387" t="str">
            <v>2. Bienes y servicios Adm.</v>
          </cell>
          <cell r="AE2387" t="str">
            <v>7. Serv. Adm. E Impuestos</v>
          </cell>
          <cell r="AH2387" t="str">
            <v>6. Partidas significativas de gastos</v>
          </cell>
        </row>
        <row r="2388">
          <cell r="D2388">
            <v>0</v>
          </cell>
          <cell r="G2388" t="str">
            <v/>
          </cell>
          <cell r="H2388" t="str">
            <v>Est. Resultado</v>
          </cell>
          <cell r="I2388" t="str">
            <v>Resultado</v>
          </cell>
          <cell r="J2388" t="str">
            <v>7. Gastos de Administración</v>
          </cell>
          <cell r="K2388" t="str">
            <v>6. Serv Administración</v>
          </cell>
          <cell r="L2388" t="str">
            <v>EBITDA</v>
          </cell>
          <cell r="N2388" t="str">
            <v>GANANCIAS (PERDIDAS) ANTES DE IMPUESTOS</v>
          </cell>
          <cell r="O2388" t="str">
            <v>GANANCIA (PÉRDIDA) NETA</v>
          </cell>
          <cell r="P2388" t="str">
            <v>Resultado Ingresos y Gastos Integrales</v>
          </cell>
          <cell r="Q2388" t="str">
            <v>I. Ganancia (pérdida), antes de impuestos</v>
          </cell>
          <cell r="R2388" t="str">
            <v>b. Ganancia (pérdida)</v>
          </cell>
          <cell r="S2388" t="str">
            <v>5. Gasto de administración</v>
          </cell>
          <cell r="T2388" t="str">
            <v>12. Serv Administración</v>
          </cell>
          <cell r="V2388" t="str">
            <v>II. Gastos</v>
          </cell>
          <cell r="W2388" t="str">
            <v>23. Bienes y Servicios para Producción</v>
          </cell>
          <cell r="Z2388" t="str">
            <v>III. Gastos de Administración</v>
          </cell>
          <cell r="AA2388" t="str">
            <v>7. Serv. Adm. E Impuestos</v>
          </cell>
          <cell r="AC2388" t="str">
            <v>III. Gasto Administración</v>
          </cell>
          <cell r="AD2388" t="str">
            <v>2. Bienes y servicios Adm.</v>
          </cell>
          <cell r="AE2388" t="str">
            <v>7. Serv. Adm. E Impuestos</v>
          </cell>
          <cell r="AH2388" t="str">
            <v>6. Partidas significativas de gastos</v>
          </cell>
        </row>
        <row r="2389">
          <cell r="D2389" t="str">
            <v>Serv Administracion e Impuestos</v>
          </cell>
          <cell r="E2389" t="str">
            <v>Serv Administracion e Impuestos</v>
          </cell>
          <cell r="G2389" t="str">
            <v xml:space="preserve">Serv Administracion e Impuestos  </v>
          </cell>
          <cell r="Q2389">
            <v>0</v>
          </cell>
          <cell r="R2389" t="str">
            <v/>
          </cell>
          <cell r="T2389" t="str">
            <v/>
          </cell>
        </row>
        <row r="2390">
          <cell r="D2390" t="str">
            <v>4-1-05-99-01</v>
          </cell>
          <cell r="E2390" t="str">
            <v>4-1-05-99-01</v>
          </cell>
          <cell r="F2390" t="str">
            <v>Otros Seguros</v>
          </cell>
          <cell r="G2390" t="str">
            <v>4-1-05-99-01  Otros Seguros</v>
          </cell>
          <cell r="H2390" t="str">
            <v>Est. Resultado</v>
          </cell>
          <cell r="I2390" t="str">
            <v>Resultado</v>
          </cell>
          <cell r="J2390" t="str">
            <v>7. Gastos de Administración</v>
          </cell>
          <cell r="K2390" t="str">
            <v>7. Fletes y Seguros</v>
          </cell>
          <cell r="L2390" t="str">
            <v>EBITDA</v>
          </cell>
          <cell r="N2390" t="str">
            <v>GANANCIAS (PERDIDAS) ANTES DE IMPUESTOS</v>
          </cell>
          <cell r="O2390" t="str">
            <v>GANANCIA (PÉRDIDA) NETA</v>
          </cell>
          <cell r="P2390" t="str">
            <v>Resultado Ingresos y Gastos Integrales</v>
          </cell>
          <cell r="Q2390" t="str">
            <v>I. Ganancia (pérdida), antes de impuestos</v>
          </cell>
          <cell r="R2390" t="str">
            <v>b. Ganancia (pérdida)</v>
          </cell>
          <cell r="S2390" t="str">
            <v>5. Gasto de administración</v>
          </cell>
          <cell r="T2390" t="str">
            <v>11. Fletes y Seguros</v>
          </cell>
          <cell r="V2390" t="str">
            <v>II. Gastos</v>
          </cell>
          <cell r="W2390" t="str">
            <v>23. Bienes y Servicios para Producción</v>
          </cell>
          <cell r="Z2390" t="str">
            <v>III. Gastos de Administración</v>
          </cell>
          <cell r="AA2390" t="str">
            <v>5. Fletes y Seguros</v>
          </cell>
          <cell r="AC2390" t="str">
            <v>III. Gasto Administración</v>
          </cell>
          <cell r="AD2390" t="str">
            <v>2. Bienes y servicios Adm.</v>
          </cell>
          <cell r="AE2390" t="str">
            <v>5. Fletes y Seguros</v>
          </cell>
          <cell r="AH2390" t="str">
            <v>6. Partidas significativas de gastos</v>
          </cell>
        </row>
        <row r="2391">
          <cell r="D2391" t="str">
            <v>4-1-05-02-01</v>
          </cell>
          <cell r="E2391" t="str">
            <v>4-1-05-02-01</v>
          </cell>
          <cell r="F2391" t="str">
            <v>Seguros De Edificios E Instalaciones</v>
          </cell>
          <cell r="G2391" t="str">
            <v>4-1-05-02-01  Seguros De Edificios E Instalaciones</v>
          </cell>
          <cell r="H2391" t="str">
            <v>Est. Resultado</v>
          </cell>
          <cell r="I2391" t="str">
            <v>Resultado</v>
          </cell>
          <cell r="J2391" t="str">
            <v>7. Gastos de Administración</v>
          </cell>
          <cell r="K2391" t="str">
            <v>7. Fletes y Seguros</v>
          </cell>
          <cell r="L2391" t="str">
            <v>EBITDA</v>
          </cell>
          <cell r="N2391" t="str">
            <v>GANANCIAS (PERDIDAS) ANTES DE IMPUESTOS</v>
          </cell>
          <cell r="O2391" t="str">
            <v>GANANCIA (PÉRDIDA) NETA</v>
          </cell>
          <cell r="P2391" t="str">
            <v>Resultado Ingresos y Gastos Integrales</v>
          </cell>
          <cell r="Q2391" t="str">
            <v>I. Ganancia (pérdida), antes de impuestos</v>
          </cell>
          <cell r="R2391" t="str">
            <v>b. Ganancia (pérdida)</v>
          </cell>
          <cell r="S2391" t="str">
            <v>5. Gasto de administración</v>
          </cell>
          <cell r="T2391" t="str">
            <v>11. Fletes y Seguros</v>
          </cell>
          <cell r="V2391" t="str">
            <v>II. Gastos</v>
          </cell>
          <cell r="W2391" t="str">
            <v>23. Bienes y Servicios para Producción</v>
          </cell>
          <cell r="Z2391" t="str">
            <v>III. Gastos de Administración</v>
          </cell>
          <cell r="AA2391" t="str">
            <v>5. Fletes y Seguros</v>
          </cell>
          <cell r="AC2391" t="str">
            <v>III. Gasto Administración</v>
          </cell>
          <cell r="AD2391" t="str">
            <v>2. Bienes y servicios Adm.</v>
          </cell>
          <cell r="AE2391" t="str">
            <v>5. Fletes y Seguros</v>
          </cell>
          <cell r="AH2391" t="str">
            <v>6. Partidas significativas de gastos</v>
          </cell>
        </row>
        <row r="2392">
          <cell r="D2392" t="str">
            <v>4-1-05-02-02</v>
          </cell>
          <cell r="E2392" t="str">
            <v>4-1-05-02-02</v>
          </cell>
          <cell r="F2392" t="str">
            <v>Terrorismo</v>
          </cell>
          <cell r="G2392" t="str">
            <v>4-1-05-02-02  Terrorismo</v>
          </cell>
          <cell r="H2392" t="str">
            <v>Est. Resultado</v>
          </cell>
          <cell r="I2392" t="str">
            <v>Resultado</v>
          </cell>
          <cell r="J2392" t="str">
            <v>7. Gastos de Administración</v>
          </cell>
          <cell r="K2392" t="str">
            <v>7. Fletes y Seguros</v>
          </cell>
          <cell r="L2392" t="str">
            <v>EBITDA</v>
          </cell>
          <cell r="N2392" t="str">
            <v>GANANCIAS (PERDIDAS) ANTES DE IMPUESTOS</v>
          </cell>
          <cell r="O2392" t="str">
            <v>GANANCIA (PÉRDIDA) NETA</v>
          </cell>
          <cell r="P2392" t="str">
            <v>Resultado Ingresos y Gastos Integrales</v>
          </cell>
          <cell r="Q2392" t="str">
            <v>I. Ganancia (pérdida), antes de impuestos</v>
          </cell>
          <cell r="R2392" t="str">
            <v>b. Ganancia (pérdida)</v>
          </cell>
          <cell r="S2392" t="str">
            <v>5. Gasto de administración</v>
          </cell>
          <cell r="T2392" t="str">
            <v>11. Fletes y Seguros</v>
          </cell>
          <cell r="V2392" t="str">
            <v>II. Gastos</v>
          </cell>
          <cell r="W2392" t="str">
            <v>23. Bienes y Servicios para Producción</v>
          </cell>
          <cell r="Z2392" t="str">
            <v>III. Gastos de Administración</v>
          </cell>
          <cell r="AA2392" t="str">
            <v>5. Fletes y Seguros</v>
          </cell>
          <cell r="AC2392" t="str">
            <v>III. Gasto Administración</v>
          </cell>
          <cell r="AD2392" t="str">
            <v>2. Bienes y servicios Adm.</v>
          </cell>
          <cell r="AE2392" t="str">
            <v>5. Fletes y Seguros</v>
          </cell>
          <cell r="AH2392" t="str">
            <v>6. Partidas significativas de gastos</v>
          </cell>
        </row>
        <row r="2393">
          <cell r="D2393" t="str">
            <v>4-1-05-03-01</v>
          </cell>
          <cell r="E2393" t="str">
            <v>4-1-05-03-01</v>
          </cell>
          <cell r="F2393" t="str">
            <v>Seguros Accidentes De Pasajeros</v>
          </cell>
          <cell r="G2393" t="str">
            <v>4-1-05-03-01  Seguros Accidentes De Pasajeros</v>
          </cell>
          <cell r="H2393" t="str">
            <v>Est. Resultado</v>
          </cell>
          <cell r="I2393" t="str">
            <v>Resultado</v>
          </cell>
          <cell r="J2393" t="str">
            <v>7. Gastos de Administración</v>
          </cell>
          <cell r="K2393" t="str">
            <v>7. Fletes y Seguros</v>
          </cell>
          <cell r="L2393" t="str">
            <v>EBITDA</v>
          </cell>
          <cell r="N2393" t="str">
            <v>GANANCIAS (PERDIDAS) ANTES DE IMPUESTOS</v>
          </cell>
          <cell r="O2393" t="str">
            <v>GANANCIA (PÉRDIDA) NETA</v>
          </cell>
          <cell r="P2393" t="str">
            <v>Resultado Ingresos y Gastos Integrales</v>
          </cell>
          <cell r="Q2393" t="str">
            <v>I. Ganancia (pérdida), antes de impuestos</v>
          </cell>
          <cell r="R2393" t="str">
            <v>b. Ganancia (pérdida)</v>
          </cell>
          <cell r="S2393" t="str">
            <v>5. Gasto de administración</v>
          </cell>
          <cell r="T2393" t="str">
            <v>11. Fletes y Seguros</v>
          </cell>
          <cell r="V2393" t="str">
            <v>II. Gastos</v>
          </cell>
          <cell r="W2393" t="str">
            <v>23. Bienes y Servicios para Producción</v>
          </cell>
          <cell r="Z2393" t="str">
            <v>III. Gastos de Administración</v>
          </cell>
          <cell r="AA2393" t="str">
            <v>5. Fletes y Seguros</v>
          </cell>
          <cell r="AC2393" t="str">
            <v>III. Gasto Administración</v>
          </cell>
          <cell r="AD2393" t="str">
            <v>2. Bienes y servicios Adm.</v>
          </cell>
          <cell r="AE2393" t="str">
            <v>5. Fletes y Seguros</v>
          </cell>
          <cell r="AH2393" t="str">
            <v>6. Partidas significativas de gastos</v>
          </cell>
        </row>
        <row r="2394">
          <cell r="D2394" t="str">
            <v>4-1-05-04-01</v>
          </cell>
          <cell r="E2394" t="str">
            <v>4-1-05-04-01</v>
          </cell>
          <cell r="F2394" t="str">
            <v>Responsabilidad Civil</v>
          </cell>
          <cell r="G2394" t="str">
            <v>4-1-05-04-01  Responsabilidad Civil</v>
          </cell>
          <cell r="H2394" t="str">
            <v>Est. Resultado</v>
          </cell>
          <cell r="I2394" t="str">
            <v>Resultado</v>
          </cell>
          <cell r="J2394" t="str">
            <v>7. Gastos de Administración</v>
          </cell>
          <cell r="K2394" t="str">
            <v>7. Fletes y Seguros</v>
          </cell>
          <cell r="L2394" t="str">
            <v>EBITDA</v>
          </cell>
          <cell r="N2394" t="str">
            <v>GANANCIAS (PERDIDAS) ANTES DE IMPUESTOS</v>
          </cell>
          <cell r="O2394" t="str">
            <v>GANANCIA (PÉRDIDA) NETA</v>
          </cell>
          <cell r="P2394" t="str">
            <v>Resultado Ingresos y Gastos Integrales</v>
          </cell>
          <cell r="Q2394" t="str">
            <v>I. Ganancia (pérdida), antes de impuestos</v>
          </cell>
          <cell r="R2394" t="str">
            <v>b. Ganancia (pérdida)</v>
          </cell>
          <cell r="S2394" t="str">
            <v>5. Gasto de administración</v>
          </cell>
          <cell r="T2394" t="str">
            <v>11. Fletes y Seguros</v>
          </cell>
          <cell r="V2394" t="str">
            <v>II. Gastos</v>
          </cell>
          <cell r="W2394" t="str">
            <v>23. Bienes y Servicios para Producción</v>
          </cell>
          <cell r="Z2394" t="str">
            <v>III. Gastos de Administración</v>
          </cell>
          <cell r="AA2394" t="str">
            <v>5. Fletes y Seguros</v>
          </cell>
          <cell r="AC2394" t="str">
            <v>III. Gasto Administración</v>
          </cell>
          <cell r="AD2394" t="str">
            <v>2. Bienes y servicios Adm.</v>
          </cell>
          <cell r="AE2394" t="str">
            <v>5. Fletes y Seguros</v>
          </cell>
          <cell r="AH2394" t="str">
            <v>6. Partidas significativas de gastos</v>
          </cell>
        </row>
        <row r="2395">
          <cell r="D2395" t="str">
            <v>4-1-02-01-06</v>
          </cell>
          <cell r="E2395" t="str">
            <v>4-1-02-01-06</v>
          </cell>
          <cell r="F2395" t="str">
            <v>Transporte De Valores</v>
          </cell>
          <cell r="G2395" t="str">
            <v>4-1-02-01-06  Transporte De Valores</v>
          </cell>
          <cell r="H2395" t="str">
            <v>Est. Resultado</v>
          </cell>
          <cell r="I2395" t="str">
            <v>Resultado</v>
          </cell>
          <cell r="J2395" t="str">
            <v>7. Gastos de Administración</v>
          </cell>
          <cell r="K2395" t="str">
            <v>7. Fletes y Seguros</v>
          </cell>
          <cell r="L2395" t="str">
            <v>EBITDA</v>
          </cell>
          <cell r="N2395" t="str">
            <v>GANANCIAS (PERDIDAS) ANTES DE IMPUESTOS</v>
          </cell>
          <cell r="O2395" t="str">
            <v>GANANCIA (PÉRDIDA) NETA</v>
          </cell>
          <cell r="P2395" t="str">
            <v>Resultado Ingresos y Gastos Integrales</v>
          </cell>
          <cell r="Q2395" t="str">
            <v>I. Ganancia (pérdida), antes de impuestos</v>
          </cell>
          <cell r="R2395" t="str">
            <v>b. Ganancia (pérdida)</v>
          </cell>
          <cell r="S2395" t="str">
            <v>5. Gasto de administración</v>
          </cell>
          <cell r="T2395" t="str">
            <v>11. Fletes y Seguros</v>
          </cell>
          <cell r="V2395" t="str">
            <v>II. Gastos</v>
          </cell>
          <cell r="W2395" t="str">
            <v>23. Bienes y Servicios para Producción</v>
          </cell>
          <cell r="Z2395" t="str">
            <v>III. Gastos de Administración</v>
          </cell>
          <cell r="AA2395" t="str">
            <v>5. Fletes y Seguros</v>
          </cell>
          <cell r="AC2395" t="str">
            <v>III. Gasto Administración</v>
          </cell>
          <cell r="AD2395" t="str">
            <v>2. Bienes y servicios Adm.</v>
          </cell>
          <cell r="AE2395" t="str">
            <v>5. Fletes y Seguros</v>
          </cell>
          <cell r="AH2395" t="str">
            <v>6. Partidas significativas de gastos</v>
          </cell>
        </row>
        <row r="2396">
          <cell r="D2396" t="str">
            <v>4-1-02-01-11</v>
          </cell>
          <cell r="E2396" t="str">
            <v>4-1-02-01-11</v>
          </cell>
          <cell r="F2396" t="str">
            <v>Servicios Convenio Transbank</v>
          </cell>
          <cell r="G2396" t="str">
            <v>4-1-02-01-11  Servicios Convenio Transbank</v>
          </cell>
          <cell r="H2396" t="str">
            <v>Est. Resultado</v>
          </cell>
          <cell r="I2396" t="str">
            <v>Resultado</v>
          </cell>
          <cell r="J2396" t="str">
            <v>7. Gastos de Administración</v>
          </cell>
          <cell r="K2396" t="str">
            <v>7. Fletes y Seguros</v>
          </cell>
          <cell r="L2396" t="str">
            <v>EBITDA</v>
          </cell>
          <cell r="N2396" t="str">
            <v>GANANCIAS (PERDIDAS) ANTES DE IMPUESTOS</v>
          </cell>
          <cell r="O2396" t="str">
            <v>GANANCIA (PÉRDIDA) NETA</v>
          </cell>
          <cell r="P2396" t="str">
            <v>Resultado Ingresos y Gastos Integrales</v>
          </cell>
          <cell r="Q2396" t="str">
            <v>I. Ganancia (pérdida), antes de impuestos</v>
          </cell>
          <cell r="R2396" t="str">
            <v>b. Ganancia (pérdida)</v>
          </cell>
          <cell r="S2396" t="str">
            <v>5. Gasto de administración</v>
          </cell>
          <cell r="T2396" t="str">
            <v>11. Fletes y Seguros</v>
          </cell>
          <cell r="V2396" t="str">
            <v>II. Gastos</v>
          </cell>
          <cell r="W2396" t="str">
            <v>23. Bienes y Servicios para Producción</v>
          </cell>
          <cell r="Z2396" t="str">
            <v>III. Gastos de Administración</v>
          </cell>
          <cell r="AA2396" t="str">
            <v>5. Fletes y Seguros</v>
          </cell>
          <cell r="AC2396" t="str">
            <v>III. Gasto Administración</v>
          </cell>
          <cell r="AD2396" t="str">
            <v>2. Bienes y servicios Adm.</v>
          </cell>
          <cell r="AE2396" t="str">
            <v>5. Fletes y Seguros</v>
          </cell>
          <cell r="AH2396" t="str">
            <v>6. Partidas significativas de gastos</v>
          </cell>
        </row>
        <row r="2397">
          <cell r="D2397">
            <v>0</v>
          </cell>
          <cell r="G2397" t="str">
            <v/>
          </cell>
          <cell r="H2397" t="str">
            <v>Est. Resultado</v>
          </cell>
          <cell r="I2397" t="str">
            <v>Resultado</v>
          </cell>
          <cell r="J2397" t="str">
            <v>7. Gastos de Administración</v>
          </cell>
          <cell r="K2397" t="str">
            <v>7. Fletes y Seguros</v>
          </cell>
          <cell r="L2397" t="str">
            <v>EBITDA</v>
          </cell>
          <cell r="N2397" t="str">
            <v>GANANCIAS (PERDIDAS) ANTES DE IMPUESTOS</v>
          </cell>
          <cell r="O2397" t="str">
            <v>GANANCIA (PÉRDIDA) NETA</v>
          </cell>
          <cell r="P2397" t="str">
            <v>Resultado Ingresos y Gastos Integrales</v>
          </cell>
          <cell r="Q2397" t="str">
            <v>I. Ganancia (pérdida), antes de impuestos</v>
          </cell>
          <cell r="R2397" t="str">
            <v>b. Ganancia (pérdida)</v>
          </cell>
          <cell r="S2397" t="str">
            <v>5. Gasto de administración</v>
          </cell>
          <cell r="T2397" t="str">
            <v>11. Fletes y Seguros</v>
          </cell>
          <cell r="V2397" t="str">
            <v>II. Gastos</v>
          </cell>
          <cell r="W2397" t="str">
            <v>23. Bienes y Servicios para Producción</v>
          </cell>
          <cell r="Z2397" t="str">
            <v>III. Gastos de Administración</v>
          </cell>
          <cell r="AA2397" t="str">
            <v>5. Fletes y Seguros</v>
          </cell>
          <cell r="AC2397" t="str">
            <v>III. Gasto Administración</v>
          </cell>
          <cell r="AD2397" t="str">
            <v>2. Bienes y servicios Adm.</v>
          </cell>
          <cell r="AE2397" t="str">
            <v>5. Fletes y Seguros</v>
          </cell>
          <cell r="AH2397" t="str">
            <v>6. Partidas significativas de gastos</v>
          </cell>
        </row>
        <row r="2398">
          <cell r="D2398">
            <v>0</v>
          </cell>
          <cell r="G2398" t="str">
            <v/>
          </cell>
          <cell r="H2398" t="str">
            <v>Est. Resultado</v>
          </cell>
          <cell r="I2398" t="str">
            <v>Resultado</v>
          </cell>
          <cell r="J2398" t="str">
            <v>7. Gastos de Administración</v>
          </cell>
          <cell r="K2398" t="str">
            <v>7. Fletes y Seguros</v>
          </cell>
          <cell r="L2398" t="str">
            <v>EBITDA</v>
          </cell>
          <cell r="N2398" t="str">
            <v>GANANCIAS (PERDIDAS) ANTES DE IMPUESTOS</v>
          </cell>
          <cell r="O2398" t="str">
            <v>GANANCIA (PÉRDIDA) NETA</v>
          </cell>
          <cell r="P2398" t="str">
            <v>Resultado Ingresos y Gastos Integrales</v>
          </cell>
          <cell r="Q2398" t="str">
            <v>I. Ganancia (pérdida), antes de impuestos</v>
          </cell>
          <cell r="R2398" t="str">
            <v>b. Ganancia (pérdida)</v>
          </cell>
          <cell r="S2398" t="str">
            <v>5. Gasto de administración</v>
          </cell>
          <cell r="T2398" t="str">
            <v>11. Fletes y Seguros</v>
          </cell>
          <cell r="V2398" t="str">
            <v>II. Gastos</v>
          </cell>
          <cell r="W2398" t="str">
            <v>23. Bienes y Servicios para Producción</v>
          </cell>
          <cell r="Z2398" t="str">
            <v>III. Gastos de Administración</v>
          </cell>
          <cell r="AA2398" t="str">
            <v>5. Fletes y Seguros</v>
          </cell>
          <cell r="AC2398" t="str">
            <v>III. Gasto Administración</v>
          </cell>
          <cell r="AD2398" t="str">
            <v>2. Bienes y servicios Adm.</v>
          </cell>
          <cell r="AE2398" t="str">
            <v>5. Fletes y Seguros</v>
          </cell>
          <cell r="AH2398" t="str">
            <v>6. Partidas significativas de gastos</v>
          </cell>
        </row>
        <row r="2399">
          <cell r="D2399">
            <v>0</v>
          </cell>
          <cell r="G2399" t="str">
            <v/>
          </cell>
          <cell r="H2399" t="str">
            <v>Est. Resultado</v>
          </cell>
          <cell r="I2399" t="str">
            <v>Resultado</v>
          </cell>
          <cell r="J2399" t="str">
            <v>7. Gastos de Administración</v>
          </cell>
          <cell r="K2399" t="str">
            <v>7. Fletes y Seguros</v>
          </cell>
          <cell r="L2399" t="str">
            <v>EBITDA</v>
          </cell>
          <cell r="N2399" t="str">
            <v>GANANCIAS (PERDIDAS) ANTES DE IMPUESTOS</v>
          </cell>
          <cell r="O2399" t="str">
            <v>GANANCIA (PÉRDIDA) NETA</v>
          </cell>
          <cell r="P2399" t="str">
            <v>Resultado Ingresos y Gastos Integrales</v>
          </cell>
          <cell r="Q2399" t="str">
            <v>I. Ganancia (pérdida), antes de impuestos</v>
          </cell>
          <cell r="R2399" t="str">
            <v>b. Ganancia (pérdida)</v>
          </cell>
          <cell r="S2399" t="str">
            <v>5. Gasto de administración</v>
          </cell>
          <cell r="T2399" t="str">
            <v>11. Fletes y Seguros</v>
          </cell>
          <cell r="V2399" t="str">
            <v>II. Gastos</v>
          </cell>
          <cell r="W2399" t="str">
            <v>23. Bienes y Servicios para Producción</v>
          </cell>
          <cell r="Z2399" t="str">
            <v>III. Gastos de Administración</v>
          </cell>
          <cell r="AA2399" t="str">
            <v>5. Fletes y Seguros</v>
          </cell>
          <cell r="AC2399" t="str">
            <v>III. Gasto Administración</v>
          </cell>
          <cell r="AD2399" t="str">
            <v>2. Bienes y servicios Adm.</v>
          </cell>
          <cell r="AE2399" t="str">
            <v>5. Fletes y Seguros</v>
          </cell>
          <cell r="AH2399" t="str">
            <v>6. Partidas significativas de gastos</v>
          </cell>
        </row>
        <row r="2400">
          <cell r="D2400" t="str">
            <v>Fletes y Seguros</v>
          </cell>
          <cell r="E2400" t="str">
            <v>Fletes y Seguros</v>
          </cell>
          <cell r="F2400" t="str">
            <v/>
          </cell>
          <cell r="G2400" t="str">
            <v xml:space="preserve">Fletes y Seguros  </v>
          </cell>
          <cell r="Q2400">
            <v>0</v>
          </cell>
          <cell r="R2400" t="str">
            <v/>
          </cell>
          <cell r="T2400" t="str">
            <v/>
          </cell>
        </row>
        <row r="2401">
          <cell r="D2401" t="str">
            <v>4-1-02-02-02</v>
          </cell>
          <cell r="E2401" t="str">
            <v>4-1-02-02-02</v>
          </cell>
          <cell r="F2401" t="str">
            <v>Mantenimiento De Sistema De Peajes</v>
          </cell>
          <cell r="G2401" t="str">
            <v>4-1-02-02-02  Mantenimiento De Sistema De Peajes</v>
          </cell>
          <cell r="H2401" t="str">
            <v>Est. Resultado</v>
          </cell>
          <cell r="I2401" t="str">
            <v>Resultado</v>
          </cell>
          <cell r="J2401" t="str">
            <v>7. Gastos de Administración</v>
          </cell>
          <cell r="K2401" t="str">
            <v>8. Informática y Comunicaciones</v>
          </cell>
          <cell r="L2401" t="str">
            <v>EBITDA</v>
          </cell>
          <cell r="N2401" t="str">
            <v>GANANCIAS (PERDIDAS) ANTES DE IMPUESTOS</v>
          </cell>
          <cell r="O2401" t="str">
            <v>GANANCIA (PÉRDIDA) NETA</v>
          </cell>
          <cell r="P2401" t="str">
            <v>Resultado Ingresos y Gastos Integrales</v>
          </cell>
          <cell r="Q2401" t="str">
            <v>I. Ganancia (pérdida), antes de impuestos</v>
          </cell>
          <cell r="R2401" t="str">
            <v>b. Ganancia (pérdida)</v>
          </cell>
          <cell r="S2401" t="str">
            <v>5. Gasto de administración</v>
          </cell>
          <cell r="T2401" t="str">
            <v>9. Informática y Comunicaciones</v>
          </cell>
          <cell r="V2401" t="str">
            <v>II. Gastos</v>
          </cell>
          <cell r="W2401" t="str">
            <v>23. Bienes y Servicios para Producción</v>
          </cell>
          <cell r="Z2401" t="str">
            <v>III. Gastos de Administración</v>
          </cell>
          <cell r="AA2401" t="str">
            <v>4. Informática y Comunicaciones</v>
          </cell>
          <cell r="AC2401" t="str">
            <v>III. Gasto Administración</v>
          </cell>
          <cell r="AD2401" t="str">
            <v>2. Bienes y servicios Adm.</v>
          </cell>
          <cell r="AE2401" t="str">
            <v>4. Informática y Comunicaciones</v>
          </cell>
          <cell r="AH2401" t="str">
            <v>6. Partidas significativas de gastos</v>
          </cell>
        </row>
        <row r="2402">
          <cell r="D2402" t="str">
            <v>4-1-03-02-15</v>
          </cell>
          <cell r="E2402" t="str">
            <v>4-1-03-02-15</v>
          </cell>
          <cell r="F2402" t="str">
            <v>Internet Administracion</v>
          </cell>
          <cell r="G2402" t="str">
            <v>4-1-03-02-15  Internet Administracion</v>
          </cell>
          <cell r="H2402" t="str">
            <v>Est. Resultado</v>
          </cell>
          <cell r="I2402" t="str">
            <v>Resultado</v>
          </cell>
          <cell r="J2402" t="str">
            <v>7. Gastos de Administración</v>
          </cell>
          <cell r="K2402" t="str">
            <v>8. Informática y Comunicaciones</v>
          </cell>
          <cell r="L2402" t="str">
            <v>EBITDA</v>
          </cell>
          <cell r="N2402" t="str">
            <v>GANANCIAS (PERDIDAS) ANTES DE IMPUESTOS</v>
          </cell>
          <cell r="O2402" t="str">
            <v>GANANCIA (PÉRDIDA) NETA</v>
          </cell>
          <cell r="P2402" t="str">
            <v>Resultado Ingresos y Gastos Integrales</v>
          </cell>
          <cell r="Q2402" t="str">
            <v>I. Ganancia (pérdida), antes de impuestos</v>
          </cell>
          <cell r="R2402" t="str">
            <v>b. Ganancia (pérdida)</v>
          </cell>
          <cell r="S2402" t="str">
            <v>5. Gasto de administración</v>
          </cell>
          <cell r="T2402" t="str">
            <v>9. Informática y Comunicaciones</v>
          </cell>
          <cell r="V2402" t="str">
            <v>II. Gastos</v>
          </cell>
          <cell r="W2402" t="str">
            <v>23. Bienes y Servicios para Producción</v>
          </cell>
          <cell r="Z2402" t="str">
            <v>III. Gastos de Administración</v>
          </cell>
          <cell r="AA2402" t="str">
            <v>4. Informática y Comunicaciones</v>
          </cell>
          <cell r="AC2402" t="str">
            <v>III. Gasto Administración</v>
          </cell>
          <cell r="AD2402" t="str">
            <v>2. Bienes y servicios Adm.</v>
          </cell>
          <cell r="AE2402" t="str">
            <v>4. Informática y Comunicaciones</v>
          </cell>
          <cell r="AH2402" t="str">
            <v>6. Partidas significativas de gastos</v>
          </cell>
        </row>
        <row r="2403">
          <cell r="D2403" t="str">
            <v>4-1-02-02-04</v>
          </cell>
          <cell r="E2403" t="str">
            <v>4-1-02-02-04</v>
          </cell>
          <cell r="F2403" t="str">
            <v>Mantenimiento De Sistemas Computacionale</v>
          </cell>
          <cell r="G2403" t="str">
            <v>4-1-02-02-04  Mantenimiento De Sistemas Computacionale</v>
          </cell>
          <cell r="H2403" t="str">
            <v>Est. Resultado</v>
          </cell>
          <cell r="I2403" t="str">
            <v>Resultado</v>
          </cell>
          <cell r="J2403" t="str">
            <v>7. Gastos de Administración</v>
          </cell>
          <cell r="K2403" t="str">
            <v>8. Informática y Comunicaciones</v>
          </cell>
          <cell r="L2403" t="str">
            <v>EBITDA</v>
          </cell>
          <cell r="N2403" t="str">
            <v>GANANCIAS (PERDIDAS) ANTES DE IMPUESTOS</v>
          </cell>
          <cell r="O2403" t="str">
            <v>GANANCIA (PÉRDIDA) NETA</v>
          </cell>
          <cell r="P2403" t="str">
            <v>Resultado Ingresos y Gastos Integrales</v>
          </cell>
          <cell r="Q2403" t="str">
            <v>I. Ganancia (pérdida), antes de impuestos</v>
          </cell>
          <cell r="R2403" t="str">
            <v>b. Ganancia (pérdida)</v>
          </cell>
          <cell r="S2403" t="str">
            <v>5. Gasto de administración</v>
          </cell>
          <cell r="T2403" t="str">
            <v>9. Informática y Comunicaciones</v>
          </cell>
          <cell r="V2403" t="str">
            <v>II. Gastos</v>
          </cell>
          <cell r="W2403" t="str">
            <v>23. Bienes y Servicios para Producción</v>
          </cell>
          <cell r="Z2403" t="str">
            <v>III. Gastos de Administración</v>
          </cell>
          <cell r="AA2403" t="str">
            <v>4. Informática y Comunicaciones</v>
          </cell>
          <cell r="AC2403" t="str">
            <v>III. Gasto Administración</v>
          </cell>
          <cell r="AD2403" t="str">
            <v>2. Bienes y servicios Adm.</v>
          </cell>
          <cell r="AE2403" t="str">
            <v>4. Informática y Comunicaciones</v>
          </cell>
          <cell r="AH2403" t="str">
            <v>6. Partidas significativas de gastos</v>
          </cell>
        </row>
        <row r="2404">
          <cell r="D2404" t="str">
            <v>4-1-03-02-26</v>
          </cell>
          <cell r="E2404" t="str">
            <v>4-1-03-02-26</v>
          </cell>
          <cell r="F2404" t="str">
            <v>Radiocomunicaciones Ventas</v>
          </cell>
          <cell r="G2404" t="str">
            <v>4-1-03-02-26  Radiocomunicaciones Ventas</v>
          </cell>
          <cell r="H2404" t="str">
            <v>Est. Resultado</v>
          </cell>
          <cell r="I2404" t="str">
            <v>Resultado</v>
          </cell>
          <cell r="J2404" t="str">
            <v>7. Gastos de Administración</v>
          </cell>
          <cell r="K2404" t="str">
            <v>8. Informática y Comunicaciones</v>
          </cell>
          <cell r="L2404" t="str">
            <v>EBITDA</v>
          </cell>
          <cell r="N2404" t="str">
            <v>GANANCIAS (PERDIDAS) ANTES DE IMPUESTOS</v>
          </cell>
          <cell r="O2404" t="str">
            <v>GANANCIA (PÉRDIDA) NETA</v>
          </cell>
          <cell r="P2404" t="str">
            <v>Resultado Ingresos y Gastos Integrales</v>
          </cell>
          <cell r="Q2404" t="str">
            <v>I. Ganancia (pérdida), antes de impuestos</v>
          </cell>
          <cell r="R2404" t="str">
            <v>b. Ganancia (pérdida)</v>
          </cell>
          <cell r="S2404" t="str">
            <v>5. Gasto de administración</v>
          </cell>
          <cell r="T2404" t="str">
            <v>9. Informática y Comunicaciones</v>
          </cell>
          <cell r="V2404" t="str">
            <v>II. Gastos</v>
          </cell>
          <cell r="W2404" t="str">
            <v>23. Bienes y Servicios para Producción</v>
          </cell>
          <cell r="Z2404" t="str">
            <v>III. Gastos de Administración</v>
          </cell>
          <cell r="AA2404" t="str">
            <v>4. Informática y Comunicaciones</v>
          </cell>
          <cell r="AC2404" t="str">
            <v>III. Gasto Administración</v>
          </cell>
          <cell r="AD2404" t="str">
            <v>2. Bienes y servicios Adm.</v>
          </cell>
          <cell r="AE2404" t="str">
            <v>4. Informática y Comunicaciones</v>
          </cell>
          <cell r="AH2404" t="str">
            <v>6. Partidas significativas de gastos</v>
          </cell>
        </row>
        <row r="2405">
          <cell r="D2405">
            <v>0</v>
          </cell>
          <cell r="G2405" t="str">
            <v/>
          </cell>
          <cell r="H2405" t="str">
            <v>Est. Resultado</v>
          </cell>
          <cell r="I2405" t="str">
            <v>Resultado</v>
          </cell>
          <cell r="J2405" t="str">
            <v>7. Gastos de Administración</v>
          </cell>
          <cell r="K2405" t="str">
            <v>8. Informática y Comunicaciones</v>
          </cell>
          <cell r="L2405" t="str">
            <v>EBITDA</v>
          </cell>
          <cell r="N2405" t="str">
            <v>GANANCIAS (PERDIDAS) ANTES DE IMPUESTOS</v>
          </cell>
          <cell r="O2405" t="str">
            <v>GANANCIA (PÉRDIDA) NETA</v>
          </cell>
          <cell r="P2405" t="str">
            <v>Resultado Ingresos y Gastos Integrales</v>
          </cell>
          <cell r="Q2405" t="str">
            <v>I. Ganancia (pérdida), antes de impuestos</v>
          </cell>
          <cell r="R2405" t="str">
            <v>b. Ganancia (pérdida)</v>
          </cell>
          <cell r="S2405" t="str">
            <v>5. Gasto de administración</v>
          </cell>
          <cell r="T2405" t="str">
            <v>9. Informática y Comunicaciones</v>
          </cell>
          <cell r="V2405" t="str">
            <v>II. Gastos</v>
          </cell>
          <cell r="W2405" t="str">
            <v>23. Bienes y Servicios para Producción</v>
          </cell>
          <cell r="Z2405" t="str">
            <v>III. Gastos de Administración</v>
          </cell>
          <cell r="AA2405" t="str">
            <v>4. Informática y Comunicaciones</v>
          </cell>
          <cell r="AC2405" t="str">
            <v>III. Gasto Administración</v>
          </cell>
          <cell r="AD2405" t="str">
            <v>2. Bienes y servicios Adm.</v>
          </cell>
          <cell r="AE2405" t="str">
            <v>4. Informática y Comunicaciones</v>
          </cell>
          <cell r="AH2405" t="str">
            <v>6. Partidas significativas de gastos</v>
          </cell>
        </row>
        <row r="2406">
          <cell r="D2406">
            <v>0</v>
          </cell>
          <cell r="G2406" t="str">
            <v/>
          </cell>
          <cell r="H2406" t="str">
            <v>Est. Resultado</v>
          </cell>
          <cell r="I2406" t="str">
            <v>Resultado</v>
          </cell>
          <cell r="J2406" t="str">
            <v>7. Gastos de Administración</v>
          </cell>
          <cell r="K2406" t="str">
            <v>8. Informática y Comunicaciones</v>
          </cell>
          <cell r="L2406" t="str">
            <v>EBITDA</v>
          </cell>
          <cell r="N2406" t="str">
            <v>GANANCIAS (PERDIDAS) ANTES DE IMPUESTOS</v>
          </cell>
          <cell r="O2406" t="str">
            <v>GANANCIA (PÉRDIDA) NETA</v>
          </cell>
          <cell r="P2406" t="str">
            <v>Resultado Ingresos y Gastos Integrales</v>
          </cell>
          <cell r="Q2406" t="str">
            <v>I. Ganancia (pérdida), antes de impuestos</v>
          </cell>
          <cell r="R2406" t="str">
            <v>b. Ganancia (pérdida)</v>
          </cell>
          <cell r="S2406" t="str">
            <v>5. Gasto de administración</v>
          </cell>
          <cell r="T2406" t="str">
            <v>9. Informática y Comunicaciones</v>
          </cell>
          <cell r="V2406" t="str">
            <v>II. Gastos</v>
          </cell>
          <cell r="W2406" t="str">
            <v>23. Bienes y Servicios para Producción</v>
          </cell>
          <cell r="Z2406" t="str">
            <v>III. Gastos de Administración</v>
          </cell>
          <cell r="AA2406" t="str">
            <v>4. Informática y Comunicaciones</v>
          </cell>
          <cell r="AC2406" t="str">
            <v>III. Gasto Administración</v>
          </cell>
          <cell r="AD2406" t="str">
            <v>2. Bienes y servicios Adm.</v>
          </cell>
          <cell r="AE2406" t="str">
            <v>4. Informática y Comunicaciones</v>
          </cell>
          <cell r="AH2406" t="str">
            <v>6. Partidas significativas de gastos</v>
          </cell>
        </row>
        <row r="2407">
          <cell r="D2407">
            <v>0</v>
          </cell>
          <cell r="G2407" t="str">
            <v/>
          </cell>
          <cell r="H2407" t="str">
            <v>Est. Resultado</v>
          </cell>
          <cell r="I2407" t="str">
            <v>Resultado</v>
          </cell>
          <cell r="J2407" t="str">
            <v>7. Gastos de Administración</v>
          </cell>
          <cell r="K2407" t="str">
            <v>8. Informática y Comunicaciones</v>
          </cell>
          <cell r="L2407" t="str">
            <v>EBITDA</v>
          </cell>
          <cell r="N2407" t="str">
            <v>GANANCIAS (PERDIDAS) ANTES DE IMPUESTOS</v>
          </cell>
          <cell r="O2407" t="str">
            <v>GANANCIA (PÉRDIDA) NETA</v>
          </cell>
          <cell r="P2407" t="str">
            <v>Resultado Ingresos y Gastos Integrales</v>
          </cell>
          <cell r="Q2407" t="str">
            <v>I. Ganancia (pérdida), antes de impuestos</v>
          </cell>
          <cell r="R2407" t="str">
            <v>b. Ganancia (pérdida)</v>
          </cell>
          <cell r="S2407" t="str">
            <v>5. Gasto de administración</v>
          </cell>
          <cell r="T2407" t="str">
            <v>9. Informática y Comunicaciones</v>
          </cell>
          <cell r="V2407" t="str">
            <v>II. Gastos</v>
          </cell>
          <cell r="W2407" t="str">
            <v>23. Bienes y Servicios para Producción</v>
          </cell>
          <cell r="Z2407" t="str">
            <v>III. Gastos de Administración</v>
          </cell>
          <cell r="AA2407" t="str">
            <v>4. Informática y Comunicaciones</v>
          </cell>
          <cell r="AC2407" t="str">
            <v>III. Gasto Administración</v>
          </cell>
          <cell r="AD2407" t="str">
            <v>2. Bienes y servicios Adm.</v>
          </cell>
          <cell r="AE2407" t="str">
            <v>4. Informática y Comunicaciones</v>
          </cell>
          <cell r="AH2407" t="str">
            <v>6. Partidas significativas de gastos</v>
          </cell>
        </row>
        <row r="2408">
          <cell r="D2408" t="str">
            <v>Informatica y Comunicaciones</v>
          </cell>
          <cell r="E2408" t="str">
            <v>Informatica y Comunicaciones</v>
          </cell>
          <cell r="F2408" t="str">
            <v/>
          </cell>
          <cell r="G2408" t="str">
            <v xml:space="preserve">Informatica y Comunicaciones  </v>
          </cell>
          <cell r="Q2408">
            <v>0</v>
          </cell>
          <cell r="R2408" t="str">
            <v/>
          </cell>
        </row>
        <row r="2409">
          <cell r="D2409" t="str">
            <v>4-1-07-01-02</v>
          </cell>
          <cell r="E2409" t="str">
            <v>4-1-07-01-02</v>
          </cell>
          <cell r="F2409" t="str">
            <v>Materiales De Oficina Y Boleterias</v>
          </cell>
          <cell r="G2409" t="str">
            <v>4-1-07-01-02  Materiales De Oficina Y Boleterias</v>
          </cell>
          <cell r="H2409" t="str">
            <v>Est. Resultado</v>
          </cell>
          <cell r="I2409" t="str">
            <v>Resultado</v>
          </cell>
          <cell r="J2409" t="str">
            <v>7. Gastos de Administración</v>
          </cell>
          <cell r="K2409" t="str">
            <v>9. Consumos Basicos</v>
          </cell>
          <cell r="L2409" t="str">
            <v>EBITDA</v>
          </cell>
          <cell r="N2409" t="str">
            <v>GANANCIAS (PERDIDAS) ANTES DE IMPUESTOS</v>
          </cell>
          <cell r="O2409" t="str">
            <v>GANANCIA (PÉRDIDA) NETA</v>
          </cell>
          <cell r="P2409" t="str">
            <v>Resultado Ingresos y Gastos Integrales</v>
          </cell>
          <cell r="Q2409" t="str">
            <v>I. Ganancia (pérdida), antes de impuestos</v>
          </cell>
          <cell r="R2409" t="str">
            <v>b. Ganancia (pérdida)</v>
          </cell>
          <cell r="S2409" t="str">
            <v>5. Gasto de administración</v>
          </cell>
          <cell r="T2409" t="str">
            <v>10. Consumos Basicos</v>
          </cell>
          <cell r="V2409" t="str">
            <v>II. Gastos</v>
          </cell>
          <cell r="W2409" t="str">
            <v>23. Bienes y Servicios para Producción</v>
          </cell>
          <cell r="Z2409" t="str">
            <v>III. Gastos de Administración</v>
          </cell>
          <cell r="AA2409" t="str">
            <v>3. Consumos Basicos</v>
          </cell>
          <cell r="AC2409" t="str">
            <v>III. Gasto Administración</v>
          </cell>
          <cell r="AD2409" t="str">
            <v>2. Bienes y servicios Adm.</v>
          </cell>
          <cell r="AE2409" t="str">
            <v>3. Consumos Basicos</v>
          </cell>
          <cell r="AH2409" t="str">
            <v>6. Partidas significativas de gastos</v>
          </cell>
        </row>
        <row r="2410">
          <cell r="D2410" t="str">
            <v>4-1-07-03-02</v>
          </cell>
          <cell r="E2410" t="str">
            <v>4-1-07-03-02</v>
          </cell>
          <cell r="F2410" t="str">
            <v>Otros Gastos De Ventas</v>
          </cell>
          <cell r="G2410" t="str">
            <v>4-1-07-03-02  Otros Gastos De Ventas</v>
          </cell>
          <cell r="H2410" t="str">
            <v>Est. Resultado</v>
          </cell>
          <cell r="I2410" t="str">
            <v>Resultado</v>
          </cell>
          <cell r="J2410" t="str">
            <v>7. Gastos de Administración</v>
          </cell>
          <cell r="K2410" t="str">
            <v>9. Consumos Basicos</v>
          </cell>
          <cell r="L2410" t="str">
            <v>EBITDA</v>
          </cell>
          <cell r="N2410" t="str">
            <v>GANANCIAS (PERDIDAS) ANTES DE IMPUESTOS</v>
          </cell>
          <cell r="O2410" t="str">
            <v>GANANCIA (PÉRDIDA) NETA</v>
          </cell>
          <cell r="P2410" t="str">
            <v>Resultado Ingresos y Gastos Integrales</v>
          </cell>
          <cell r="Q2410" t="str">
            <v>I. Ganancia (pérdida), antes de impuestos</v>
          </cell>
          <cell r="R2410" t="str">
            <v>b. Ganancia (pérdida)</v>
          </cell>
          <cell r="S2410" t="str">
            <v>5. Gasto de administración</v>
          </cell>
          <cell r="T2410" t="str">
            <v>10. Consumos Basicos</v>
          </cell>
          <cell r="V2410" t="str">
            <v>II. Gastos</v>
          </cell>
          <cell r="W2410" t="str">
            <v>23. Bienes y Servicios para Producción</v>
          </cell>
          <cell r="Z2410" t="str">
            <v>III. Gastos de Administración</v>
          </cell>
          <cell r="AA2410" t="str">
            <v>3. Consumos Basicos</v>
          </cell>
          <cell r="AC2410" t="str">
            <v>III. Gasto Administración</v>
          </cell>
          <cell r="AD2410" t="str">
            <v>2. Bienes y servicios Adm.</v>
          </cell>
          <cell r="AE2410" t="str">
            <v>3. Consumos Basicos</v>
          </cell>
          <cell r="AH2410" t="str">
            <v>6. Partidas significativas de gastos</v>
          </cell>
        </row>
        <row r="2411">
          <cell r="D2411" t="str">
            <v>4-1-07-99-01</v>
          </cell>
          <cell r="E2411" t="str">
            <v>4-1-07-99-01</v>
          </cell>
          <cell r="F2411" t="str">
            <v>Otros Gastos Generales</v>
          </cell>
          <cell r="G2411" t="str">
            <v>4-1-07-99-01  Otros Gastos Generales</v>
          </cell>
          <cell r="H2411" t="str">
            <v>Est. Resultado</v>
          </cell>
          <cell r="I2411" t="str">
            <v>Resultado</v>
          </cell>
          <cell r="J2411" t="str">
            <v>7. Gastos de Administración</v>
          </cell>
          <cell r="K2411" t="str">
            <v>9. Consumos Basicos</v>
          </cell>
          <cell r="L2411" t="str">
            <v>EBITDA</v>
          </cell>
          <cell r="N2411" t="str">
            <v>GANANCIAS (PERDIDAS) ANTES DE IMPUESTOS</v>
          </cell>
          <cell r="O2411" t="str">
            <v>GANANCIA (PÉRDIDA) NETA</v>
          </cell>
          <cell r="P2411" t="str">
            <v>Resultado Ingresos y Gastos Integrales</v>
          </cell>
          <cell r="Q2411" t="str">
            <v>I. Ganancia (pérdida), antes de impuestos</v>
          </cell>
          <cell r="R2411" t="str">
            <v>b. Ganancia (pérdida)</v>
          </cell>
          <cell r="S2411" t="str">
            <v>5. Gasto de administración</v>
          </cell>
          <cell r="T2411" t="str">
            <v>10. Consumos Basicos</v>
          </cell>
          <cell r="V2411" t="str">
            <v>II. Gastos</v>
          </cell>
          <cell r="W2411" t="str">
            <v>23. Bienes y Servicios para Producción</v>
          </cell>
          <cell r="Z2411" t="str">
            <v>III. Gastos de Administración</v>
          </cell>
          <cell r="AA2411" t="str">
            <v>3. Consumos Basicos</v>
          </cell>
          <cell r="AC2411" t="str">
            <v>III. Gasto Administración</v>
          </cell>
          <cell r="AD2411" t="str">
            <v>2. Bienes y servicios Adm.</v>
          </cell>
          <cell r="AE2411" t="str">
            <v>3. Consumos Basicos</v>
          </cell>
          <cell r="AH2411" t="str">
            <v>6. Partidas significativas de gastos</v>
          </cell>
        </row>
        <row r="2412">
          <cell r="D2412" t="str">
            <v>4-1-02-01-08</v>
          </cell>
          <cell r="E2412" t="str">
            <v>4-1-02-01-08</v>
          </cell>
          <cell r="F2412" t="str">
            <v>Servicios De Fotocopiado</v>
          </cell>
          <cell r="G2412" t="str">
            <v>4-1-02-01-08  Servicios De Fotocopiado</v>
          </cell>
          <cell r="H2412" t="str">
            <v>Est. Resultado</v>
          </cell>
          <cell r="I2412" t="str">
            <v>Resultado</v>
          </cell>
          <cell r="J2412" t="str">
            <v>7. Gastos de Administración</v>
          </cell>
          <cell r="K2412" t="str">
            <v>9. Consumos Basicos</v>
          </cell>
          <cell r="L2412" t="str">
            <v>EBITDA</v>
          </cell>
          <cell r="N2412" t="str">
            <v>GANANCIAS (PERDIDAS) ANTES DE IMPUESTOS</v>
          </cell>
          <cell r="O2412" t="str">
            <v>GANANCIA (PÉRDIDA) NETA</v>
          </cell>
          <cell r="P2412" t="str">
            <v>Resultado Ingresos y Gastos Integrales</v>
          </cell>
          <cell r="Q2412" t="str">
            <v>I. Ganancia (pérdida), antes de impuestos</v>
          </cell>
          <cell r="R2412" t="str">
            <v>b. Ganancia (pérdida)</v>
          </cell>
          <cell r="S2412" t="str">
            <v>5. Gasto de administración</v>
          </cell>
          <cell r="T2412" t="str">
            <v>10. Consumos Basicos</v>
          </cell>
          <cell r="V2412" t="str">
            <v>II. Gastos</v>
          </cell>
          <cell r="W2412" t="str">
            <v>23. Bienes y Servicios para Producción</v>
          </cell>
          <cell r="Z2412" t="str">
            <v>III. Gastos de Administración</v>
          </cell>
          <cell r="AA2412" t="str">
            <v>3. Consumos Basicos</v>
          </cell>
          <cell r="AC2412" t="str">
            <v>III. Gasto Administración</v>
          </cell>
          <cell r="AD2412" t="str">
            <v>2. Bienes y servicios Adm.</v>
          </cell>
          <cell r="AE2412" t="str">
            <v>3. Consumos Basicos</v>
          </cell>
          <cell r="AH2412" t="str">
            <v>6. Partidas significativas de gastos</v>
          </cell>
        </row>
        <row r="2413">
          <cell r="D2413" t="str">
            <v>4-1-07-01-04</v>
          </cell>
          <cell r="E2413" t="str">
            <v>4-1-07-01-04</v>
          </cell>
          <cell r="F2413" t="str">
            <v>Fotocopias</v>
          </cell>
          <cell r="G2413" t="str">
            <v>4-1-07-01-04  Fotocopias</v>
          </cell>
          <cell r="H2413" t="str">
            <v>Est. Resultado</v>
          </cell>
          <cell r="I2413" t="str">
            <v>Resultado</v>
          </cell>
          <cell r="J2413" t="str">
            <v>7. Gastos de Administración</v>
          </cell>
          <cell r="K2413" t="str">
            <v>9. Consumos Basicos</v>
          </cell>
          <cell r="L2413" t="str">
            <v>EBITDA</v>
          </cell>
          <cell r="N2413" t="str">
            <v>GANANCIAS (PERDIDAS) ANTES DE IMPUESTOS</v>
          </cell>
          <cell r="O2413" t="str">
            <v>GANANCIA (PÉRDIDA) NETA</v>
          </cell>
          <cell r="P2413" t="str">
            <v>Resultado Ingresos y Gastos Integrales</v>
          </cell>
          <cell r="Q2413" t="str">
            <v>I. Ganancia (pérdida), antes de impuestos</v>
          </cell>
          <cell r="R2413" t="str">
            <v>b. Ganancia (pérdida)</v>
          </cell>
          <cell r="S2413" t="str">
            <v>5. Gasto de administración</v>
          </cell>
          <cell r="T2413" t="str">
            <v>10. Consumos Basicos</v>
          </cell>
          <cell r="V2413" t="str">
            <v>II. Gastos</v>
          </cell>
          <cell r="W2413" t="str">
            <v>23. Bienes y Servicios para Producción</v>
          </cell>
          <cell r="Z2413" t="str">
            <v>III. Gastos de Administración</v>
          </cell>
          <cell r="AA2413" t="str">
            <v>3. Consumos Basicos</v>
          </cell>
          <cell r="AC2413" t="str">
            <v>III. Gasto Administración</v>
          </cell>
          <cell r="AD2413" t="str">
            <v>2. Bienes y servicios Adm.</v>
          </cell>
          <cell r="AE2413" t="str">
            <v>3. Consumos Basicos</v>
          </cell>
          <cell r="AH2413" t="str">
            <v>6. Partidas significativas de gastos</v>
          </cell>
        </row>
        <row r="2414">
          <cell r="D2414" t="str">
            <v>4-1-03-02-12</v>
          </cell>
          <cell r="E2414" t="str">
            <v>4-1-03-02-12</v>
          </cell>
          <cell r="F2414" t="str">
            <v>Luz  Administracion</v>
          </cell>
          <cell r="G2414" t="str">
            <v>4-1-03-02-12  Luz  Administracion</v>
          </cell>
          <cell r="H2414" t="str">
            <v>Est. Resultado</v>
          </cell>
          <cell r="I2414" t="str">
            <v>Resultado</v>
          </cell>
          <cell r="J2414" t="str">
            <v>7. Gastos de Administración</v>
          </cell>
          <cell r="K2414" t="str">
            <v>9. Consumos Basicos</v>
          </cell>
          <cell r="L2414" t="str">
            <v>EBITDA</v>
          </cell>
          <cell r="N2414" t="str">
            <v>GANANCIAS (PERDIDAS) ANTES DE IMPUESTOS</v>
          </cell>
          <cell r="O2414" t="str">
            <v>GANANCIA (PÉRDIDA) NETA</v>
          </cell>
          <cell r="P2414" t="str">
            <v>Resultado Ingresos y Gastos Integrales</v>
          </cell>
          <cell r="Q2414" t="str">
            <v>I. Ganancia (pérdida), antes de impuestos</v>
          </cell>
          <cell r="R2414" t="str">
            <v>b. Ganancia (pérdida)</v>
          </cell>
          <cell r="S2414" t="str">
            <v>5. Gasto de administración</v>
          </cell>
          <cell r="T2414" t="str">
            <v>10. Consumos Basicos</v>
          </cell>
          <cell r="V2414" t="str">
            <v>II. Gastos</v>
          </cell>
          <cell r="W2414" t="str">
            <v>23. Bienes y Servicios para Producción</v>
          </cell>
          <cell r="Z2414" t="str">
            <v>III. Gastos de Administración</v>
          </cell>
          <cell r="AA2414" t="str">
            <v>3. Consumos Basicos</v>
          </cell>
          <cell r="AC2414" t="str">
            <v>III. Gasto Administración</v>
          </cell>
          <cell r="AD2414" t="str">
            <v>2. Bienes y servicios Adm.</v>
          </cell>
          <cell r="AE2414" t="str">
            <v>3. Consumos Basicos</v>
          </cell>
          <cell r="AH2414" t="str">
            <v>6. Partidas significativas de gastos</v>
          </cell>
        </row>
        <row r="2415">
          <cell r="D2415" t="str">
            <v>4-1-03-02-22</v>
          </cell>
          <cell r="E2415" t="str">
            <v>4-1-03-02-22</v>
          </cell>
          <cell r="F2415" t="str">
            <v>Luz Ventas</v>
          </cell>
          <cell r="G2415" t="str">
            <v>4-1-03-02-22  Luz Ventas</v>
          </cell>
          <cell r="H2415" t="str">
            <v>Est. Resultado</v>
          </cell>
          <cell r="I2415" t="str">
            <v>Resultado</v>
          </cell>
          <cell r="J2415" t="str">
            <v>7. Gastos de Administración</v>
          </cell>
          <cell r="K2415" t="str">
            <v>9. Consumos Basicos</v>
          </cell>
          <cell r="L2415" t="str">
            <v>EBITDA</v>
          </cell>
          <cell r="N2415" t="str">
            <v>GANANCIAS (PERDIDAS) ANTES DE IMPUESTOS</v>
          </cell>
          <cell r="O2415" t="str">
            <v>GANANCIA (PÉRDIDA) NETA</v>
          </cell>
          <cell r="P2415" t="str">
            <v>Resultado Ingresos y Gastos Integrales</v>
          </cell>
          <cell r="Q2415" t="str">
            <v>I. Ganancia (pérdida), antes de impuestos</v>
          </cell>
          <cell r="R2415" t="str">
            <v>b. Ganancia (pérdida)</v>
          </cell>
          <cell r="S2415" t="str">
            <v>5. Gasto de administración</v>
          </cell>
          <cell r="T2415" t="str">
            <v>10. Consumos Basicos</v>
          </cell>
          <cell r="V2415" t="str">
            <v>II. Gastos</v>
          </cell>
          <cell r="W2415" t="str">
            <v>23. Bienes y Servicios para Producción</v>
          </cell>
          <cell r="Z2415" t="str">
            <v>III. Gastos de Administración</v>
          </cell>
          <cell r="AA2415" t="str">
            <v>3. Consumos Basicos</v>
          </cell>
          <cell r="AC2415" t="str">
            <v>III. Gasto Administración</v>
          </cell>
          <cell r="AD2415" t="str">
            <v>2. Bienes y servicios Adm.</v>
          </cell>
          <cell r="AE2415" t="str">
            <v>3. Consumos Basicos</v>
          </cell>
          <cell r="AH2415" t="str">
            <v>6. Partidas significativas de gastos</v>
          </cell>
        </row>
        <row r="2416">
          <cell r="D2416" t="str">
            <v>4-1-03-02-11</v>
          </cell>
          <cell r="E2416" t="str">
            <v>4-1-03-02-11</v>
          </cell>
          <cell r="F2416" t="str">
            <v>Agua Administracion</v>
          </cell>
          <cell r="G2416" t="str">
            <v>4-1-03-02-11  Agua Administracion</v>
          </cell>
          <cell r="H2416" t="str">
            <v>Est. Resultado</v>
          </cell>
          <cell r="I2416" t="str">
            <v>Resultado</v>
          </cell>
          <cell r="J2416" t="str">
            <v>7. Gastos de Administración</v>
          </cell>
          <cell r="K2416" t="str">
            <v>9. Consumos Basicos</v>
          </cell>
          <cell r="L2416" t="str">
            <v>EBITDA</v>
          </cell>
          <cell r="N2416" t="str">
            <v>GANANCIAS (PERDIDAS) ANTES DE IMPUESTOS</v>
          </cell>
          <cell r="O2416" t="str">
            <v>GANANCIA (PÉRDIDA) NETA</v>
          </cell>
          <cell r="P2416" t="str">
            <v>Resultado Ingresos y Gastos Integrales</v>
          </cell>
          <cell r="Q2416" t="str">
            <v>I. Ganancia (pérdida), antes de impuestos</v>
          </cell>
          <cell r="R2416" t="str">
            <v>b. Ganancia (pérdida)</v>
          </cell>
          <cell r="S2416" t="str">
            <v>5. Gasto de administración</v>
          </cell>
          <cell r="T2416" t="str">
            <v>10. Consumos Basicos</v>
          </cell>
          <cell r="V2416" t="str">
            <v>II. Gastos</v>
          </cell>
          <cell r="W2416" t="str">
            <v>23. Bienes y Servicios para Producción</v>
          </cell>
          <cell r="Z2416" t="str">
            <v>III. Gastos de Administración</v>
          </cell>
          <cell r="AA2416" t="str">
            <v>3. Consumos Basicos</v>
          </cell>
          <cell r="AC2416" t="str">
            <v>III. Gasto Administración</v>
          </cell>
          <cell r="AD2416" t="str">
            <v>2. Bienes y servicios Adm.</v>
          </cell>
          <cell r="AE2416" t="str">
            <v>3. Consumos Basicos</v>
          </cell>
          <cell r="AH2416" t="str">
            <v>6. Partidas significativas de gastos</v>
          </cell>
        </row>
        <row r="2417">
          <cell r="D2417" t="str">
            <v>4-1-03-02-21</v>
          </cell>
          <cell r="E2417" t="str">
            <v>4-1-03-02-21</v>
          </cell>
          <cell r="F2417" t="str">
            <v>Agua Ventas</v>
          </cell>
          <cell r="G2417" t="str">
            <v>4-1-03-02-21  Agua Ventas</v>
          </cell>
          <cell r="H2417" t="str">
            <v>Est. Resultado</v>
          </cell>
          <cell r="I2417" t="str">
            <v>Resultado</v>
          </cell>
          <cell r="J2417" t="str">
            <v>7. Gastos de Administración</v>
          </cell>
          <cell r="K2417" t="str">
            <v>9. Consumos Basicos</v>
          </cell>
          <cell r="L2417" t="str">
            <v>EBITDA</v>
          </cell>
          <cell r="N2417" t="str">
            <v>GANANCIAS (PERDIDAS) ANTES DE IMPUESTOS</v>
          </cell>
          <cell r="O2417" t="str">
            <v>GANANCIA (PÉRDIDA) NETA</v>
          </cell>
          <cell r="P2417" t="str">
            <v>Resultado Ingresos y Gastos Integrales</v>
          </cell>
          <cell r="Q2417" t="str">
            <v>I. Ganancia (pérdida), antes de impuestos</v>
          </cell>
          <cell r="R2417" t="str">
            <v>b. Ganancia (pérdida)</v>
          </cell>
          <cell r="S2417" t="str">
            <v>5. Gasto de administración</v>
          </cell>
          <cell r="T2417" t="str">
            <v>10. Consumos Basicos</v>
          </cell>
          <cell r="V2417" t="str">
            <v>II. Gastos</v>
          </cell>
          <cell r="W2417" t="str">
            <v>23. Bienes y Servicios para Producción</v>
          </cell>
          <cell r="Z2417" t="str">
            <v>III. Gastos de Administración</v>
          </cell>
          <cell r="AA2417" t="str">
            <v>3. Consumos Basicos</v>
          </cell>
          <cell r="AC2417" t="str">
            <v>III. Gasto Administración</v>
          </cell>
          <cell r="AD2417" t="str">
            <v>2. Bienes y servicios Adm.</v>
          </cell>
          <cell r="AE2417" t="str">
            <v>3. Consumos Basicos</v>
          </cell>
          <cell r="AH2417" t="str">
            <v>6. Partidas significativas de gastos</v>
          </cell>
        </row>
        <row r="2418">
          <cell r="D2418" t="str">
            <v>4-1-03-02-23</v>
          </cell>
          <cell r="E2418" t="str">
            <v>4-1-03-02-23</v>
          </cell>
          <cell r="F2418" t="str">
            <v>Telefonia Fija Ventas</v>
          </cell>
          <cell r="G2418" t="str">
            <v>4-1-03-02-23  Telefonia Fija Ventas</v>
          </cell>
          <cell r="H2418" t="str">
            <v>Est. Resultado</v>
          </cell>
          <cell r="I2418" t="str">
            <v>Resultado</v>
          </cell>
          <cell r="J2418" t="str">
            <v>7. Gastos de Administración</v>
          </cell>
          <cell r="K2418" t="str">
            <v>9. Consumos Basicos</v>
          </cell>
          <cell r="L2418" t="str">
            <v>EBITDA</v>
          </cell>
          <cell r="N2418" t="str">
            <v>GANANCIAS (PERDIDAS) ANTES DE IMPUESTOS</v>
          </cell>
          <cell r="O2418" t="str">
            <v>GANANCIA (PÉRDIDA) NETA</v>
          </cell>
          <cell r="P2418" t="str">
            <v>Resultado Ingresos y Gastos Integrales</v>
          </cell>
          <cell r="Q2418" t="str">
            <v>I. Ganancia (pérdida), antes de impuestos</v>
          </cell>
          <cell r="R2418" t="str">
            <v>b. Ganancia (pérdida)</v>
          </cell>
          <cell r="S2418" t="str">
            <v>5. Gasto de administración</v>
          </cell>
          <cell r="T2418" t="str">
            <v>10. Consumos Basicos</v>
          </cell>
          <cell r="V2418" t="str">
            <v>II. Gastos</v>
          </cell>
          <cell r="W2418" t="str">
            <v>23. Bienes y Servicios para Producción</v>
          </cell>
          <cell r="Z2418" t="str">
            <v>III. Gastos de Administración</v>
          </cell>
          <cell r="AA2418" t="str">
            <v>3. Consumos Basicos</v>
          </cell>
          <cell r="AC2418" t="str">
            <v>III. Gasto Administración</v>
          </cell>
          <cell r="AD2418" t="str">
            <v>2. Bienes y servicios Adm.</v>
          </cell>
          <cell r="AE2418" t="str">
            <v>3. Consumos Basicos</v>
          </cell>
          <cell r="AH2418" t="str">
            <v>6. Partidas significativas de gastos</v>
          </cell>
        </row>
        <row r="2419">
          <cell r="D2419" t="str">
            <v>4-1-03-02-13</v>
          </cell>
          <cell r="E2419" t="str">
            <v>4-1-03-02-13</v>
          </cell>
          <cell r="F2419" t="str">
            <v>Telefonia Fija Administracion</v>
          </cell>
          <cell r="G2419" t="str">
            <v>4-1-03-02-13  Telefonia Fija Administracion</v>
          </cell>
          <cell r="H2419" t="str">
            <v>Est. Resultado</v>
          </cell>
          <cell r="I2419" t="str">
            <v>Resultado</v>
          </cell>
          <cell r="J2419" t="str">
            <v>7. Gastos de Administración</v>
          </cell>
          <cell r="K2419" t="str">
            <v>9. Consumos Basicos</v>
          </cell>
          <cell r="L2419" t="str">
            <v>EBITDA</v>
          </cell>
          <cell r="N2419" t="str">
            <v>GANANCIAS (PERDIDAS) ANTES DE IMPUESTOS</v>
          </cell>
          <cell r="O2419" t="str">
            <v>GANANCIA (PÉRDIDA) NETA</v>
          </cell>
          <cell r="P2419" t="str">
            <v>Resultado Ingresos y Gastos Integrales</v>
          </cell>
          <cell r="Q2419" t="str">
            <v>I. Ganancia (pérdida), antes de impuestos</v>
          </cell>
          <cell r="R2419" t="str">
            <v>b. Ganancia (pérdida)</v>
          </cell>
          <cell r="S2419" t="str">
            <v>5. Gasto de administración</v>
          </cell>
          <cell r="T2419" t="str">
            <v>10. Consumos Basicos</v>
          </cell>
          <cell r="V2419" t="str">
            <v>II. Gastos</v>
          </cell>
          <cell r="W2419" t="str">
            <v>23. Bienes y Servicios para Producción</v>
          </cell>
          <cell r="Z2419" t="str">
            <v>III. Gastos de Administración</v>
          </cell>
          <cell r="AA2419" t="str">
            <v>3. Consumos Basicos</v>
          </cell>
          <cell r="AC2419" t="str">
            <v>III. Gasto Administración</v>
          </cell>
          <cell r="AD2419" t="str">
            <v>2. Bienes y servicios Adm.</v>
          </cell>
          <cell r="AE2419" t="str">
            <v>3. Consumos Basicos</v>
          </cell>
          <cell r="AH2419" t="str">
            <v>6. Partidas significativas de gastos</v>
          </cell>
        </row>
        <row r="2420">
          <cell r="D2420" t="str">
            <v>4-1-03-02-14</v>
          </cell>
          <cell r="E2420" t="str">
            <v>4-1-03-02-14</v>
          </cell>
          <cell r="F2420" t="str">
            <v>Telefonia Celular Administracion</v>
          </cell>
          <cell r="G2420" t="str">
            <v>4-1-03-02-14  Telefonia Celular Administracion</v>
          </cell>
          <cell r="H2420" t="str">
            <v>Est. Resultado</v>
          </cell>
          <cell r="I2420" t="str">
            <v>Resultado</v>
          </cell>
          <cell r="J2420" t="str">
            <v>7. Gastos de Administración</v>
          </cell>
          <cell r="K2420" t="str">
            <v>9. Consumos Basicos</v>
          </cell>
          <cell r="L2420" t="str">
            <v>EBITDA</v>
          </cell>
          <cell r="N2420" t="str">
            <v>GANANCIAS (PERDIDAS) ANTES DE IMPUESTOS</v>
          </cell>
          <cell r="O2420" t="str">
            <v>GANANCIA (PÉRDIDA) NETA</v>
          </cell>
          <cell r="P2420" t="str">
            <v>Resultado Ingresos y Gastos Integrales</v>
          </cell>
          <cell r="Q2420" t="str">
            <v>I. Ganancia (pérdida), antes de impuestos</v>
          </cell>
          <cell r="R2420" t="str">
            <v>b. Ganancia (pérdida)</v>
          </cell>
          <cell r="S2420" t="str">
            <v>5. Gasto de administración</v>
          </cell>
          <cell r="T2420" t="str">
            <v>10. Consumos Basicos</v>
          </cell>
          <cell r="V2420" t="str">
            <v>II. Gastos</v>
          </cell>
          <cell r="W2420" t="str">
            <v>23. Bienes y Servicios para Producción</v>
          </cell>
          <cell r="Z2420" t="str">
            <v>III. Gastos de Administración</v>
          </cell>
          <cell r="AA2420" t="str">
            <v>3. Consumos Basicos</v>
          </cell>
          <cell r="AC2420" t="str">
            <v>III. Gasto Administración</v>
          </cell>
          <cell r="AD2420" t="str">
            <v>2. Bienes y servicios Adm.</v>
          </cell>
          <cell r="AE2420" t="str">
            <v>3. Consumos Basicos</v>
          </cell>
          <cell r="AH2420" t="str">
            <v>6. Partidas significativas de gastos</v>
          </cell>
        </row>
        <row r="2421">
          <cell r="D2421" t="str">
            <v>4-1-03-02-24</v>
          </cell>
          <cell r="E2421" t="str">
            <v>4-1-03-02-24</v>
          </cell>
          <cell r="F2421" t="str">
            <v>Telefonia Celular Ventas</v>
          </cell>
          <cell r="G2421" t="str">
            <v>4-1-03-02-24  Telefonia Celular Ventas</v>
          </cell>
          <cell r="H2421" t="str">
            <v>Est. Resultado</v>
          </cell>
          <cell r="I2421" t="str">
            <v>Resultado</v>
          </cell>
          <cell r="J2421" t="str">
            <v>7. Gastos de Administración</v>
          </cell>
          <cell r="K2421" t="str">
            <v>9. Consumos Basicos</v>
          </cell>
          <cell r="L2421" t="str">
            <v>EBITDA</v>
          </cell>
          <cell r="N2421" t="str">
            <v>GANANCIAS (PERDIDAS) ANTES DE IMPUESTOS</v>
          </cell>
          <cell r="O2421" t="str">
            <v>GANANCIA (PÉRDIDA) NETA</v>
          </cell>
          <cell r="P2421" t="str">
            <v>Resultado Ingresos y Gastos Integrales</v>
          </cell>
          <cell r="Q2421" t="str">
            <v>I. Ganancia (pérdida), antes de impuestos</v>
          </cell>
          <cell r="R2421" t="str">
            <v>b. Ganancia (pérdida)</v>
          </cell>
          <cell r="S2421" t="str">
            <v>5. Gasto de administración</v>
          </cell>
          <cell r="T2421" t="str">
            <v>10. Consumos Basicos</v>
          </cell>
          <cell r="V2421" t="str">
            <v>II. Gastos</v>
          </cell>
          <cell r="W2421" t="str">
            <v>23. Bienes y Servicios para Producción</v>
          </cell>
          <cell r="Z2421" t="str">
            <v>III. Gastos de Administración</v>
          </cell>
          <cell r="AA2421" t="str">
            <v>3. Consumos Basicos</v>
          </cell>
          <cell r="AC2421" t="str">
            <v>III. Gasto Administración</v>
          </cell>
          <cell r="AD2421" t="str">
            <v>2. Bienes y servicios Adm.</v>
          </cell>
          <cell r="AE2421" t="str">
            <v>3. Consumos Basicos</v>
          </cell>
          <cell r="AH2421" t="str">
            <v>6. Partidas significativas de gastos</v>
          </cell>
        </row>
        <row r="2422">
          <cell r="D2422" t="str">
            <v>4-1-02-01-03</v>
          </cell>
          <cell r="E2422" t="str">
            <v>4-1-02-01-03</v>
          </cell>
          <cell r="F2422" t="str">
            <v>Guardias</v>
          </cell>
          <cell r="G2422" t="str">
            <v>4-1-02-01-03  Guardias</v>
          </cell>
          <cell r="H2422" t="str">
            <v>Est. Resultado</v>
          </cell>
          <cell r="I2422" t="str">
            <v>Resultado</v>
          </cell>
          <cell r="J2422" t="str">
            <v>7. Gastos de Administración</v>
          </cell>
          <cell r="K2422" t="str">
            <v>9. Consumos Basicos</v>
          </cell>
          <cell r="L2422" t="str">
            <v>EBITDA</v>
          </cell>
          <cell r="N2422" t="str">
            <v>GANANCIAS (PERDIDAS) ANTES DE IMPUESTOS</v>
          </cell>
          <cell r="O2422" t="str">
            <v>GANANCIA (PÉRDIDA) NETA</v>
          </cell>
          <cell r="P2422" t="str">
            <v>Resultado Ingresos y Gastos Integrales</v>
          </cell>
          <cell r="Q2422" t="str">
            <v>I. Ganancia (pérdida), antes de impuestos</v>
          </cell>
          <cell r="R2422" t="str">
            <v>b. Ganancia (pérdida)</v>
          </cell>
          <cell r="S2422" t="str">
            <v>5. Gasto de administración</v>
          </cell>
          <cell r="T2422" t="str">
            <v>10. Consumos Basicos</v>
          </cell>
          <cell r="V2422" t="str">
            <v>II. Gastos</v>
          </cell>
          <cell r="W2422" t="str">
            <v>23. Bienes y Servicios para Producción</v>
          </cell>
          <cell r="Z2422" t="str">
            <v>II. Costo Ventas</v>
          </cell>
          <cell r="AA2422" t="str">
            <v>5. Serv Guardia y Guarda Cruce</v>
          </cell>
          <cell r="AC2422" t="str">
            <v>III. Gasto Administración</v>
          </cell>
          <cell r="AD2422" t="str">
            <v>2. Bienes y servicios Adm.</v>
          </cell>
          <cell r="AE2422" t="str">
            <v>5. Serv Guardia y Guarda Cruce</v>
          </cell>
          <cell r="AH2422" t="str">
            <v>6. Partidas significativas de gastos</v>
          </cell>
        </row>
        <row r="2423">
          <cell r="D2423" t="str">
            <v>4-1-02-01-04</v>
          </cell>
          <cell r="E2423" t="str">
            <v>4-1-02-01-04</v>
          </cell>
          <cell r="F2423" t="str">
            <v>Aseo</v>
          </cell>
          <cell r="G2423" t="str">
            <v>4-1-02-01-04  Aseo</v>
          </cell>
          <cell r="H2423" t="str">
            <v>Est. Resultado</v>
          </cell>
          <cell r="I2423" t="str">
            <v>Resultado</v>
          </cell>
          <cell r="J2423" t="str">
            <v>7. Gastos de Administración</v>
          </cell>
          <cell r="K2423" t="str">
            <v>9. Consumos Basicos</v>
          </cell>
          <cell r="L2423" t="str">
            <v>EBITDA</v>
          </cell>
          <cell r="N2423" t="str">
            <v>GANANCIAS (PERDIDAS) ANTES DE IMPUESTOS</v>
          </cell>
          <cell r="O2423" t="str">
            <v>GANANCIA (PÉRDIDA) NETA</v>
          </cell>
          <cell r="P2423" t="str">
            <v>Resultado Ingresos y Gastos Integrales</v>
          </cell>
          <cell r="Q2423" t="str">
            <v>I. Ganancia (pérdida), antes de impuestos</v>
          </cell>
          <cell r="R2423" t="str">
            <v>b. Ganancia (pérdida)</v>
          </cell>
          <cell r="S2423" t="str">
            <v>5. Gasto de administración</v>
          </cell>
          <cell r="T2423" t="str">
            <v>10. Consumos Basicos</v>
          </cell>
          <cell r="V2423" t="str">
            <v>II. Gastos</v>
          </cell>
          <cell r="W2423" t="str">
            <v>23. Bienes y Servicios para la Producción</v>
          </cell>
          <cell r="Z2423" t="str">
            <v>II. Costo Ventas</v>
          </cell>
          <cell r="AA2423" t="str">
            <v>6. Serv Terceros y Ventas</v>
          </cell>
          <cell r="AC2423" t="str">
            <v>III. Gasto Administración</v>
          </cell>
          <cell r="AD2423" t="str">
            <v>2. Bienes y servicios Adm.</v>
          </cell>
          <cell r="AE2423" t="str">
            <v>6. Serv Terceros y Ventas</v>
          </cell>
          <cell r="AH2423" t="str">
            <v>6. Partidas significativas de gastos</v>
          </cell>
        </row>
        <row r="2424">
          <cell r="D2424" t="str">
            <v>4-1-02-01-02</v>
          </cell>
          <cell r="E2424" t="str">
            <v>4-1-02-01-02</v>
          </cell>
          <cell r="F2424" t="str">
            <v>Cajeros</v>
          </cell>
          <cell r="G2424" t="str">
            <v>4-1-02-01-02  Cajeros</v>
          </cell>
          <cell r="H2424" t="str">
            <v>Est. Resultado</v>
          </cell>
          <cell r="I2424" t="str">
            <v>Resultado</v>
          </cell>
          <cell r="J2424" t="str">
            <v>7. Gastos de Administración</v>
          </cell>
          <cell r="K2424" t="str">
            <v>9. Consumos Basicos</v>
          </cell>
          <cell r="L2424" t="str">
            <v>EBITDA</v>
          </cell>
          <cell r="N2424" t="str">
            <v>GANANCIAS (PERDIDAS) ANTES DE IMPUESTOS</v>
          </cell>
          <cell r="O2424" t="str">
            <v>GANANCIA (PÉRDIDA) NETA</v>
          </cell>
          <cell r="P2424" t="str">
            <v>Resultado Ingresos y Gastos Integrales</v>
          </cell>
          <cell r="Q2424" t="str">
            <v>I. Ganancia (pérdida), antes de impuestos</v>
          </cell>
          <cell r="R2424" t="str">
            <v>b. Ganancia (pérdida)</v>
          </cell>
          <cell r="S2424" t="str">
            <v>5. Gasto de administración</v>
          </cell>
          <cell r="T2424" t="str">
            <v>10. Consumos Basicos</v>
          </cell>
          <cell r="V2424" t="str">
            <v>II. Gastos</v>
          </cell>
          <cell r="W2424" t="str">
            <v>23. Bienes y Servicios para la Producción</v>
          </cell>
          <cell r="Z2424" t="str">
            <v>II. Costo Ventas</v>
          </cell>
          <cell r="AA2424" t="str">
            <v>6. Serv Terceros y Ventas</v>
          </cell>
          <cell r="AC2424" t="str">
            <v>III. Gasto Administración</v>
          </cell>
          <cell r="AD2424" t="str">
            <v>2. Bienes y servicios Adm.</v>
          </cell>
          <cell r="AE2424" t="str">
            <v>6. Serv Terceros y Ventas</v>
          </cell>
          <cell r="AH2424" t="str">
            <v>6. Partidas significativas de gastos</v>
          </cell>
        </row>
        <row r="2425">
          <cell r="D2425">
            <v>0</v>
          </cell>
          <cell r="G2425" t="str">
            <v/>
          </cell>
        </row>
        <row r="2426">
          <cell r="D2426" t="str">
            <v>Consumos Basicos</v>
          </cell>
          <cell r="E2426" t="str">
            <v>Consumos Basicos</v>
          </cell>
          <cell r="G2426" t="str">
            <v xml:space="preserve">Consumos Basicos  </v>
          </cell>
          <cell r="Q2426">
            <v>0</v>
          </cell>
          <cell r="R2426" t="str">
            <v/>
          </cell>
        </row>
        <row r="2427">
          <cell r="D2427" t="str">
            <v>4-1-07-02-02</v>
          </cell>
          <cell r="E2427" t="str">
            <v>4-1-07-02-02</v>
          </cell>
          <cell r="F2427" t="str">
            <v>Materiales De Aseo Administracion</v>
          </cell>
          <cell r="G2427" t="str">
            <v>4-1-07-02-02  Materiales De Aseo Administracion</v>
          </cell>
          <cell r="H2427" t="str">
            <v>Est. Resultado</v>
          </cell>
          <cell r="I2427" t="str">
            <v>Resultado</v>
          </cell>
          <cell r="J2427" t="str">
            <v>7. Gastos de Administración</v>
          </cell>
          <cell r="K2427" t="str">
            <v>10. Gastos Generales</v>
          </cell>
          <cell r="L2427" t="str">
            <v>EBITDA</v>
          </cell>
          <cell r="N2427" t="str">
            <v>GANANCIAS (PERDIDAS) ANTES DE IMPUESTOS</v>
          </cell>
          <cell r="O2427" t="str">
            <v>GANANCIA (PÉRDIDA) NETA</v>
          </cell>
          <cell r="P2427" t="str">
            <v>Resultado Ingresos y Gastos Integrales</v>
          </cell>
          <cell r="Q2427" t="str">
            <v>I. Ganancia (pérdida), antes de impuestos</v>
          </cell>
          <cell r="R2427" t="str">
            <v>b. Ganancia (pérdida)</v>
          </cell>
          <cell r="S2427" t="str">
            <v>5. Gasto de administración</v>
          </cell>
          <cell r="T2427" t="str">
            <v>14. Gastos Generales</v>
          </cell>
          <cell r="V2427" t="str">
            <v>II. Gastos</v>
          </cell>
          <cell r="W2427" t="str">
            <v>23. Bienes y Servicios para Producción</v>
          </cell>
          <cell r="Z2427" t="str">
            <v>III. Gastos de Administración</v>
          </cell>
          <cell r="AA2427" t="str">
            <v>6. Gastos Generales</v>
          </cell>
          <cell r="AC2427" t="str">
            <v>III. Gasto Administración</v>
          </cell>
          <cell r="AD2427" t="str">
            <v>2. Bienes y servicios Adm.</v>
          </cell>
          <cell r="AE2427" t="str">
            <v>6. Gastos Generales</v>
          </cell>
          <cell r="AH2427" t="str">
            <v>6. Partidas significativas de gastos</v>
          </cell>
        </row>
        <row r="2428">
          <cell r="D2428" t="str">
            <v>4-1-07-02-03</v>
          </cell>
          <cell r="E2428" t="str">
            <v>4-1-07-02-03</v>
          </cell>
          <cell r="F2428" t="str">
            <v>Materiales De Aseo Ventas</v>
          </cell>
          <cell r="G2428" t="str">
            <v>4-1-07-02-03  Materiales De Aseo Ventas</v>
          </cell>
          <cell r="H2428" t="str">
            <v>Est. Resultado</v>
          </cell>
          <cell r="I2428" t="str">
            <v>Resultado</v>
          </cell>
          <cell r="J2428" t="str">
            <v>7. Gastos de Administración</v>
          </cell>
          <cell r="K2428" t="str">
            <v>10. Gastos Generales</v>
          </cell>
          <cell r="L2428" t="str">
            <v>EBITDA</v>
          </cell>
          <cell r="N2428" t="str">
            <v>GANANCIAS (PERDIDAS) ANTES DE IMPUESTOS</v>
          </cell>
          <cell r="O2428" t="str">
            <v>GANANCIA (PÉRDIDA) NETA</v>
          </cell>
          <cell r="P2428" t="str">
            <v>Resultado Ingresos y Gastos Integrales</v>
          </cell>
          <cell r="Q2428" t="str">
            <v>I. Ganancia (pérdida), antes de impuestos</v>
          </cell>
          <cell r="R2428" t="str">
            <v>b. Ganancia (pérdida)</v>
          </cell>
          <cell r="S2428" t="str">
            <v>5. Gasto de administración</v>
          </cell>
          <cell r="T2428" t="str">
            <v>14. Gastos Generales</v>
          </cell>
          <cell r="V2428" t="str">
            <v>II. Gastos</v>
          </cell>
          <cell r="W2428" t="str">
            <v>23. Bienes y Servicios para Producción</v>
          </cell>
          <cell r="Z2428" t="str">
            <v>III. Gastos de Administración</v>
          </cell>
          <cell r="AA2428" t="str">
            <v>6. Gastos Generales</v>
          </cell>
          <cell r="AC2428" t="str">
            <v>III. Gasto Administración</v>
          </cell>
          <cell r="AD2428" t="str">
            <v>2. Bienes y servicios Adm.</v>
          </cell>
          <cell r="AE2428" t="str">
            <v>6. Gastos Generales</v>
          </cell>
          <cell r="AH2428" t="str">
            <v>6. Partidas significativas de gastos</v>
          </cell>
        </row>
        <row r="2429">
          <cell r="D2429" t="str">
            <v>4-1-02-04-01</v>
          </cell>
          <cell r="E2429" t="str">
            <v>4-1-02-04-01</v>
          </cell>
          <cell r="F2429" t="str">
            <v>Edificio Central</v>
          </cell>
          <cell r="G2429" t="str">
            <v>4-1-02-04-01  Edificio Central</v>
          </cell>
          <cell r="H2429" t="str">
            <v>Est. Resultado</v>
          </cell>
          <cell r="I2429" t="str">
            <v>Resultado</v>
          </cell>
          <cell r="J2429" t="str">
            <v>7. Gastos de Administración</v>
          </cell>
          <cell r="K2429" t="str">
            <v>10. Gastos Generales</v>
          </cell>
          <cell r="L2429" t="str">
            <v>EBITDA</v>
          </cell>
          <cell r="N2429" t="str">
            <v>GANANCIAS (PERDIDAS) ANTES DE IMPUESTOS</v>
          </cell>
          <cell r="O2429" t="str">
            <v>GANANCIA (PÉRDIDA) NETA</v>
          </cell>
          <cell r="P2429" t="str">
            <v>Resultado Ingresos y Gastos Integrales</v>
          </cell>
          <cell r="Q2429" t="str">
            <v>I. Ganancia (pérdida), antes de impuestos</v>
          </cell>
          <cell r="R2429" t="str">
            <v>b. Ganancia (pérdida)</v>
          </cell>
          <cell r="S2429" t="str">
            <v>5. Gasto de administración</v>
          </cell>
          <cell r="T2429" t="str">
            <v>14. Gastos Generales</v>
          </cell>
          <cell r="V2429" t="str">
            <v>II. Gastos</v>
          </cell>
          <cell r="W2429" t="str">
            <v>23. Bienes y Servicios para Producción</v>
          </cell>
          <cell r="Z2429" t="str">
            <v>III. Gastos de Administración</v>
          </cell>
          <cell r="AA2429" t="str">
            <v>6. Gastos Generales</v>
          </cell>
          <cell r="AC2429" t="str">
            <v>III. Gasto Administración</v>
          </cell>
          <cell r="AD2429" t="str">
            <v>2. Bienes y servicios Adm.</v>
          </cell>
          <cell r="AE2429" t="str">
            <v>6. Gastos Generales</v>
          </cell>
          <cell r="AH2429" t="str">
            <v>6. Partidas significativas de gastos</v>
          </cell>
        </row>
        <row r="2430">
          <cell r="D2430" t="str">
            <v>4-1-02-04-02</v>
          </cell>
          <cell r="E2430" t="str">
            <v>4-1-02-04-02</v>
          </cell>
          <cell r="F2430" t="str">
            <v>Estaciones</v>
          </cell>
          <cell r="G2430" t="str">
            <v>4-1-02-04-02  Estaciones</v>
          </cell>
          <cell r="H2430" t="str">
            <v>Est. Resultado</v>
          </cell>
          <cell r="I2430" t="str">
            <v>Resultado</v>
          </cell>
          <cell r="J2430" t="str">
            <v>7. Gastos de Administración</v>
          </cell>
          <cell r="K2430" t="str">
            <v>10. Gastos Generales</v>
          </cell>
          <cell r="L2430" t="str">
            <v>EBITDA</v>
          </cell>
          <cell r="N2430" t="str">
            <v>GANANCIAS (PERDIDAS) ANTES DE IMPUESTOS</v>
          </cell>
          <cell r="O2430" t="str">
            <v>GANANCIA (PÉRDIDA) NETA</v>
          </cell>
          <cell r="P2430" t="str">
            <v>Resultado Ingresos y Gastos Integrales</v>
          </cell>
          <cell r="Q2430" t="str">
            <v>I. Ganancia (pérdida), antes de impuestos</v>
          </cell>
          <cell r="R2430" t="str">
            <v>b. Ganancia (pérdida)</v>
          </cell>
          <cell r="S2430" t="str">
            <v>5. Gasto de administración</v>
          </cell>
          <cell r="T2430" t="str">
            <v>14. Gastos Generales</v>
          </cell>
          <cell r="V2430" t="str">
            <v>II. Gastos</v>
          </cell>
          <cell r="W2430" t="str">
            <v>23. Bienes y Servicios para Producción</v>
          </cell>
          <cell r="Z2430" t="str">
            <v>III. Gastos de Administración</v>
          </cell>
          <cell r="AA2430" t="str">
            <v>6. Gastos Generales</v>
          </cell>
          <cell r="AC2430" t="str">
            <v>III. Gasto Administración</v>
          </cell>
          <cell r="AD2430" t="str">
            <v>2. Bienes y servicios Adm.</v>
          </cell>
          <cell r="AE2430" t="str">
            <v>6. Gastos Generales</v>
          </cell>
          <cell r="AH2430" t="str">
            <v>6. Partidas significativas de gastos</v>
          </cell>
        </row>
        <row r="2431">
          <cell r="D2431" t="str">
            <v>4-1-02-04-99</v>
          </cell>
          <cell r="E2431" t="str">
            <v>4-1-02-04-99</v>
          </cell>
          <cell r="F2431" t="str">
            <v>Otros Recintos</v>
          </cell>
          <cell r="G2431" t="str">
            <v>4-1-02-04-99  Otros Recintos</v>
          </cell>
          <cell r="H2431" t="str">
            <v>Est. Resultado</v>
          </cell>
          <cell r="I2431" t="str">
            <v>Resultado</v>
          </cell>
          <cell r="J2431" t="str">
            <v>7. Gastos de Administración</v>
          </cell>
          <cell r="K2431" t="str">
            <v>10. Gastos Generales</v>
          </cell>
          <cell r="L2431" t="str">
            <v>EBITDA</v>
          </cell>
          <cell r="N2431" t="str">
            <v>GANANCIAS (PERDIDAS) ANTES DE IMPUESTOS</v>
          </cell>
          <cell r="O2431" t="str">
            <v>GANANCIA (PÉRDIDA) NETA</v>
          </cell>
          <cell r="P2431" t="str">
            <v>Resultado Ingresos y Gastos Integrales</v>
          </cell>
          <cell r="Q2431" t="str">
            <v>I. Ganancia (pérdida), antes de impuestos</v>
          </cell>
          <cell r="R2431" t="str">
            <v>b. Ganancia (pérdida)</v>
          </cell>
          <cell r="S2431" t="str">
            <v>5. Gasto de administración</v>
          </cell>
          <cell r="T2431" t="str">
            <v>14. Gastos Generales</v>
          </cell>
          <cell r="V2431" t="str">
            <v>II. Gastos</v>
          </cell>
          <cell r="W2431" t="str">
            <v>23. Bienes y Servicios para Producción</v>
          </cell>
          <cell r="Z2431" t="str">
            <v>III. Gastos de Administración</v>
          </cell>
          <cell r="AA2431" t="str">
            <v>6. Gastos Generales</v>
          </cell>
          <cell r="AC2431" t="str">
            <v>III. Gasto Administración</v>
          </cell>
          <cell r="AD2431" t="str">
            <v>2. Bienes y servicios Adm.</v>
          </cell>
          <cell r="AE2431" t="str">
            <v>6. Gastos Generales</v>
          </cell>
          <cell r="AH2431" t="str">
            <v>6. Partidas significativas de gastos</v>
          </cell>
        </row>
        <row r="2432">
          <cell r="D2432" t="str">
            <v>4-1-07-01-03</v>
          </cell>
          <cell r="E2432" t="str">
            <v>4-1-07-01-03</v>
          </cell>
          <cell r="F2432" t="str">
            <v>Insumos Computacionales</v>
          </cell>
          <cell r="G2432" t="str">
            <v>4-1-07-01-03  Insumos Computacionales</v>
          </cell>
          <cell r="H2432" t="str">
            <v>Est. Resultado</v>
          </cell>
          <cell r="I2432" t="str">
            <v>Resultado</v>
          </cell>
          <cell r="J2432" t="str">
            <v>7. Gastos de Administración</v>
          </cell>
          <cell r="K2432" t="str">
            <v>10. Gastos Generales</v>
          </cell>
          <cell r="L2432" t="str">
            <v>EBITDA</v>
          </cell>
          <cell r="N2432" t="str">
            <v>GANANCIAS (PERDIDAS) ANTES DE IMPUESTOS</v>
          </cell>
          <cell r="O2432" t="str">
            <v>GANANCIA (PÉRDIDA) NETA</v>
          </cell>
          <cell r="P2432" t="str">
            <v>Resultado Ingresos y Gastos Integrales</v>
          </cell>
          <cell r="Q2432" t="str">
            <v>I. Ganancia (pérdida), antes de impuestos</v>
          </cell>
          <cell r="R2432" t="str">
            <v>b. Ganancia (pérdida)</v>
          </cell>
          <cell r="S2432" t="str">
            <v>5. Gasto de administración</v>
          </cell>
          <cell r="T2432" t="str">
            <v>14. Gastos Generales</v>
          </cell>
          <cell r="V2432" t="str">
            <v>II. Gastos</v>
          </cell>
          <cell r="W2432" t="str">
            <v>23. Bienes y Servicios para Producción</v>
          </cell>
          <cell r="Z2432" t="str">
            <v>III. Gastos de Administración</v>
          </cell>
          <cell r="AA2432" t="str">
            <v>6. Gastos Generales</v>
          </cell>
          <cell r="AC2432" t="str">
            <v>III. Gasto Administración</v>
          </cell>
          <cell r="AD2432" t="str">
            <v>2. Bienes y servicios Adm.</v>
          </cell>
          <cell r="AE2432" t="str">
            <v>6. Gastos Generales</v>
          </cell>
          <cell r="AH2432" t="str">
            <v>6. Partidas significativas de gastos</v>
          </cell>
        </row>
        <row r="2433">
          <cell r="D2433">
            <v>0</v>
          </cell>
          <cell r="G2433" t="str">
            <v/>
          </cell>
          <cell r="H2433" t="str">
            <v>Est. Resultado</v>
          </cell>
          <cell r="I2433" t="str">
            <v>Resultado</v>
          </cell>
          <cell r="J2433" t="str">
            <v>7. Gastos de Administración</v>
          </cell>
          <cell r="K2433" t="str">
            <v>10. Gastos Generales</v>
          </cell>
          <cell r="L2433" t="str">
            <v>EBITDA</v>
          </cell>
          <cell r="N2433" t="str">
            <v>GANANCIAS (PERDIDAS) ANTES DE IMPUESTOS</v>
          </cell>
          <cell r="O2433" t="str">
            <v>GANANCIA (PÉRDIDA) NETA</v>
          </cell>
          <cell r="P2433" t="str">
            <v>Resultado Ingresos y Gastos Integrales</v>
          </cell>
          <cell r="Q2433" t="str">
            <v>I. Ganancia (pérdida), antes de impuestos</v>
          </cell>
          <cell r="R2433" t="str">
            <v>b. Ganancia (pérdida)</v>
          </cell>
          <cell r="S2433" t="str">
            <v>5. Gasto de administración</v>
          </cell>
          <cell r="T2433" t="str">
            <v>14. Gastos Generales</v>
          </cell>
          <cell r="V2433" t="str">
            <v>II. Gastos</v>
          </cell>
          <cell r="W2433" t="str">
            <v>23. Bienes y Servicios para Producción</v>
          </cell>
          <cell r="Z2433" t="str">
            <v>III. Gastos de Administración</v>
          </cell>
          <cell r="AA2433" t="str">
            <v>6. Gastos Generales</v>
          </cell>
          <cell r="AC2433" t="str">
            <v>III. Gasto Administración</v>
          </cell>
          <cell r="AD2433" t="str">
            <v>2. Bienes y servicios Adm.</v>
          </cell>
          <cell r="AE2433" t="str">
            <v>6. Gastos Generales</v>
          </cell>
          <cell r="AH2433" t="str">
            <v>6. Partidas significativas de gastos</v>
          </cell>
        </row>
        <row r="2434">
          <cell r="D2434">
            <v>0</v>
          </cell>
          <cell r="G2434" t="str">
            <v/>
          </cell>
          <cell r="H2434" t="str">
            <v>Est. Resultado</v>
          </cell>
          <cell r="I2434" t="str">
            <v>Resultado</v>
          </cell>
          <cell r="J2434" t="str">
            <v>7. Gastos de Administración</v>
          </cell>
          <cell r="K2434" t="str">
            <v>10. Gastos Generales</v>
          </cell>
          <cell r="L2434" t="str">
            <v>EBITDA</v>
          </cell>
          <cell r="N2434" t="str">
            <v>GANANCIAS (PERDIDAS) ANTES DE IMPUESTOS</v>
          </cell>
          <cell r="O2434" t="str">
            <v>GANANCIA (PÉRDIDA) NETA</v>
          </cell>
          <cell r="P2434" t="str">
            <v>Resultado Ingresos y Gastos Integrales</v>
          </cell>
          <cell r="Q2434" t="str">
            <v>I. Ganancia (pérdida), antes de impuestos</v>
          </cell>
          <cell r="R2434" t="str">
            <v>b. Ganancia (pérdida)</v>
          </cell>
          <cell r="S2434" t="str">
            <v>5. Gasto de administración</v>
          </cell>
          <cell r="T2434" t="str">
            <v>14. Gastos Generales</v>
          </cell>
          <cell r="V2434" t="str">
            <v>II. Gastos</v>
          </cell>
          <cell r="W2434" t="str">
            <v>23. Bienes y Servicios para Producción</v>
          </cell>
          <cell r="Z2434" t="str">
            <v>III. Gastos de Administración</v>
          </cell>
          <cell r="AA2434" t="str">
            <v>6. Gastos Generales</v>
          </cell>
          <cell r="AC2434" t="str">
            <v>III. Gasto Administración</v>
          </cell>
          <cell r="AD2434" t="str">
            <v>2. Bienes y servicios Adm.</v>
          </cell>
          <cell r="AE2434" t="str">
            <v>6. Gastos Generales</v>
          </cell>
          <cell r="AH2434" t="str">
            <v>6. Partidas significativas de gastos</v>
          </cell>
        </row>
        <row r="2435">
          <cell r="D2435" t="str">
            <v>Gastos Generales</v>
          </cell>
          <cell r="E2435" t="str">
            <v>Gastos Generales</v>
          </cell>
          <cell r="G2435" t="str">
            <v xml:space="preserve">Gastos Generales  </v>
          </cell>
          <cell r="Q2435">
            <v>0</v>
          </cell>
          <cell r="R2435" t="str">
            <v/>
          </cell>
        </row>
        <row r="2436">
          <cell r="D2436" t="str">
            <v>4-1-07-99-02</v>
          </cell>
          <cell r="E2436" t="str">
            <v>4-1-07-99-02</v>
          </cell>
          <cell r="F2436" t="str">
            <v>Patente Comercial</v>
          </cell>
          <cell r="G2436" t="str">
            <v>4-1-07-99-02  Patente Comercial</v>
          </cell>
          <cell r="H2436" t="str">
            <v>Est. Resultado</v>
          </cell>
          <cell r="I2436" t="str">
            <v>Resultado</v>
          </cell>
          <cell r="J2436" t="str">
            <v>7. Gastos de Administración</v>
          </cell>
          <cell r="K2436" t="str">
            <v>11. Patentes e Incobrables</v>
          </cell>
          <cell r="L2436" t="str">
            <v>EBITDA</v>
          </cell>
          <cell r="N2436" t="str">
            <v>GANANCIAS (PERDIDAS) ANTES DE IMPUESTOS</v>
          </cell>
          <cell r="O2436" t="str">
            <v>GANANCIA (PÉRDIDA) NETA</v>
          </cell>
          <cell r="P2436" t="str">
            <v>Resultado Ingresos y Gastos Integrales</v>
          </cell>
          <cell r="Q2436" t="str">
            <v>I. Ganancia (pérdida), antes de impuestos</v>
          </cell>
          <cell r="R2436" t="str">
            <v>b. Ganancia (pérdida)</v>
          </cell>
          <cell r="S2436" t="str">
            <v>5. Gasto de administración</v>
          </cell>
          <cell r="T2436" t="str">
            <v>13. Patentes e Incobrables</v>
          </cell>
          <cell r="V2436" t="str">
            <v>II. Gastos</v>
          </cell>
          <cell r="W2436" t="str">
            <v>23. Bienes y Servicios para Producción</v>
          </cell>
          <cell r="Z2436" t="str">
            <v>III. Gastos de Administración</v>
          </cell>
          <cell r="AA2436" t="str">
            <v>6. Gastos Generales</v>
          </cell>
          <cell r="AC2436" t="str">
            <v>III. Gasto Administración</v>
          </cell>
          <cell r="AD2436" t="str">
            <v>2. Bienes y servicios Adm.</v>
          </cell>
          <cell r="AE2436" t="str">
            <v>6. Gastos Generales</v>
          </cell>
          <cell r="AH2436" t="str">
            <v>6. Partidas significativas de gastos</v>
          </cell>
        </row>
        <row r="2437">
          <cell r="D2437" t="str">
            <v>4-2-02-01-28</v>
          </cell>
          <cell r="E2437" t="str">
            <v>4-2-02-01-28</v>
          </cell>
          <cell r="F2437" t="str">
            <v>Estimacion Deudores Incobrables</v>
          </cell>
          <cell r="G2437" t="str">
            <v>4-2-02-01-28  Estimacion Deudores Incobrables</v>
          </cell>
          <cell r="H2437" t="str">
            <v>Est. Resultado</v>
          </cell>
          <cell r="I2437" t="str">
            <v>Resultado</v>
          </cell>
          <cell r="J2437" t="str">
            <v>7. Gastos de Administración</v>
          </cell>
          <cell r="K2437" t="str">
            <v>11. Patentes e Incobrables</v>
          </cell>
          <cell r="L2437" t="str">
            <v>EBITDA</v>
          </cell>
          <cell r="N2437" t="str">
            <v>GANANCIAS (PERDIDAS) ANTES DE IMPUESTOS</v>
          </cell>
          <cell r="O2437" t="str">
            <v>GANANCIA (PÉRDIDA) NETA</v>
          </cell>
          <cell r="P2437" t="str">
            <v>Resultado Ingresos y Gastos Integrales</v>
          </cell>
          <cell r="Q2437" t="str">
            <v>I. Ganancia (pérdida), antes de impuestos</v>
          </cell>
          <cell r="R2437" t="str">
            <v>b. Ganancia (pérdida)</v>
          </cell>
          <cell r="S2437" t="str">
            <v>5. Gasto de administración</v>
          </cell>
          <cell r="T2437" t="str">
            <v>13. Patentes e Incobrables</v>
          </cell>
          <cell r="Z2437" t="str">
            <v>III. Gastos de Administración</v>
          </cell>
          <cell r="AA2437" t="str">
            <v>6. Gastos Generales</v>
          </cell>
          <cell r="AC2437" t="str">
            <v>III. Gasto Administración</v>
          </cell>
          <cell r="AD2437" t="str">
            <v>2. Bienes y servicios Adm.</v>
          </cell>
          <cell r="AE2437" t="str">
            <v>6. Gastos Generales</v>
          </cell>
          <cell r="AH2437" t="str">
            <v>6. Partidas significativas de gastos</v>
          </cell>
        </row>
        <row r="2438">
          <cell r="D2438">
            <v>0</v>
          </cell>
          <cell r="G2438" t="str">
            <v/>
          </cell>
        </row>
        <row r="2439">
          <cell r="D2439">
            <v>0</v>
          </cell>
          <cell r="G2439" t="str">
            <v/>
          </cell>
        </row>
        <row r="2440">
          <cell r="D2440" t="str">
            <v>Patentes e Incobrables</v>
          </cell>
          <cell r="E2440" t="str">
            <v>Patentes e Incobrables</v>
          </cell>
          <cell r="F2440" t="str">
            <v/>
          </cell>
          <cell r="G2440" t="str">
            <v xml:space="preserve">Patentes e Incobrables  </v>
          </cell>
          <cell r="H2440" t="str">
            <v>Est. Resultado</v>
          </cell>
          <cell r="I2440" t="str">
            <v>Resultado</v>
          </cell>
          <cell r="Q2440">
            <v>0</v>
          </cell>
          <cell r="R2440" t="str">
            <v/>
          </cell>
        </row>
        <row r="2441">
          <cell r="D2441">
            <v>0</v>
          </cell>
          <cell r="F2441" t="str">
            <v/>
          </cell>
          <cell r="G2441" t="str">
            <v/>
          </cell>
          <cell r="Q2441">
            <v>0</v>
          </cell>
          <cell r="R2441" t="str">
            <v/>
          </cell>
        </row>
        <row r="2442">
          <cell r="D2442">
            <v>0</v>
          </cell>
          <cell r="F2442" t="str">
            <v/>
          </cell>
          <cell r="G2442" t="str">
            <v/>
          </cell>
          <cell r="N2442" t="str">
            <v/>
          </cell>
          <cell r="O2442" t="str">
            <v/>
          </cell>
          <cell r="P2442" t="str">
            <v/>
          </cell>
          <cell r="Q2442">
            <v>0</v>
          </cell>
          <cell r="R2442" t="str">
            <v/>
          </cell>
          <cell r="AH2442" t="str">
            <v>6. Partidas significativas de gastos</v>
          </cell>
        </row>
        <row r="2443">
          <cell r="D2443" t="str">
            <v>Ing Rec Filial Administracion</v>
          </cell>
          <cell r="E2443" t="str">
            <v>Ing Rec Filial Administracion</v>
          </cell>
          <cell r="G2443" t="str">
            <v xml:space="preserve">Ing Rec Filial Administracion  </v>
          </cell>
          <cell r="H2443" t="str">
            <v>Est. Resultado</v>
          </cell>
          <cell r="I2443" t="str">
            <v>Resultado</v>
          </cell>
          <cell r="Q2443">
            <v>0</v>
          </cell>
          <cell r="R2443" t="str">
            <v/>
          </cell>
        </row>
        <row r="2444">
          <cell r="D2444" t="str">
            <v>GASTOS DE ADMINISTRACION</v>
          </cell>
          <cell r="E2444" t="str">
            <v>GASTOS DE ADMINISTRACION</v>
          </cell>
          <cell r="G2444" t="str">
            <v xml:space="preserve">GASTOS DE ADMINISTRACION  </v>
          </cell>
          <cell r="Q2444">
            <v>0</v>
          </cell>
          <cell r="R2444" t="str">
            <v/>
          </cell>
        </row>
        <row r="2445">
          <cell r="D2445">
            <v>0</v>
          </cell>
          <cell r="F2445" t="str">
            <v/>
          </cell>
          <cell r="G2445" t="str">
            <v/>
          </cell>
          <cell r="Q2445">
            <v>0</v>
          </cell>
          <cell r="R2445" t="str">
            <v/>
          </cell>
        </row>
        <row r="2446">
          <cell r="D2446">
            <v>0</v>
          </cell>
          <cell r="F2446" t="str">
            <v/>
          </cell>
          <cell r="G2446" t="str">
            <v/>
          </cell>
          <cell r="Q2446">
            <v>0</v>
          </cell>
          <cell r="R2446" t="str">
            <v/>
          </cell>
          <cell r="AH2446" t="str">
            <v>6. Partidas significativas de gastos</v>
          </cell>
        </row>
        <row r="2447">
          <cell r="D2447" t="str">
            <v>IVA ADMINISTRACION</v>
          </cell>
          <cell r="E2447" t="str">
            <v>IVA ADMINISTRACION</v>
          </cell>
          <cell r="G2447" t="str">
            <v xml:space="preserve">IVA ADMINISTRACION  </v>
          </cell>
          <cell r="Q2447">
            <v>0</v>
          </cell>
          <cell r="R2447" t="str">
            <v/>
          </cell>
        </row>
        <row r="2448">
          <cell r="D2448" t="str">
            <v>OTROS GASTOS DE OPERACION</v>
          </cell>
          <cell r="E2448" t="str">
            <v>OTROS GASTOS DE OPERACION</v>
          </cell>
          <cell r="G2448" t="str">
            <v xml:space="preserve">OTROS GASTOS DE OPERACION  </v>
          </cell>
          <cell r="Q2448">
            <v>0</v>
          </cell>
          <cell r="R2448" t="str">
            <v/>
          </cell>
        </row>
        <row r="2449">
          <cell r="D2449" t="str">
            <v>EBITDA</v>
          </cell>
          <cell r="E2449" t="str">
            <v>EBITDA</v>
          </cell>
          <cell r="F2449" t="str">
            <v/>
          </cell>
          <cell r="G2449" t="str">
            <v xml:space="preserve">EBITDA  </v>
          </cell>
          <cell r="Q2449">
            <v>0</v>
          </cell>
          <cell r="R2449" t="str">
            <v/>
          </cell>
        </row>
        <row r="2450">
          <cell r="D2450">
            <v>0</v>
          </cell>
          <cell r="F2450" t="str">
            <v/>
          </cell>
          <cell r="G2450" t="str">
            <v/>
          </cell>
          <cell r="J2450" t="str">
            <v>9. Otras Ganancias</v>
          </cell>
          <cell r="K2450" t="str">
            <v>2. Ingresos Financieros</v>
          </cell>
          <cell r="L2450" t="str">
            <v>NO OPER</v>
          </cell>
          <cell r="N2450" t="str">
            <v>GANANCIAS (PERDIDAS) ANTES DE IMPUESTOS</v>
          </cell>
          <cell r="O2450" t="str">
            <v>GANANCIA (PÉRDIDA) NETA</v>
          </cell>
          <cell r="P2450" t="str">
            <v>Resultado Ingresos y Gastos Integrales</v>
          </cell>
          <cell r="Q2450" t="str">
            <v>I. Ganancia (pérdida), antes de impuestos</v>
          </cell>
          <cell r="R2450" t="str">
            <v>b. Ganancia (pérdida)</v>
          </cell>
          <cell r="S2450" t="str">
            <v>8. Ingresos financieros</v>
          </cell>
          <cell r="T2450" t="str">
            <v>1. Ingresos Financieros</v>
          </cell>
          <cell r="Z2450" t="str">
            <v>I. Ganacia / Pérdida - No Oper</v>
          </cell>
          <cell r="AA2450" t="str">
            <v>1. Ingresos Financieros</v>
          </cell>
          <cell r="AC2450" t="str">
            <v>I. Ganancia / Pérdida No Oper.</v>
          </cell>
          <cell r="AD2450" t="str">
            <v>1. Ingresos No Oper.</v>
          </cell>
          <cell r="AE2450" t="str">
            <v>1. Ingresos Financieros</v>
          </cell>
          <cell r="AH2450" t="str">
            <v>5. Otros ingresos de operación</v>
          </cell>
        </row>
        <row r="2451">
          <cell r="D2451">
            <v>0</v>
          </cell>
          <cell r="F2451" t="str">
            <v/>
          </cell>
          <cell r="G2451" t="str">
            <v/>
          </cell>
          <cell r="J2451" t="str">
            <v>9. Otras Ganancias</v>
          </cell>
          <cell r="K2451" t="str">
            <v>2. Ingresos Financieros</v>
          </cell>
          <cell r="L2451" t="str">
            <v>NO OPER</v>
          </cell>
          <cell r="N2451" t="str">
            <v>GANANCIAS (PERDIDAS) ANTES DE IMPUESTOS</v>
          </cell>
          <cell r="O2451" t="str">
            <v>GANANCIA (PÉRDIDA) NETA</v>
          </cell>
          <cell r="P2451" t="str">
            <v>Resultado Ingresos y Gastos Integrales</v>
          </cell>
          <cell r="Q2451" t="str">
            <v>I. Ganancia (pérdida), antes de impuestos</v>
          </cell>
          <cell r="R2451" t="str">
            <v>b. Ganancia (pérdida)</v>
          </cell>
          <cell r="S2451" t="str">
            <v>8. Ingresos financieros</v>
          </cell>
          <cell r="T2451" t="str">
            <v>1. Ingresos Financieros</v>
          </cell>
          <cell r="Z2451" t="str">
            <v>I. Ganacia / Pérdida - No Oper</v>
          </cell>
          <cell r="AA2451" t="str">
            <v>1. Ingresos Financieros</v>
          </cell>
          <cell r="AC2451" t="str">
            <v>I. Ganancia / Pérdida No Oper.</v>
          </cell>
          <cell r="AD2451" t="str">
            <v>1. Ingresos No Oper.</v>
          </cell>
          <cell r="AE2451" t="str">
            <v>1. Ingresos Financieros</v>
          </cell>
          <cell r="AH2451" t="str">
            <v>5. Otros ingresos de operación</v>
          </cell>
        </row>
        <row r="2452">
          <cell r="D2452" t="str">
            <v>Ganancias x Baja Cta Activo Financiero</v>
          </cell>
          <cell r="E2452" t="str">
            <v>Ganancias x Baja Cta Activo Financiero</v>
          </cell>
          <cell r="F2452" t="str">
            <v/>
          </cell>
          <cell r="Q2452">
            <v>0</v>
          </cell>
          <cell r="R2452" t="str">
            <v/>
          </cell>
          <cell r="T2452" t="str">
            <v/>
          </cell>
        </row>
        <row r="2453">
          <cell r="D2453" t="str">
            <v>3-2-01-01-01</v>
          </cell>
          <cell r="E2453" t="str">
            <v>3-2-01-01-01</v>
          </cell>
          <cell r="F2453" t="str">
            <v>Ingresos Financieros</v>
          </cell>
          <cell r="G2453" t="str">
            <v>3-2-01-01-01  Ingresos Financieros</v>
          </cell>
          <cell r="H2453" t="str">
            <v>Est. Resultado</v>
          </cell>
          <cell r="I2453" t="str">
            <v>Resultado</v>
          </cell>
          <cell r="J2453" t="str">
            <v>9. Otras Ganancias</v>
          </cell>
          <cell r="K2453" t="str">
            <v>2. Ingresos Financieros</v>
          </cell>
          <cell r="L2453" t="str">
            <v>NO OPER</v>
          </cell>
          <cell r="N2453" t="str">
            <v>GANANCIAS (PERDIDAS) ANTES DE IMPUESTOS</v>
          </cell>
          <cell r="O2453" t="str">
            <v>GANANCIA (PÉRDIDA) NETA</v>
          </cell>
          <cell r="P2453" t="str">
            <v>Resultado Ingresos y Gastos Integrales</v>
          </cell>
          <cell r="Q2453" t="str">
            <v>I. Ganancia (pérdida), antes de impuestos</v>
          </cell>
          <cell r="R2453" t="str">
            <v>b. Ganancia (pérdida)</v>
          </cell>
          <cell r="S2453" t="str">
            <v>8. Ingresos financieros</v>
          </cell>
          <cell r="T2453" t="str">
            <v>1. Ingresos Financieros</v>
          </cell>
          <cell r="V2453" t="str">
            <v>I. Ingresos</v>
          </cell>
          <cell r="Z2453" t="str">
            <v>I. Ganacia / Pérdida - No Oper</v>
          </cell>
          <cell r="AA2453" t="str">
            <v>1. Ingresos Financieros</v>
          </cell>
          <cell r="AC2453" t="str">
            <v>I. Ganancia / Pérdida No Oper.</v>
          </cell>
          <cell r="AD2453" t="str">
            <v>1. Ingresos No Oper.</v>
          </cell>
          <cell r="AE2453" t="str">
            <v>1. Ingresos Financieros</v>
          </cell>
          <cell r="AG2453" t="str">
            <v>Ingresos Financieros</v>
          </cell>
          <cell r="AH2453" t="str">
            <v>3. Resultado financiero, neto segmento</v>
          </cell>
        </row>
        <row r="2454">
          <cell r="D2454">
            <v>0</v>
          </cell>
          <cell r="G2454" t="str">
            <v/>
          </cell>
          <cell r="H2454" t="str">
            <v>Est. Resultado</v>
          </cell>
          <cell r="I2454" t="str">
            <v>Resultado</v>
          </cell>
          <cell r="J2454" t="str">
            <v>9. Otras Ganancias</v>
          </cell>
          <cell r="K2454" t="str">
            <v>2. Ingresos Financieros</v>
          </cell>
          <cell r="L2454" t="str">
            <v>NO OPER</v>
          </cell>
          <cell r="N2454" t="str">
            <v>GANANCIAS (PERDIDAS) ANTES DE IMPUESTOS</v>
          </cell>
          <cell r="O2454" t="str">
            <v>GANANCIA (PÉRDIDA) NETA</v>
          </cell>
          <cell r="P2454" t="str">
            <v>Resultado Ingresos y Gastos Integrales</v>
          </cell>
          <cell r="Q2454" t="str">
            <v>I. Ganancia (pérdida), antes de impuestos</v>
          </cell>
          <cell r="R2454" t="str">
            <v>b. Ganancia (pérdida)</v>
          </cell>
          <cell r="S2454" t="str">
            <v>8. Ingresos financieros</v>
          </cell>
          <cell r="T2454" t="str">
            <v>1. Ingresos Financieros</v>
          </cell>
          <cell r="V2454" t="str">
            <v>I. Ingresos</v>
          </cell>
          <cell r="Z2454" t="str">
            <v>I. Ganacia / Pérdida - No Oper</v>
          </cell>
          <cell r="AA2454" t="str">
            <v>1. Ingresos Financieros</v>
          </cell>
          <cell r="AC2454" t="str">
            <v>I. Ganancia / Pérdida No Oper.</v>
          </cell>
          <cell r="AD2454" t="str">
            <v>1. Ingresos No Oper.</v>
          </cell>
          <cell r="AE2454" t="str">
            <v>1. Ingresos Financieros</v>
          </cell>
          <cell r="AG2454" t="str">
            <v>Ingresos Financieros</v>
          </cell>
          <cell r="AH2454" t="str">
            <v>3. Resultado financiero, neto segmento</v>
          </cell>
        </row>
        <row r="2455">
          <cell r="D2455">
            <v>0</v>
          </cell>
          <cell r="F2455" t="str">
            <v/>
          </cell>
          <cell r="G2455" t="str">
            <v/>
          </cell>
          <cell r="H2455" t="str">
            <v>Est. Resultado</v>
          </cell>
          <cell r="I2455" t="str">
            <v>Resultado</v>
          </cell>
          <cell r="J2455" t="str">
            <v>9. Otras Ganancias</v>
          </cell>
          <cell r="K2455" t="str">
            <v>2. Ingresos Financieros</v>
          </cell>
          <cell r="L2455" t="str">
            <v>NO OPER</v>
          </cell>
          <cell r="N2455" t="str">
            <v>GANANCIAS (PERDIDAS) ANTES DE IMPUESTOS</v>
          </cell>
          <cell r="O2455" t="str">
            <v>GANANCIA (PÉRDIDA) NETA</v>
          </cell>
          <cell r="P2455" t="str">
            <v>Resultado Ingresos y Gastos Integrales</v>
          </cell>
          <cell r="Q2455" t="str">
            <v>I. Ganancia (pérdida), antes de impuestos</v>
          </cell>
          <cell r="R2455" t="str">
            <v>b. Ganancia (pérdida)</v>
          </cell>
          <cell r="S2455" t="str">
            <v>8. Ingresos financieros</v>
          </cell>
          <cell r="T2455" t="str">
            <v>1. Ingresos Financieros</v>
          </cell>
          <cell r="V2455" t="str">
            <v>I. Ingresos</v>
          </cell>
          <cell r="Z2455" t="str">
            <v>I. Ganacia / Pérdida - No Oper</v>
          </cell>
          <cell r="AA2455" t="str">
            <v>1. Ingresos Financieros</v>
          </cell>
          <cell r="AC2455" t="str">
            <v>I. Ganancia / Pérdida No Oper.</v>
          </cell>
          <cell r="AD2455" t="str">
            <v>1. Ingresos No Oper.</v>
          </cell>
          <cell r="AE2455" t="str">
            <v>1. Ingresos Financieros</v>
          </cell>
          <cell r="AG2455" t="str">
            <v>Ingresos Financieros</v>
          </cell>
          <cell r="AH2455" t="str">
            <v>3. Resultado financiero, neto segmento</v>
          </cell>
        </row>
        <row r="2456">
          <cell r="D2456" t="str">
            <v>Ingresos Financieros</v>
          </cell>
          <cell r="E2456" t="str">
            <v>Ingresos Financieros</v>
          </cell>
          <cell r="F2456" t="str">
            <v/>
          </cell>
          <cell r="G2456" t="str">
            <v xml:space="preserve">Ingresos Financieros  </v>
          </cell>
          <cell r="Q2456">
            <v>0</v>
          </cell>
          <cell r="R2456" t="str">
            <v/>
          </cell>
          <cell r="T2456" t="str">
            <v/>
          </cell>
        </row>
        <row r="2457">
          <cell r="D2457" t="str">
            <v>3-2-02-05-01</v>
          </cell>
          <cell r="E2457" t="str">
            <v>3-2-02-05-01</v>
          </cell>
          <cell r="F2457" t="str">
            <v>Reintegros Ejercicios Anteriores</v>
          </cell>
          <cell r="G2457" t="str">
            <v>3-2-02-05-01  Reintegros Ejercicios Anteriores</v>
          </cell>
          <cell r="H2457" t="str">
            <v>Est. Resultado</v>
          </cell>
          <cell r="I2457" t="str">
            <v>Resultado</v>
          </cell>
          <cell r="J2457" t="str">
            <v>9. Otras Ganancias</v>
          </cell>
          <cell r="K2457" t="str">
            <v>4. Ingresos Fuera de Explotación</v>
          </cell>
          <cell r="L2457" t="str">
            <v>NO OPER</v>
          </cell>
          <cell r="N2457" t="str">
            <v>GANANCIAS (PERDIDAS) ANTES DE IMPUESTOS</v>
          </cell>
          <cell r="O2457" t="str">
            <v>GANANCIA (PÉRDIDA) NETA</v>
          </cell>
          <cell r="P2457" t="str">
            <v>Resultado Ingresos y Gastos Integrales</v>
          </cell>
          <cell r="Q2457" t="str">
            <v>I. Ganancia (pérdida), antes de impuestos</v>
          </cell>
          <cell r="R2457" t="str">
            <v>b. Ganancia (pérdida)</v>
          </cell>
          <cell r="S2457" t="str">
            <v>7. Otras ganancias (pérdidas)</v>
          </cell>
          <cell r="T2457" t="str">
            <v>1. Ingresos Fuera de Explotación</v>
          </cell>
          <cell r="V2457" t="str">
            <v>I. Ingresos</v>
          </cell>
          <cell r="W2457" t="str">
            <v>7. Otros Ingresos</v>
          </cell>
          <cell r="X2457" t="str">
            <v>71. Otros Ingresos</v>
          </cell>
          <cell r="Y2457" t="str">
            <v>1. Otros Ingresos</v>
          </cell>
          <cell r="Z2457" t="str">
            <v>I. Ganacia / Pérdida - No Oper</v>
          </cell>
          <cell r="AA2457" t="str">
            <v>2. Otros Ingresos No Oper.</v>
          </cell>
          <cell r="AB2457" t="str">
            <v>2. Ingresos Fuera de Explotación</v>
          </cell>
          <cell r="AC2457" t="str">
            <v>I. Ganancia / Pérdida No Oper.</v>
          </cell>
          <cell r="AD2457" t="str">
            <v>1. Ingresos No Oper.</v>
          </cell>
          <cell r="AE2457" t="str">
            <v>2. Otros Ingresos No Oper.</v>
          </cell>
          <cell r="AH2457" t="str">
            <v>5. Otros ingresos de operación</v>
          </cell>
        </row>
        <row r="2458">
          <cell r="D2458" t="str">
            <v>3-2-02-07-99</v>
          </cell>
          <cell r="E2458" t="str">
            <v>3-2-02-07-99</v>
          </cell>
          <cell r="F2458" t="str">
            <v>Otros</v>
          </cell>
          <cell r="G2458" t="str">
            <v>3-2-02-07-99  Otros</v>
          </cell>
          <cell r="H2458" t="str">
            <v>Est. Resultado</v>
          </cell>
          <cell r="I2458" t="str">
            <v>Resultado</v>
          </cell>
          <cell r="J2458" t="str">
            <v>9. Otras Ganancias</v>
          </cell>
          <cell r="K2458" t="str">
            <v>4. Ingresos Fuera de Explotación</v>
          </cell>
          <cell r="L2458" t="str">
            <v>NO OPER</v>
          </cell>
          <cell r="N2458" t="str">
            <v>GANANCIAS (PERDIDAS) ANTES DE IMPUESTOS</v>
          </cell>
          <cell r="O2458" t="str">
            <v>GANANCIA (PÉRDIDA) NETA</v>
          </cell>
          <cell r="P2458" t="str">
            <v>Resultado Ingresos y Gastos Integrales</v>
          </cell>
          <cell r="Q2458" t="str">
            <v>I. Ganancia (pérdida), antes de impuestos</v>
          </cell>
          <cell r="R2458" t="str">
            <v>b. Ganancia (pérdida)</v>
          </cell>
          <cell r="S2458" t="str">
            <v>7. Otras ganancias (pérdidas)</v>
          </cell>
          <cell r="T2458" t="str">
            <v>1. Ingresos Fuera de Explotación</v>
          </cell>
          <cell r="V2458" t="str">
            <v>I. Ingresos</v>
          </cell>
          <cell r="W2458" t="str">
            <v>7. Otros Ingresos</v>
          </cell>
          <cell r="X2458" t="str">
            <v>71. Otros Ingresos</v>
          </cell>
          <cell r="Y2458" t="str">
            <v>1. Otros Ingresos</v>
          </cell>
          <cell r="Z2458" t="str">
            <v>I. Ganacia / Pérdida - No Oper</v>
          </cell>
          <cell r="AA2458" t="str">
            <v>2. Otros Ingresos No Oper.</v>
          </cell>
          <cell r="AB2458" t="str">
            <v>2. Ingresos Fuera de Explotación</v>
          </cell>
          <cell r="AC2458" t="str">
            <v>I. Ganancia / Pérdida No Oper.</v>
          </cell>
          <cell r="AD2458" t="str">
            <v>1. Ingresos No Oper.</v>
          </cell>
          <cell r="AE2458" t="str">
            <v>2. Otros Ingresos No Oper.</v>
          </cell>
          <cell r="AH2458" t="str">
            <v>5. Otros ingresos de operación</v>
          </cell>
        </row>
        <row r="2459">
          <cell r="D2459" t="str">
            <v>3-2-02-01-01</v>
          </cell>
          <cell r="E2459" t="str">
            <v>3-2-02-01-01</v>
          </cell>
          <cell r="F2459" t="str">
            <v>Ingresos Arriendo Espacios Para Publicid</v>
          </cell>
          <cell r="G2459" t="str">
            <v>3-2-02-01-01  Ingresos Arriendo Espacios Para Publicid</v>
          </cell>
          <cell r="H2459" t="str">
            <v>Est. Resultado</v>
          </cell>
          <cell r="I2459" t="str">
            <v>Resultado</v>
          </cell>
          <cell r="J2459" t="str">
            <v>9. Otras Ganancias</v>
          </cell>
          <cell r="K2459" t="str">
            <v>4. Ingresos Fuera de Explotación</v>
          </cell>
          <cell r="L2459" t="str">
            <v>NO OPER</v>
          </cell>
          <cell r="N2459" t="str">
            <v>GANANCIAS (PERDIDAS) ANTES DE IMPUESTOS</v>
          </cell>
          <cell r="O2459" t="str">
            <v>GANANCIA (PÉRDIDA) NETA</v>
          </cell>
          <cell r="P2459" t="str">
            <v>Resultado Ingresos y Gastos Integrales</v>
          </cell>
          <cell r="Q2459" t="str">
            <v>I. Ganancia (pérdida), antes de impuestos</v>
          </cell>
          <cell r="R2459" t="str">
            <v>b. Ganancia (pérdida)</v>
          </cell>
          <cell r="S2459" t="str">
            <v>7. Otras ganancias (pérdidas)</v>
          </cell>
          <cell r="T2459" t="str">
            <v>1. Ingresos Fuera de Explotación</v>
          </cell>
          <cell r="V2459" t="str">
            <v>I. Ingresos</v>
          </cell>
          <cell r="W2459" t="str">
            <v>7. Otros Ingresos</v>
          </cell>
          <cell r="X2459" t="str">
            <v>71. Otros Ingresos</v>
          </cell>
          <cell r="Y2459" t="str">
            <v>1. Otros Ingresos</v>
          </cell>
          <cell r="Z2459" t="str">
            <v>I. Ganacia / Pérdida - No Oper</v>
          </cell>
          <cell r="AA2459" t="str">
            <v>2. Otros Ingresos No Oper.</v>
          </cell>
          <cell r="AB2459" t="str">
            <v>2. Ingresos Fuera de Explotación</v>
          </cell>
          <cell r="AC2459" t="str">
            <v>I. Ganancia / Pérdida No Oper.</v>
          </cell>
          <cell r="AD2459" t="str">
            <v>1. Ingresos No Oper.</v>
          </cell>
          <cell r="AE2459" t="str">
            <v>2. Otros Ingresos No Oper.</v>
          </cell>
          <cell r="AH2459" t="str">
            <v>5. Otros ingresos de operación</v>
          </cell>
        </row>
        <row r="2460">
          <cell r="D2460" t="str">
            <v>3-2-02-02-02</v>
          </cell>
          <cell r="E2460" t="str">
            <v>3-2-02-02-02</v>
          </cell>
          <cell r="F2460" t="str">
            <v>Arriendos De Locales Y Espacios</v>
          </cell>
          <cell r="G2460" t="str">
            <v>3-2-02-02-02  Arriendos De Locales Y Espacios</v>
          </cell>
          <cell r="H2460" t="str">
            <v>Est. Resultado</v>
          </cell>
          <cell r="I2460" t="str">
            <v>Resultado</v>
          </cell>
          <cell r="J2460" t="str">
            <v>9. Otras Ganancias</v>
          </cell>
          <cell r="K2460" t="str">
            <v>4. Ingresos Fuera de Explotación</v>
          </cell>
          <cell r="L2460" t="str">
            <v>NO OPER</v>
          </cell>
          <cell r="N2460" t="str">
            <v>GANANCIAS (PERDIDAS) ANTES DE IMPUESTOS</v>
          </cell>
          <cell r="O2460" t="str">
            <v>GANANCIA (PÉRDIDA) NETA</v>
          </cell>
          <cell r="P2460" t="str">
            <v>Resultado Ingresos y Gastos Integrales</v>
          </cell>
          <cell r="Q2460" t="str">
            <v>I. Ganancia (pérdida), antes de impuestos</v>
          </cell>
          <cell r="R2460" t="str">
            <v>b. Ganancia (pérdida)</v>
          </cell>
          <cell r="S2460" t="str">
            <v>7. Otras ganancias (pérdidas)</v>
          </cell>
          <cell r="T2460" t="str">
            <v>1. Ingresos Fuera de Explotación</v>
          </cell>
          <cell r="V2460" t="str">
            <v>I. Ingresos</v>
          </cell>
          <cell r="W2460" t="str">
            <v>7. Otros Ingresos</v>
          </cell>
          <cell r="X2460" t="str">
            <v>71. Otros Ingresos</v>
          </cell>
          <cell r="Y2460" t="str">
            <v>1. Otros Ingresos</v>
          </cell>
          <cell r="Z2460" t="str">
            <v>I. Ganacia / Pérdida - No Oper</v>
          </cell>
          <cell r="AA2460" t="str">
            <v>2. Otros Ingresos No Oper.</v>
          </cell>
          <cell r="AB2460" t="str">
            <v>2. Ingresos Fuera de Explotación</v>
          </cell>
          <cell r="AC2460" t="str">
            <v>I. Ganancia / Pérdida No Oper.</v>
          </cell>
          <cell r="AD2460" t="str">
            <v>1. Ingresos No Oper.</v>
          </cell>
          <cell r="AE2460" t="str">
            <v>2. Otros Ingresos No Oper.</v>
          </cell>
          <cell r="AH2460" t="str">
            <v>5. Otros ingresos de operación</v>
          </cell>
        </row>
        <row r="2461">
          <cell r="D2461" t="str">
            <v>3-2-02-02-03</v>
          </cell>
          <cell r="E2461" t="str">
            <v>3-2-02-02-03</v>
          </cell>
          <cell r="F2461" t="str">
            <v>Otros Arriendos</v>
          </cell>
          <cell r="G2461" t="str">
            <v>3-2-02-02-03  Otros Arriendos</v>
          </cell>
          <cell r="H2461" t="str">
            <v>Est. Resultado</v>
          </cell>
          <cell r="I2461" t="str">
            <v>Resultado</v>
          </cell>
          <cell r="J2461" t="str">
            <v>9. Otras Ganancias</v>
          </cell>
          <cell r="K2461" t="str">
            <v>4. Ingresos Fuera de Explotación</v>
          </cell>
          <cell r="L2461" t="str">
            <v>NO OPER</v>
          </cell>
          <cell r="N2461" t="str">
            <v>GANANCIAS (PERDIDAS) ANTES DE IMPUESTOS</v>
          </cell>
          <cell r="O2461" t="str">
            <v>GANANCIA (PÉRDIDA) NETA</v>
          </cell>
          <cell r="P2461" t="str">
            <v>Resultado Ingresos y Gastos Integrales</v>
          </cell>
          <cell r="Q2461" t="str">
            <v>I. Ganancia (pérdida), antes de impuestos</v>
          </cell>
          <cell r="R2461" t="str">
            <v>b. Ganancia (pérdida)</v>
          </cell>
          <cell r="S2461" t="str">
            <v>7. Otras ganancias (pérdidas)</v>
          </cell>
          <cell r="T2461" t="str">
            <v>1. Ingresos Fuera de Explotación</v>
          </cell>
          <cell r="V2461" t="str">
            <v>I. Ingresos</v>
          </cell>
          <cell r="W2461" t="str">
            <v>7. Otros Ingresos</v>
          </cell>
          <cell r="X2461" t="str">
            <v>71. Otros Ingresos</v>
          </cell>
          <cell r="Y2461" t="str">
            <v>1. Otros Ingresos</v>
          </cell>
          <cell r="Z2461" t="str">
            <v>I. Ganacia / Pérdida - No Oper</v>
          </cell>
          <cell r="AA2461" t="str">
            <v>2. Otros Ingresos No Oper.</v>
          </cell>
          <cell r="AB2461" t="str">
            <v>2. Ingresos Fuera de Explotación</v>
          </cell>
          <cell r="AC2461" t="str">
            <v>I. Ganancia / Pérdida No Oper.</v>
          </cell>
          <cell r="AD2461" t="str">
            <v>1. Ingresos No Oper.</v>
          </cell>
          <cell r="AE2461" t="str">
            <v>2. Otros Ingresos No Oper.</v>
          </cell>
          <cell r="AH2461" t="str">
            <v>5. Otros ingresos de operación</v>
          </cell>
        </row>
        <row r="2462">
          <cell r="D2462" t="str">
            <v>3-2-02-02-04</v>
          </cell>
          <cell r="E2462" t="str">
            <v>3-2-02-02-04</v>
          </cell>
          <cell r="F2462" t="str">
            <v>Arriendos Afectos</v>
          </cell>
          <cell r="G2462" t="str">
            <v>3-2-02-02-04  Arriendos Afectos</v>
          </cell>
          <cell r="H2462" t="str">
            <v>Est. Resultado</v>
          </cell>
          <cell r="I2462" t="str">
            <v>Resultado</v>
          </cell>
          <cell r="J2462" t="str">
            <v>9. Otras Ganancias</v>
          </cell>
          <cell r="K2462" t="str">
            <v>4. Ingresos Fuera de Explotación</v>
          </cell>
          <cell r="L2462" t="str">
            <v>NO OPER</v>
          </cell>
          <cell r="N2462" t="str">
            <v>GANANCIAS (PERDIDAS) ANTES DE IMPUESTOS</v>
          </cell>
          <cell r="O2462" t="str">
            <v>GANANCIA (PÉRDIDA) NETA</v>
          </cell>
          <cell r="P2462" t="str">
            <v>Resultado Ingresos y Gastos Integrales</v>
          </cell>
          <cell r="Q2462" t="str">
            <v>I. Ganancia (pérdida), antes de impuestos</v>
          </cell>
          <cell r="R2462" t="str">
            <v>b. Ganancia (pérdida)</v>
          </cell>
          <cell r="S2462" t="str">
            <v>7. Otras ganancias (pérdidas)</v>
          </cell>
          <cell r="T2462" t="str">
            <v>1. Ingresos Fuera de Explotación</v>
          </cell>
          <cell r="V2462" t="str">
            <v>I. Ingresos</v>
          </cell>
          <cell r="W2462" t="str">
            <v>7. Otros Ingresos</v>
          </cell>
          <cell r="X2462" t="str">
            <v>71. Otros Ingresos</v>
          </cell>
          <cell r="Y2462" t="str">
            <v>1. Otros Ingresos</v>
          </cell>
          <cell r="Z2462" t="str">
            <v>I. Ganacia / Pérdida - No Oper</v>
          </cell>
          <cell r="AA2462" t="str">
            <v>2. Otros Ingresos No Oper.</v>
          </cell>
          <cell r="AB2462" t="str">
            <v>2. Ingresos Fuera de Explotación</v>
          </cell>
          <cell r="AC2462" t="str">
            <v>I. Ganancia / Pérdida No Oper.</v>
          </cell>
          <cell r="AD2462" t="str">
            <v>1. Ingresos No Oper.</v>
          </cell>
          <cell r="AE2462" t="str">
            <v>2. Otros Ingresos No Oper.</v>
          </cell>
          <cell r="AH2462" t="str">
            <v>5. Otros ingresos de operación</v>
          </cell>
        </row>
        <row r="2463">
          <cell r="D2463" t="str">
            <v>3-2-02-02-01</v>
          </cell>
          <cell r="E2463" t="str">
            <v>3-2-02-02-01</v>
          </cell>
          <cell r="F2463" t="str">
            <v>Arriendos De Terrenos</v>
          </cell>
          <cell r="G2463" t="str">
            <v>3-2-02-02-01  Arriendos De Terrenos</v>
          </cell>
          <cell r="H2463" t="str">
            <v>Est. Resultado</v>
          </cell>
          <cell r="I2463" t="str">
            <v>Resultado</v>
          </cell>
          <cell r="J2463" t="str">
            <v>9. Otras Ganancias</v>
          </cell>
          <cell r="K2463" t="str">
            <v>4. Ingresos Fuera de Explotación</v>
          </cell>
          <cell r="L2463" t="str">
            <v>NO OPER</v>
          </cell>
          <cell r="N2463" t="str">
            <v>GANANCIAS (PERDIDAS) ANTES DE IMPUESTOS</v>
          </cell>
          <cell r="O2463" t="str">
            <v>GANANCIA (PÉRDIDA) NETA</v>
          </cell>
          <cell r="P2463" t="str">
            <v>Resultado Ingresos y Gastos Integrales</v>
          </cell>
          <cell r="Q2463" t="str">
            <v>I. Ganancia (pérdida), antes de impuestos</v>
          </cell>
          <cell r="R2463" t="str">
            <v>b. Ganancia (pérdida)</v>
          </cell>
          <cell r="S2463" t="str">
            <v>7. Otras ganancias (pérdidas)</v>
          </cell>
          <cell r="T2463" t="str">
            <v>1. Ingresos Fuera de Explotación</v>
          </cell>
          <cell r="V2463" t="str">
            <v>I. Ingresos</v>
          </cell>
          <cell r="W2463" t="str">
            <v>7. Otros Ingresos</v>
          </cell>
          <cell r="X2463" t="str">
            <v>71. Otros Ingresos</v>
          </cell>
          <cell r="Y2463" t="str">
            <v>1. Otros Ingresos</v>
          </cell>
          <cell r="Z2463" t="str">
            <v>I. Ganacia / Pérdida - No Oper</v>
          </cell>
          <cell r="AA2463" t="str">
            <v>2. Otros Ingresos No Oper.</v>
          </cell>
          <cell r="AB2463" t="str">
            <v>2. Ingresos Fuera de Explotación</v>
          </cell>
          <cell r="AC2463" t="str">
            <v>I. Ganancia / Pérdida No Oper.</v>
          </cell>
          <cell r="AD2463" t="str">
            <v>1. Ingresos No Oper.</v>
          </cell>
          <cell r="AE2463" t="str">
            <v>2. Otros Ingresos No Oper.</v>
          </cell>
          <cell r="AH2463" t="str">
            <v>5. Otros ingresos de operación</v>
          </cell>
        </row>
        <row r="2464">
          <cell r="D2464">
            <v>0</v>
          </cell>
          <cell r="G2464" t="str">
            <v/>
          </cell>
          <cell r="H2464" t="str">
            <v>Est. Resultado</v>
          </cell>
          <cell r="I2464" t="str">
            <v>Resultado</v>
          </cell>
          <cell r="J2464" t="str">
            <v>9. Otras Ganancias</v>
          </cell>
          <cell r="K2464" t="str">
            <v>4. Ingresos Fuera de Explotación</v>
          </cell>
          <cell r="L2464" t="str">
            <v>NO OPER</v>
          </cell>
          <cell r="N2464" t="str">
            <v>GANANCIAS (PERDIDAS) ANTES DE IMPUESTOS</v>
          </cell>
          <cell r="O2464" t="str">
            <v>GANANCIA (PÉRDIDA) NETA</v>
          </cell>
          <cell r="P2464" t="str">
            <v>Resultado Ingresos y Gastos Integrales</v>
          </cell>
          <cell r="Q2464" t="str">
            <v>I. Ganancia (pérdida), antes de impuestos</v>
          </cell>
          <cell r="R2464" t="str">
            <v>b. Ganancia (pérdida)</v>
          </cell>
          <cell r="S2464" t="str">
            <v>7. Otras ganancias (pérdidas)</v>
          </cell>
          <cell r="T2464" t="str">
            <v>1. Ingresos Fuera de Explotación</v>
          </cell>
          <cell r="V2464" t="str">
            <v>I. Ingresos</v>
          </cell>
          <cell r="W2464" t="str">
            <v>7. Otros Ingresos</v>
          </cell>
          <cell r="X2464" t="str">
            <v>71. Otros Ingresos</v>
          </cell>
          <cell r="Y2464" t="str">
            <v>1. Otros Ingresos</v>
          </cell>
          <cell r="Z2464" t="str">
            <v>I. Ganacia / Pérdida - No Oper</v>
          </cell>
          <cell r="AA2464" t="str">
            <v>2. Otros Ingresos No Oper.</v>
          </cell>
          <cell r="AB2464" t="str">
            <v>2. Ingresos Fuera de Explotación</v>
          </cell>
          <cell r="AC2464" t="str">
            <v>I. Ganancia / Pérdida No Oper.</v>
          </cell>
          <cell r="AD2464" t="str">
            <v>1. Ingresos No Oper.</v>
          </cell>
          <cell r="AE2464" t="str">
            <v>2. Otros Ingresos No Oper.</v>
          </cell>
          <cell r="AH2464" t="str">
            <v>5. Otros ingresos de operación</v>
          </cell>
        </row>
        <row r="2465">
          <cell r="D2465">
            <v>0</v>
          </cell>
          <cell r="G2465" t="str">
            <v/>
          </cell>
          <cell r="H2465" t="str">
            <v>Est. Resultado</v>
          </cell>
          <cell r="I2465" t="str">
            <v>Resultado</v>
          </cell>
          <cell r="J2465" t="str">
            <v>9. Otras Ganancias</v>
          </cell>
          <cell r="K2465" t="str">
            <v>4. Ingresos Fuera de Explotación</v>
          </cell>
          <cell r="L2465" t="str">
            <v>NO OPER</v>
          </cell>
          <cell r="N2465" t="str">
            <v>GANANCIAS (PERDIDAS) ANTES DE IMPUESTOS</v>
          </cell>
          <cell r="O2465" t="str">
            <v>GANANCIA (PÉRDIDA) NETA</v>
          </cell>
          <cell r="P2465" t="str">
            <v>Resultado Ingresos y Gastos Integrales</v>
          </cell>
          <cell r="Q2465" t="str">
            <v>I. Ganancia (pérdida), antes de impuestos</v>
          </cell>
          <cell r="R2465" t="str">
            <v>b. Ganancia (pérdida)</v>
          </cell>
          <cell r="S2465" t="str">
            <v>7. Otras ganancias (pérdidas)</v>
          </cell>
          <cell r="T2465" t="str">
            <v>1. Ingresos Fuera de Explotación</v>
          </cell>
          <cell r="V2465" t="str">
            <v>I. Ingresos</v>
          </cell>
          <cell r="W2465" t="str">
            <v>7. Otros Ingresos</v>
          </cell>
          <cell r="X2465" t="str">
            <v>71. Otros Ingresos</v>
          </cell>
          <cell r="Y2465" t="str">
            <v>1. Otros Ingresos</v>
          </cell>
          <cell r="Z2465" t="str">
            <v>I. Ganacia / Pérdida - No Oper</v>
          </cell>
          <cell r="AA2465" t="str">
            <v>2. Otros Ingresos No Oper.</v>
          </cell>
          <cell r="AB2465" t="str">
            <v>2. Ingresos Fuera de Explotación</v>
          </cell>
          <cell r="AC2465" t="str">
            <v>I. Ganancia / Pérdida No Oper.</v>
          </cell>
          <cell r="AD2465" t="str">
            <v>1. Ingresos No Oper.</v>
          </cell>
          <cell r="AE2465" t="str">
            <v>2. Otros Ingresos No Oper.</v>
          </cell>
          <cell r="AH2465" t="str">
            <v>5. Otros ingresos de operación</v>
          </cell>
        </row>
        <row r="2466">
          <cell r="D2466" t="str">
            <v>Ingresos Fuera de Explotacion</v>
          </cell>
          <cell r="E2466" t="str">
            <v>Ingresos Fuera de Explotacion</v>
          </cell>
          <cell r="F2466" t="str">
            <v/>
          </cell>
          <cell r="G2466" t="str">
            <v xml:space="preserve">Ingresos Fuera de Explotacion  </v>
          </cell>
        </row>
        <row r="2467">
          <cell r="D2467">
            <v>0</v>
          </cell>
          <cell r="H2467" t="str">
            <v>Est. Resultado</v>
          </cell>
          <cell r="I2467" t="str">
            <v>Resultado</v>
          </cell>
          <cell r="J2467" t="str">
            <v>9. Otras Ganancias</v>
          </cell>
          <cell r="K2467" t="str">
            <v>5. Ingresos Sector Público</v>
          </cell>
          <cell r="L2467" t="str">
            <v>NO OPER</v>
          </cell>
          <cell r="N2467" t="str">
            <v>GANANCIAS (PERDIDAS) ANTES DE IMPUESTOS</v>
          </cell>
          <cell r="O2467" t="str">
            <v>GANANCIA (PÉRDIDA) NETA</v>
          </cell>
          <cell r="P2467" t="str">
            <v>Resultado Ingresos y Gastos Integrales</v>
          </cell>
          <cell r="Q2467" t="str">
            <v>I. Ganancia (pérdida), antes de impuestos</v>
          </cell>
          <cell r="R2467" t="str">
            <v>b. Ganancia (pérdida)</v>
          </cell>
          <cell r="S2467" t="str">
            <v>7. Otras ganancias (pérdidas)</v>
          </cell>
          <cell r="T2467" t="str">
            <v>2. Ingresos Sector Público</v>
          </cell>
          <cell r="AH2467" t="str">
            <v>5. Otros ingresos de operación</v>
          </cell>
        </row>
        <row r="2468">
          <cell r="D2468">
            <v>0</v>
          </cell>
          <cell r="F2468" t="str">
            <v/>
          </cell>
          <cell r="G2468" t="str">
            <v/>
          </cell>
          <cell r="AH2468" t="str">
            <v>5. Otros ingresos de operación</v>
          </cell>
        </row>
        <row r="2469">
          <cell r="D2469" t="str">
            <v>Ingresos Sector Publico</v>
          </cell>
          <cell r="E2469" t="str">
            <v>Ingresos Sector Publico</v>
          </cell>
          <cell r="F2469" t="str">
            <v/>
          </cell>
          <cell r="G2469" t="str">
            <v xml:space="preserve">Ingresos Sector Publico  </v>
          </cell>
        </row>
        <row r="2470">
          <cell r="D2470" t="str">
            <v>OTRAS GANANCIAS</v>
          </cell>
          <cell r="E2470" t="str">
            <v>OTRAS GANANCIAS</v>
          </cell>
          <cell r="F2470" t="str">
            <v/>
          </cell>
          <cell r="G2470" t="str">
            <v xml:space="preserve">OTRAS GANANCIAS  </v>
          </cell>
        </row>
        <row r="2471">
          <cell r="D2471" t="str">
            <v>4-2-01-01-03</v>
          </cell>
          <cell r="E2471" t="str">
            <v>4-2-01-01-03</v>
          </cell>
          <cell r="F2471" t="str">
            <v>Otros Gastos Financieros</v>
          </cell>
          <cell r="G2471" t="str">
            <v>4-2-01-01-03  Otros Gastos Financieros</v>
          </cell>
          <cell r="H2471" t="str">
            <v>Est. Resultado</v>
          </cell>
          <cell r="I2471" t="str">
            <v>Resultado</v>
          </cell>
          <cell r="J2471" t="str">
            <v>10. Otras Pérdidas</v>
          </cell>
          <cell r="K2471" t="str">
            <v>2. Costos Financieros</v>
          </cell>
          <cell r="L2471" t="str">
            <v>NO OPER</v>
          </cell>
          <cell r="N2471" t="str">
            <v>GANANCIAS (PERDIDAS) ANTES DE IMPUESTOS</v>
          </cell>
          <cell r="O2471" t="str">
            <v>GANANCIA (PÉRDIDA) NETA</v>
          </cell>
          <cell r="P2471" t="str">
            <v>Resultado Ingresos y Gastos Integrales</v>
          </cell>
          <cell r="Q2471" t="str">
            <v>I. Ganancia (pérdida), antes de impuestos</v>
          </cell>
          <cell r="R2471" t="str">
            <v>b. Ganancia (pérdida)</v>
          </cell>
          <cell r="S2471" t="str">
            <v>9. Costos financieros</v>
          </cell>
          <cell r="T2471" t="str">
            <v>1. Costos Financieros</v>
          </cell>
          <cell r="V2471" t="str">
            <v>II. Gastos</v>
          </cell>
          <cell r="W2471" t="str">
            <v>26. Intereses y Gastos Financieros</v>
          </cell>
          <cell r="Z2471" t="str">
            <v>I. Ganacia / Pérdida - No Oper</v>
          </cell>
          <cell r="AA2471" t="str">
            <v>4. Gastos Financieros</v>
          </cell>
          <cell r="AB2471" t="str">
            <v>6. Gastos Financieros</v>
          </cell>
          <cell r="AC2471" t="str">
            <v>I. Ganancia / Pérdida No Oper.</v>
          </cell>
          <cell r="AD2471" t="str">
            <v>4. Egresos No Oper.</v>
          </cell>
          <cell r="AE2471" t="str">
            <v>4. Gastos Financieros</v>
          </cell>
          <cell r="AG2471" t="str">
            <v>Costos Financieros</v>
          </cell>
          <cell r="AH2471" t="str">
            <v>3. Resultado financiero, neto segmento</v>
          </cell>
        </row>
        <row r="2472">
          <cell r="D2472" t="str">
            <v>4-2-01-01-01</v>
          </cell>
          <cell r="E2472" t="str">
            <v>4-2-01-01-01</v>
          </cell>
          <cell r="F2472" t="str">
            <v>Financiamiento Automotores</v>
          </cell>
          <cell r="G2472" t="str">
            <v>4-2-01-01-01  Financiamiento Automotores</v>
          </cell>
          <cell r="H2472" t="str">
            <v>Est. Resultado</v>
          </cell>
          <cell r="I2472" t="str">
            <v>Resultado</v>
          </cell>
          <cell r="J2472" t="str">
            <v>10. Otras Pérdidas</v>
          </cell>
          <cell r="K2472" t="str">
            <v>2. Costos Financieros</v>
          </cell>
          <cell r="L2472" t="str">
            <v>NO OPER</v>
          </cell>
          <cell r="N2472" t="str">
            <v>GANANCIAS (PERDIDAS) ANTES DE IMPUESTOS</v>
          </cell>
          <cell r="O2472" t="str">
            <v>GANANCIA (PÉRDIDA) NETA</v>
          </cell>
          <cell r="P2472" t="str">
            <v>Resultado Ingresos y Gastos Integrales</v>
          </cell>
          <cell r="Q2472" t="str">
            <v>I. Ganancia (pérdida), antes de impuestos</v>
          </cell>
          <cell r="R2472" t="str">
            <v>b. Ganancia (pérdida)</v>
          </cell>
          <cell r="S2472" t="str">
            <v>9. Costos financieros</v>
          </cell>
          <cell r="T2472" t="str">
            <v>1. Costos Financieros</v>
          </cell>
          <cell r="V2472" t="str">
            <v>II. Gastos</v>
          </cell>
          <cell r="W2472" t="str">
            <v>26. Intereses y Gastos Financieros</v>
          </cell>
          <cell r="Z2472" t="str">
            <v>I. Ganacia / Pérdida - No Oper</v>
          </cell>
          <cell r="AA2472" t="str">
            <v>4. Gastos Financieros</v>
          </cell>
          <cell r="AB2472" t="str">
            <v>6. Gastos Financieros</v>
          </cell>
          <cell r="AC2472" t="str">
            <v>I. Ganancia / Pérdida No Oper.</v>
          </cell>
          <cell r="AD2472" t="str">
            <v>4. Egresos No Oper.</v>
          </cell>
          <cell r="AE2472" t="str">
            <v>4. Gastos Financieros</v>
          </cell>
          <cell r="AG2472" t="str">
            <v>Costos Financieros</v>
          </cell>
          <cell r="AH2472" t="str">
            <v>3. Resultado financiero, neto segmento</v>
          </cell>
        </row>
        <row r="2473">
          <cell r="D2473">
            <v>0</v>
          </cell>
          <cell r="G2473" t="str">
            <v/>
          </cell>
        </row>
        <row r="2474">
          <cell r="D2474">
            <v>0</v>
          </cell>
          <cell r="G2474" t="str">
            <v/>
          </cell>
        </row>
        <row r="2475">
          <cell r="D2475">
            <v>0</v>
          </cell>
          <cell r="G2475" t="str">
            <v/>
          </cell>
        </row>
        <row r="2476">
          <cell r="D2476">
            <v>0</v>
          </cell>
          <cell r="F2476" t="str">
            <v/>
          </cell>
          <cell r="G2476" t="str">
            <v/>
          </cell>
        </row>
        <row r="2477">
          <cell r="D2477" t="str">
            <v>Costos Financieros</v>
          </cell>
          <cell r="E2477" t="str">
            <v>Costos Financieros</v>
          </cell>
          <cell r="F2477" t="str">
            <v/>
          </cell>
          <cell r="G2477" t="str">
            <v xml:space="preserve">Costos Financieros  </v>
          </cell>
        </row>
        <row r="2478">
          <cell r="D2478">
            <v>0</v>
          </cell>
          <cell r="F2478" t="str">
            <v/>
          </cell>
          <cell r="G2478" t="str">
            <v/>
          </cell>
          <cell r="AH2478" t="str">
            <v>6. Partidas significativas de gastos</v>
          </cell>
        </row>
        <row r="2479">
          <cell r="D2479">
            <v>0</v>
          </cell>
          <cell r="F2479" t="str">
            <v/>
          </cell>
          <cell r="G2479" t="str">
            <v/>
          </cell>
          <cell r="AH2479" t="str">
            <v>6. Partidas significativas de gastos</v>
          </cell>
        </row>
        <row r="2480">
          <cell r="D2480" t="str">
            <v>Participacion Empresas Relacionadas</v>
          </cell>
          <cell r="E2480" t="str">
            <v>Participacion Empresas Relacionadas</v>
          </cell>
          <cell r="F2480" t="str">
            <v/>
          </cell>
          <cell r="G2480" t="str">
            <v xml:space="preserve">Participacion Empresas Relacionadas  </v>
          </cell>
        </row>
        <row r="2481">
          <cell r="D2481" t="str">
            <v>3-2-02-07-70</v>
          </cell>
          <cell r="E2481" t="str">
            <v>3-2-02-07-70</v>
          </cell>
          <cell r="F2481" t="str">
            <v>Ingresos Por Aplicacion De Multas</v>
          </cell>
          <cell r="G2481" t="str">
            <v>3-2-02-07-70  Ingresos Por Aplicacion De Multas</v>
          </cell>
          <cell r="H2481" t="str">
            <v>Est. Resultado</v>
          </cell>
          <cell r="I2481" t="str">
            <v>Resultado</v>
          </cell>
          <cell r="J2481" t="str">
            <v>10. Otras Pérdidas</v>
          </cell>
          <cell r="K2481" t="str">
            <v>4. Otros Gastos Fuera Explotación</v>
          </cell>
          <cell r="L2481" t="str">
            <v>NO OPER</v>
          </cell>
          <cell r="N2481" t="str">
            <v>GANANCIAS (PERDIDAS) ANTES DE IMPUESTOS</v>
          </cell>
          <cell r="O2481" t="str">
            <v>GANANCIA (PÉRDIDA) NETA</v>
          </cell>
          <cell r="P2481" t="str">
            <v>Resultado Ingresos y Gastos Integrales</v>
          </cell>
          <cell r="Q2481" t="str">
            <v>I. Ganancia (pérdida), antes de impuestos</v>
          </cell>
          <cell r="R2481" t="str">
            <v>b. Ganancia (pérdida)</v>
          </cell>
          <cell r="S2481" t="str">
            <v>7. Otras ganancias (pérdidas)</v>
          </cell>
          <cell r="T2481" t="str">
            <v>3. Otros Gastos Fuera Explotación</v>
          </cell>
          <cell r="V2481" t="str">
            <v>I. Ingresos</v>
          </cell>
          <cell r="Z2481" t="str">
            <v>I. Ganacia / Pérdida - No Oper</v>
          </cell>
          <cell r="AA2481" t="str">
            <v>5. Otras pérdidas No Oper.</v>
          </cell>
          <cell r="AB2481" t="str">
            <v>7. Otros Gastos Fuera Explotación</v>
          </cell>
          <cell r="AC2481" t="str">
            <v>I. Ganancia / Pérdida No Oper.</v>
          </cell>
          <cell r="AD2481" t="str">
            <v>4. Egresos No Oper.</v>
          </cell>
          <cell r="AE2481" t="str">
            <v>5. Otras pérdidas No Oper.</v>
          </cell>
          <cell r="AH2481" t="str">
            <v>6. Partidas significativas de gastos</v>
          </cell>
        </row>
        <row r="2482">
          <cell r="D2482" t="str">
            <v>4-2-02-01-11</v>
          </cell>
          <cell r="E2482" t="str">
            <v>4-2-02-01-11</v>
          </cell>
          <cell r="F2482" t="str">
            <v>Contribuciones</v>
          </cell>
          <cell r="G2482" t="str">
            <v>4-2-02-01-11  Contribuciones</v>
          </cell>
          <cell r="H2482" t="str">
            <v>Est. Resultado</v>
          </cell>
          <cell r="I2482" t="str">
            <v>Resultado</v>
          </cell>
          <cell r="J2482" t="str">
            <v>10. Otras Pérdidas</v>
          </cell>
          <cell r="K2482" t="str">
            <v>4. Otros Gastos Fuera Explotación</v>
          </cell>
          <cell r="L2482" t="str">
            <v>NO OPER</v>
          </cell>
          <cell r="N2482" t="str">
            <v>GANANCIAS (PERDIDAS) ANTES DE IMPUESTOS</v>
          </cell>
          <cell r="O2482" t="str">
            <v>GANANCIA (PÉRDIDA) NETA</v>
          </cell>
          <cell r="P2482" t="str">
            <v>Resultado Ingresos y Gastos Integrales</v>
          </cell>
          <cell r="Q2482" t="str">
            <v>I. Ganancia (pérdida), antes de impuestos</v>
          </cell>
          <cell r="R2482" t="str">
            <v>b. Ganancia (pérdida)</v>
          </cell>
          <cell r="S2482" t="str">
            <v>7. Otras ganancias (pérdidas)</v>
          </cell>
          <cell r="T2482" t="str">
            <v>3. Otros Gastos Fuera Explotación</v>
          </cell>
          <cell r="V2482" t="str">
            <v>II. Gastos</v>
          </cell>
          <cell r="W2482" t="str">
            <v>23. Bienes y Servicios para Producción</v>
          </cell>
          <cell r="Z2482" t="str">
            <v>I. Ganacia / Pérdida - No Oper</v>
          </cell>
          <cell r="AA2482" t="str">
            <v>5. Otras pérdidas No Oper.</v>
          </cell>
          <cell r="AB2482" t="str">
            <v>7. Otros Gastos Fuera Explotación</v>
          </cell>
          <cell r="AC2482" t="str">
            <v>I. Ganancia / Pérdida No Oper.</v>
          </cell>
          <cell r="AD2482" t="str">
            <v>4. Egresos No Oper.</v>
          </cell>
          <cell r="AE2482" t="str">
            <v>5. Otras pérdidas No Oper.</v>
          </cell>
          <cell r="AH2482" t="str">
            <v>6. Partidas significativas de gastos</v>
          </cell>
        </row>
        <row r="2483">
          <cell r="D2483" t="str">
            <v>4-2-02-01-12</v>
          </cell>
          <cell r="E2483" t="str">
            <v>4-2-02-01-12</v>
          </cell>
          <cell r="F2483" t="str">
            <v>Impuesto de Timbres y Estampillas</v>
          </cell>
          <cell r="G2483" t="str">
            <v>4-2-02-01-12  Impuesto de Timbres y Estampillas</v>
          </cell>
          <cell r="H2483" t="str">
            <v>Est. Resultado</v>
          </cell>
          <cell r="I2483" t="str">
            <v>Resultado</v>
          </cell>
          <cell r="J2483" t="str">
            <v>10. Otras Pérdidas</v>
          </cell>
          <cell r="K2483" t="str">
            <v>4. Otros Gastos Fuera Explotación</v>
          </cell>
          <cell r="L2483" t="str">
            <v>NO OPER</v>
          </cell>
          <cell r="N2483" t="str">
            <v>GANANCIAS (PERDIDAS) ANTES DE IMPUESTOS</v>
          </cell>
          <cell r="O2483" t="str">
            <v>GANANCIA (PÉRDIDA) NETA</v>
          </cell>
          <cell r="P2483" t="str">
            <v>Resultado Ingresos y Gastos Integrales</v>
          </cell>
          <cell r="Q2483" t="str">
            <v>I. Ganancia (pérdida), antes de impuestos</v>
          </cell>
          <cell r="R2483" t="str">
            <v>b. Ganancia (pérdida)</v>
          </cell>
          <cell r="S2483" t="str">
            <v>7. Otras ganancias (pérdidas)</v>
          </cell>
          <cell r="T2483" t="str">
            <v>3. Otros Gastos Fuera Explotación</v>
          </cell>
          <cell r="V2483" t="str">
            <v>II. Gastos</v>
          </cell>
          <cell r="W2483" t="str">
            <v>23. Bienes y Servicios para Producción</v>
          </cell>
          <cell r="Z2483" t="str">
            <v>I. Ganacia / Pérdida - No Oper</v>
          </cell>
          <cell r="AA2483" t="str">
            <v>5. Otras pérdidas No Oper.</v>
          </cell>
          <cell r="AB2483" t="str">
            <v>7. Otros Gastos Fuera Explotación</v>
          </cell>
          <cell r="AC2483" t="str">
            <v>I. Ganancia / Pérdida No Oper.</v>
          </cell>
          <cell r="AD2483" t="str">
            <v>4. Egresos No Oper.</v>
          </cell>
          <cell r="AE2483" t="str">
            <v>5. Otras pérdidas No Oper.</v>
          </cell>
          <cell r="AH2483" t="str">
            <v>6. Partidas significativas de gastos</v>
          </cell>
        </row>
        <row r="2484">
          <cell r="D2484" t="str">
            <v>4-2-02-01-02</v>
          </cell>
          <cell r="E2484" t="str">
            <v>4-2-02-01-02</v>
          </cell>
          <cell r="F2484" t="str">
            <v>Gastos Ejercicios Anteriores</v>
          </cell>
          <cell r="G2484" t="str">
            <v>4-2-02-01-02  Gastos Ejercicios Anteriores</v>
          </cell>
          <cell r="H2484" t="str">
            <v>Est. Resultado</v>
          </cell>
          <cell r="I2484" t="str">
            <v>Resultado</v>
          </cell>
          <cell r="J2484" t="str">
            <v>10. Otras Pérdidas</v>
          </cell>
          <cell r="K2484" t="str">
            <v>4. Otros Gastos Fuera Explotación</v>
          </cell>
          <cell r="L2484" t="str">
            <v>NO OPER</v>
          </cell>
          <cell r="N2484" t="str">
            <v>GANANCIAS (PERDIDAS) ANTES DE IMPUESTOS</v>
          </cell>
          <cell r="O2484" t="str">
            <v>GANANCIA (PÉRDIDA) NETA</v>
          </cell>
          <cell r="P2484" t="str">
            <v>Resultado Ingresos y Gastos Integrales</v>
          </cell>
          <cell r="Q2484" t="str">
            <v>I. Ganancia (pérdida), antes de impuestos</v>
          </cell>
          <cell r="R2484" t="str">
            <v>b. Ganancia (pérdida)</v>
          </cell>
          <cell r="S2484" t="str">
            <v>7. Otras ganancias (pérdidas)</v>
          </cell>
          <cell r="T2484" t="str">
            <v>3. Otros Gastos Fuera Explotación</v>
          </cell>
          <cell r="V2484" t="str">
            <v>II. Gastos</v>
          </cell>
          <cell r="W2484" t="str">
            <v>23. Bienes y Servicios para Producción</v>
          </cell>
          <cell r="Z2484" t="str">
            <v>I. Ganacia / Pérdida - No Oper</v>
          </cell>
          <cell r="AA2484" t="str">
            <v>5. Otras pérdidas No Oper.</v>
          </cell>
          <cell r="AB2484" t="str">
            <v>7. Otros Gastos Fuera Explotación</v>
          </cell>
          <cell r="AC2484" t="str">
            <v>I. Ganancia / Pérdida No Oper.</v>
          </cell>
          <cell r="AD2484" t="str">
            <v>4. Egresos No Oper.</v>
          </cell>
          <cell r="AE2484" t="str">
            <v>5. Otras pérdidas No Oper.</v>
          </cell>
          <cell r="AH2484" t="str">
            <v>6. Partidas significativas de gastos</v>
          </cell>
        </row>
        <row r="2485">
          <cell r="D2485" t="str">
            <v>4-2-02-01-14</v>
          </cell>
          <cell r="E2485" t="str">
            <v>4-2-02-01-14</v>
          </cell>
          <cell r="F2485" t="str">
            <v>Conservador Bienes Raíces</v>
          </cell>
          <cell r="G2485" t="str">
            <v>4-2-02-01-14  Conservador Bienes Raíces</v>
          </cell>
          <cell r="H2485" t="str">
            <v>Est. Resultado</v>
          </cell>
          <cell r="I2485" t="str">
            <v>Resultado</v>
          </cell>
          <cell r="J2485" t="str">
            <v>10. Otras Pérdidas</v>
          </cell>
          <cell r="K2485" t="str">
            <v>4. Otros Gastos Fuera Explotación</v>
          </cell>
          <cell r="L2485" t="str">
            <v>NO OPER</v>
          </cell>
          <cell r="N2485" t="str">
            <v>GANANCIAS (PERDIDAS) ANTES DE IMPUESTOS</v>
          </cell>
          <cell r="O2485" t="str">
            <v>GANANCIA (PÉRDIDA) NETA</v>
          </cell>
          <cell r="P2485" t="str">
            <v>Resultado Ingresos y Gastos Integrales</v>
          </cell>
          <cell r="Q2485" t="str">
            <v>I. Ganancia (pérdida), antes de impuestos</v>
          </cell>
          <cell r="R2485" t="str">
            <v>b. Ganancia (pérdida)</v>
          </cell>
          <cell r="S2485" t="str">
            <v>7. Otras ganancias (pérdidas)</v>
          </cell>
          <cell r="T2485" t="str">
            <v>3. Otros Gastos Fuera Explotación</v>
          </cell>
          <cell r="V2485" t="str">
            <v>II. Gastos</v>
          </cell>
          <cell r="W2485" t="str">
            <v>23. Bienes y Servicios para Producción</v>
          </cell>
          <cell r="Z2485" t="str">
            <v>I. Ganacia / Pérdida - No Oper</v>
          </cell>
          <cell r="AA2485" t="str">
            <v>5. Otras pérdidas No Oper.</v>
          </cell>
          <cell r="AB2485" t="str">
            <v>7. Otros Gastos Fuera Explotación</v>
          </cell>
          <cell r="AC2485" t="str">
            <v>I. Ganancia / Pérdida No Oper.</v>
          </cell>
          <cell r="AD2485" t="str">
            <v>4. Egresos No Oper.</v>
          </cell>
          <cell r="AE2485" t="str">
            <v>5. Otras pérdidas No Oper.</v>
          </cell>
          <cell r="AH2485" t="str">
            <v>6. Partidas significativas de gastos</v>
          </cell>
        </row>
        <row r="2486">
          <cell r="D2486" t="str">
            <v>4-2-02-01-15</v>
          </cell>
          <cell r="E2486" t="str">
            <v>4-2-02-01-15</v>
          </cell>
          <cell r="F2486" t="str">
            <v>Correo Y Franqueo</v>
          </cell>
          <cell r="G2486" t="str">
            <v>4-2-02-01-15  Correo Y Franqueo</v>
          </cell>
          <cell r="H2486" t="str">
            <v>Est. Resultado</v>
          </cell>
          <cell r="I2486" t="str">
            <v>Resultado</v>
          </cell>
          <cell r="J2486" t="str">
            <v>10. Otras Pérdidas</v>
          </cell>
          <cell r="K2486" t="str">
            <v>4. Otros Gastos Fuera Explotación</v>
          </cell>
          <cell r="L2486" t="str">
            <v>NO OPER</v>
          </cell>
          <cell r="N2486" t="str">
            <v>GANANCIAS (PERDIDAS) ANTES DE IMPUESTOS</v>
          </cell>
          <cell r="O2486" t="str">
            <v>GANANCIA (PÉRDIDA) NETA</v>
          </cell>
          <cell r="P2486" t="str">
            <v>Resultado Ingresos y Gastos Integrales</v>
          </cell>
          <cell r="Q2486" t="str">
            <v>I. Ganancia (pérdida), antes de impuestos</v>
          </cell>
          <cell r="R2486" t="str">
            <v>b. Ganancia (pérdida)</v>
          </cell>
          <cell r="S2486" t="str">
            <v>7. Otras ganancias (pérdidas)</v>
          </cell>
          <cell r="T2486" t="str">
            <v>3. Otros Gastos Fuera Explotación</v>
          </cell>
          <cell r="V2486" t="str">
            <v>II. Gastos</v>
          </cell>
          <cell r="W2486" t="str">
            <v>23. Bienes y Servicios para Producción</v>
          </cell>
          <cell r="Z2486" t="str">
            <v>I. Ganacia / Pérdida - No Oper</v>
          </cell>
          <cell r="AA2486" t="str">
            <v>5. Otras pérdidas No Oper.</v>
          </cell>
          <cell r="AB2486" t="str">
            <v>7. Otros Gastos Fuera Explotación</v>
          </cell>
          <cell r="AC2486" t="str">
            <v>I. Ganancia / Pérdida No Oper.</v>
          </cell>
          <cell r="AD2486" t="str">
            <v>4. Egresos No Oper.</v>
          </cell>
          <cell r="AE2486" t="str">
            <v>5. Otras pérdidas No Oper.</v>
          </cell>
          <cell r="AH2486" t="str">
            <v>6. Partidas significativas de gastos</v>
          </cell>
        </row>
        <row r="2487">
          <cell r="D2487" t="str">
            <v>4-2-02-01-16</v>
          </cell>
          <cell r="E2487" t="str">
            <v>4-2-02-01-16</v>
          </cell>
          <cell r="F2487" t="str">
            <v>Gastos Representación</v>
          </cell>
          <cell r="G2487" t="str">
            <v>4-2-02-01-16  Gastos Representación</v>
          </cell>
          <cell r="H2487" t="str">
            <v>Est. Resultado</v>
          </cell>
          <cell r="I2487" t="str">
            <v>Resultado</v>
          </cell>
          <cell r="J2487" t="str">
            <v>10. Otras Pérdidas</v>
          </cell>
          <cell r="K2487" t="str">
            <v>4. Otros Gastos Fuera Explotación</v>
          </cell>
          <cell r="L2487" t="str">
            <v>NO OPER</v>
          </cell>
          <cell r="N2487" t="str">
            <v>GANANCIAS (PERDIDAS) ANTES DE IMPUESTOS</v>
          </cell>
          <cell r="O2487" t="str">
            <v>GANANCIA (PÉRDIDA) NETA</v>
          </cell>
          <cell r="P2487" t="str">
            <v>Resultado Ingresos y Gastos Integrales</v>
          </cell>
          <cell r="Q2487" t="str">
            <v>I. Ganancia (pérdida), antes de impuestos</v>
          </cell>
          <cell r="R2487" t="str">
            <v>b. Ganancia (pérdida)</v>
          </cell>
          <cell r="S2487" t="str">
            <v>7. Otras ganancias (pérdidas)</v>
          </cell>
          <cell r="T2487" t="str">
            <v>3. Otros Gastos Fuera Explotación</v>
          </cell>
          <cell r="V2487" t="str">
            <v>II. Gastos</v>
          </cell>
          <cell r="W2487" t="str">
            <v>23. Bienes y Servicios para Producción</v>
          </cell>
          <cell r="Z2487" t="str">
            <v>I. Ganacia / Pérdida - No Oper</v>
          </cell>
          <cell r="AA2487" t="str">
            <v>5. Otras pérdidas No Oper.</v>
          </cell>
          <cell r="AB2487" t="str">
            <v>7. Otros Gastos Fuera Explotación</v>
          </cell>
          <cell r="AC2487" t="str">
            <v>I. Ganancia / Pérdida No Oper.</v>
          </cell>
          <cell r="AD2487" t="str">
            <v>4. Egresos No Oper.</v>
          </cell>
          <cell r="AE2487" t="str">
            <v>5. Otras pérdidas No Oper.</v>
          </cell>
          <cell r="AH2487" t="str">
            <v>6. Partidas significativas de gastos</v>
          </cell>
        </row>
        <row r="2488">
          <cell r="D2488" t="str">
            <v>4-2-02-01-18</v>
          </cell>
          <cell r="E2488" t="str">
            <v>4-2-02-01-18</v>
          </cell>
          <cell r="F2488" t="str">
            <v>Suscripciones</v>
          </cell>
          <cell r="G2488" t="str">
            <v>4-2-02-01-18  Suscripciones</v>
          </cell>
          <cell r="H2488" t="str">
            <v>Est. Resultado</v>
          </cell>
          <cell r="I2488" t="str">
            <v>Resultado</v>
          </cell>
          <cell r="J2488" t="str">
            <v>10. Otras Pérdidas</v>
          </cell>
          <cell r="K2488" t="str">
            <v>4. Otros Gastos Fuera Explotación</v>
          </cell>
          <cell r="L2488" t="str">
            <v>NO OPER</v>
          </cell>
          <cell r="N2488" t="str">
            <v>GANANCIAS (PERDIDAS) ANTES DE IMPUESTOS</v>
          </cell>
          <cell r="O2488" t="str">
            <v>GANANCIA (PÉRDIDA) NETA</v>
          </cell>
          <cell r="P2488" t="str">
            <v>Resultado Ingresos y Gastos Integrales</v>
          </cell>
          <cell r="Q2488" t="str">
            <v>I. Ganancia (pérdida), antes de impuestos</v>
          </cell>
          <cell r="R2488" t="str">
            <v>b. Ganancia (pérdida)</v>
          </cell>
          <cell r="S2488" t="str">
            <v>7. Otras ganancias (pérdidas)</v>
          </cell>
          <cell r="T2488" t="str">
            <v>3. Otros Gastos Fuera Explotación</v>
          </cell>
          <cell r="V2488" t="str">
            <v>II. Gastos</v>
          </cell>
          <cell r="W2488" t="str">
            <v>23. Bienes y Servicios para Producción</v>
          </cell>
          <cell r="Z2488" t="str">
            <v>I. Ganacia / Pérdida - No Oper</v>
          </cell>
          <cell r="AA2488" t="str">
            <v>5. Otras pérdidas No Oper.</v>
          </cell>
          <cell r="AB2488" t="str">
            <v>7. Otros Gastos Fuera Explotación</v>
          </cell>
          <cell r="AC2488" t="str">
            <v>I. Ganancia / Pérdida No Oper.</v>
          </cell>
          <cell r="AD2488" t="str">
            <v>4. Egresos No Oper.</v>
          </cell>
          <cell r="AE2488" t="str">
            <v>5. Otras pérdidas No Oper.</v>
          </cell>
          <cell r="AH2488" t="str">
            <v>6. Partidas significativas de gastos</v>
          </cell>
        </row>
        <row r="2489">
          <cell r="D2489" t="str">
            <v>4-2-02-01-19</v>
          </cell>
          <cell r="E2489" t="str">
            <v>4-2-02-01-19</v>
          </cell>
          <cell r="F2489" t="str">
            <v>Avisos Y Publicaciones</v>
          </cell>
          <cell r="G2489" t="str">
            <v>4-2-02-01-19  Avisos Y Publicaciones</v>
          </cell>
          <cell r="H2489" t="str">
            <v>Est. Resultado</v>
          </cell>
          <cell r="I2489" t="str">
            <v>Resultado</v>
          </cell>
          <cell r="J2489" t="str">
            <v>10. Otras Pérdidas</v>
          </cell>
          <cell r="K2489" t="str">
            <v>4. Otros Gastos Fuera Explotación</v>
          </cell>
          <cell r="L2489" t="str">
            <v>NO OPER</v>
          </cell>
          <cell r="N2489" t="str">
            <v>GANANCIAS (PERDIDAS) ANTES DE IMPUESTOS</v>
          </cell>
          <cell r="O2489" t="str">
            <v>GANANCIA (PÉRDIDA) NETA</v>
          </cell>
          <cell r="P2489" t="str">
            <v>Resultado Ingresos y Gastos Integrales</v>
          </cell>
          <cell r="Q2489" t="str">
            <v>I. Ganancia (pérdida), antes de impuestos</v>
          </cell>
          <cell r="R2489" t="str">
            <v>b. Ganancia (pérdida)</v>
          </cell>
          <cell r="S2489" t="str">
            <v>7. Otras ganancias (pérdidas)</v>
          </cell>
          <cell r="T2489" t="str">
            <v>3. Otros Gastos Fuera Explotación</v>
          </cell>
          <cell r="V2489" t="str">
            <v>II. Gastos</v>
          </cell>
          <cell r="W2489" t="str">
            <v>23. Bienes y Servicios para Producción</v>
          </cell>
          <cell r="Z2489" t="str">
            <v>I. Ganacia / Pérdida - No Oper</v>
          </cell>
          <cell r="AA2489" t="str">
            <v>5. Otras pérdidas No Oper.</v>
          </cell>
          <cell r="AB2489" t="str">
            <v>7. Otros Gastos Fuera Explotación</v>
          </cell>
          <cell r="AC2489" t="str">
            <v>I. Ganancia / Pérdida No Oper.</v>
          </cell>
          <cell r="AD2489" t="str">
            <v>4. Egresos No Oper.</v>
          </cell>
          <cell r="AE2489" t="str">
            <v>5. Otras pérdidas No Oper.</v>
          </cell>
          <cell r="AH2489" t="str">
            <v>6. Partidas significativas de gastos</v>
          </cell>
        </row>
        <row r="2490">
          <cell r="D2490" t="str">
            <v>4-2-02-01-22</v>
          </cell>
          <cell r="E2490" t="str">
            <v>4-2-02-01-22</v>
          </cell>
          <cell r="F2490" t="str">
            <v>Mantenimiento Sistema de Señales</v>
          </cell>
          <cell r="G2490" t="str">
            <v>4-2-02-01-22  Mantenimiento Sistema de Señales</v>
          </cell>
          <cell r="H2490" t="str">
            <v>Est. Resultado</v>
          </cell>
          <cell r="I2490" t="str">
            <v>Resultado</v>
          </cell>
          <cell r="J2490" t="str">
            <v>10. Otras Pérdidas</v>
          </cell>
          <cell r="K2490" t="str">
            <v>4. Otros Gastos Fuera Explotación</v>
          </cell>
          <cell r="L2490" t="str">
            <v>NO OPER</v>
          </cell>
          <cell r="N2490" t="str">
            <v>GANANCIAS (PERDIDAS) ANTES DE IMPUESTOS</v>
          </cell>
          <cell r="O2490" t="str">
            <v>GANANCIA (PÉRDIDA) NETA</v>
          </cell>
          <cell r="P2490" t="str">
            <v>Resultado Ingresos y Gastos Integrales</v>
          </cell>
          <cell r="Q2490" t="str">
            <v>I. Ganancia (pérdida), antes de impuestos</v>
          </cell>
          <cell r="R2490" t="str">
            <v>b. Ganancia (pérdida)</v>
          </cell>
          <cell r="S2490" t="str">
            <v>7. Otras ganancias (pérdidas)</v>
          </cell>
          <cell r="T2490" t="str">
            <v>3. Otros Gastos Fuera Explotación</v>
          </cell>
          <cell r="V2490" t="str">
            <v>II. Gastos</v>
          </cell>
          <cell r="W2490" t="str">
            <v>23. Bienes y Servicios para Producción</v>
          </cell>
          <cell r="Z2490" t="str">
            <v>I. Ganacia / Pérdida - No Oper</v>
          </cell>
          <cell r="AA2490" t="str">
            <v>5. Otras pérdidas No Oper.</v>
          </cell>
          <cell r="AB2490" t="str">
            <v>7. Otros Gastos Fuera Explotación</v>
          </cell>
          <cell r="AC2490" t="str">
            <v>I. Ganancia / Pérdida No Oper.</v>
          </cell>
          <cell r="AD2490" t="str">
            <v>4. Egresos No Oper.</v>
          </cell>
          <cell r="AE2490" t="str">
            <v>5. Otras pérdidas No Oper.</v>
          </cell>
          <cell r="AH2490" t="str">
            <v>6. Partidas significativas de gastos</v>
          </cell>
        </row>
        <row r="2491">
          <cell r="D2491" t="str">
            <v>4-2-02-01-25</v>
          </cell>
          <cell r="E2491" t="str">
            <v>4-2-02-01-25</v>
          </cell>
          <cell r="F2491" t="str">
            <v>Mantenimiento Maquinaria Y Vehiculos</v>
          </cell>
          <cell r="G2491" t="str">
            <v>4-2-02-01-25  Mantenimiento Maquinaria Y Vehiculos</v>
          </cell>
          <cell r="H2491" t="str">
            <v>Est. Resultado</v>
          </cell>
          <cell r="I2491" t="str">
            <v>Resultado</v>
          </cell>
          <cell r="J2491" t="str">
            <v>10. Otras Pérdidas</v>
          </cell>
          <cell r="K2491" t="str">
            <v>4. Otros Gastos Fuera Explotación</v>
          </cell>
          <cell r="L2491" t="str">
            <v>NO OPER</v>
          </cell>
          <cell r="N2491" t="str">
            <v>GANANCIAS (PERDIDAS) ANTES DE IMPUESTOS</v>
          </cell>
          <cell r="O2491" t="str">
            <v>GANANCIA (PÉRDIDA) NETA</v>
          </cell>
          <cell r="P2491" t="str">
            <v>Resultado Ingresos y Gastos Integrales</v>
          </cell>
          <cell r="Q2491" t="str">
            <v>I. Ganancia (pérdida), antes de impuestos</v>
          </cell>
          <cell r="R2491" t="str">
            <v>b. Ganancia (pérdida)</v>
          </cell>
          <cell r="S2491" t="str">
            <v>7. Otras ganancias (pérdidas)</v>
          </cell>
          <cell r="T2491" t="str">
            <v>3. Otros Gastos Fuera Explotación</v>
          </cell>
          <cell r="V2491" t="str">
            <v>II. Gastos</v>
          </cell>
          <cell r="W2491" t="str">
            <v>23. Bienes y Servicios para Producción</v>
          </cell>
          <cell r="Z2491" t="str">
            <v>I. Ganacia / Pérdida - No Oper</v>
          </cell>
          <cell r="AA2491" t="str">
            <v>5. Otras pérdidas No Oper.</v>
          </cell>
          <cell r="AB2491" t="str">
            <v>7. Otros Gastos Fuera Explotación</v>
          </cell>
          <cell r="AC2491" t="str">
            <v>I. Ganancia / Pérdida No Oper.</v>
          </cell>
          <cell r="AD2491" t="str">
            <v>4. Egresos No Oper.</v>
          </cell>
          <cell r="AE2491" t="str">
            <v>5. Otras pérdidas No Oper.</v>
          </cell>
          <cell r="AH2491" t="str">
            <v>6. Partidas significativas de gastos</v>
          </cell>
        </row>
        <row r="2492">
          <cell r="D2492" t="str">
            <v>4-2-02-01-26</v>
          </cell>
          <cell r="E2492" t="str">
            <v>4-2-02-01-26</v>
          </cell>
          <cell r="F2492" t="str">
            <v>Mantenimiento Equipos Electromecanicos</v>
          </cell>
          <cell r="G2492" t="str">
            <v>4-2-02-01-26  Mantenimiento Equipos Electromecanicos</v>
          </cell>
          <cell r="H2492" t="str">
            <v>Est. Resultado</v>
          </cell>
          <cell r="I2492" t="str">
            <v>Resultado</v>
          </cell>
          <cell r="J2492" t="str">
            <v>10. Otras Pérdidas</v>
          </cell>
          <cell r="K2492" t="str">
            <v>4. Otros Gastos Fuera Explotación</v>
          </cell>
          <cell r="L2492" t="str">
            <v>NO OPER</v>
          </cell>
          <cell r="N2492" t="str">
            <v>GANANCIAS (PERDIDAS) ANTES DE IMPUESTOS</v>
          </cell>
          <cell r="O2492" t="str">
            <v>GANANCIA (PÉRDIDA) NETA</v>
          </cell>
          <cell r="P2492" t="str">
            <v>Resultado Ingresos y Gastos Integrales</v>
          </cell>
          <cell r="Q2492" t="str">
            <v>I. Ganancia (pérdida), antes de impuestos</v>
          </cell>
          <cell r="R2492" t="str">
            <v>b. Ganancia (pérdida)</v>
          </cell>
          <cell r="S2492" t="str">
            <v>7. Otras ganancias (pérdidas)</v>
          </cell>
          <cell r="T2492" t="str">
            <v>3. Otros Gastos Fuera Explotación</v>
          </cell>
          <cell r="V2492" t="str">
            <v>II. Gastos</v>
          </cell>
          <cell r="W2492" t="str">
            <v>23. Bienes y Servicios para Producción</v>
          </cell>
          <cell r="Z2492" t="str">
            <v>I. Ganacia / Pérdida - No Oper</v>
          </cell>
          <cell r="AA2492" t="str">
            <v>5. Otras pérdidas No Oper.</v>
          </cell>
          <cell r="AB2492" t="str">
            <v>7. Otros Gastos Fuera Explotación</v>
          </cell>
          <cell r="AC2492" t="str">
            <v>I. Ganancia / Pérdida No Oper.</v>
          </cell>
          <cell r="AD2492" t="str">
            <v>4. Egresos No Oper.</v>
          </cell>
          <cell r="AE2492" t="str">
            <v>5. Otras pérdidas No Oper.</v>
          </cell>
          <cell r="AH2492" t="str">
            <v>6. Partidas significativas de gastos</v>
          </cell>
        </row>
        <row r="2493">
          <cell r="D2493" t="str">
            <v>4-2-02-01-27</v>
          </cell>
          <cell r="E2493" t="str">
            <v>4-2-02-01-27</v>
          </cell>
          <cell r="F2493" t="str">
            <v>Estudios Y Asesorias</v>
          </cell>
          <cell r="G2493" t="str">
            <v>4-2-02-01-27  Estudios Y Asesorias</v>
          </cell>
          <cell r="H2493" t="str">
            <v>Est. Resultado</v>
          </cell>
          <cell r="I2493" t="str">
            <v>Resultado</v>
          </cell>
          <cell r="J2493" t="str">
            <v>10. Otras Pérdidas</v>
          </cell>
          <cell r="K2493" t="str">
            <v>4. Otros Gastos Fuera Explotación</v>
          </cell>
          <cell r="L2493" t="str">
            <v>NO OPER</v>
          </cell>
          <cell r="N2493" t="str">
            <v>GANANCIAS (PERDIDAS) ANTES DE IMPUESTOS</v>
          </cell>
          <cell r="O2493" t="str">
            <v>GANANCIA (PÉRDIDA) NETA</v>
          </cell>
          <cell r="P2493" t="str">
            <v>Resultado Ingresos y Gastos Integrales</v>
          </cell>
          <cell r="Q2493" t="str">
            <v>I. Ganancia (pérdida), antes de impuestos</v>
          </cell>
          <cell r="R2493" t="str">
            <v>b. Ganancia (pérdida)</v>
          </cell>
          <cell r="S2493" t="str">
            <v>7. Otras ganancias (pérdidas)</v>
          </cell>
          <cell r="T2493" t="str">
            <v>3. Otros Gastos Fuera Explotación</v>
          </cell>
          <cell r="V2493" t="str">
            <v>II. Gastos</v>
          </cell>
          <cell r="W2493" t="str">
            <v>23. Bienes y Servicios para Producción</v>
          </cell>
          <cell r="Z2493" t="str">
            <v>I. Ganacia / Pérdida - No Oper</v>
          </cell>
          <cell r="AA2493" t="str">
            <v>5. Otras pérdidas No Oper.</v>
          </cell>
          <cell r="AB2493" t="str">
            <v>7. Otros Gastos Fuera Explotación</v>
          </cell>
          <cell r="AC2493" t="str">
            <v>I. Ganancia / Pérdida No Oper.</v>
          </cell>
          <cell r="AD2493" t="str">
            <v>4. Egresos No Oper.</v>
          </cell>
          <cell r="AE2493" t="str">
            <v>5. Otras pérdidas No Oper.</v>
          </cell>
          <cell r="AH2493" t="str">
            <v>6. Partidas significativas de gastos</v>
          </cell>
        </row>
        <row r="2494">
          <cell r="D2494" t="str">
            <v>4-2-02-01-31</v>
          </cell>
          <cell r="E2494" t="str">
            <v>4-2-02-01-31</v>
          </cell>
          <cell r="F2494" t="str">
            <v>Mantenimiento sistemas por cobrar a EFE</v>
          </cell>
          <cell r="G2494" t="str">
            <v>4-2-02-01-31  Mantenimiento sistemas por cobrar a EFE</v>
          </cell>
          <cell r="H2494" t="str">
            <v>Est. Resultado</v>
          </cell>
          <cell r="I2494" t="str">
            <v>Resultado</v>
          </cell>
          <cell r="J2494" t="str">
            <v>10. Otras Pérdidas</v>
          </cell>
          <cell r="K2494" t="str">
            <v>4. Otros Gastos Fuera Explotación</v>
          </cell>
          <cell r="L2494" t="str">
            <v>NO OPER</v>
          </cell>
          <cell r="N2494" t="str">
            <v>GANANCIAS (PERDIDAS) ANTES DE IMPUESTOS</v>
          </cell>
          <cell r="O2494" t="str">
            <v>GANANCIA (PÉRDIDA) NETA</v>
          </cell>
          <cell r="P2494" t="str">
            <v>Resultado Ingresos y Gastos Integrales</v>
          </cell>
          <cell r="Q2494" t="str">
            <v>I. Ganancia (pérdida), antes de impuestos</v>
          </cell>
          <cell r="R2494" t="str">
            <v>b. Ganancia (pérdida)</v>
          </cell>
          <cell r="S2494" t="str">
            <v>7. Otras ganancias (pérdidas)</v>
          </cell>
          <cell r="T2494" t="str">
            <v>3. Otros Gastos Fuera Explotación</v>
          </cell>
          <cell r="V2494" t="str">
            <v>II. Gastos</v>
          </cell>
          <cell r="W2494" t="str">
            <v>23. Bienes y Servicios para Producción</v>
          </cell>
          <cell r="Z2494" t="str">
            <v>I. Ganacia / Pérdida - No Oper</v>
          </cell>
          <cell r="AA2494" t="str">
            <v>5. Otras pérdidas No Oper.</v>
          </cell>
          <cell r="AB2494" t="str">
            <v>7. Otros Gastos Fuera Explotación</v>
          </cell>
          <cell r="AC2494" t="str">
            <v>I. Ganancia / Pérdida No Oper.</v>
          </cell>
          <cell r="AD2494" t="str">
            <v>4. Egresos No Oper.</v>
          </cell>
          <cell r="AE2494" t="str">
            <v>5. Otras pérdidas No Oper.</v>
          </cell>
          <cell r="AH2494" t="str">
            <v>6. Partidas significativas de gastos</v>
          </cell>
        </row>
        <row r="2495">
          <cell r="D2495" t="str">
            <v>4-2-02-01-99</v>
          </cell>
          <cell r="E2495" t="str">
            <v>4-2-02-01-99</v>
          </cell>
          <cell r="F2495" t="str">
            <v>Otros Egresos Fuera De La Explotación</v>
          </cell>
          <cell r="G2495" t="str">
            <v>4-2-02-01-99  Otros Egresos Fuera De La Explotación</v>
          </cell>
          <cell r="H2495" t="str">
            <v>Est. Resultado</v>
          </cell>
          <cell r="I2495" t="str">
            <v>Resultado</v>
          </cell>
          <cell r="J2495" t="str">
            <v>10. Otras Pérdidas</v>
          </cell>
          <cell r="K2495" t="str">
            <v>4. Otros Gastos Fuera Explotación</v>
          </cell>
          <cell r="L2495" t="str">
            <v>NO OPER</v>
          </cell>
          <cell r="N2495" t="str">
            <v>GANANCIAS (PERDIDAS) ANTES DE IMPUESTOS</v>
          </cell>
          <cell r="O2495" t="str">
            <v>GANANCIA (PÉRDIDA) NETA</v>
          </cell>
          <cell r="P2495" t="str">
            <v>Resultado Ingresos y Gastos Integrales</v>
          </cell>
          <cell r="Q2495" t="str">
            <v>I. Ganancia (pérdida), antes de impuestos</v>
          </cell>
          <cell r="R2495" t="str">
            <v>b. Ganancia (pérdida)</v>
          </cell>
          <cell r="S2495" t="str">
            <v>7. Otras ganancias (pérdidas)</v>
          </cell>
          <cell r="T2495" t="str">
            <v>3. Otros Gastos Fuera Explotación</v>
          </cell>
          <cell r="V2495" t="str">
            <v>II. Gastos</v>
          </cell>
          <cell r="W2495" t="str">
            <v>23. Bienes y Servicios para Producción</v>
          </cell>
          <cell r="Z2495" t="str">
            <v>I. Ganacia / Pérdida - No Oper</v>
          </cell>
          <cell r="AA2495" t="str">
            <v>5. Otras pérdidas No Oper.</v>
          </cell>
          <cell r="AB2495" t="str">
            <v>7. Otros Gastos Fuera Explotación</v>
          </cell>
          <cell r="AC2495" t="str">
            <v>I. Ganancia / Pérdida No Oper.</v>
          </cell>
          <cell r="AD2495" t="str">
            <v>4. Egresos No Oper.</v>
          </cell>
          <cell r="AE2495" t="str">
            <v>5. Otras pérdidas No Oper.</v>
          </cell>
          <cell r="AH2495" t="str">
            <v>6. Partidas significativas de gastos</v>
          </cell>
        </row>
        <row r="2496">
          <cell r="D2496" t="str">
            <v>4-2-02-01-03</v>
          </cell>
          <cell r="E2496" t="str">
            <v>4-2-02-01-03</v>
          </cell>
          <cell r="F2496" t="str">
            <v>Honorarios Alumnos En Práctica</v>
          </cell>
          <cell r="G2496" t="str">
            <v>4-2-02-01-03  Honorarios Alumnos En Práctica</v>
          </cell>
          <cell r="H2496" t="str">
            <v>Est. Resultado</v>
          </cell>
          <cell r="I2496" t="str">
            <v>Resultado</v>
          </cell>
          <cell r="J2496" t="str">
            <v>10. Otras Pérdidas</v>
          </cell>
          <cell r="K2496" t="str">
            <v>4. Otros Gastos Fuera Explotación</v>
          </cell>
          <cell r="L2496" t="str">
            <v>NO OPER</v>
          </cell>
          <cell r="N2496" t="str">
            <v>GANANCIAS (PERDIDAS) ANTES DE IMPUESTOS</v>
          </cell>
          <cell r="O2496" t="str">
            <v>GANANCIA (PÉRDIDA) NETA</v>
          </cell>
          <cell r="P2496" t="str">
            <v>Resultado Ingresos y Gastos Integrales</v>
          </cell>
          <cell r="Q2496" t="str">
            <v>I. Ganancia (pérdida), antes de impuestos</v>
          </cell>
          <cell r="R2496" t="str">
            <v>b. Ganancia (pérdida)</v>
          </cell>
          <cell r="S2496" t="str">
            <v>7. Otras ganancias (pérdidas)</v>
          </cell>
          <cell r="T2496" t="str">
            <v>3. Otros Gastos Fuera Explotación</v>
          </cell>
          <cell r="V2496" t="str">
            <v>II. Gastos</v>
          </cell>
          <cell r="W2496" t="str">
            <v>23. Bienes y Servicios para Producción</v>
          </cell>
          <cell r="Z2496" t="str">
            <v>I. Ganacia / Pérdida - No Oper</v>
          </cell>
          <cell r="AA2496" t="str">
            <v>5. Otras pérdidas No Oper.</v>
          </cell>
          <cell r="AB2496" t="str">
            <v>7. Otros Gastos Fuera Explotación</v>
          </cell>
          <cell r="AC2496" t="str">
            <v>I. Ganancia / Pérdida No Oper.</v>
          </cell>
          <cell r="AD2496" t="str">
            <v>4. Egresos No Oper.</v>
          </cell>
          <cell r="AE2496" t="str">
            <v>5. Otras pérdidas No Oper.</v>
          </cell>
          <cell r="AH2496" t="str">
            <v>6. Partidas significativas de gastos</v>
          </cell>
        </row>
        <row r="2497">
          <cell r="D2497" t="str">
            <v>4-2-02-01-01</v>
          </cell>
          <cell r="E2497" t="str">
            <v>4-2-02-01-01</v>
          </cell>
          <cell r="F2497" t="str">
            <v>Cargos Bancarios</v>
          </cell>
          <cell r="G2497" t="str">
            <v>4-2-02-01-01  Cargos Bancarios</v>
          </cell>
          <cell r="H2497" t="str">
            <v>Est. Resultado</v>
          </cell>
          <cell r="I2497" t="str">
            <v>Resultado</v>
          </cell>
          <cell r="J2497" t="str">
            <v>10. Otras Pérdidas</v>
          </cell>
          <cell r="K2497" t="str">
            <v>4. Otros Gastos Fuera Explotación</v>
          </cell>
          <cell r="L2497" t="str">
            <v>NO OPER</v>
          </cell>
          <cell r="N2497" t="str">
            <v>GANANCIAS (PERDIDAS) ANTES DE IMPUESTOS</v>
          </cell>
          <cell r="O2497" t="str">
            <v>GANANCIA (PÉRDIDA) NETA</v>
          </cell>
          <cell r="P2497" t="str">
            <v>Resultado Ingresos y Gastos Integrales</v>
          </cell>
          <cell r="Q2497" t="str">
            <v>I. Ganancia (pérdida), antes de impuestos</v>
          </cell>
          <cell r="R2497" t="str">
            <v>b. Ganancia (pérdida)</v>
          </cell>
          <cell r="S2497" t="str">
            <v>7. Otras ganancias (pérdidas)</v>
          </cell>
          <cell r="T2497" t="str">
            <v>3. Otros Gastos Fuera Explotación</v>
          </cell>
          <cell r="V2497" t="str">
            <v>II. Gastos</v>
          </cell>
          <cell r="W2497" t="str">
            <v>23. Bienes y Servicios para Producción</v>
          </cell>
          <cell r="Z2497" t="str">
            <v>I. Ganacia / Pérdida - No Oper</v>
          </cell>
          <cell r="AA2497" t="str">
            <v>5. Otras pérdidas No Oper.</v>
          </cell>
          <cell r="AB2497" t="str">
            <v>7. Otros Gastos Fuera Explotación</v>
          </cell>
          <cell r="AC2497" t="str">
            <v>I. Ganancia / Pérdida No Oper.</v>
          </cell>
          <cell r="AD2497" t="str">
            <v>4. Egresos No Oper.</v>
          </cell>
          <cell r="AE2497" t="str">
            <v>5. Otras pérdidas No Oper.</v>
          </cell>
          <cell r="AH2497" t="str">
            <v>6. Partidas significativas de gastos</v>
          </cell>
        </row>
        <row r="2498">
          <cell r="D2498" t="str">
            <v>4-2-02-01-07</v>
          </cell>
          <cell r="E2498" t="str">
            <v>4-2-02-01-07</v>
          </cell>
          <cell r="F2498" t="str">
            <v>Indemnizaciones varias</v>
          </cell>
          <cell r="G2498" t="str">
            <v>4-2-02-01-07  Indemnizaciones varias</v>
          </cell>
          <cell r="H2498" t="str">
            <v>Est. Resultado</v>
          </cell>
          <cell r="I2498" t="str">
            <v>Resultado</v>
          </cell>
          <cell r="J2498" t="str">
            <v>10. Otras Pérdidas</v>
          </cell>
          <cell r="K2498" t="str">
            <v>4. Otros Gastos Fuera Explotación</v>
          </cell>
          <cell r="L2498" t="str">
            <v>NO OPER</v>
          </cell>
          <cell r="N2498" t="str">
            <v>GANANCIAS (PERDIDAS) ANTES DE IMPUESTOS</v>
          </cell>
          <cell r="O2498" t="str">
            <v>GANANCIA (PÉRDIDA) NETA</v>
          </cell>
          <cell r="P2498" t="str">
            <v>Resultado Ingresos y Gastos Integrales</v>
          </cell>
          <cell r="Q2498" t="str">
            <v>I. Ganancia (pérdida), antes de impuestos</v>
          </cell>
          <cell r="R2498" t="str">
            <v>b. Ganancia (pérdida)</v>
          </cell>
          <cell r="S2498" t="str">
            <v>7. Otras ganancias (pérdidas)</v>
          </cell>
          <cell r="T2498" t="str">
            <v>3. Otros Gastos Fuera Explotación</v>
          </cell>
          <cell r="V2498" t="str">
            <v>II. Gastos</v>
          </cell>
          <cell r="W2498" t="str">
            <v>23. Bienes y Servicios para Producción</v>
          </cell>
          <cell r="Z2498" t="str">
            <v>I. Ganacia / Pérdida - No Oper</v>
          </cell>
          <cell r="AA2498" t="str">
            <v>5. Otras pérdidas No Oper.</v>
          </cell>
          <cell r="AB2498" t="str">
            <v>7. Otros Gastos Fuera Explotación</v>
          </cell>
          <cell r="AC2498" t="str">
            <v>I. Ganancia / Pérdida No Oper.</v>
          </cell>
          <cell r="AD2498" t="str">
            <v>4. Egresos No Oper.</v>
          </cell>
          <cell r="AE2498" t="str">
            <v>5. Otras pérdidas No Oper.</v>
          </cell>
          <cell r="AH2498" t="str">
            <v>6. Partidas significativas de gastos</v>
          </cell>
        </row>
        <row r="2499">
          <cell r="D2499" t="str">
            <v>4-2-02-01-08</v>
          </cell>
          <cell r="E2499" t="str">
            <v>4-2-02-01-08</v>
          </cell>
          <cell r="F2499" t="str">
            <v>Intereses Varios</v>
          </cell>
          <cell r="G2499" t="str">
            <v>4-2-02-01-08  Intereses Varios</v>
          </cell>
          <cell r="H2499" t="str">
            <v>Est. Resultado</v>
          </cell>
          <cell r="I2499" t="str">
            <v>Resultado</v>
          </cell>
          <cell r="J2499" t="str">
            <v>10. Otras Pérdidas</v>
          </cell>
          <cell r="K2499" t="str">
            <v>4. Otros Gastos Fuera Explotación</v>
          </cell>
          <cell r="L2499" t="str">
            <v>NO OPER</v>
          </cell>
          <cell r="N2499" t="str">
            <v>GANANCIAS (PERDIDAS) ANTES DE IMPUESTOS</v>
          </cell>
          <cell r="O2499" t="str">
            <v>GANANCIA (PÉRDIDA) NETA</v>
          </cell>
          <cell r="P2499" t="str">
            <v>Resultado Ingresos y Gastos Integrales</v>
          </cell>
          <cell r="Q2499" t="str">
            <v>I. Ganancia (pérdida), antes de impuestos</v>
          </cell>
          <cell r="R2499" t="str">
            <v>b. Ganancia (pérdida)</v>
          </cell>
          <cell r="S2499" t="str">
            <v>7. Otras ganancias (pérdidas)</v>
          </cell>
          <cell r="T2499" t="str">
            <v>3. Otros Gastos Fuera Explotación</v>
          </cell>
          <cell r="V2499" t="str">
            <v>II. Gastos</v>
          </cell>
          <cell r="W2499" t="str">
            <v>23. Bienes y Servicios para Producción</v>
          </cell>
          <cell r="Z2499" t="str">
            <v>I. Ganacia / Pérdida - No Oper</v>
          </cell>
          <cell r="AA2499" t="str">
            <v>5. Otras pérdidas No Oper.</v>
          </cell>
          <cell r="AB2499" t="str">
            <v>7. Otros Gastos Fuera Explotación</v>
          </cell>
          <cell r="AC2499" t="str">
            <v>I. Ganancia / Pérdida No Oper.</v>
          </cell>
          <cell r="AD2499" t="str">
            <v>4. Egresos No Oper.</v>
          </cell>
          <cell r="AE2499" t="str">
            <v>5. Otras pérdidas No Oper.</v>
          </cell>
          <cell r="AH2499" t="str">
            <v>6. Partidas significativas de gastos</v>
          </cell>
        </row>
        <row r="2500">
          <cell r="D2500" t="str">
            <v>4-2-02-01-13</v>
          </cell>
          <cell r="E2500" t="str">
            <v>4-2-02-01-13</v>
          </cell>
          <cell r="F2500" t="str">
            <v>Gastos Notariales</v>
          </cell>
          <cell r="G2500" t="str">
            <v>4-2-02-01-13  Gastos Notariales</v>
          </cell>
          <cell r="H2500" t="str">
            <v>Est. Resultado</v>
          </cell>
          <cell r="I2500" t="str">
            <v>Resultado</v>
          </cell>
          <cell r="J2500" t="str">
            <v>10. Otras Pérdidas</v>
          </cell>
          <cell r="K2500" t="str">
            <v>4. Otros Gastos Fuera Explotación</v>
          </cell>
          <cell r="L2500" t="str">
            <v>NO OPER</v>
          </cell>
          <cell r="N2500" t="str">
            <v>GANANCIAS (PERDIDAS) ANTES DE IMPUESTOS</v>
          </cell>
          <cell r="O2500" t="str">
            <v>GANANCIA (PÉRDIDA) NETA</v>
          </cell>
          <cell r="P2500" t="str">
            <v>Resultado Ingresos y Gastos Integrales</v>
          </cell>
          <cell r="Q2500" t="str">
            <v>I. Ganancia (pérdida), antes de impuestos</v>
          </cell>
          <cell r="R2500" t="str">
            <v>b. Ganancia (pérdida)</v>
          </cell>
          <cell r="S2500" t="str">
            <v>7. Otras ganancias (pérdidas)</v>
          </cell>
          <cell r="T2500" t="str">
            <v>3. Otros Gastos Fuera Explotación</v>
          </cell>
          <cell r="V2500" t="str">
            <v>II. Gastos</v>
          </cell>
          <cell r="W2500" t="str">
            <v>23. Bienes y Servicios para Producción</v>
          </cell>
          <cell r="Z2500" t="str">
            <v>I. Ganacia / Pérdida - No Oper</v>
          </cell>
          <cell r="AA2500" t="str">
            <v>5. Otras pérdidas No Oper.</v>
          </cell>
          <cell r="AB2500" t="str">
            <v>7. Otros Gastos Fuera Explotación</v>
          </cell>
          <cell r="AC2500" t="str">
            <v>I. Ganancia / Pérdida No Oper.</v>
          </cell>
          <cell r="AD2500" t="str">
            <v>4. Egresos No Oper.</v>
          </cell>
          <cell r="AE2500" t="str">
            <v>5. Otras pérdidas No Oper.</v>
          </cell>
          <cell r="AH2500" t="str">
            <v>6. Partidas significativas de gastos</v>
          </cell>
        </row>
        <row r="2501">
          <cell r="D2501">
            <v>0</v>
          </cell>
          <cell r="G2501" t="str">
            <v/>
          </cell>
        </row>
        <row r="2502">
          <cell r="D2502">
            <v>0</v>
          </cell>
          <cell r="G2502" t="str">
            <v/>
          </cell>
        </row>
        <row r="2503">
          <cell r="D2503" t="str">
            <v>Otros Gastos Fuera Explotación</v>
          </cell>
          <cell r="E2503" t="str">
            <v>Otros Gastos Fuera Explotación</v>
          </cell>
          <cell r="G2503" t="str">
            <v xml:space="preserve">Otros Gastos Fuera Explotación  </v>
          </cell>
          <cell r="Q2503">
            <v>0</v>
          </cell>
          <cell r="R2503" t="str">
            <v/>
          </cell>
        </row>
        <row r="2504">
          <cell r="D2504" t="str">
            <v>3-2-02-09-01</v>
          </cell>
          <cell r="E2504" t="str">
            <v>3-2-02-09-01</v>
          </cell>
          <cell r="F2504" t="str">
            <v>Diferencias De Cambio ( Ingreso )</v>
          </cell>
          <cell r="G2504" t="str">
            <v>3-2-02-09-01  Diferencias De Cambio ( Ingreso )</v>
          </cell>
          <cell r="H2504" t="str">
            <v>Est. Resultado</v>
          </cell>
          <cell r="I2504" t="str">
            <v>Resultado</v>
          </cell>
          <cell r="J2504" t="str">
            <v>10. Otras Pérdidas</v>
          </cell>
          <cell r="K2504" t="str">
            <v>5. Diferencias de Cambio</v>
          </cell>
          <cell r="L2504" t="str">
            <v>NO OPER</v>
          </cell>
          <cell r="N2504" t="str">
            <v>GANANCIAS (PERDIDAS) ANTES DE IMPUESTOS</v>
          </cell>
          <cell r="O2504" t="str">
            <v>GANANCIA (PÉRDIDA) NETA</v>
          </cell>
          <cell r="P2504" t="str">
            <v>Resultado Ingresos y Gastos Integrales</v>
          </cell>
          <cell r="Q2504" t="str">
            <v>I. Ganancia (pérdida), antes de impuestos</v>
          </cell>
          <cell r="R2504" t="str">
            <v>b. Ganancia (pérdida)</v>
          </cell>
          <cell r="S2504" t="str">
            <v>11. Diferencias de cambio</v>
          </cell>
          <cell r="T2504" t="str">
            <v>1. Diferencia de Cambio</v>
          </cell>
          <cell r="Z2504" t="str">
            <v>I. Ganacia / Pérdida - No Oper</v>
          </cell>
          <cell r="AA2504" t="str">
            <v>7. Diferencias de Cambio</v>
          </cell>
          <cell r="AB2504" t="str">
            <v>10. Diferencias de Cambio</v>
          </cell>
          <cell r="AC2504" t="str">
            <v>I. Ganancia / Pérdida No Oper.</v>
          </cell>
          <cell r="AD2504" t="str">
            <v>7. Diferencias de Cambio</v>
          </cell>
          <cell r="AE2504" t="str">
            <v>1. Dif. de Cambio</v>
          </cell>
          <cell r="AH2504" t="str">
            <v>6. Partidas significativas de gastos</v>
          </cell>
        </row>
        <row r="2505">
          <cell r="D2505" t="str">
            <v>4-2-02-03-01</v>
          </cell>
          <cell r="E2505" t="str">
            <v>4-2-02-03-01</v>
          </cell>
          <cell r="F2505" t="str">
            <v>Diferencias De Cambio ( Gasto )</v>
          </cell>
          <cell r="G2505" t="str">
            <v>4-2-02-03-01  Diferencias De Cambio ( Gasto )</v>
          </cell>
          <cell r="H2505" t="str">
            <v>Est. Resultado</v>
          </cell>
          <cell r="I2505" t="str">
            <v>Resultado</v>
          </cell>
          <cell r="J2505" t="str">
            <v>10. Otras Pérdidas</v>
          </cell>
          <cell r="K2505" t="str">
            <v>5. Diferencias de Cambio</v>
          </cell>
          <cell r="L2505" t="str">
            <v>NO OPER</v>
          </cell>
          <cell r="N2505" t="str">
            <v>GANANCIAS (PERDIDAS) ANTES DE IMPUESTOS</v>
          </cell>
          <cell r="O2505" t="str">
            <v>GANANCIA (PÉRDIDA) NETA</v>
          </cell>
          <cell r="P2505" t="str">
            <v>Resultado Ingresos y Gastos Integrales</v>
          </cell>
          <cell r="Q2505" t="str">
            <v>I. Ganancia (pérdida), antes de impuestos</v>
          </cell>
          <cell r="R2505" t="str">
            <v>b. Ganancia (pérdida)</v>
          </cell>
          <cell r="S2505" t="str">
            <v>11. Diferencias de cambio</v>
          </cell>
          <cell r="T2505" t="str">
            <v>1. Diferencia de Cambio</v>
          </cell>
          <cell r="Z2505" t="str">
            <v>I. Ganacia / Pérdida - No Oper</v>
          </cell>
          <cell r="AA2505" t="str">
            <v>7. Diferencias de Cambio</v>
          </cell>
          <cell r="AB2505" t="str">
            <v>10. Diferencias de Cambio</v>
          </cell>
          <cell r="AC2505" t="str">
            <v>I. Ganancia / Pérdida No Oper.</v>
          </cell>
          <cell r="AD2505" t="str">
            <v>7. Diferencias de Cambio</v>
          </cell>
          <cell r="AE2505" t="str">
            <v>1. Dif. de Cambio</v>
          </cell>
          <cell r="AH2505" t="str">
            <v>6. Partidas significativas de gastos</v>
          </cell>
        </row>
        <row r="2506">
          <cell r="D2506">
            <v>0</v>
          </cell>
          <cell r="G2506" t="str">
            <v/>
          </cell>
        </row>
        <row r="2507">
          <cell r="D2507">
            <v>0</v>
          </cell>
          <cell r="F2507" t="str">
            <v/>
          </cell>
          <cell r="G2507" t="str">
            <v/>
          </cell>
        </row>
        <row r="2508">
          <cell r="D2508" t="str">
            <v>Diferencias de Cambio</v>
          </cell>
          <cell r="E2508" t="str">
            <v>Diferencias de Cambio</v>
          </cell>
          <cell r="G2508" t="str">
            <v xml:space="preserve">Diferencias de Cambio  </v>
          </cell>
          <cell r="Q2508">
            <v>0</v>
          </cell>
          <cell r="R2508" t="str">
            <v/>
          </cell>
        </row>
        <row r="2509">
          <cell r="D2509" t="str">
            <v>4-2-02-04-01</v>
          </cell>
          <cell r="E2509" t="str">
            <v>4-2-02-04-01</v>
          </cell>
          <cell r="F2509" t="str">
            <v>Resultado Por Unidades De Reajuste ( Gas</v>
          </cell>
          <cell r="G2509" t="str">
            <v>4-2-02-04-01  Resultado Por Unidades De Reajuste ( Gas</v>
          </cell>
          <cell r="H2509" t="str">
            <v>Est. Resultado</v>
          </cell>
          <cell r="I2509" t="str">
            <v>Resultado</v>
          </cell>
          <cell r="J2509" t="str">
            <v>10. Otras Pérdidas</v>
          </cell>
          <cell r="K2509" t="str">
            <v>6. Resultado Unidad de Reajuste</v>
          </cell>
          <cell r="L2509" t="str">
            <v>NO OPER</v>
          </cell>
          <cell r="N2509" t="str">
            <v>GANANCIAS (PERDIDAS) ANTES DE IMPUESTOS</v>
          </cell>
          <cell r="O2509" t="str">
            <v>GANANCIA (PÉRDIDA) NETA</v>
          </cell>
          <cell r="P2509" t="str">
            <v>Resultado Ingresos y Gastos Integrales</v>
          </cell>
          <cell r="Q2509" t="str">
            <v>I. Ganancia (pérdida), antes de impuestos</v>
          </cell>
          <cell r="R2509" t="str">
            <v>b. Ganancia (pérdida)</v>
          </cell>
          <cell r="S2509" t="str">
            <v>12. Resultados por unidades de reajuste</v>
          </cell>
          <cell r="T2509" t="str">
            <v>1. Resultado Unidad de Reajuste</v>
          </cell>
          <cell r="Z2509" t="str">
            <v>I. Ganacia / Pérdida - No Oper</v>
          </cell>
          <cell r="AA2509" t="str">
            <v>6. Unidad de Reajuste</v>
          </cell>
          <cell r="AB2509" t="str">
            <v>9. Resultado Unidad de Reajuste</v>
          </cell>
          <cell r="AC2509" t="str">
            <v>I. Ganancia / Pérdida No Oper.</v>
          </cell>
          <cell r="AD2509" t="str">
            <v>6. Unidad de Reajuste</v>
          </cell>
          <cell r="AE2509" t="str">
            <v>6. Unid. de Reajuste</v>
          </cell>
          <cell r="AH2509" t="str">
            <v>6. Partidas significativas de gastos</v>
          </cell>
        </row>
        <row r="2510">
          <cell r="D2510" t="str">
            <v>3-2-02-06-01</v>
          </cell>
          <cell r="E2510" t="str">
            <v>3-2-02-06-01</v>
          </cell>
          <cell r="F2510" t="str">
            <v>Resultados Por Unidades De Reajustes ( I</v>
          </cell>
          <cell r="G2510" t="str">
            <v>3-2-02-06-01  Resultados Por Unidades De Reajustes ( I</v>
          </cell>
          <cell r="H2510" t="str">
            <v>Est. Resultado</v>
          </cell>
          <cell r="I2510" t="str">
            <v>Resultado</v>
          </cell>
          <cell r="J2510" t="str">
            <v>10. Otras Pérdidas</v>
          </cell>
          <cell r="K2510" t="str">
            <v>6. Resultado Unidad de Reajuste</v>
          </cell>
          <cell r="L2510" t="str">
            <v>NO OPER</v>
          </cell>
          <cell r="N2510" t="str">
            <v>GANANCIAS (PERDIDAS) ANTES DE IMPUESTOS</v>
          </cell>
          <cell r="O2510" t="str">
            <v>GANANCIA (PÉRDIDA) NETA</v>
          </cell>
          <cell r="P2510" t="str">
            <v>Resultado Ingresos y Gastos Integrales</v>
          </cell>
          <cell r="Q2510" t="str">
            <v>I. Ganancia (pérdida), antes de impuestos</v>
          </cell>
          <cell r="R2510" t="str">
            <v>b. Ganancia (pérdida)</v>
          </cell>
          <cell r="S2510" t="str">
            <v>12. Resultados por unidades de reajuste</v>
          </cell>
          <cell r="T2510" t="str">
            <v>1. Resultado Unidad de Reajuste</v>
          </cell>
          <cell r="Z2510" t="str">
            <v>I. Ganacia / Pérdida - No Oper</v>
          </cell>
          <cell r="AA2510" t="str">
            <v>6. Unidad de Reajuste</v>
          </cell>
          <cell r="AB2510" t="str">
            <v>9. Resultado Unidad de Reajuste</v>
          </cell>
          <cell r="AC2510" t="str">
            <v>I. Ganancia / Pérdida No Oper.</v>
          </cell>
          <cell r="AD2510" t="str">
            <v>6. Unidad de Reajuste</v>
          </cell>
          <cell r="AE2510" t="str">
            <v>6. Unid. de Reajuste</v>
          </cell>
          <cell r="AH2510" t="str">
            <v>6. Partidas significativas de gastos</v>
          </cell>
        </row>
        <row r="2511">
          <cell r="D2511">
            <v>0</v>
          </cell>
          <cell r="G2511" t="str">
            <v/>
          </cell>
        </row>
        <row r="2512">
          <cell r="D2512">
            <v>0</v>
          </cell>
          <cell r="F2512" t="str">
            <v/>
          </cell>
          <cell r="G2512" t="str">
            <v/>
          </cell>
        </row>
        <row r="2513">
          <cell r="D2513" t="str">
            <v>Resultado Unidad de Reajuste</v>
          </cell>
          <cell r="E2513" t="str">
            <v>Resultado Unidad de Reajuste</v>
          </cell>
          <cell r="F2513" t="str">
            <v/>
          </cell>
          <cell r="G2513" t="str">
            <v xml:space="preserve">Resultado Unidad de Reajuste  </v>
          </cell>
          <cell r="Q2513">
            <v>0</v>
          </cell>
          <cell r="R2513" t="str">
            <v/>
          </cell>
        </row>
        <row r="2514">
          <cell r="D2514" t="str">
            <v>OTRAS PERDIDAS</v>
          </cell>
          <cell r="E2514" t="str">
            <v>OTRAS PERDIDAS</v>
          </cell>
          <cell r="F2514" t="str">
            <v/>
          </cell>
          <cell r="G2514" t="str">
            <v xml:space="preserve">OTRAS PERDIDAS  </v>
          </cell>
          <cell r="Q2514">
            <v>0</v>
          </cell>
          <cell r="R2514" t="str">
            <v/>
          </cell>
        </row>
        <row r="2515">
          <cell r="D2515" t="str">
            <v>GANANCIAS (PERDIDAS) ANTES DE IMPUESTOS</v>
          </cell>
          <cell r="E2515" t="str">
            <v>GANANCIAS (PERDIDAS) ANTES DE IMPUESTOS</v>
          </cell>
          <cell r="F2515" t="str">
            <v/>
          </cell>
          <cell r="G2515" t="str">
            <v xml:space="preserve">GANANCIAS (PERDIDAS) ANTES DE IMPUESTOS  </v>
          </cell>
          <cell r="Q2515">
            <v>0</v>
          </cell>
          <cell r="R2515" t="str">
            <v/>
          </cell>
        </row>
        <row r="2516">
          <cell r="D2516">
            <v>0</v>
          </cell>
          <cell r="F2516" t="str">
            <v/>
          </cell>
          <cell r="G2516" t="str">
            <v/>
          </cell>
          <cell r="Q2516">
            <v>0</v>
          </cell>
          <cell r="R2516" t="str">
            <v/>
          </cell>
          <cell r="Z2516">
            <v>0</v>
          </cell>
          <cell r="AA2516">
            <v>0</v>
          </cell>
          <cell r="AD2516">
            <v>0</v>
          </cell>
          <cell r="AE2516">
            <v>0</v>
          </cell>
          <cell r="AH2516" t="str">
            <v>8. Gasto (ingreso) sobre impuesto a la renta</v>
          </cell>
        </row>
        <row r="2517">
          <cell r="D2517" t="str">
            <v>Impuesto a la Renta</v>
          </cell>
          <cell r="E2517" t="str">
            <v>Impuesto a la Renta</v>
          </cell>
          <cell r="F2517" t="str">
            <v/>
          </cell>
          <cell r="G2517" t="str">
            <v xml:space="preserve">Impuesto a la Renta  </v>
          </cell>
          <cell r="Q2517">
            <v>0</v>
          </cell>
          <cell r="R2517" t="str">
            <v/>
          </cell>
        </row>
        <row r="2518">
          <cell r="D2518" t="str">
            <v>GANANCIAS (PERDIDA) NETA</v>
          </cell>
          <cell r="E2518" t="str">
            <v>GANANCIAS (PERDIDA) NETA</v>
          </cell>
          <cell r="F2518" t="str">
            <v/>
          </cell>
          <cell r="G2518" t="str">
            <v xml:space="preserve">GANANCIAS (PERDIDA) NETA  </v>
          </cell>
          <cell r="Q2518">
            <v>0</v>
          </cell>
          <cell r="R2518" t="str">
            <v/>
          </cell>
        </row>
        <row r="2519">
          <cell r="D2519" t="str">
            <v>Resultado Ingresos y Gastos Integrales</v>
          </cell>
          <cell r="E2519" t="str">
            <v>Resultado Ingresos y Gastos Integrales</v>
          </cell>
          <cell r="F2519" t="str">
            <v/>
          </cell>
          <cell r="G2519" t="str">
            <v xml:space="preserve">Resultado Ingresos y Gastos Integrales  </v>
          </cell>
          <cell r="Q2519">
            <v>0</v>
          </cell>
          <cell r="R2519" t="str">
            <v/>
          </cell>
        </row>
        <row r="2520">
          <cell r="D2520">
            <v>0</v>
          </cell>
          <cell r="G2520" t="str">
            <v/>
          </cell>
          <cell r="H2520" t="str">
            <v/>
          </cell>
          <cell r="I2520" t="str">
            <v/>
          </cell>
          <cell r="Q2520" t="str">
            <v/>
          </cell>
        </row>
        <row r="2521">
          <cell r="D2521">
            <v>0</v>
          </cell>
          <cell r="G2521" t="str">
            <v/>
          </cell>
          <cell r="H2521" t="str">
            <v/>
          </cell>
          <cell r="I2521" t="str">
            <v/>
          </cell>
          <cell r="Q2521">
            <v>0</v>
          </cell>
          <cell r="R2521" t="str">
            <v/>
          </cell>
        </row>
        <row r="2522">
          <cell r="D2522" t="str">
            <v>4319999991</v>
          </cell>
          <cell r="E2522" t="str">
            <v>4319999991</v>
          </cell>
          <cell r="F2522" t="str">
            <v>Interés minoritario</v>
          </cell>
          <cell r="G2522" t="str">
            <v>4319999991  Interés minoritario</v>
          </cell>
          <cell r="H2522" t="str">
            <v>Est. Resultado</v>
          </cell>
          <cell r="I2522" t="str">
            <v>Resultado</v>
          </cell>
          <cell r="J2522" t="str">
            <v>12, Interés minoritario</v>
          </cell>
          <cell r="K2522" t="str">
            <v>1. Interés Minoritario</v>
          </cell>
          <cell r="L2522" t="str">
            <v>NO OPER</v>
          </cell>
          <cell r="O2522" t="str">
            <v>GANANCIA (PÉRDIDA) NETA</v>
          </cell>
          <cell r="P2522" t="str">
            <v>Resultado Ingresos y Gastos Integrales</v>
          </cell>
          <cell r="Q2522" t="str">
            <v>III. Ganancia (pérdida), atribuible</v>
          </cell>
          <cell r="R2522" t="str">
            <v>d. Ganancia (pérdida), atribuible a</v>
          </cell>
          <cell r="S2522" t="str">
            <v>1. Ganancia (pérdida), atribuible a participaciones no controladoras</v>
          </cell>
          <cell r="T2522" t="str">
            <v>1. Interés Minoritario</v>
          </cell>
          <cell r="Z2522" t="str">
            <v>III, Interés minoritario</v>
          </cell>
          <cell r="AA2522" t="str">
            <v>1. Interés Minoritario</v>
          </cell>
          <cell r="AC2522" t="str">
            <v>II. Impuestos</v>
          </cell>
          <cell r="AD2522" t="str">
            <v>1. Particip. No Controladora</v>
          </cell>
          <cell r="AE2522" t="str">
            <v>1. Interés Minoritario</v>
          </cell>
          <cell r="AH2522" t="str">
            <v>6. Partidas significativas de gastos</v>
          </cell>
        </row>
        <row r="2523">
          <cell r="D2523">
            <v>0</v>
          </cell>
          <cell r="G2523" t="str">
            <v/>
          </cell>
        </row>
        <row r="2524">
          <cell r="D2524">
            <v>0</v>
          </cell>
          <cell r="G2524" t="str">
            <v/>
          </cell>
        </row>
        <row r="2525">
          <cell r="D2525">
            <v>0</v>
          </cell>
          <cell r="G2525" t="str">
            <v/>
          </cell>
        </row>
        <row r="2526">
          <cell r="D2526">
            <v>0</v>
          </cell>
          <cell r="G2526" t="str">
            <v/>
          </cell>
          <cell r="H2526" t="str">
            <v/>
          </cell>
        </row>
        <row r="2527">
          <cell r="D2527" t="str">
            <v>4101001</v>
          </cell>
          <cell r="E2527" t="str">
            <v>4101001</v>
          </cell>
          <cell r="F2527" t="str">
            <v>Venta de Inmuebles Propios</v>
          </cell>
          <cell r="G2527" t="str">
            <v>4101001  Venta de Inmuebles Propios</v>
          </cell>
          <cell r="H2527" t="str">
            <v>Est. Resultado</v>
          </cell>
          <cell r="I2527" t="str">
            <v>Resultado</v>
          </cell>
          <cell r="J2527" t="str">
            <v>1. Ingresos Ordinarios</v>
          </cell>
          <cell r="K2527" t="str">
            <v>6. Venta de Servicios y Otros</v>
          </cell>
          <cell r="L2527" t="str">
            <v>EBITDA</v>
          </cell>
          <cell r="M2527" t="str">
            <v>MARGEN BRUTO</v>
          </cell>
          <cell r="N2527" t="str">
            <v>GANANCIAS (PERDIDAS) ANTES DE IMPUESTOS</v>
          </cell>
          <cell r="O2527" t="str">
            <v>GANANCIA (PÉRDIDA) NETA</v>
          </cell>
          <cell r="P2527" t="str">
            <v>Resultado Ingresos y Gastos Integrales</v>
          </cell>
          <cell r="Q2527" t="str">
            <v>I. Ganancia (pérdida), antes de impuestos</v>
          </cell>
          <cell r="R2527" t="str">
            <v>a. Ganancia bruta</v>
          </cell>
          <cell r="S2527" t="str">
            <v>1. Ingresos de actividades ordinarias</v>
          </cell>
          <cell r="T2527" t="str">
            <v>6. Venta de Servicios y Otros</v>
          </cell>
          <cell r="V2527" t="str">
            <v>I. Ingresos</v>
          </cell>
          <cell r="W2527" t="str">
            <v>1. Ingresos de Operación</v>
          </cell>
          <cell r="Z2527" t="str">
            <v>I. Ingresos Ordinarios</v>
          </cell>
          <cell r="AA2527" t="str">
            <v>7. Venta de Servicios y Otros</v>
          </cell>
          <cell r="AC2527" t="str">
            <v>I. Ingresos</v>
          </cell>
          <cell r="AD2527" t="str">
            <v>3. Inmobiliarios</v>
          </cell>
          <cell r="AE2527" t="str">
            <v>7. Venta de Servicios y Otros</v>
          </cell>
          <cell r="AH2527" t="str">
            <v>1. Ingresos de las actividades ordinarias procedentes de clientes externos</v>
          </cell>
        </row>
        <row r="2528">
          <cell r="D2528" t="str">
            <v>4101101</v>
          </cell>
          <cell r="E2528" t="str">
            <v>4101101</v>
          </cell>
          <cell r="F2528" t="str">
            <v>Venta de Inmuebles Propios</v>
          </cell>
          <cell r="G2528" t="str">
            <v>4101101  Venta de Inmuebles Propios</v>
          </cell>
          <cell r="H2528" t="str">
            <v>Est. Resultado</v>
          </cell>
          <cell r="I2528" t="str">
            <v>Resultado</v>
          </cell>
          <cell r="J2528" t="str">
            <v>1. Ingresos Ordinarios</v>
          </cell>
          <cell r="K2528" t="str">
            <v>6. Venta de Servicios y Otros</v>
          </cell>
          <cell r="L2528" t="str">
            <v>EBITDA</v>
          </cell>
          <cell r="M2528" t="str">
            <v>MARGEN BRUTO</v>
          </cell>
          <cell r="N2528" t="str">
            <v>GANANCIAS (PERDIDAS) ANTES DE IMPUESTOS</v>
          </cell>
          <cell r="O2528" t="str">
            <v>GANANCIA (PÉRDIDA) NETA</v>
          </cell>
          <cell r="P2528" t="str">
            <v>Resultado Ingresos y Gastos Integrales</v>
          </cell>
          <cell r="Q2528" t="str">
            <v>I. Ganancia (pérdida), antes de impuestos</v>
          </cell>
          <cell r="R2528" t="str">
            <v>a. Ganancia bruta</v>
          </cell>
          <cell r="S2528" t="str">
            <v>1. Ingresos de actividades ordinarias</v>
          </cell>
          <cell r="T2528" t="str">
            <v>6. Venta de Servicios y Otros</v>
          </cell>
          <cell r="V2528" t="str">
            <v>I. Ingresos</v>
          </cell>
          <cell r="W2528" t="str">
            <v>1. Ingresos de Operación</v>
          </cell>
          <cell r="Z2528" t="str">
            <v>I. Ingresos Ordinarios</v>
          </cell>
          <cell r="AA2528" t="str">
            <v>7. Venta de Servicios y Otros</v>
          </cell>
          <cell r="AC2528" t="str">
            <v>I. Ingresos</v>
          </cell>
          <cell r="AD2528" t="str">
            <v>3. Inmobiliarios</v>
          </cell>
          <cell r="AE2528" t="str">
            <v>7. Venta de Servicios y Otros</v>
          </cell>
          <cell r="AH2528" t="str">
            <v>1. Ingresos de las actividades ordinarias procedentes de clientes externos</v>
          </cell>
        </row>
        <row r="2529">
          <cell r="D2529" t="str">
            <v>4102001</v>
          </cell>
          <cell r="E2529" t="str">
            <v>4102001</v>
          </cell>
          <cell r="F2529" t="str">
            <v>Arriendos Propios</v>
          </cell>
          <cell r="G2529" t="str">
            <v>4102001  Arriendos Propios</v>
          </cell>
          <cell r="H2529" t="str">
            <v>Est. Resultado</v>
          </cell>
          <cell r="I2529" t="str">
            <v>Resultado</v>
          </cell>
          <cell r="J2529" t="str">
            <v>1. Ingresos Ordinarios</v>
          </cell>
          <cell r="K2529" t="str">
            <v>6. Venta de Servicios y Otros</v>
          </cell>
          <cell r="L2529" t="str">
            <v>EBITDA</v>
          </cell>
          <cell r="M2529" t="str">
            <v>MARGEN BRUTO</v>
          </cell>
          <cell r="N2529" t="str">
            <v>GANANCIAS (PERDIDAS) ANTES DE IMPUESTOS</v>
          </cell>
          <cell r="O2529" t="str">
            <v>GANANCIA (PÉRDIDA) NETA</v>
          </cell>
          <cell r="P2529" t="str">
            <v>Resultado Ingresos y Gastos Integrales</v>
          </cell>
          <cell r="Q2529" t="str">
            <v>I. Ganancia (pérdida), antes de impuestos</v>
          </cell>
          <cell r="R2529" t="str">
            <v>a. Ganancia bruta</v>
          </cell>
          <cell r="S2529" t="str">
            <v>1. Ingresos de actividades ordinarias</v>
          </cell>
          <cell r="T2529" t="str">
            <v>6. Venta de Servicios y Otros</v>
          </cell>
          <cell r="V2529" t="str">
            <v>I. Ingresos</v>
          </cell>
          <cell r="W2529" t="str">
            <v>1. Ingresos de Operación</v>
          </cell>
          <cell r="Z2529" t="str">
            <v>I. Ingresos Ordinarios</v>
          </cell>
          <cell r="AA2529" t="str">
            <v>7. Venta de Servicios y Otros</v>
          </cell>
          <cell r="AC2529" t="str">
            <v>I. Ingresos</v>
          </cell>
          <cell r="AD2529" t="str">
            <v>3. Inmobiliarios</v>
          </cell>
          <cell r="AE2529" t="str">
            <v>7. Venta de Servicios y Otros</v>
          </cell>
          <cell r="AH2529" t="str">
            <v>1. Ingresos de las actividades ordinarias procedentes de clientes externos</v>
          </cell>
        </row>
        <row r="2530">
          <cell r="D2530">
            <v>0</v>
          </cell>
          <cell r="G2530" t="str">
            <v/>
          </cell>
          <cell r="H2530" t="str">
            <v>Est. Resultado</v>
          </cell>
          <cell r="I2530" t="str">
            <v>Resultado</v>
          </cell>
          <cell r="J2530" t="str">
            <v>1. Ingresos Ordinarios</v>
          </cell>
          <cell r="K2530" t="str">
            <v>6. Venta de Servicios y Otros</v>
          </cell>
          <cell r="L2530" t="str">
            <v>EBITDA</v>
          </cell>
          <cell r="M2530" t="str">
            <v>MARGEN BRUTO</v>
          </cell>
          <cell r="N2530" t="str">
            <v>GANANCIAS (PERDIDAS) ANTES DE IMPUESTOS</v>
          </cell>
          <cell r="O2530" t="str">
            <v>GANANCIA (PÉRDIDA) NETA</v>
          </cell>
          <cell r="P2530" t="str">
            <v>Resultado Ingresos y Gastos Integrales</v>
          </cell>
          <cell r="Q2530" t="str">
            <v>I. Ganancia (pérdida), antes de impuestos</v>
          </cell>
          <cell r="R2530" t="str">
            <v>a. Ganancia bruta</v>
          </cell>
          <cell r="S2530" t="str">
            <v>1. Ingresos de actividades ordinarias</v>
          </cell>
          <cell r="T2530" t="str">
            <v>6. Venta de Servicios y Otros</v>
          </cell>
          <cell r="V2530" t="str">
            <v>I. Ingresos</v>
          </cell>
          <cell r="W2530" t="str">
            <v>1. Ingresos de Operación</v>
          </cell>
          <cell r="Z2530" t="str">
            <v>I. Ingresos Ordinarios</v>
          </cell>
          <cell r="AA2530" t="str">
            <v>7. Venta de Servicios y Otros</v>
          </cell>
          <cell r="AC2530" t="str">
            <v>I. Ingresos</v>
          </cell>
          <cell r="AD2530" t="str">
            <v>3. Inmobiliarios</v>
          </cell>
          <cell r="AE2530" t="str">
            <v>7. Venta de Servicios y Otros</v>
          </cell>
          <cell r="AH2530" t="str">
            <v>1. Ingresos de las actividades ordinarias procedentes de clientes externos</v>
          </cell>
        </row>
        <row r="2531">
          <cell r="D2531">
            <v>0</v>
          </cell>
          <cell r="G2531" t="str">
            <v/>
          </cell>
          <cell r="H2531" t="str">
            <v>Est. Resultado</v>
          </cell>
          <cell r="I2531" t="str">
            <v>Resultado</v>
          </cell>
          <cell r="J2531" t="str">
            <v>1. Ingresos Ordinarios</v>
          </cell>
          <cell r="K2531" t="str">
            <v>6. Venta de Servicios y Otros</v>
          </cell>
          <cell r="L2531" t="str">
            <v>EBITDA</v>
          </cell>
          <cell r="M2531" t="str">
            <v>MARGEN BRUTO</v>
          </cell>
          <cell r="N2531" t="str">
            <v>GANANCIAS (PERDIDAS) ANTES DE IMPUESTOS</v>
          </cell>
          <cell r="O2531" t="str">
            <v>GANANCIA (PÉRDIDA) NETA</v>
          </cell>
          <cell r="P2531" t="str">
            <v>Resultado Ingresos y Gastos Integrales</v>
          </cell>
          <cell r="Q2531" t="str">
            <v>I. Ganancia (pérdida), antes de impuestos</v>
          </cell>
          <cell r="R2531" t="str">
            <v>a. Ganancia bruta</v>
          </cell>
          <cell r="S2531" t="str">
            <v>1. Ingresos de actividades ordinarias</v>
          </cell>
          <cell r="T2531" t="str">
            <v>6. Venta de Servicios y Otros</v>
          </cell>
          <cell r="V2531" t="str">
            <v>I. Ingresos</v>
          </cell>
          <cell r="W2531" t="str">
            <v>1. Ingresos de Operación</v>
          </cell>
          <cell r="Z2531" t="str">
            <v>I. Ingresos Ordinarios</v>
          </cell>
          <cell r="AA2531" t="str">
            <v>7. Venta de Servicios y Otros</v>
          </cell>
          <cell r="AC2531" t="str">
            <v>I. Ingresos</v>
          </cell>
          <cell r="AD2531" t="str">
            <v>3. Inmobiliarios</v>
          </cell>
          <cell r="AE2531" t="str">
            <v>7. Venta de Servicios y Otros</v>
          </cell>
          <cell r="AH2531" t="str">
            <v>1. Ingresos de las actividades ordinarias procedentes de clientes externos</v>
          </cell>
        </row>
        <row r="2532">
          <cell r="D2532" t="str">
            <v>Venta de Servicios y Otros</v>
          </cell>
          <cell r="E2532" t="str">
            <v>Venta de Servicios y Otros</v>
          </cell>
          <cell r="G2532" t="str">
            <v xml:space="preserve">Venta de Servicios y Otros  </v>
          </cell>
        </row>
        <row r="2533">
          <cell r="D2533" t="str">
            <v>INGRESOS ORDINARIOS</v>
          </cell>
          <cell r="E2533" t="str">
            <v>INGRESOS ORDINARIOS</v>
          </cell>
          <cell r="G2533" t="str">
            <v xml:space="preserve">INGRESOS ORDINARIOS  </v>
          </cell>
          <cell r="H2533" t="str">
            <v/>
          </cell>
          <cell r="I2533" t="str">
            <v/>
          </cell>
        </row>
        <row r="2534">
          <cell r="D2534" t="str">
            <v>3101101</v>
          </cell>
          <cell r="E2534" t="str">
            <v>3101101</v>
          </cell>
          <cell r="F2534" t="str">
            <v>Valor Libro de Terrenos</v>
          </cell>
          <cell r="G2534" t="str">
            <v>3101101  Valor Libro de Terrenos</v>
          </cell>
          <cell r="H2534" t="str">
            <v>Est. Resultado</v>
          </cell>
          <cell r="I2534" t="str">
            <v>Resultado</v>
          </cell>
          <cell r="J2534" t="str">
            <v>3. Costo de Venta</v>
          </cell>
          <cell r="K2534" t="str">
            <v>6. Serv Terceros y Ventas</v>
          </cell>
          <cell r="L2534" t="str">
            <v>EBITDA</v>
          </cell>
          <cell r="M2534" t="str">
            <v>MARGEN BRUTO</v>
          </cell>
          <cell r="N2534" t="str">
            <v>GANANCIAS (PERDIDAS) ANTES DE IMPUESTOS</v>
          </cell>
          <cell r="O2534" t="str">
            <v>GANANCIA (PÉRDIDA) NETA</v>
          </cell>
          <cell r="P2534" t="str">
            <v>Resultado Ingresos y Gastos Integrales</v>
          </cell>
          <cell r="Q2534" t="str">
            <v>I. Ganancia (pérdida), antes de impuestos</v>
          </cell>
          <cell r="R2534" t="str">
            <v>a. Ganancia bruta</v>
          </cell>
          <cell r="S2534" t="str">
            <v>2. Costo de ventas</v>
          </cell>
          <cell r="T2534" t="str">
            <v>6. Serv Terceros y Ventas</v>
          </cell>
          <cell r="V2534" t="str">
            <v>II. Gastos</v>
          </cell>
          <cell r="W2534" t="str">
            <v>23. Bienes y Servicios para Producción</v>
          </cell>
          <cell r="Z2534" t="str">
            <v>II. Costo Ventas</v>
          </cell>
          <cell r="AA2534" t="str">
            <v>6. Serv Terceros y Ventas</v>
          </cell>
          <cell r="AC2534" t="str">
            <v>II. Costo de Explotación</v>
          </cell>
          <cell r="AD2534" t="str">
            <v>2. Bienes y servicios Expl.</v>
          </cell>
          <cell r="AE2534" t="str">
            <v>6. Serv Terceros y Ventas</v>
          </cell>
          <cell r="AH2534" t="str">
            <v>6. Partidas significativas de gastos</v>
          </cell>
        </row>
        <row r="2535">
          <cell r="D2535" t="str">
            <v>3101102</v>
          </cell>
          <cell r="E2535" t="str">
            <v>3101102</v>
          </cell>
          <cell r="F2535" t="str">
            <v>Costo de Proyectos</v>
          </cell>
          <cell r="G2535" t="str">
            <v>3101102  Costo de Proyectos</v>
          </cell>
          <cell r="H2535" t="str">
            <v>Est. Resultado</v>
          </cell>
          <cell r="I2535" t="str">
            <v>Resultado</v>
          </cell>
          <cell r="J2535" t="str">
            <v>3. Costo de Venta</v>
          </cell>
          <cell r="K2535" t="str">
            <v>6. Serv Terceros y Ventas</v>
          </cell>
          <cell r="L2535" t="str">
            <v>EBITDA</v>
          </cell>
          <cell r="M2535" t="str">
            <v>MARGEN BRUTO</v>
          </cell>
          <cell r="N2535" t="str">
            <v>GANANCIAS (PERDIDAS) ANTES DE IMPUESTOS</v>
          </cell>
          <cell r="O2535" t="str">
            <v>GANANCIA (PÉRDIDA) NETA</v>
          </cell>
          <cell r="P2535" t="str">
            <v>Resultado Ingresos y Gastos Integrales</v>
          </cell>
          <cell r="Q2535" t="str">
            <v>I. Ganancia (pérdida), antes de impuestos</v>
          </cell>
          <cell r="R2535" t="str">
            <v>a. Ganancia bruta</v>
          </cell>
          <cell r="S2535" t="str">
            <v>2. Costo de ventas</v>
          </cell>
          <cell r="T2535" t="str">
            <v>6. Serv Terceros y Ventas</v>
          </cell>
          <cell r="V2535" t="str">
            <v>II. Gastos</v>
          </cell>
          <cell r="W2535" t="str">
            <v>23. Bienes y Servicios para Producción</v>
          </cell>
          <cell r="Z2535" t="str">
            <v>II. Costo Ventas</v>
          </cell>
          <cell r="AA2535" t="str">
            <v>6. Serv Terceros y Ventas</v>
          </cell>
          <cell r="AC2535" t="str">
            <v>II. Costo de Explotación</v>
          </cell>
          <cell r="AD2535" t="str">
            <v>2. Bienes y servicios Expl.</v>
          </cell>
          <cell r="AE2535" t="str">
            <v>6. Serv Terceros y Ventas</v>
          </cell>
          <cell r="AH2535" t="str">
            <v>6. Partidas significativas de gastos</v>
          </cell>
        </row>
        <row r="2536">
          <cell r="D2536" t="str">
            <v>3101105</v>
          </cell>
          <cell r="E2536" t="str">
            <v>3101105</v>
          </cell>
          <cell r="F2536" t="str">
            <v>Costo de Arriendos</v>
          </cell>
          <cell r="G2536" t="str">
            <v>3101105  Costo de Arriendos</v>
          </cell>
          <cell r="H2536" t="str">
            <v>Est. Resultado</v>
          </cell>
          <cell r="I2536" t="str">
            <v>Resultado</v>
          </cell>
          <cell r="J2536" t="str">
            <v>3. Costo de Venta</v>
          </cell>
          <cell r="K2536" t="str">
            <v>6. Serv Terceros y Ventas</v>
          </cell>
          <cell r="L2536" t="str">
            <v>EBITDA</v>
          </cell>
          <cell r="M2536" t="str">
            <v>MARGEN BRUTO</v>
          </cell>
          <cell r="N2536" t="str">
            <v>GANANCIAS (PERDIDAS) ANTES DE IMPUESTOS</v>
          </cell>
          <cell r="O2536" t="str">
            <v>GANANCIA (PÉRDIDA) NETA</v>
          </cell>
          <cell r="P2536" t="str">
            <v>Resultado Ingresos y Gastos Integrales</v>
          </cell>
          <cell r="Q2536" t="str">
            <v>I. Ganancia (pérdida), antes de impuestos</v>
          </cell>
          <cell r="R2536" t="str">
            <v>a. Ganancia bruta</v>
          </cell>
          <cell r="S2536" t="str">
            <v>2. Costo de ventas</v>
          </cell>
          <cell r="T2536" t="str">
            <v>6. Serv Terceros y Ventas</v>
          </cell>
          <cell r="V2536" t="str">
            <v>II. Gastos</v>
          </cell>
          <cell r="W2536" t="str">
            <v>23. Bienes y Servicios para Producción</v>
          </cell>
          <cell r="Z2536" t="str">
            <v>II. Costo Ventas</v>
          </cell>
          <cell r="AA2536" t="str">
            <v>6. Serv Terceros y Ventas</v>
          </cell>
          <cell r="AC2536" t="str">
            <v>II. Costo de Explotación</v>
          </cell>
          <cell r="AD2536" t="str">
            <v>2. Bienes y servicios Expl.</v>
          </cell>
          <cell r="AE2536" t="str">
            <v>6. Serv Terceros y Ventas</v>
          </cell>
          <cell r="AH2536" t="str">
            <v>6. Partidas significativas de gastos</v>
          </cell>
        </row>
        <row r="2537">
          <cell r="D2537" t="str">
            <v>3101106</v>
          </cell>
          <cell r="E2537" t="str">
            <v>3101106</v>
          </cell>
          <cell r="F2537" t="str">
            <v>Costos de Arriendos</v>
          </cell>
          <cell r="G2537" t="str">
            <v>3101106  Costos de Arriendos</v>
          </cell>
          <cell r="H2537" t="str">
            <v>Est. Resultado</v>
          </cell>
          <cell r="I2537" t="str">
            <v>Resultado</v>
          </cell>
          <cell r="J2537" t="str">
            <v>3. Costo de Venta</v>
          </cell>
          <cell r="K2537" t="str">
            <v>6. Serv Terceros y Ventas</v>
          </cell>
          <cell r="L2537" t="str">
            <v>EBITDA</v>
          </cell>
          <cell r="M2537" t="str">
            <v>MARGEN BRUTO</v>
          </cell>
          <cell r="N2537" t="str">
            <v>GANANCIAS (PERDIDAS) ANTES DE IMPUESTOS</v>
          </cell>
          <cell r="O2537" t="str">
            <v>GANANCIA (PÉRDIDA) NETA</v>
          </cell>
          <cell r="P2537" t="str">
            <v>Resultado Ingresos y Gastos Integrales</v>
          </cell>
          <cell r="Q2537" t="str">
            <v>I. Ganancia (pérdida), antes de impuestos</v>
          </cell>
          <cell r="R2537" t="str">
            <v>a. Ganancia bruta</v>
          </cell>
          <cell r="S2537" t="str">
            <v>2. Costo de ventas</v>
          </cell>
          <cell r="T2537" t="str">
            <v>6. Serv Terceros y Ventas</v>
          </cell>
          <cell r="V2537" t="str">
            <v>II. Gastos</v>
          </cell>
          <cell r="W2537" t="str">
            <v>23. Bienes y Servicios para Producción</v>
          </cell>
          <cell r="Z2537" t="str">
            <v>II. Costo Ventas</v>
          </cell>
          <cell r="AA2537" t="str">
            <v>6. Serv Terceros y Ventas</v>
          </cell>
          <cell r="AC2537" t="str">
            <v>II. Costo de Explotación</v>
          </cell>
          <cell r="AD2537" t="str">
            <v>2. Bienes y servicios Expl.</v>
          </cell>
          <cell r="AE2537" t="str">
            <v>6. Serv Terceros y Ventas</v>
          </cell>
          <cell r="AH2537" t="str">
            <v>6. Partidas significativas de gastos</v>
          </cell>
        </row>
        <row r="2538">
          <cell r="D2538" t="str">
            <v>3101107</v>
          </cell>
          <cell r="E2538" t="str">
            <v>3101107</v>
          </cell>
          <cell r="F2538" t="str">
            <v>Costos Tasaciones</v>
          </cell>
          <cell r="G2538" t="str">
            <v>3101107  Costos Tasaciones</v>
          </cell>
          <cell r="H2538" t="str">
            <v>Est. Resultado</v>
          </cell>
          <cell r="I2538" t="str">
            <v>Resultado</v>
          </cell>
          <cell r="J2538" t="str">
            <v>3. Costo de Venta</v>
          </cell>
          <cell r="K2538" t="str">
            <v>6. Serv Terceros y Ventas</v>
          </cell>
          <cell r="L2538" t="str">
            <v>EBITDA</v>
          </cell>
          <cell r="M2538" t="str">
            <v>MARGEN BRUTO</v>
          </cell>
          <cell r="N2538" t="str">
            <v>GANANCIAS (PERDIDAS) ANTES DE IMPUESTOS</v>
          </cell>
          <cell r="O2538" t="str">
            <v>GANANCIA (PÉRDIDA) NETA</v>
          </cell>
          <cell r="P2538" t="str">
            <v>Resultado Ingresos y Gastos Integrales</v>
          </cell>
          <cell r="Q2538" t="str">
            <v>I. Ganancia (pérdida), antes de impuestos</v>
          </cell>
          <cell r="R2538" t="str">
            <v>a. Ganancia bruta</v>
          </cell>
          <cell r="S2538" t="str">
            <v>2. Costo de ventas</v>
          </cell>
          <cell r="T2538" t="str">
            <v>6. Serv Terceros y Ventas</v>
          </cell>
          <cell r="V2538" t="str">
            <v>II. Gastos</v>
          </cell>
          <cell r="W2538" t="str">
            <v>23. Bienes y Servicios para Producción</v>
          </cell>
          <cell r="Z2538" t="str">
            <v>II. Costo Ventas</v>
          </cell>
          <cell r="AA2538" t="str">
            <v>6. Serv Terceros y Ventas</v>
          </cell>
          <cell r="AC2538" t="str">
            <v>II. Costo de Explotación</v>
          </cell>
          <cell r="AD2538" t="str">
            <v>2. Bienes y servicios Expl.</v>
          </cell>
          <cell r="AE2538" t="str">
            <v>6. Serv Terceros y Ventas</v>
          </cell>
          <cell r="AH2538" t="str">
            <v>6. Partidas significativas de gastos</v>
          </cell>
        </row>
        <row r="2539">
          <cell r="D2539" t="str">
            <v>3101109</v>
          </cell>
          <cell r="E2539" t="str">
            <v>3101109</v>
          </cell>
          <cell r="F2539" t="str">
            <v>Costo por Arriendo Años Anteriores</v>
          </cell>
          <cell r="G2539" t="str">
            <v>3101109  Costo por Arriendo Años Anteriores</v>
          </cell>
          <cell r="H2539" t="str">
            <v>Est. Resultado</v>
          </cell>
          <cell r="I2539" t="str">
            <v>Resultado</v>
          </cell>
          <cell r="J2539" t="str">
            <v>3. Costo de Venta</v>
          </cell>
          <cell r="K2539" t="str">
            <v>6. Serv Terceros y Ventas</v>
          </cell>
          <cell r="L2539" t="str">
            <v>EBITDA</v>
          </cell>
          <cell r="M2539" t="str">
            <v>MARGEN BRUTO</v>
          </cell>
          <cell r="N2539" t="str">
            <v>GANANCIAS (PERDIDAS) ANTES DE IMPUESTOS</v>
          </cell>
          <cell r="O2539" t="str">
            <v>GANANCIA (PÉRDIDA) NETA</v>
          </cell>
          <cell r="P2539" t="str">
            <v>Resultado Ingresos y Gastos Integrales</v>
          </cell>
          <cell r="Q2539" t="str">
            <v>I. Ganancia (pérdida), antes de impuestos</v>
          </cell>
          <cell r="R2539" t="str">
            <v>a. Ganancia bruta</v>
          </cell>
          <cell r="S2539" t="str">
            <v>2. Costo de ventas</v>
          </cell>
          <cell r="T2539" t="str">
            <v>6. Serv Terceros y Ventas</v>
          </cell>
          <cell r="V2539" t="str">
            <v>II. Gastos</v>
          </cell>
          <cell r="W2539" t="str">
            <v>23. Bienes y Servicios para Producción</v>
          </cell>
          <cell r="Z2539" t="str">
            <v>II. Costo Ventas</v>
          </cell>
          <cell r="AA2539" t="str">
            <v>6. Serv Terceros y Ventas</v>
          </cell>
          <cell r="AC2539" t="str">
            <v>II. Costo de Explotación</v>
          </cell>
          <cell r="AD2539" t="str">
            <v>2. Bienes y servicios Expl.</v>
          </cell>
          <cell r="AE2539" t="str">
            <v>6. Serv Terceros y Ventas</v>
          </cell>
          <cell r="AH2539" t="str">
            <v>6. Partidas significativas de gastos</v>
          </cell>
        </row>
        <row r="2540">
          <cell r="D2540" t="str">
            <v>3101110</v>
          </cell>
          <cell r="E2540" t="str">
            <v>3101110</v>
          </cell>
          <cell r="F2540" t="str">
            <v>Costo Reularización de Inmuebles</v>
          </cell>
          <cell r="G2540" t="str">
            <v>3101110  Costo Reularización de Inmuebles</v>
          </cell>
          <cell r="H2540" t="str">
            <v>Est. Resultado</v>
          </cell>
          <cell r="I2540" t="str">
            <v>Resultado</v>
          </cell>
          <cell r="J2540" t="str">
            <v>3. Costo de Venta</v>
          </cell>
          <cell r="K2540" t="str">
            <v>6. Serv Terceros y Ventas</v>
          </cell>
          <cell r="L2540" t="str">
            <v>EBITDA</v>
          </cell>
          <cell r="M2540" t="str">
            <v>MARGEN BRUTO</v>
          </cell>
          <cell r="N2540" t="str">
            <v>GANANCIAS (PERDIDAS) ANTES DE IMPUESTOS</v>
          </cell>
          <cell r="O2540" t="str">
            <v>GANANCIA (PÉRDIDA) NETA</v>
          </cell>
          <cell r="P2540" t="str">
            <v>Resultado Ingresos y Gastos Integrales</v>
          </cell>
          <cell r="Q2540" t="str">
            <v>I. Ganancia (pérdida), antes de impuestos</v>
          </cell>
          <cell r="R2540" t="str">
            <v>a. Ganancia bruta</v>
          </cell>
          <cell r="S2540" t="str">
            <v>2. Costo de ventas</v>
          </cell>
          <cell r="T2540" t="str">
            <v>6. Serv Terceros y Ventas</v>
          </cell>
          <cell r="V2540" t="str">
            <v>II. Gastos</v>
          </cell>
          <cell r="W2540" t="str">
            <v>23. Bienes y Servicios para Producción</v>
          </cell>
          <cell r="Z2540" t="str">
            <v>II. Costo Ventas</v>
          </cell>
          <cell r="AA2540" t="str">
            <v>6. Serv Terceros y Ventas</v>
          </cell>
          <cell r="AC2540" t="str">
            <v>II. Costo de Explotación</v>
          </cell>
          <cell r="AD2540" t="str">
            <v>2. Bienes y servicios Expl.</v>
          </cell>
          <cell r="AE2540" t="str">
            <v>6. Serv Terceros y Ventas</v>
          </cell>
          <cell r="AH2540" t="str">
            <v>6. Partidas significativas de gastos</v>
          </cell>
        </row>
        <row r="2541">
          <cell r="D2541">
            <v>0</v>
          </cell>
          <cell r="G2541" t="str">
            <v/>
          </cell>
        </row>
        <row r="2542">
          <cell r="D2542">
            <v>0</v>
          </cell>
          <cell r="G2542" t="str">
            <v/>
          </cell>
        </row>
        <row r="2543">
          <cell r="D2543" t="str">
            <v>3201101E</v>
          </cell>
          <cell r="E2543" t="str">
            <v>3201101</v>
          </cell>
          <cell r="F2543" t="str">
            <v>Sueldo Base</v>
          </cell>
          <cell r="G2543" t="str">
            <v>3201101  Sueldo Base</v>
          </cell>
          <cell r="H2543" t="str">
            <v>Est. Resultado</v>
          </cell>
          <cell r="I2543" t="str">
            <v>Resultado</v>
          </cell>
          <cell r="J2543" t="str">
            <v>6. Costo Personal Administración</v>
          </cell>
          <cell r="K2543" t="str">
            <v>1. Remuneraciones Fijas</v>
          </cell>
          <cell r="L2543" t="str">
            <v>EBITDA</v>
          </cell>
          <cell r="N2543" t="str">
            <v>GANANCIAS (PERDIDAS) ANTES DE IMPUESTOS</v>
          </cell>
          <cell r="O2543" t="str">
            <v>GANANCIA (PÉRDIDA) NETA</v>
          </cell>
          <cell r="P2543" t="str">
            <v>Resultado Ingresos y Gastos Integrales</v>
          </cell>
          <cell r="Q2543" t="str">
            <v>I. Ganancia (pérdida), antes de impuestos</v>
          </cell>
          <cell r="R2543" t="str">
            <v>b. Ganancia (pérdida)</v>
          </cell>
          <cell r="S2543" t="str">
            <v>5. Gasto de administración</v>
          </cell>
          <cell r="T2543" t="str">
            <v>1. Remuneraciones Fijas</v>
          </cell>
          <cell r="V2543" t="str">
            <v>II. Gastos</v>
          </cell>
          <cell r="W2543" t="str">
            <v>21. Gastos en Personal</v>
          </cell>
          <cell r="Z2543" t="str">
            <v>III. Gastos de Administración</v>
          </cell>
          <cell r="AA2543" t="str">
            <v>9. Personal Administrativo</v>
          </cell>
          <cell r="AB2543" t="str">
            <v>1. Remu Fijas</v>
          </cell>
          <cell r="AC2543" t="str">
            <v>III. Gasto Administración</v>
          </cell>
          <cell r="AD2543" t="str">
            <v>1. Personal Administrativo</v>
          </cell>
          <cell r="AE2543" t="str">
            <v>1. Remuneraciones Adm.</v>
          </cell>
          <cell r="AH2543" t="str">
            <v>6. Partidas significativas de gastos</v>
          </cell>
        </row>
        <row r="2544">
          <cell r="D2544" t="str">
            <v>3201102E</v>
          </cell>
          <cell r="E2544" t="str">
            <v>3201102</v>
          </cell>
          <cell r="F2544" t="str">
            <v>Gratificación</v>
          </cell>
          <cell r="G2544" t="str">
            <v>3201102  Gratificación</v>
          </cell>
          <cell r="H2544" t="str">
            <v>Est. Resultado</v>
          </cell>
          <cell r="I2544" t="str">
            <v>Resultado</v>
          </cell>
          <cell r="J2544" t="str">
            <v>6. Costo Personal Administración</v>
          </cell>
          <cell r="K2544" t="str">
            <v>1. Remuneraciones Fijas</v>
          </cell>
          <cell r="L2544" t="str">
            <v>EBITDA</v>
          </cell>
          <cell r="N2544" t="str">
            <v>GANANCIAS (PERDIDAS) ANTES DE IMPUESTOS</v>
          </cell>
          <cell r="O2544" t="str">
            <v>GANANCIA (PÉRDIDA) NETA</v>
          </cell>
          <cell r="P2544" t="str">
            <v>Resultado Ingresos y Gastos Integrales</v>
          </cell>
          <cell r="Q2544" t="str">
            <v>I. Ganancia (pérdida), antes de impuestos</v>
          </cell>
          <cell r="R2544" t="str">
            <v>b. Ganancia (pérdida)</v>
          </cell>
          <cell r="S2544" t="str">
            <v>5. Gasto de administración</v>
          </cell>
          <cell r="T2544" t="str">
            <v>1. Remuneraciones Fijas</v>
          </cell>
          <cell r="V2544" t="str">
            <v>II. Gastos</v>
          </cell>
          <cell r="W2544" t="str">
            <v>21. Gastos en Personal</v>
          </cell>
          <cell r="Z2544" t="str">
            <v>III. Gastos de Administración</v>
          </cell>
          <cell r="AA2544" t="str">
            <v>9. Personal Administrativo</v>
          </cell>
          <cell r="AB2544" t="str">
            <v>1. Remu Fijas</v>
          </cell>
          <cell r="AC2544" t="str">
            <v>III. Gasto Administración</v>
          </cell>
          <cell r="AD2544" t="str">
            <v>1. Personal Administrativo</v>
          </cell>
          <cell r="AE2544" t="str">
            <v>1. Remuneraciones Adm.</v>
          </cell>
          <cell r="AH2544" t="str">
            <v>6. Partidas significativas de gastos</v>
          </cell>
        </row>
        <row r="2545">
          <cell r="D2545" t="str">
            <v>3201103E</v>
          </cell>
          <cell r="E2545" t="str">
            <v>3201103</v>
          </cell>
          <cell r="F2545" t="str">
            <v>Horas Extras</v>
          </cell>
          <cell r="G2545" t="str">
            <v>3201103  Horas Extras</v>
          </cell>
          <cell r="H2545" t="str">
            <v>Est. Resultado</v>
          </cell>
          <cell r="I2545" t="str">
            <v>Resultado</v>
          </cell>
          <cell r="J2545" t="str">
            <v>6. Costo Personal Administración</v>
          </cell>
          <cell r="K2545" t="str">
            <v>1. Remuneraciones Fijas</v>
          </cell>
          <cell r="L2545" t="str">
            <v>EBITDA</v>
          </cell>
          <cell r="N2545" t="str">
            <v>GANANCIAS (PERDIDAS) ANTES DE IMPUESTOS</v>
          </cell>
          <cell r="O2545" t="str">
            <v>GANANCIA (PÉRDIDA) NETA</v>
          </cell>
          <cell r="P2545" t="str">
            <v>Resultado Ingresos y Gastos Integrales</v>
          </cell>
          <cell r="Q2545" t="str">
            <v>I. Ganancia (pérdida), antes de impuestos</v>
          </cell>
          <cell r="R2545" t="str">
            <v>b. Ganancia (pérdida)</v>
          </cell>
          <cell r="S2545" t="str">
            <v>5. Gasto de administración</v>
          </cell>
          <cell r="T2545" t="str">
            <v>1. Remuneraciones Fijas</v>
          </cell>
          <cell r="V2545" t="str">
            <v>II. Gastos</v>
          </cell>
          <cell r="W2545" t="str">
            <v>21. Gastos en Personal</v>
          </cell>
          <cell r="Z2545" t="str">
            <v>III. Gastos de Administración</v>
          </cell>
          <cell r="AA2545" t="str">
            <v>9. Personal Administrativo</v>
          </cell>
          <cell r="AB2545" t="str">
            <v>1. Remu Fijas</v>
          </cell>
          <cell r="AC2545" t="str">
            <v>III. Gasto Administración</v>
          </cell>
          <cell r="AD2545" t="str">
            <v>1. Personal Administrativo</v>
          </cell>
          <cell r="AE2545" t="str">
            <v>1. Remuneraciones Adm.</v>
          </cell>
          <cell r="AH2545" t="str">
            <v>6. Partidas significativas de gastos</v>
          </cell>
        </row>
        <row r="2546">
          <cell r="D2546" t="str">
            <v>3201104E</v>
          </cell>
          <cell r="E2546" t="str">
            <v>3201104</v>
          </cell>
          <cell r="F2546" t="str">
            <v>Indemnizaciones</v>
          </cell>
          <cell r="G2546" t="str">
            <v>3201104  Indemnizaciones</v>
          </cell>
          <cell r="H2546" t="str">
            <v>Est. Resultado</v>
          </cell>
          <cell r="I2546" t="str">
            <v>Resultado</v>
          </cell>
          <cell r="J2546" t="str">
            <v>6. Costo Personal Administración</v>
          </cell>
          <cell r="K2546" t="str">
            <v>1. Remuneraciones Fijas</v>
          </cell>
          <cell r="L2546" t="str">
            <v>EBITDA</v>
          </cell>
          <cell r="N2546" t="str">
            <v>GANANCIAS (PERDIDAS) ANTES DE IMPUESTOS</v>
          </cell>
          <cell r="O2546" t="str">
            <v>GANANCIA (PÉRDIDA) NETA</v>
          </cell>
          <cell r="P2546" t="str">
            <v>Resultado Ingresos y Gastos Integrales</v>
          </cell>
          <cell r="Q2546" t="str">
            <v>I. Ganancia (pérdida), antes de impuestos</v>
          </cell>
          <cell r="R2546" t="str">
            <v>b. Ganancia (pérdida)</v>
          </cell>
          <cell r="S2546" t="str">
            <v>5. Gasto de administración</v>
          </cell>
          <cell r="T2546" t="str">
            <v>1. Remuneraciones Fijas</v>
          </cell>
          <cell r="V2546" t="str">
            <v>II. Gastos</v>
          </cell>
          <cell r="W2546" t="str">
            <v>21. Gastos en Personal</v>
          </cell>
          <cell r="Z2546" t="str">
            <v>III. Gastos de Administración</v>
          </cell>
          <cell r="AA2546" t="str">
            <v>9. Personal Administrativo</v>
          </cell>
          <cell r="AB2546" t="str">
            <v>1. Remu Fijas</v>
          </cell>
          <cell r="AC2546" t="str">
            <v>III. Gasto Administración</v>
          </cell>
          <cell r="AD2546" t="str">
            <v>1. Personal Administrativo</v>
          </cell>
          <cell r="AE2546" t="str">
            <v>1. Remuneraciones Adm.</v>
          </cell>
          <cell r="AH2546" t="str">
            <v>6. Partidas significativas de gastos</v>
          </cell>
        </row>
        <row r="2547">
          <cell r="D2547" t="str">
            <v>3201105E</v>
          </cell>
          <cell r="E2547" t="str">
            <v>3201105</v>
          </cell>
          <cell r="F2547" t="str">
            <v>Aguinaldos</v>
          </cell>
          <cell r="G2547" t="str">
            <v>3201105  Aguinaldos</v>
          </cell>
          <cell r="H2547" t="str">
            <v>Est. Resultado</v>
          </cell>
          <cell r="I2547" t="str">
            <v>Resultado</v>
          </cell>
          <cell r="J2547" t="str">
            <v>6. Costo Personal Administración</v>
          </cell>
          <cell r="K2547" t="str">
            <v>1. Remuneraciones Fijas</v>
          </cell>
          <cell r="L2547" t="str">
            <v>EBITDA</v>
          </cell>
          <cell r="N2547" t="str">
            <v>GANANCIAS (PERDIDAS) ANTES DE IMPUESTOS</v>
          </cell>
          <cell r="O2547" t="str">
            <v>GANANCIA (PÉRDIDA) NETA</v>
          </cell>
          <cell r="P2547" t="str">
            <v>Resultado Ingresos y Gastos Integrales</v>
          </cell>
          <cell r="Q2547" t="str">
            <v>I. Ganancia (pérdida), antes de impuestos</v>
          </cell>
          <cell r="R2547" t="str">
            <v>b. Ganancia (pérdida)</v>
          </cell>
          <cell r="S2547" t="str">
            <v>5. Gasto de administración</v>
          </cell>
          <cell r="T2547" t="str">
            <v>1. Remuneraciones Fijas</v>
          </cell>
          <cell r="V2547" t="str">
            <v>II. Gastos</v>
          </cell>
          <cell r="W2547" t="str">
            <v>21. Gastos en Personal</v>
          </cell>
          <cell r="Z2547" t="str">
            <v>III. Gastos de Administración</v>
          </cell>
          <cell r="AA2547" t="str">
            <v>9. Personal Administrativo</v>
          </cell>
          <cell r="AB2547" t="str">
            <v>1. Remu Fijas</v>
          </cell>
          <cell r="AC2547" t="str">
            <v>III. Gasto Administración</v>
          </cell>
          <cell r="AD2547" t="str">
            <v>1. Personal Administrativo</v>
          </cell>
          <cell r="AE2547" t="str">
            <v>1. Remuneraciones Adm.</v>
          </cell>
          <cell r="AH2547" t="str">
            <v>6. Partidas significativas de gastos</v>
          </cell>
        </row>
        <row r="2548">
          <cell r="D2548" t="str">
            <v>3201106E</v>
          </cell>
          <cell r="E2548" t="str">
            <v>3201106</v>
          </cell>
          <cell r="F2548" t="str">
            <v>Bono viático</v>
          </cell>
          <cell r="G2548" t="str">
            <v>3201106  Bono viático</v>
          </cell>
          <cell r="H2548" t="str">
            <v>Est. Resultado</v>
          </cell>
          <cell r="I2548" t="str">
            <v>Resultado</v>
          </cell>
          <cell r="J2548" t="str">
            <v>6. Costo Personal Administración</v>
          </cell>
          <cell r="K2548" t="str">
            <v>1. Remuneraciones Fijas</v>
          </cell>
          <cell r="L2548" t="str">
            <v>EBITDA</v>
          </cell>
          <cell r="N2548" t="str">
            <v>GANANCIAS (PERDIDAS) ANTES DE IMPUESTOS</v>
          </cell>
          <cell r="O2548" t="str">
            <v>GANANCIA (PÉRDIDA) NETA</v>
          </cell>
          <cell r="P2548" t="str">
            <v>Resultado Ingresos y Gastos Integrales</v>
          </cell>
          <cell r="Q2548" t="str">
            <v>I. Ganancia (pérdida), antes de impuestos</v>
          </cell>
          <cell r="R2548" t="str">
            <v>b. Ganancia (pérdida)</v>
          </cell>
          <cell r="S2548" t="str">
            <v>5. Gasto de administración</v>
          </cell>
          <cell r="T2548" t="str">
            <v>1. Remuneraciones Fijas</v>
          </cell>
          <cell r="V2548" t="str">
            <v>II. Gastos</v>
          </cell>
          <cell r="W2548" t="str">
            <v>21. Gastos en Personal</v>
          </cell>
          <cell r="Z2548" t="str">
            <v>III. Gastos de Administración</v>
          </cell>
          <cell r="AA2548" t="str">
            <v>9. Personal Administrativo</v>
          </cell>
          <cell r="AB2548" t="str">
            <v>1. Remu Fijas</v>
          </cell>
          <cell r="AC2548" t="str">
            <v>III. Gasto Administración</v>
          </cell>
          <cell r="AD2548" t="str">
            <v>1. Personal Administrativo</v>
          </cell>
          <cell r="AE2548" t="str">
            <v>1. Remuneraciones Adm.</v>
          </cell>
          <cell r="AH2548" t="str">
            <v>6. Partidas significativas de gastos</v>
          </cell>
        </row>
        <row r="2549">
          <cell r="D2549" t="str">
            <v>3201107E</v>
          </cell>
          <cell r="E2549" t="str">
            <v>3201107</v>
          </cell>
          <cell r="F2549" t="str">
            <v>Vacaciones</v>
          </cell>
          <cell r="G2549" t="str">
            <v>3201107  Vacaciones</v>
          </cell>
          <cell r="H2549" t="str">
            <v>Est. Resultado</v>
          </cell>
          <cell r="I2549" t="str">
            <v>Resultado</v>
          </cell>
          <cell r="J2549" t="str">
            <v>6. Costo Personal Administración</v>
          </cell>
          <cell r="K2549" t="str">
            <v>1. Remuneraciones Fijas</v>
          </cell>
          <cell r="L2549" t="str">
            <v>EBITDA</v>
          </cell>
          <cell r="N2549" t="str">
            <v>GANANCIAS (PERDIDAS) ANTES DE IMPUESTOS</v>
          </cell>
          <cell r="O2549" t="str">
            <v>GANANCIA (PÉRDIDA) NETA</v>
          </cell>
          <cell r="P2549" t="str">
            <v>Resultado Ingresos y Gastos Integrales</v>
          </cell>
          <cell r="Q2549" t="str">
            <v>I. Ganancia (pérdida), antes de impuestos</v>
          </cell>
          <cell r="R2549" t="str">
            <v>b. Ganancia (pérdida)</v>
          </cell>
          <cell r="S2549" t="str">
            <v>5. Gasto de administración</v>
          </cell>
          <cell r="T2549" t="str">
            <v>1. Remuneraciones Fijas</v>
          </cell>
          <cell r="V2549" t="str">
            <v>II. Gastos</v>
          </cell>
          <cell r="W2549" t="str">
            <v>21. Gastos en Personal</v>
          </cell>
          <cell r="Z2549" t="str">
            <v>III. Gastos de Administración</v>
          </cell>
          <cell r="AA2549" t="str">
            <v>9. Personal Administrativo</v>
          </cell>
          <cell r="AB2549" t="str">
            <v>1. Remu Fijas</v>
          </cell>
          <cell r="AC2549" t="str">
            <v>III. Gasto Administración</v>
          </cell>
          <cell r="AD2549" t="str">
            <v>1. Personal Administrativo</v>
          </cell>
          <cell r="AE2549" t="str">
            <v>1. Remuneraciones Adm.</v>
          </cell>
          <cell r="AH2549" t="str">
            <v>6. Partidas significativas de gastos</v>
          </cell>
        </row>
        <row r="2550">
          <cell r="D2550" t="str">
            <v>3201109E</v>
          </cell>
          <cell r="E2550" t="str">
            <v>3201109</v>
          </cell>
          <cell r="F2550" t="str">
            <v>Otras Remuneraciones</v>
          </cell>
          <cell r="G2550" t="str">
            <v>3201109  Otras Remuneraciones</v>
          </cell>
          <cell r="H2550" t="str">
            <v>Est. Resultado</v>
          </cell>
          <cell r="I2550" t="str">
            <v>Resultado</v>
          </cell>
          <cell r="J2550" t="str">
            <v>6. Costo Personal Administración</v>
          </cell>
          <cell r="K2550" t="str">
            <v>1. Remuneraciones Fijas</v>
          </cell>
          <cell r="L2550" t="str">
            <v>EBITDA</v>
          </cell>
          <cell r="N2550" t="str">
            <v>GANANCIAS (PERDIDAS) ANTES DE IMPUESTOS</v>
          </cell>
          <cell r="O2550" t="str">
            <v>GANANCIA (PÉRDIDA) NETA</v>
          </cell>
          <cell r="P2550" t="str">
            <v>Resultado Ingresos y Gastos Integrales</v>
          </cell>
          <cell r="Q2550" t="str">
            <v>I. Ganancia (pérdida), antes de impuestos</v>
          </cell>
          <cell r="R2550" t="str">
            <v>b. Ganancia (pérdida)</v>
          </cell>
          <cell r="S2550" t="str">
            <v>5. Gasto de administración</v>
          </cell>
          <cell r="T2550" t="str">
            <v>1. Remuneraciones Fijas</v>
          </cell>
          <cell r="V2550" t="str">
            <v>II. Gastos</v>
          </cell>
          <cell r="W2550" t="str">
            <v>21. Gastos en Personal</v>
          </cell>
          <cell r="Z2550" t="str">
            <v>III. Gastos de Administración</v>
          </cell>
          <cell r="AA2550" t="str">
            <v>9. Personal Administrativo</v>
          </cell>
          <cell r="AB2550" t="str">
            <v>1. Remu Fijas</v>
          </cell>
          <cell r="AC2550" t="str">
            <v>III. Gasto Administración</v>
          </cell>
          <cell r="AD2550" t="str">
            <v>1. Personal Administrativo</v>
          </cell>
          <cell r="AE2550" t="str">
            <v>1. Remuneraciones Adm.</v>
          </cell>
          <cell r="AH2550" t="str">
            <v>6. Partidas significativas de gastos</v>
          </cell>
        </row>
        <row r="2551">
          <cell r="D2551" t="str">
            <v>3201111E</v>
          </cell>
          <cell r="E2551" t="str">
            <v>3201111</v>
          </cell>
          <cell r="F2551" t="str">
            <v>Colación</v>
          </cell>
          <cell r="G2551" t="str">
            <v>3201111  Colación</v>
          </cell>
          <cell r="H2551" t="str">
            <v>Est. Resultado</v>
          </cell>
          <cell r="I2551" t="str">
            <v>Resultado</v>
          </cell>
          <cell r="J2551" t="str">
            <v>6. Costo Personal Administración</v>
          </cell>
          <cell r="K2551" t="str">
            <v>1. Remuneraciones Fijas</v>
          </cell>
          <cell r="L2551" t="str">
            <v>EBITDA</v>
          </cell>
          <cell r="N2551" t="str">
            <v>GANANCIAS (PERDIDAS) ANTES DE IMPUESTOS</v>
          </cell>
          <cell r="O2551" t="str">
            <v>GANANCIA (PÉRDIDA) NETA</v>
          </cell>
          <cell r="P2551" t="str">
            <v>Resultado Ingresos y Gastos Integrales</v>
          </cell>
          <cell r="Q2551" t="str">
            <v>I. Ganancia (pérdida), antes de impuestos</v>
          </cell>
          <cell r="R2551" t="str">
            <v>b. Ganancia (pérdida)</v>
          </cell>
          <cell r="S2551" t="str">
            <v>5. Gasto de administración</v>
          </cell>
          <cell r="T2551" t="str">
            <v>1. Remuneraciones Fijas</v>
          </cell>
          <cell r="V2551" t="str">
            <v>II. Gastos</v>
          </cell>
          <cell r="W2551" t="str">
            <v>21. Gastos en Personal</v>
          </cell>
          <cell r="Z2551" t="str">
            <v>III. Gastos de Administración</v>
          </cell>
          <cell r="AA2551" t="str">
            <v>9. Personal Administrativo</v>
          </cell>
          <cell r="AB2551" t="str">
            <v>1. Remu Fijas</v>
          </cell>
          <cell r="AC2551" t="str">
            <v>III. Gasto Administración</v>
          </cell>
          <cell r="AD2551" t="str">
            <v>1. Personal Administrativo</v>
          </cell>
          <cell r="AE2551" t="str">
            <v>1. Remuneraciones Adm.</v>
          </cell>
          <cell r="AH2551" t="str">
            <v>6. Partidas significativas de gastos</v>
          </cell>
        </row>
        <row r="2552">
          <cell r="D2552">
            <v>0</v>
          </cell>
          <cell r="G2552" t="str">
            <v/>
          </cell>
          <cell r="H2552" t="str">
            <v>Est. Resultado</v>
          </cell>
          <cell r="I2552" t="str">
            <v>Resultado</v>
          </cell>
          <cell r="J2552" t="str">
            <v>6. Costo Personal Administración</v>
          </cell>
          <cell r="K2552" t="str">
            <v>1. Remuneraciones Fijas</v>
          </cell>
          <cell r="L2552" t="str">
            <v>EBITDA</v>
          </cell>
          <cell r="N2552" t="str">
            <v>GANANCIAS (PERDIDAS) ANTES DE IMPUESTOS</v>
          </cell>
          <cell r="O2552" t="str">
            <v>GANANCIA (PÉRDIDA) NETA</v>
          </cell>
          <cell r="P2552" t="str">
            <v>Resultado Ingresos y Gastos Integrales</v>
          </cell>
          <cell r="Q2552" t="str">
            <v>I. Ganancia (pérdida), antes de impuestos</v>
          </cell>
          <cell r="R2552" t="str">
            <v>b. Ganancia (pérdida)</v>
          </cell>
          <cell r="S2552" t="str">
            <v>5. Gasto de administración</v>
          </cell>
          <cell r="T2552" t="str">
            <v>1. Remuneraciones Fijas</v>
          </cell>
          <cell r="V2552" t="str">
            <v>II. Gastos</v>
          </cell>
          <cell r="W2552" t="str">
            <v>21. Gastos en Personal</v>
          </cell>
          <cell r="Z2552" t="str">
            <v>III. Gastos de Administración</v>
          </cell>
          <cell r="AA2552" t="str">
            <v>9. Personal Administrativo</v>
          </cell>
          <cell r="AB2552" t="str">
            <v>1. Remu Fijas</v>
          </cell>
          <cell r="AC2552" t="str">
            <v>III. Gasto Administración</v>
          </cell>
          <cell r="AD2552" t="str">
            <v>1. Personal Administrativo</v>
          </cell>
          <cell r="AE2552" t="str">
            <v>1. Remuneraciones Adm.</v>
          </cell>
          <cell r="AH2552" t="str">
            <v>6. Partidas significativas de gastos</v>
          </cell>
        </row>
        <row r="2553">
          <cell r="D2553">
            <v>0</v>
          </cell>
          <cell r="Q2553">
            <v>0</v>
          </cell>
          <cell r="R2553" t="str">
            <v/>
          </cell>
          <cell r="T2553" t="str">
            <v/>
          </cell>
        </row>
        <row r="2554">
          <cell r="D2554" t="str">
            <v>COSTO PERSONAL EXPLOTACION</v>
          </cell>
          <cell r="E2554" t="str">
            <v>COSTO PERSONAL EXPLOTACION</v>
          </cell>
          <cell r="G2554" t="str">
            <v xml:space="preserve">COSTO PERSONAL EXPLOTACION  </v>
          </cell>
          <cell r="Q2554">
            <v>0</v>
          </cell>
          <cell r="R2554" t="str">
            <v/>
          </cell>
          <cell r="T2554" t="str">
            <v/>
          </cell>
        </row>
        <row r="2555">
          <cell r="D2555" t="str">
            <v>3202113</v>
          </cell>
          <cell r="E2555" t="str">
            <v>3202113</v>
          </cell>
          <cell r="F2555" t="str">
            <v>Asesoría Honorarios Profesionales</v>
          </cell>
          <cell r="G2555" t="str">
            <v>3202113  Asesoría Honorarios Profesionales</v>
          </cell>
          <cell r="H2555" t="str">
            <v>Est. Resultado</v>
          </cell>
          <cell r="I2555" t="str">
            <v>Resultado</v>
          </cell>
          <cell r="J2555" t="str">
            <v>7. Gastos de Administración</v>
          </cell>
          <cell r="K2555" t="str">
            <v>10. Gastos Generales</v>
          </cell>
          <cell r="L2555" t="str">
            <v>EBITDA</v>
          </cell>
          <cell r="N2555" t="str">
            <v>GANANCIAS (PERDIDAS) ANTES DE IMPUESTOS</v>
          </cell>
          <cell r="O2555" t="str">
            <v>GANANCIA (PÉRDIDA) NETA</v>
          </cell>
          <cell r="P2555" t="str">
            <v>Resultado Ingresos y Gastos Integrales</v>
          </cell>
          <cell r="Q2555" t="str">
            <v>I. Ganancia (pérdida), antes de impuestos</v>
          </cell>
          <cell r="R2555" t="str">
            <v>b. Ganancia (pérdida)</v>
          </cell>
          <cell r="S2555" t="str">
            <v>5. Gasto de administración</v>
          </cell>
          <cell r="T2555" t="str">
            <v>7. Investigacion y Desarrollo</v>
          </cell>
          <cell r="V2555" t="str">
            <v>II. Gastos</v>
          </cell>
          <cell r="W2555" t="str">
            <v>23. Bienes y Servicios para Producción</v>
          </cell>
          <cell r="Z2555" t="str">
            <v>III. Gastos de Administración</v>
          </cell>
          <cell r="AA2555" t="str">
            <v>1. Investigacion y Desarrollo</v>
          </cell>
          <cell r="AC2555" t="str">
            <v>III. Gasto Administración</v>
          </cell>
          <cell r="AD2555" t="str">
            <v>2. Bienes y servicios Adm.</v>
          </cell>
          <cell r="AE2555" t="str">
            <v>1. Investigacion y Desarrollo</v>
          </cell>
          <cell r="AH2555" t="str">
            <v>6. Partidas significativas de gastos</v>
          </cell>
        </row>
        <row r="2556">
          <cell r="D2556" t="str">
            <v>3202114</v>
          </cell>
          <cell r="E2556" t="str">
            <v>3202114</v>
          </cell>
          <cell r="F2556" t="str">
            <v>Asesorías Abogado</v>
          </cell>
          <cell r="G2556" t="str">
            <v>3202114  Asesorías Abogado</v>
          </cell>
          <cell r="H2556" t="str">
            <v>Est. Resultado</v>
          </cell>
          <cell r="I2556" t="str">
            <v>Resultado</v>
          </cell>
          <cell r="J2556" t="str">
            <v>7. Gastos de Administración</v>
          </cell>
          <cell r="K2556" t="str">
            <v>10. Gastos Generales</v>
          </cell>
          <cell r="L2556" t="str">
            <v>EBITDA</v>
          </cell>
          <cell r="N2556" t="str">
            <v>GANANCIAS (PERDIDAS) ANTES DE IMPUESTOS</v>
          </cell>
          <cell r="O2556" t="str">
            <v>GANANCIA (PÉRDIDA) NETA</v>
          </cell>
          <cell r="P2556" t="str">
            <v>Resultado Ingresos y Gastos Integrales</v>
          </cell>
          <cell r="Q2556" t="str">
            <v>I. Ganancia (pérdida), antes de impuestos</v>
          </cell>
          <cell r="R2556" t="str">
            <v>b. Ganancia (pérdida)</v>
          </cell>
          <cell r="S2556" t="str">
            <v>5. Gasto de administración</v>
          </cell>
          <cell r="T2556" t="str">
            <v>7. Investigacion y Desarrollo</v>
          </cell>
          <cell r="V2556" t="str">
            <v>II. Gastos</v>
          </cell>
          <cell r="W2556" t="str">
            <v>23. Bienes y Servicios para Producción</v>
          </cell>
          <cell r="Z2556" t="str">
            <v>III. Gastos de Administración</v>
          </cell>
          <cell r="AA2556" t="str">
            <v>1. Investigacion y Desarrollo</v>
          </cell>
          <cell r="AC2556" t="str">
            <v>III. Gasto Administración</v>
          </cell>
          <cell r="AD2556" t="str">
            <v>2. Bienes y servicios Adm.</v>
          </cell>
          <cell r="AE2556" t="str">
            <v>1. Investigacion y Desarrollo</v>
          </cell>
          <cell r="AH2556" t="str">
            <v>6. Partidas significativas de gastos</v>
          </cell>
        </row>
        <row r="2557">
          <cell r="D2557" t="str">
            <v>3202115</v>
          </cell>
          <cell r="E2557" t="str">
            <v>3202115</v>
          </cell>
          <cell r="F2557" t="str">
            <v>Auditores Externos</v>
          </cell>
          <cell r="G2557" t="str">
            <v>3202115  Auditores Externos</v>
          </cell>
          <cell r="H2557" t="str">
            <v>Est. Resultado</v>
          </cell>
          <cell r="I2557" t="str">
            <v>Resultado</v>
          </cell>
          <cell r="J2557" t="str">
            <v>7. Gastos de Administración</v>
          </cell>
          <cell r="K2557" t="str">
            <v>10. Gastos Generales</v>
          </cell>
          <cell r="L2557" t="str">
            <v>EBITDA</v>
          </cell>
          <cell r="N2557" t="str">
            <v>GANANCIAS (PERDIDAS) ANTES DE IMPUESTOS</v>
          </cell>
          <cell r="O2557" t="str">
            <v>GANANCIA (PÉRDIDA) NETA</v>
          </cell>
          <cell r="P2557" t="str">
            <v>Resultado Ingresos y Gastos Integrales</v>
          </cell>
          <cell r="Q2557" t="str">
            <v>I. Ganancia (pérdida), antes de impuestos</v>
          </cell>
          <cell r="R2557" t="str">
            <v>b. Ganancia (pérdida)</v>
          </cell>
          <cell r="S2557" t="str">
            <v>5. Gasto de administración</v>
          </cell>
          <cell r="T2557" t="str">
            <v>7. Investigacion y Desarrollo</v>
          </cell>
          <cell r="V2557" t="str">
            <v>II. Gastos</v>
          </cell>
          <cell r="W2557" t="str">
            <v>23. Bienes y Servicios para Producción</v>
          </cell>
          <cell r="Z2557" t="str">
            <v>III. Gastos de Administración</v>
          </cell>
          <cell r="AA2557" t="str">
            <v>1. Investigacion y Desarrollo</v>
          </cell>
          <cell r="AC2557" t="str">
            <v>III. Gasto Administración</v>
          </cell>
          <cell r="AD2557" t="str">
            <v>2. Bienes y servicios Adm.</v>
          </cell>
          <cell r="AE2557" t="str">
            <v>1. Investigacion y Desarrollo</v>
          </cell>
          <cell r="AH2557" t="str">
            <v>6. Partidas significativas de gastos</v>
          </cell>
        </row>
        <row r="2558">
          <cell r="D2558" t="str">
            <v>3202151</v>
          </cell>
          <cell r="E2558" t="str">
            <v>3202151</v>
          </cell>
          <cell r="F2558" t="str">
            <v>Tasación</v>
          </cell>
          <cell r="G2558" t="str">
            <v>3202151  Tasación</v>
          </cell>
          <cell r="H2558" t="str">
            <v>Est. Resultado</v>
          </cell>
          <cell r="I2558" t="str">
            <v>Resultado</v>
          </cell>
          <cell r="J2558" t="str">
            <v>7. Gastos de Administración</v>
          </cell>
          <cell r="K2558" t="str">
            <v>10. Gastos Generales</v>
          </cell>
          <cell r="L2558" t="str">
            <v>EBITDA</v>
          </cell>
          <cell r="N2558" t="str">
            <v>GANANCIAS (PERDIDAS) ANTES DE IMPUESTOS</v>
          </cell>
          <cell r="O2558" t="str">
            <v>GANANCIA (PÉRDIDA) NETA</v>
          </cell>
          <cell r="P2558" t="str">
            <v>Resultado Ingresos y Gastos Integrales</v>
          </cell>
          <cell r="Q2558" t="str">
            <v>I. Ganancia (pérdida), antes de impuestos</v>
          </cell>
          <cell r="R2558" t="str">
            <v>b. Ganancia (pérdida)</v>
          </cell>
          <cell r="S2558" t="str">
            <v>5. Gasto de administración</v>
          </cell>
          <cell r="T2558" t="str">
            <v>7. Investigacion y Desarrollo</v>
          </cell>
          <cell r="V2558" t="str">
            <v>II. Gastos</v>
          </cell>
          <cell r="W2558" t="str">
            <v>23. Bienes y Servicios para Producción</v>
          </cell>
          <cell r="Z2558" t="str">
            <v>III. Gastos de Administración</v>
          </cell>
          <cell r="AA2558" t="str">
            <v>1. Investigacion y Desarrollo</v>
          </cell>
          <cell r="AC2558" t="str">
            <v>III. Gasto Administración</v>
          </cell>
          <cell r="AD2558" t="str">
            <v>2. Bienes y servicios Adm.</v>
          </cell>
          <cell r="AE2558" t="str">
            <v>1. Investigacion y Desarrollo</v>
          </cell>
          <cell r="AH2558" t="str">
            <v>6. Partidas significativas de gastos</v>
          </cell>
        </row>
        <row r="2559">
          <cell r="D2559" t="str">
            <v>3202159</v>
          </cell>
          <cell r="E2559" t="str">
            <v>3202159</v>
          </cell>
          <cell r="F2559" t="str">
            <v>Asesorías DCV Reg.de Acc</v>
          </cell>
          <cell r="G2559" t="str">
            <v>3202159  Asesorías DCV Reg.de Acc</v>
          </cell>
          <cell r="H2559" t="str">
            <v>Est. Resultado</v>
          </cell>
          <cell r="I2559" t="str">
            <v>Resultado</v>
          </cell>
          <cell r="J2559" t="str">
            <v>7. Gastos de Administración</v>
          </cell>
          <cell r="K2559" t="str">
            <v>10. Gastos Generales</v>
          </cell>
          <cell r="L2559" t="str">
            <v>EBITDA</v>
          </cell>
          <cell r="N2559" t="str">
            <v>GANANCIAS (PERDIDAS) ANTES DE IMPUESTOS</v>
          </cell>
          <cell r="O2559" t="str">
            <v>GANANCIA (PÉRDIDA) NETA</v>
          </cell>
          <cell r="P2559" t="str">
            <v>Resultado Ingresos y Gastos Integrales</v>
          </cell>
          <cell r="Q2559" t="str">
            <v>I. Ganancia (pérdida), antes de impuestos</v>
          </cell>
          <cell r="R2559" t="str">
            <v>b. Ganancia (pérdida)</v>
          </cell>
          <cell r="S2559" t="str">
            <v>5. Gasto de administración</v>
          </cell>
          <cell r="T2559" t="str">
            <v>7. Investigacion y Desarrollo</v>
          </cell>
          <cell r="V2559" t="str">
            <v>II. Gastos</v>
          </cell>
          <cell r="W2559" t="str">
            <v>23. Bienes y Servicios para Producción</v>
          </cell>
          <cell r="Z2559" t="str">
            <v>III. Gastos de Administración</v>
          </cell>
          <cell r="AA2559" t="str">
            <v>1. Investigacion y Desarrollo</v>
          </cell>
          <cell r="AC2559" t="str">
            <v>III. Gasto Administración</v>
          </cell>
          <cell r="AD2559" t="str">
            <v>2. Bienes y servicios Adm.</v>
          </cell>
          <cell r="AE2559" t="str">
            <v>1. Investigacion y Desarrollo</v>
          </cell>
          <cell r="AH2559" t="str">
            <v>6. Partidas significativas de gastos</v>
          </cell>
        </row>
        <row r="2560">
          <cell r="D2560" t="str">
            <v>3202160</v>
          </cell>
          <cell r="E2560" t="str">
            <v>3202160</v>
          </cell>
          <cell r="F2560" t="str">
            <v>Asesorias Sistema de Arriendo</v>
          </cell>
          <cell r="G2560" t="str">
            <v>3202160  Asesorias Sistema de Arriendo</v>
          </cell>
          <cell r="H2560" t="str">
            <v>Est. Resultado</v>
          </cell>
          <cell r="I2560" t="str">
            <v>Resultado</v>
          </cell>
          <cell r="J2560" t="str">
            <v>7. Gastos de Administración</v>
          </cell>
          <cell r="K2560" t="str">
            <v>10. Gastos Generales</v>
          </cell>
          <cell r="L2560" t="str">
            <v>EBITDA</v>
          </cell>
          <cell r="N2560" t="str">
            <v>GANANCIAS (PERDIDAS) ANTES DE IMPUESTOS</v>
          </cell>
          <cell r="O2560" t="str">
            <v>GANANCIA (PÉRDIDA) NETA</v>
          </cell>
          <cell r="P2560" t="str">
            <v>Resultado Ingresos y Gastos Integrales</v>
          </cell>
          <cell r="Q2560" t="str">
            <v>I. Ganancia (pérdida), antes de impuestos</v>
          </cell>
          <cell r="R2560" t="str">
            <v>b. Ganancia (pérdida)</v>
          </cell>
          <cell r="S2560" t="str">
            <v>5. Gasto de administración</v>
          </cell>
          <cell r="T2560" t="str">
            <v>7. Investigacion y Desarrollo</v>
          </cell>
          <cell r="V2560" t="str">
            <v>II. Gastos</v>
          </cell>
          <cell r="W2560" t="str">
            <v>23. Bienes y Servicios para Producción</v>
          </cell>
          <cell r="Z2560" t="str">
            <v>III. Gastos de Administración</v>
          </cell>
          <cell r="AA2560" t="str">
            <v>1. Investigacion y Desarrollo</v>
          </cell>
          <cell r="AC2560" t="str">
            <v>III. Gasto Administración</v>
          </cell>
          <cell r="AD2560" t="str">
            <v>2. Bienes y servicios Adm.</v>
          </cell>
          <cell r="AE2560" t="str">
            <v>1. Investigacion y Desarrollo</v>
          </cell>
          <cell r="AH2560" t="str">
            <v>6. Partidas significativas de gastos</v>
          </cell>
        </row>
        <row r="2561">
          <cell r="D2561" t="str">
            <v>3202161</v>
          </cell>
          <cell r="E2561" t="str">
            <v>3202161</v>
          </cell>
          <cell r="F2561" t="str">
            <v>Asesorias Sistema de Arriendo</v>
          </cell>
          <cell r="G2561" t="str">
            <v>3202161  Asesorias Sistema de Arriendo</v>
          </cell>
          <cell r="H2561" t="str">
            <v>Est. Resultado</v>
          </cell>
          <cell r="I2561" t="str">
            <v>Resultado</v>
          </cell>
          <cell r="J2561" t="str">
            <v>7. Gastos de Administración</v>
          </cell>
          <cell r="K2561" t="str">
            <v>10. Gastos Generales</v>
          </cell>
          <cell r="L2561" t="str">
            <v>EBITDA</v>
          </cell>
          <cell r="N2561" t="str">
            <v>GANANCIAS (PERDIDAS) ANTES DE IMPUESTOS</v>
          </cell>
          <cell r="O2561" t="str">
            <v>GANANCIA (PÉRDIDA) NETA</v>
          </cell>
          <cell r="P2561" t="str">
            <v>Resultado Ingresos y Gastos Integrales</v>
          </cell>
          <cell r="Q2561" t="str">
            <v>I. Ganancia (pérdida), antes de impuestos</v>
          </cell>
          <cell r="R2561" t="str">
            <v>b. Ganancia (pérdida)</v>
          </cell>
          <cell r="S2561" t="str">
            <v>5. Gasto de administración</v>
          </cell>
          <cell r="T2561" t="str">
            <v>7. Investigacion y Desarrollo</v>
          </cell>
          <cell r="V2561" t="str">
            <v>II. Gastos</v>
          </cell>
          <cell r="W2561" t="str">
            <v>23. Bienes y Servicios para Producción</v>
          </cell>
          <cell r="Z2561" t="str">
            <v>III. Gastos de Administración</v>
          </cell>
          <cell r="AA2561" t="str">
            <v>1. Investigacion y Desarrollo</v>
          </cell>
          <cell r="AC2561" t="str">
            <v>III. Gasto Administración</v>
          </cell>
          <cell r="AD2561" t="str">
            <v>2. Bienes y servicios Adm.</v>
          </cell>
          <cell r="AE2561" t="str">
            <v>1. Investigacion y Desarrollo</v>
          </cell>
          <cell r="AH2561" t="str">
            <v>6. Partidas significativas de gastos</v>
          </cell>
        </row>
        <row r="2562">
          <cell r="D2562">
            <v>0</v>
          </cell>
        </row>
        <row r="2563">
          <cell r="D2563">
            <v>0</v>
          </cell>
        </row>
        <row r="2564">
          <cell r="D2564" t="str">
            <v>Investigacion y Desarrollo</v>
          </cell>
          <cell r="E2564" t="str">
            <v>Investigacion y Desarrollo</v>
          </cell>
          <cell r="G2564" t="str">
            <v xml:space="preserve">Investigacion y Desarrollo  </v>
          </cell>
        </row>
        <row r="2565">
          <cell r="D2565" t="str">
            <v>3202126</v>
          </cell>
          <cell r="E2565" t="str">
            <v>3202126</v>
          </cell>
          <cell r="F2565" t="str">
            <v>Imprenta y Empaste</v>
          </cell>
          <cell r="G2565" t="str">
            <v>3202126  Imprenta y Empaste</v>
          </cell>
          <cell r="H2565" t="str">
            <v>Est. Resultado</v>
          </cell>
          <cell r="I2565" t="str">
            <v>Resultado</v>
          </cell>
          <cell r="J2565" t="str">
            <v>7. Gastos de Administración</v>
          </cell>
          <cell r="K2565" t="str">
            <v>10. Gastos Generales</v>
          </cell>
          <cell r="L2565" t="str">
            <v>EBITDA</v>
          </cell>
          <cell r="N2565" t="str">
            <v>GANANCIAS (PERDIDAS) ANTES DE IMPUESTOS</v>
          </cell>
          <cell r="O2565" t="str">
            <v>GANANCIA (PÉRDIDA) NETA</v>
          </cell>
          <cell r="P2565" t="str">
            <v>Resultado Ingresos y Gastos Integrales</v>
          </cell>
          <cell r="Q2565" t="str">
            <v>I. Ganancia (pérdida), antes de impuestos</v>
          </cell>
          <cell r="R2565" t="str">
            <v>b. Ganancia (pérdida)</v>
          </cell>
          <cell r="S2565" t="str">
            <v>5. Gasto de administración</v>
          </cell>
          <cell r="T2565" t="str">
            <v>8. Costo Mercadotecnia</v>
          </cell>
          <cell r="V2565" t="str">
            <v>II. Gastos</v>
          </cell>
          <cell r="W2565" t="str">
            <v>23. Bienes y Servicios para Producción</v>
          </cell>
          <cell r="Z2565" t="str">
            <v>III. Gastos de Administración</v>
          </cell>
          <cell r="AA2565" t="str">
            <v>2. Mercadotecnia</v>
          </cell>
          <cell r="AC2565" t="str">
            <v>III. Gasto Administración</v>
          </cell>
          <cell r="AD2565" t="str">
            <v>2. Bienes y servicios Adm.</v>
          </cell>
          <cell r="AE2565" t="str">
            <v>2. Mercadotecnia</v>
          </cell>
          <cell r="AH2565" t="str">
            <v>6. Partidas significativas de gastos</v>
          </cell>
        </row>
        <row r="2566">
          <cell r="D2566" t="str">
            <v>3202127</v>
          </cell>
          <cell r="E2566" t="str">
            <v>3202127</v>
          </cell>
          <cell r="F2566" t="str">
            <v>Fotocopiadora e Impresoras</v>
          </cell>
          <cell r="G2566" t="str">
            <v>3202127  Fotocopiadora e Impresoras</v>
          </cell>
          <cell r="H2566" t="str">
            <v>Est. Resultado</v>
          </cell>
          <cell r="I2566" t="str">
            <v>Resultado</v>
          </cell>
          <cell r="J2566" t="str">
            <v>7. Gastos de Administración</v>
          </cell>
          <cell r="K2566" t="str">
            <v>10. Gastos Generales</v>
          </cell>
          <cell r="L2566" t="str">
            <v>EBITDA</v>
          </cell>
          <cell r="N2566" t="str">
            <v>GANANCIAS (PERDIDAS) ANTES DE IMPUESTOS</v>
          </cell>
          <cell r="O2566" t="str">
            <v>GANANCIA (PÉRDIDA) NETA</v>
          </cell>
          <cell r="P2566" t="str">
            <v>Resultado Ingresos y Gastos Integrales</v>
          </cell>
          <cell r="Q2566" t="str">
            <v>I. Ganancia (pérdida), antes de impuestos</v>
          </cell>
          <cell r="R2566" t="str">
            <v>b. Ganancia (pérdida)</v>
          </cell>
          <cell r="S2566" t="str">
            <v>5. Gasto de administración</v>
          </cell>
          <cell r="T2566" t="str">
            <v>8. Costo Mercadotecnia</v>
          </cell>
          <cell r="V2566" t="str">
            <v>II. Gastos</v>
          </cell>
          <cell r="W2566" t="str">
            <v>23. Bienes y Servicios para Producción</v>
          </cell>
          <cell r="Z2566" t="str">
            <v>III. Gastos de Administración</v>
          </cell>
          <cell r="AA2566" t="str">
            <v>2. Mercadotecnia</v>
          </cell>
          <cell r="AC2566" t="str">
            <v>III. Gasto Administración</v>
          </cell>
          <cell r="AD2566" t="str">
            <v>2. Bienes y servicios Adm.</v>
          </cell>
          <cell r="AE2566" t="str">
            <v>2. Mercadotecnia</v>
          </cell>
          <cell r="AH2566" t="str">
            <v>6. Partidas significativas de gastos</v>
          </cell>
        </row>
        <row r="2567">
          <cell r="D2567" t="str">
            <v>3202139</v>
          </cell>
          <cell r="E2567" t="str">
            <v>3202139</v>
          </cell>
          <cell r="F2567" t="str">
            <v>Publicidad ventas</v>
          </cell>
          <cell r="G2567" t="str">
            <v>3202139  Publicidad ventas</v>
          </cell>
          <cell r="H2567" t="str">
            <v>Est. Resultado</v>
          </cell>
          <cell r="I2567" t="str">
            <v>Resultado</v>
          </cell>
          <cell r="J2567" t="str">
            <v>7. Gastos de Administración</v>
          </cell>
          <cell r="K2567" t="str">
            <v>10. Gastos Generales</v>
          </cell>
          <cell r="L2567" t="str">
            <v>EBITDA</v>
          </cell>
          <cell r="N2567" t="str">
            <v>GANANCIAS (PERDIDAS) ANTES DE IMPUESTOS</v>
          </cell>
          <cell r="O2567" t="str">
            <v>GANANCIA (PÉRDIDA) NETA</v>
          </cell>
          <cell r="P2567" t="str">
            <v>Resultado Ingresos y Gastos Integrales</v>
          </cell>
          <cell r="Q2567" t="str">
            <v>I. Ganancia (pérdida), antes de impuestos</v>
          </cell>
          <cell r="R2567" t="str">
            <v>b. Ganancia (pérdida)</v>
          </cell>
          <cell r="S2567" t="str">
            <v>5. Gasto de administración</v>
          </cell>
          <cell r="T2567" t="str">
            <v>8. Costo Mercadotecnia</v>
          </cell>
          <cell r="V2567" t="str">
            <v>II. Gastos</v>
          </cell>
          <cell r="W2567" t="str">
            <v>23. Bienes y Servicios para Producción</v>
          </cell>
          <cell r="Z2567" t="str">
            <v>III. Gastos de Administración</v>
          </cell>
          <cell r="AA2567" t="str">
            <v>2. Mercadotecnia</v>
          </cell>
          <cell r="AC2567" t="str">
            <v>III. Gasto Administración</v>
          </cell>
          <cell r="AD2567" t="str">
            <v>2. Bienes y servicios Adm.</v>
          </cell>
          <cell r="AE2567" t="str">
            <v>2. Mercadotecnia</v>
          </cell>
          <cell r="AH2567" t="str">
            <v>6. Partidas significativas de gastos</v>
          </cell>
        </row>
        <row r="2568">
          <cell r="D2568">
            <v>0</v>
          </cell>
        </row>
        <row r="2569">
          <cell r="D2569">
            <v>0</v>
          </cell>
        </row>
        <row r="2570">
          <cell r="D2570" t="str">
            <v>Costo Mercadotecnia</v>
          </cell>
          <cell r="E2570" t="str">
            <v>Costo Mercadotecnia</v>
          </cell>
          <cell r="G2570" t="str">
            <v xml:space="preserve">Costo Mercadotecnia  </v>
          </cell>
        </row>
        <row r="2571">
          <cell r="D2571" t="str">
            <v>3202101</v>
          </cell>
          <cell r="E2571" t="str">
            <v>3202101</v>
          </cell>
          <cell r="F2571" t="str">
            <v>Gastos de Oficina</v>
          </cell>
          <cell r="G2571" t="str">
            <v>3202101  Gastos de Oficina</v>
          </cell>
          <cell r="H2571" t="str">
            <v>Est. Resultado</v>
          </cell>
          <cell r="I2571" t="str">
            <v>Resultado</v>
          </cell>
          <cell r="J2571" t="str">
            <v>7. Gastos de Administración</v>
          </cell>
          <cell r="K2571" t="str">
            <v>10. Gastos Generales</v>
          </cell>
          <cell r="L2571" t="str">
            <v>EBITDA</v>
          </cell>
          <cell r="N2571" t="str">
            <v>GANANCIAS (PERDIDAS) ANTES DE IMPUESTOS</v>
          </cell>
          <cell r="O2571" t="str">
            <v>GANANCIA (PÉRDIDA) NETA</v>
          </cell>
          <cell r="P2571" t="str">
            <v>Resultado Ingresos y Gastos Integrales</v>
          </cell>
          <cell r="Q2571" t="str">
            <v>I. Ganancia (pérdida), antes de impuestos</v>
          </cell>
          <cell r="R2571" t="str">
            <v>b. Ganancia (pérdida)</v>
          </cell>
          <cell r="S2571" t="str">
            <v>5. Gasto de administración</v>
          </cell>
          <cell r="T2571" t="str">
            <v>10. Consumos Basicos</v>
          </cell>
          <cell r="V2571" t="str">
            <v>II. Gastos</v>
          </cell>
          <cell r="W2571" t="str">
            <v>23. Bienes y Servicios para Producción</v>
          </cell>
          <cell r="Z2571" t="str">
            <v>III. Gastos de Administración</v>
          </cell>
          <cell r="AA2571" t="str">
            <v>3. Consumos Basicos</v>
          </cell>
          <cell r="AC2571" t="str">
            <v>III. Gasto Administración</v>
          </cell>
          <cell r="AD2571" t="str">
            <v>2. Bienes y servicios Adm.</v>
          </cell>
          <cell r="AE2571" t="str">
            <v>3. Consumos Basicos</v>
          </cell>
          <cell r="AH2571" t="str">
            <v>6. Partidas significativas de gastos</v>
          </cell>
        </row>
        <row r="2572">
          <cell r="D2572" t="str">
            <v>3202103</v>
          </cell>
          <cell r="E2572" t="str">
            <v>3202103</v>
          </cell>
          <cell r="F2572" t="str">
            <v>Gastos Comunes</v>
          </cell>
          <cell r="G2572" t="str">
            <v>3202103  Gastos Comunes</v>
          </cell>
          <cell r="H2572" t="str">
            <v>Est. Resultado</v>
          </cell>
          <cell r="I2572" t="str">
            <v>Resultado</v>
          </cell>
          <cell r="J2572" t="str">
            <v>7. Gastos de Administración</v>
          </cell>
          <cell r="K2572" t="str">
            <v>10. Gastos Generales</v>
          </cell>
          <cell r="L2572" t="str">
            <v>EBITDA</v>
          </cell>
          <cell r="N2572" t="str">
            <v>GANANCIAS (PERDIDAS) ANTES DE IMPUESTOS</v>
          </cell>
          <cell r="O2572" t="str">
            <v>GANANCIA (PÉRDIDA) NETA</v>
          </cell>
          <cell r="P2572" t="str">
            <v>Resultado Ingresos y Gastos Integrales</v>
          </cell>
          <cell r="Q2572" t="str">
            <v>I. Ganancia (pérdida), antes de impuestos</v>
          </cell>
          <cell r="R2572" t="str">
            <v>b. Ganancia (pérdida)</v>
          </cell>
          <cell r="S2572" t="str">
            <v>5. Gasto de administración</v>
          </cell>
          <cell r="T2572" t="str">
            <v>10. Consumos Basicos</v>
          </cell>
          <cell r="V2572" t="str">
            <v>II. Gastos</v>
          </cell>
          <cell r="W2572" t="str">
            <v>23. Bienes y Servicios para Producción</v>
          </cell>
          <cell r="Z2572" t="str">
            <v>III. Gastos de Administración</v>
          </cell>
          <cell r="AA2572" t="str">
            <v>3. Consumos Basicos</v>
          </cell>
          <cell r="AC2572" t="str">
            <v>III. Gasto Administración</v>
          </cell>
          <cell r="AD2572" t="str">
            <v>2. Bienes y servicios Adm.</v>
          </cell>
          <cell r="AE2572" t="str">
            <v>3. Consumos Basicos</v>
          </cell>
          <cell r="AH2572" t="str">
            <v>6. Partidas significativas de gastos</v>
          </cell>
        </row>
        <row r="2573">
          <cell r="D2573" t="str">
            <v>3202104</v>
          </cell>
          <cell r="E2573" t="str">
            <v>3202104</v>
          </cell>
          <cell r="F2573" t="str">
            <v>Luz</v>
          </cell>
          <cell r="G2573" t="str">
            <v>3202104  Luz</v>
          </cell>
          <cell r="H2573" t="str">
            <v>Est. Resultado</v>
          </cell>
          <cell r="I2573" t="str">
            <v>Resultado</v>
          </cell>
          <cell r="J2573" t="str">
            <v>7. Gastos de Administración</v>
          </cell>
          <cell r="K2573" t="str">
            <v>10. Gastos Generales</v>
          </cell>
          <cell r="L2573" t="str">
            <v>EBITDA</v>
          </cell>
          <cell r="N2573" t="str">
            <v>GANANCIAS (PERDIDAS) ANTES DE IMPUESTOS</v>
          </cell>
          <cell r="O2573" t="str">
            <v>GANANCIA (PÉRDIDA) NETA</v>
          </cell>
          <cell r="P2573" t="str">
            <v>Resultado Ingresos y Gastos Integrales</v>
          </cell>
          <cell r="Q2573" t="str">
            <v>I. Ganancia (pérdida), antes de impuestos</v>
          </cell>
          <cell r="R2573" t="str">
            <v>b. Ganancia (pérdida)</v>
          </cell>
          <cell r="S2573" t="str">
            <v>5. Gasto de administración</v>
          </cell>
          <cell r="T2573" t="str">
            <v>10. Consumos Basicos</v>
          </cell>
          <cell r="V2573" t="str">
            <v>II. Gastos</v>
          </cell>
          <cell r="W2573" t="str">
            <v>23. Bienes y Servicios para Producción</v>
          </cell>
          <cell r="Z2573" t="str">
            <v>III. Gastos de Administración</v>
          </cell>
          <cell r="AA2573" t="str">
            <v>3. Consumos Basicos</v>
          </cell>
          <cell r="AC2573" t="str">
            <v>III. Gasto Administración</v>
          </cell>
          <cell r="AD2573" t="str">
            <v>2. Bienes y servicios Adm.</v>
          </cell>
          <cell r="AE2573" t="str">
            <v>3. Consumos Basicos</v>
          </cell>
          <cell r="AH2573" t="str">
            <v>6. Partidas significativas de gastos</v>
          </cell>
        </row>
        <row r="2574">
          <cell r="D2574" t="str">
            <v>3202105</v>
          </cell>
          <cell r="E2574" t="str">
            <v>3202105</v>
          </cell>
          <cell r="F2574" t="str">
            <v>Internet</v>
          </cell>
          <cell r="G2574" t="str">
            <v>3202105  Internet</v>
          </cell>
          <cell r="H2574" t="str">
            <v>Est. Resultado</v>
          </cell>
          <cell r="I2574" t="str">
            <v>Resultado</v>
          </cell>
          <cell r="J2574" t="str">
            <v>7. Gastos de Administración</v>
          </cell>
          <cell r="K2574" t="str">
            <v>10. Gastos Generales</v>
          </cell>
          <cell r="L2574" t="str">
            <v>EBITDA</v>
          </cell>
          <cell r="N2574" t="str">
            <v>GANANCIAS (PERDIDAS) ANTES DE IMPUESTOS</v>
          </cell>
          <cell r="O2574" t="str">
            <v>GANANCIA (PÉRDIDA) NETA</v>
          </cell>
          <cell r="P2574" t="str">
            <v>Resultado Ingresos y Gastos Integrales</v>
          </cell>
          <cell r="Q2574" t="str">
            <v>I. Ganancia (pérdida), antes de impuestos</v>
          </cell>
          <cell r="R2574" t="str">
            <v>b. Ganancia (pérdida)</v>
          </cell>
          <cell r="S2574" t="str">
            <v>5. Gasto de administración</v>
          </cell>
          <cell r="T2574" t="str">
            <v>10. Consumos Basicos</v>
          </cell>
          <cell r="V2574" t="str">
            <v>II. Gastos</v>
          </cell>
          <cell r="W2574" t="str">
            <v>23. Bienes y Servicios para Producción</v>
          </cell>
          <cell r="Z2574" t="str">
            <v>III. Gastos de Administración</v>
          </cell>
          <cell r="AA2574" t="str">
            <v>3. Consumos Basicos</v>
          </cell>
          <cell r="AC2574" t="str">
            <v>III. Gasto Administración</v>
          </cell>
          <cell r="AD2574" t="str">
            <v>2. Bienes y servicios Adm.</v>
          </cell>
          <cell r="AE2574" t="str">
            <v>3. Consumos Basicos</v>
          </cell>
          <cell r="AH2574" t="str">
            <v>6. Partidas significativas de gastos</v>
          </cell>
        </row>
        <row r="2575">
          <cell r="D2575" t="str">
            <v>3202106</v>
          </cell>
          <cell r="E2575" t="str">
            <v>3202106</v>
          </cell>
          <cell r="F2575" t="str">
            <v>Teléfonos</v>
          </cell>
          <cell r="G2575" t="str">
            <v>3202106  Teléfonos</v>
          </cell>
          <cell r="H2575" t="str">
            <v>Est. Resultado</v>
          </cell>
          <cell r="I2575" t="str">
            <v>Resultado</v>
          </cell>
          <cell r="J2575" t="str">
            <v>7. Gastos de Administración</v>
          </cell>
          <cell r="K2575" t="str">
            <v>10. Gastos Generales</v>
          </cell>
          <cell r="L2575" t="str">
            <v>EBITDA</v>
          </cell>
          <cell r="N2575" t="str">
            <v>GANANCIAS (PERDIDAS) ANTES DE IMPUESTOS</v>
          </cell>
          <cell r="O2575" t="str">
            <v>GANANCIA (PÉRDIDA) NETA</v>
          </cell>
          <cell r="P2575" t="str">
            <v>Resultado Ingresos y Gastos Integrales</v>
          </cell>
          <cell r="Q2575" t="str">
            <v>I. Ganancia (pérdida), antes de impuestos</v>
          </cell>
          <cell r="R2575" t="str">
            <v>b. Ganancia (pérdida)</v>
          </cell>
          <cell r="S2575" t="str">
            <v>5. Gasto de administración</v>
          </cell>
          <cell r="T2575" t="str">
            <v>10. Consumos Basicos</v>
          </cell>
          <cell r="V2575" t="str">
            <v>II. Gastos</v>
          </cell>
          <cell r="W2575" t="str">
            <v>23. Bienes y Servicios para Producción</v>
          </cell>
          <cell r="Z2575" t="str">
            <v>III. Gastos de Administración</v>
          </cell>
          <cell r="AA2575" t="str">
            <v>3. Consumos Basicos</v>
          </cell>
          <cell r="AC2575" t="str">
            <v>III. Gasto Administración</v>
          </cell>
          <cell r="AD2575" t="str">
            <v>2. Bienes y servicios Adm.</v>
          </cell>
          <cell r="AE2575" t="str">
            <v>3. Consumos Basicos</v>
          </cell>
          <cell r="AH2575" t="str">
            <v>6. Partidas significativas de gastos</v>
          </cell>
        </row>
        <row r="2576">
          <cell r="D2576" t="str">
            <v>3202108</v>
          </cell>
          <cell r="E2576" t="str">
            <v>3202108</v>
          </cell>
          <cell r="F2576" t="str">
            <v>Aseo</v>
          </cell>
          <cell r="G2576" t="str">
            <v>3202108  Aseo</v>
          </cell>
          <cell r="H2576" t="str">
            <v>Est. Resultado</v>
          </cell>
          <cell r="I2576" t="str">
            <v>Resultado</v>
          </cell>
          <cell r="J2576" t="str">
            <v>7. Gastos de Administración</v>
          </cell>
          <cell r="K2576" t="str">
            <v>10. Gastos Generales</v>
          </cell>
          <cell r="L2576" t="str">
            <v>EBITDA</v>
          </cell>
          <cell r="N2576" t="str">
            <v>GANANCIAS (PERDIDAS) ANTES DE IMPUESTOS</v>
          </cell>
          <cell r="O2576" t="str">
            <v>GANANCIA (PÉRDIDA) NETA</v>
          </cell>
          <cell r="P2576" t="str">
            <v>Resultado Ingresos y Gastos Integrales</v>
          </cell>
          <cell r="Q2576" t="str">
            <v>I. Ganancia (pérdida), antes de impuestos</v>
          </cell>
          <cell r="R2576" t="str">
            <v>b. Ganancia (pérdida)</v>
          </cell>
          <cell r="S2576" t="str">
            <v>5. Gasto de administración</v>
          </cell>
          <cell r="T2576" t="str">
            <v>10. Consumos Basicos</v>
          </cell>
          <cell r="V2576" t="str">
            <v>II. Gastos</v>
          </cell>
          <cell r="W2576" t="str">
            <v>23. Bienes y Servicios para Producción</v>
          </cell>
          <cell r="Z2576" t="str">
            <v>III. Gastos de Administración</v>
          </cell>
          <cell r="AA2576" t="str">
            <v>3. Consumos Basicos</v>
          </cell>
          <cell r="AC2576" t="str">
            <v>III. Gasto Administración</v>
          </cell>
          <cell r="AD2576" t="str">
            <v>2. Bienes y servicios Adm.</v>
          </cell>
          <cell r="AE2576" t="str">
            <v>3. Consumos Basicos</v>
          </cell>
          <cell r="AH2576" t="str">
            <v>6. Partidas significativas de gastos</v>
          </cell>
        </row>
        <row r="2577">
          <cell r="D2577" t="str">
            <v>3202109</v>
          </cell>
          <cell r="E2577" t="str">
            <v>3202109</v>
          </cell>
          <cell r="F2577" t="str">
            <v>Mantenimiento de oficinas</v>
          </cell>
          <cell r="G2577" t="str">
            <v>3202109  Mantenimiento de oficinas</v>
          </cell>
          <cell r="H2577" t="str">
            <v>Est. Resultado</v>
          </cell>
          <cell r="I2577" t="str">
            <v>Resultado</v>
          </cell>
          <cell r="J2577" t="str">
            <v>7. Gastos de Administración</v>
          </cell>
          <cell r="K2577" t="str">
            <v>10. Gastos Generales</v>
          </cell>
          <cell r="L2577" t="str">
            <v>EBITDA</v>
          </cell>
          <cell r="N2577" t="str">
            <v>GANANCIAS (PERDIDAS) ANTES DE IMPUESTOS</v>
          </cell>
          <cell r="O2577" t="str">
            <v>GANANCIA (PÉRDIDA) NETA</v>
          </cell>
          <cell r="P2577" t="str">
            <v>Resultado Ingresos y Gastos Integrales</v>
          </cell>
          <cell r="Q2577" t="str">
            <v>I. Ganancia (pérdida), antes de impuestos</v>
          </cell>
          <cell r="R2577" t="str">
            <v>b. Ganancia (pérdida)</v>
          </cell>
          <cell r="S2577" t="str">
            <v>5. Gasto de administración</v>
          </cell>
          <cell r="T2577" t="str">
            <v>10. Consumos Basicos</v>
          </cell>
          <cell r="V2577" t="str">
            <v>II. Gastos</v>
          </cell>
          <cell r="W2577" t="str">
            <v>23. Bienes y Servicios para Producción</v>
          </cell>
          <cell r="Z2577" t="str">
            <v>III. Gastos de Administración</v>
          </cell>
          <cell r="AA2577" t="str">
            <v>3. Consumos Basicos</v>
          </cell>
          <cell r="AC2577" t="str">
            <v>III. Gasto Administración</v>
          </cell>
          <cell r="AD2577" t="str">
            <v>2. Bienes y servicios Adm.</v>
          </cell>
          <cell r="AE2577" t="str">
            <v>3. Consumos Basicos</v>
          </cell>
          <cell r="AH2577" t="str">
            <v>6. Partidas significativas de gastos</v>
          </cell>
        </row>
        <row r="2578">
          <cell r="D2578" t="str">
            <v>3202112</v>
          </cell>
          <cell r="E2578" t="str">
            <v>3202112</v>
          </cell>
          <cell r="F2578" t="str">
            <v>Asesorías Dicom</v>
          </cell>
          <cell r="G2578" t="str">
            <v>3202112  Asesorías Dicom</v>
          </cell>
          <cell r="H2578" t="str">
            <v>Est. Resultado</v>
          </cell>
          <cell r="I2578" t="str">
            <v>Resultado</v>
          </cell>
          <cell r="J2578" t="str">
            <v>7. Gastos de Administración</v>
          </cell>
          <cell r="K2578" t="str">
            <v>10. Gastos Generales</v>
          </cell>
          <cell r="L2578" t="str">
            <v>EBITDA</v>
          </cell>
          <cell r="N2578" t="str">
            <v>GANANCIAS (PERDIDAS) ANTES DE IMPUESTOS</v>
          </cell>
          <cell r="O2578" t="str">
            <v>GANANCIA (PÉRDIDA) NETA</v>
          </cell>
          <cell r="P2578" t="str">
            <v>Resultado Ingresos y Gastos Integrales</v>
          </cell>
          <cell r="Q2578" t="str">
            <v>I. Ganancia (pérdida), antes de impuestos</v>
          </cell>
          <cell r="R2578" t="str">
            <v>b. Ganancia (pérdida)</v>
          </cell>
          <cell r="S2578" t="str">
            <v>5. Gasto de administración</v>
          </cell>
          <cell r="T2578" t="str">
            <v>10. Consumos Basicos</v>
          </cell>
          <cell r="V2578" t="str">
            <v>II. Gastos</v>
          </cell>
          <cell r="W2578" t="str">
            <v>23. Bienes y Servicios para Producción</v>
          </cell>
          <cell r="Z2578" t="str">
            <v>III. Gastos de Administración</v>
          </cell>
          <cell r="AA2578" t="str">
            <v>3. Consumos Basicos</v>
          </cell>
          <cell r="AC2578" t="str">
            <v>III. Gasto Administración</v>
          </cell>
          <cell r="AD2578" t="str">
            <v>2. Bienes y servicios Adm.</v>
          </cell>
          <cell r="AE2578" t="str">
            <v>3. Consumos Basicos</v>
          </cell>
          <cell r="AH2578" t="str">
            <v>6. Partidas significativas de gastos</v>
          </cell>
        </row>
        <row r="2579">
          <cell r="D2579" t="str">
            <v>3202116</v>
          </cell>
          <cell r="E2579" t="str">
            <v>3202116</v>
          </cell>
          <cell r="F2579" t="str">
            <v>Prestaciones de Servicios</v>
          </cell>
          <cell r="G2579" t="str">
            <v>3202116  Prestaciones de Servicios</v>
          </cell>
          <cell r="H2579" t="str">
            <v>Est. Resultado</v>
          </cell>
          <cell r="I2579" t="str">
            <v>Resultado</v>
          </cell>
          <cell r="J2579" t="str">
            <v>7. Gastos de Administración</v>
          </cell>
          <cell r="K2579" t="str">
            <v>10. Gastos Generales</v>
          </cell>
          <cell r="L2579" t="str">
            <v>EBITDA</v>
          </cell>
          <cell r="N2579" t="str">
            <v>GANANCIAS (PERDIDAS) ANTES DE IMPUESTOS</v>
          </cell>
          <cell r="O2579" t="str">
            <v>GANANCIA (PÉRDIDA) NETA</v>
          </cell>
          <cell r="P2579" t="str">
            <v>Resultado Ingresos y Gastos Integrales</v>
          </cell>
          <cell r="Q2579" t="str">
            <v>I. Ganancia (pérdida), antes de impuestos</v>
          </cell>
          <cell r="R2579" t="str">
            <v>b. Ganancia (pérdida)</v>
          </cell>
          <cell r="S2579" t="str">
            <v>5. Gasto de administración</v>
          </cell>
          <cell r="T2579" t="str">
            <v>10. Consumos Basicos</v>
          </cell>
          <cell r="V2579" t="str">
            <v>II. Gastos</v>
          </cell>
          <cell r="W2579" t="str">
            <v>23. Bienes y Servicios para Producción</v>
          </cell>
          <cell r="Z2579" t="str">
            <v>III. Gastos de Administración</v>
          </cell>
          <cell r="AA2579" t="str">
            <v>3. Consumos Basicos</v>
          </cell>
          <cell r="AC2579" t="str">
            <v>III. Gasto Administración</v>
          </cell>
          <cell r="AD2579" t="str">
            <v>2. Bienes y servicios Adm.</v>
          </cell>
          <cell r="AE2579" t="str">
            <v>3. Consumos Basicos</v>
          </cell>
          <cell r="AH2579" t="str">
            <v>6. Partidas significativas de gastos</v>
          </cell>
        </row>
        <row r="2580">
          <cell r="D2580" t="str">
            <v>3202124</v>
          </cell>
          <cell r="E2580" t="str">
            <v>3202124</v>
          </cell>
          <cell r="F2580" t="str">
            <v>Artículos de Oficina</v>
          </cell>
          <cell r="G2580" t="str">
            <v>3202124  Artículos de Oficina</v>
          </cell>
          <cell r="H2580" t="str">
            <v>Est. Resultado</v>
          </cell>
          <cell r="I2580" t="str">
            <v>Resultado</v>
          </cell>
          <cell r="J2580" t="str">
            <v>7. Gastos de Administración</v>
          </cell>
          <cell r="K2580" t="str">
            <v>10. Gastos Generales</v>
          </cell>
          <cell r="L2580" t="str">
            <v>EBITDA</v>
          </cell>
          <cell r="N2580" t="str">
            <v>GANANCIAS (PERDIDAS) ANTES DE IMPUESTOS</v>
          </cell>
          <cell r="O2580" t="str">
            <v>GANANCIA (PÉRDIDA) NETA</v>
          </cell>
          <cell r="P2580" t="str">
            <v>Resultado Ingresos y Gastos Integrales</v>
          </cell>
          <cell r="Q2580" t="str">
            <v>I. Ganancia (pérdida), antes de impuestos</v>
          </cell>
          <cell r="R2580" t="str">
            <v>b. Ganancia (pérdida)</v>
          </cell>
          <cell r="S2580" t="str">
            <v>5. Gasto de administración</v>
          </cell>
          <cell r="T2580" t="str">
            <v>10. Consumos Basicos</v>
          </cell>
          <cell r="V2580" t="str">
            <v>II. Gastos</v>
          </cell>
          <cell r="W2580" t="str">
            <v>23. Bienes y Servicios para Producción</v>
          </cell>
          <cell r="Z2580" t="str">
            <v>III. Gastos de Administración</v>
          </cell>
          <cell r="AA2580" t="str">
            <v>3. Consumos Basicos</v>
          </cell>
          <cell r="AC2580" t="str">
            <v>III. Gasto Administración</v>
          </cell>
          <cell r="AD2580" t="str">
            <v>2. Bienes y servicios Adm.</v>
          </cell>
          <cell r="AE2580" t="str">
            <v>3. Consumos Basicos</v>
          </cell>
          <cell r="AH2580" t="str">
            <v>6. Partidas significativas de gastos</v>
          </cell>
        </row>
        <row r="2581">
          <cell r="D2581" t="str">
            <v>3202125</v>
          </cell>
          <cell r="E2581" t="str">
            <v>3202125</v>
          </cell>
          <cell r="F2581" t="str">
            <v>Artículos de Escritorio</v>
          </cell>
          <cell r="G2581" t="str">
            <v>3202125  Artículos de Escritorio</v>
          </cell>
          <cell r="H2581" t="str">
            <v>Est. Resultado</v>
          </cell>
          <cell r="I2581" t="str">
            <v>Resultado</v>
          </cell>
          <cell r="J2581" t="str">
            <v>7. Gastos de Administración</v>
          </cell>
          <cell r="K2581" t="str">
            <v>10. Gastos Generales</v>
          </cell>
          <cell r="L2581" t="str">
            <v>EBITDA</v>
          </cell>
          <cell r="N2581" t="str">
            <v>GANANCIAS (PERDIDAS) ANTES DE IMPUESTOS</v>
          </cell>
          <cell r="O2581" t="str">
            <v>GANANCIA (PÉRDIDA) NETA</v>
          </cell>
          <cell r="P2581" t="str">
            <v>Resultado Ingresos y Gastos Integrales</v>
          </cell>
          <cell r="Q2581" t="str">
            <v>I. Ganancia (pérdida), antes de impuestos</v>
          </cell>
          <cell r="R2581" t="str">
            <v>b. Ganancia (pérdida)</v>
          </cell>
          <cell r="S2581" t="str">
            <v>5. Gasto de administración</v>
          </cell>
          <cell r="T2581" t="str">
            <v>10. Consumos Basicos</v>
          </cell>
          <cell r="V2581" t="str">
            <v>II. Gastos</v>
          </cell>
          <cell r="W2581" t="str">
            <v>23. Bienes y Servicios para Producción</v>
          </cell>
          <cell r="Z2581" t="str">
            <v>III. Gastos de Administración</v>
          </cell>
          <cell r="AA2581" t="str">
            <v>3. Consumos Basicos</v>
          </cell>
          <cell r="AC2581" t="str">
            <v>III. Gasto Administración</v>
          </cell>
          <cell r="AD2581" t="str">
            <v>2. Bienes y servicios Adm.</v>
          </cell>
          <cell r="AE2581" t="str">
            <v>3. Consumos Basicos</v>
          </cell>
          <cell r="AH2581" t="str">
            <v>6. Partidas significativas de gastos</v>
          </cell>
        </row>
        <row r="2582">
          <cell r="D2582" t="str">
            <v>3202132</v>
          </cell>
          <cell r="E2582" t="str">
            <v>3202132</v>
          </cell>
          <cell r="F2582" t="str">
            <v>Teléfonos Larga Distancia</v>
          </cell>
          <cell r="G2582" t="str">
            <v>3202132  Teléfonos Larga Distancia</v>
          </cell>
          <cell r="H2582" t="str">
            <v>Est. Resultado</v>
          </cell>
          <cell r="I2582" t="str">
            <v>Resultado</v>
          </cell>
          <cell r="J2582" t="str">
            <v>7. Gastos de Administración</v>
          </cell>
          <cell r="K2582" t="str">
            <v>10. Gastos Generales</v>
          </cell>
          <cell r="L2582" t="str">
            <v>EBITDA</v>
          </cell>
          <cell r="N2582" t="str">
            <v>GANANCIAS (PERDIDAS) ANTES DE IMPUESTOS</v>
          </cell>
          <cell r="O2582" t="str">
            <v>GANANCIA (PÉRDIDA) NETA</v>
          </cell>
          <cell r="P2582" t="str">
            <v>Resultado Ingresos y Gastos Integrales</v>
          </cell>
          <cell r="Q2582" t="str">
            <v>I. Ganancia (pérdida), antes de impuestos</v>
          </cell>
          <cell r="R2582" t="str">
            <v>b. Ganancia (pérdida)</v>
          </cell>
          <cell r="S2582" t="str">
            <v>5. Gasto de administración</v>
          </cell>
          <cell r="T2582" t="str">
            <v>10. Consumos Basicos</v>
          </cell>
          <cell r="V2582" t="str">
            <v>II. Gastos</v>
          </cell>
          <cell r="W2582" t="str">
            <v>23. Bienes y Servicios para Producción</v>
          </cell>
          <cell r="Z2582" t="str">
            <v>III. Gastos de Administración</v>
          </cell>
          <cell r="AA2582" t="str">
            <v>3. Consumos Basicos</v>
          </cell>
          <cell r="AC2582" t="str">
            <v>III. Gasto Administración</v>
          </cell>
          <cell r="AD2582" t="str">
            <v>2. Bienes y servicios Adm.</v>
          </cell>
          <cell r="AE2582" t="str">
            <v>3. Consumos Basicos</v>
          </cell>
          <cell r="AH2582" t="str">
            <v>6. Partidas significativas de gastos</v>
          </cell>
        </row>
        <row r="2583">
          <cell r="D2583" t="str">
            <v>3202154</v>
          </cell>
          <cell r="E2583" t="str">
            <v>3202154</v>
          </cell>
          <cell r="F2583" t="str">
            <v>Celulares</v>
          </cell>
          <cell r="G2583" t="str">
            <v>3202154  Celulares</v>
          </cell>
          <cell r="H2583" t="str">
            <v>Est. Resultado</v>
          </cell>
          <cell r="I2583" t="str">
            <v>Resultado</v>
          </cell>
          <cell r="J2583" t="str">
            <v>7. Gastos de Administración</v>
          </cell>
          <cell r="K2583" t="str">
            <v>10. Gastos Generales</v>
          </cell>
          <cell r="L2583" t="str">
            <v>EBITDA</v>
          </cell>
          <cell r="N2583" t="str">
            <v>GANANCIAS (PERDIDAS) ANTES DE IMPUESTOS</v>
          </cell>
          <cell r="O2583" t="str">
            <v>GANANCIA (PÉRDIDA) NETA</v>
          </cell>
          <cell r="P2583" t="str">
            <v>Resultado Ingresos y Gastos Integrales</v>
          </cell>
          <cell r="Q2583" t="str">
            <v>I. Ganancia (pérdida), antes de impuestos</v>
          </cell>
          <cell r="R2583" t="str">
            <v>b. Ganancia (pérdida)</v>
          </cell>
          <cell r="S2583" t="str">
            <v>5. Gasto de administración</v>
          </cell>
          <cell r="T2583" t="str">
            <v>10. Consumos Basicos</v>
          </cell>
          <cell r="V2583" t="str">
            <v>II. Gastos</v>
          </cell>
          <cell r="W2583" t="str">
            <v>23. Bienes y Servicios para Producción</v>
          </cell>
          <cell r="Z2583" t="str">
            <v>III. Gastos de Administración</v>
          </cell>
          <cell r="AA2583" t="str">
            <v>3. Consumos Basicos</v>
          </cell>
          <cell r="AC2583" t="str">
            <v>III. Gasto Administración</v>
          </cell>
          <cell r="AD2583" t="str">
            <v>2. Bienes y servicios Adm.</v>
          </cell>
          <cell r="AE2583" t="str">
            <v>3. Consumos Basicos</v>
          </cell>
          <cell r="AH2583" t="str">
            <v>6. Partidas significativas de gastos</v>
          </cell>
        </row>
        <row r="2584">
          <cell r="D2584" t="str">
            <v>3202164</v>
          </cell>
          <cell r="E2584" t="str">
            <v>3202164</v>
          </cell>
          <cell r="F2584" t="str">
            <v>Otros Gastos Oficina</v>
          </cell>
          <cell r="G2584" t="str">
            <v>3202164  Otros Gastos Oficina</v>
          </cell>
          <cell r="H2584" t="str">
            <v>Est. Resultado</v>
          </cell>
          <cell r="I2584" t="str">
            <v>Resultado</v>
          </cell>
          <cell r="J2584" t="str">
            <v>7. Gastos de Administración</v>
          </cell>
          <cell r="K2584" t="str">
            <v>10. Gastos Generales</v>
          </cell>
          <cell r="L2584" t="str">
            <v>EBITDA</v>
          </cell>
          <cell r="N2584" t="str">
            <v>GANANCIAS (PERDIDAS) ANTES DE IMPUESTOS</v>
          </cell>
          <cell r="O2584" t="str">
            <v>GANANCIA (PÉRDIDA) NETA</v>
          </cell>
          <cell r="P2584" t="str">
            <v>Resultado Ingresos y Gastos Integrales</v>
          </cell>
          <cell r="Q2584" t="str">
            <v>I. Ganancia (pérdida), antes de impuestos</v>
          </cell>
          <cell r="R2584" t="str">
            <v>b. Ganancia (pérdida)</v>
          </cell>
          <cell r="S2584" t="str">
            <v>5. Gasto de administración</v>
          </cell>
          <cell r="T2584" t="str">
            <v>10. Consumos Basicos</v>
          </cell>
          <cell r="V2584" t="str">
            <v>II. Gastos</v>
          </cell>
          <cell r="W2584" t="str">
            <v>23. Bienes y Servicios para Producción</v>
          </cell>
          <cell r="Z2584" t="str">
            <v>III. Gastos de Administración</v>
          </cell>
          <cell r="AA2584" t="str">
            <v>3. Consumos Basicos</v>
          </cell>
          <cell r="AC2584" t="str">
            <v>III. Gasto Administración</v>
          </cell>
          <cell r="AD2584" t="str">
            <v>2. Bienes y servicios Adm.</v>
          </cell>
          <cell r="AE2584" t="str">
            <v>3. Consumos Basicos</v>
          </cell>
          <cell r="AH2584" t="str">
            <v>6. Partidas significativas de gastos</v>
          </cell>
        </row>
        <row r="2585">
          <cell r="D2585" t="str">
            <v>3202163</v>
          </cell>
          <cell r="E2585" t="str">
            <v>3202163</v>
          </cell>
          <cell r="F2585" t="str">
            <v>Otros Gastos de Oficina</v>
          </cell>
          <cell r="G2585" t="str">
            <v>3202163  Otros Gastos de Oficina</v>
          </cell>
          <cell r="H2585" t="str">
            <v>Est. Resultado</v>
          </cell>
          <cell r="I2585" t="str">
            <v>Resultado</v>
          </cell>
          <cell r="J2585" t="str">
            <v>7. Gastos de Administración</v>
          </cell>
          <cell r="K2585" t="str">
            <v>10. Gastos Generales</v>
          </cell>
          <cell r="L2585" t="str">
            <v>EBITDA</v>
          </cell>
          <cell r="N2585" t="str">
            <v>GANANCIAS (PERDIDAS) ANTES DE IMPUESTOS</v>
          </cell>
          <cell r="O2585" t="str">
            <v>GANANCIA (PÉRDIDA) NETA</v>
          </cell>
          <cell r="P2585" t="str">
            <v>Resultado Ingresos y Gastos Integrales</v>
          </cell>
          <cell r="Q2585" t="str">
            <v>I. Ganancia (pérdida), antes de impuestos</v>
          </cell>
          <cell r="R2585" t="str">
            <v>b. Ganancia (pérdida)</v>
          </cell>
          <cell r="S2585" t="str">
            <v>5. Gasto de administración</v>
          </cell>
          <cell r="T2585" t="str">
            <v>10. Consumos Basicos</v>
          </cell>
          <cell r="V2585" t="str">
            <v>II. Gastos</v>
          </cell>
          <cell r="W2585" t="str">
            <v>23. Bienes y Servicios para Producción</v>
          </cell>
          <cell r="Z2585" t="str">
            <v>III. Gastos de Administración</v>
          </cell>
          <cell r="AA2585" t="str">
            <v>3. Consumos Basicos</v>
          </cell>
          <cell r="AC2585" t="str">
            <v>III. Gasto Administración</v>
          </cell>
          <cell r="AD2585" t="str">
            <v>2. Bienes y servicios Adm.</v>
          </cell>
          <cell r="AE2585" t="str">
            <v>3. Consumos Basicos</v>
          </cell>
          <cell r="AH2585" t="str">
            <v>6. Partidas significativas de gastos</v>
          </cell>
        </row>
        <row r="2586">
          <cell r="D2586">
            <v>0</v>
          </cell>
        </row>
        <row r="2587">
          <cell r="D2587">
            <v>0</v>
          </cell>
        </row>
        <row r="2588">
          <cell r="D2588" t="str">
            <v>Consumos Basicos</v>
          </cell>
          <cell r="E2588" t="str">
            <v>Consumos Basicos</v>
          </cell>
          <cell r="G2588" t="str">
            <v xml:space="preserve">Consumos Basicos  </v>
          </cell>
        </row>
        <row r="2589">
          <cell r="D2589" t="str">
            <v>3202137</v>
          </cell>
          <cell r="E2589" t="str">
            <v>3202137</v>
          </cell>
          <cell r="F2589" t="str">
            <v>Seguros</v>
          </cell>
          <cell r="G2589" t="str">
            <v>3202137  Seguros</v>
          </cell>
          <cell r="H2589" t="str">
            <v>Est. Resultado</v>
          </cell>
          <cell r="I2589" t="str">
            <v>Resultado</v>
          </cell>
          <cell r="J2589" t="str">
            <v>7. Gastos de Administración</v>
          </cell>
          <cell r="K2589" t="str">
            <v>10. Gastos Generales</v>
          </cell>
          <cell r="L2589" t="str">
            <v>EBITDA</v>
          </cell>
          <cell r="N2589" t="str">
            <v>GANANCIAS (PERDIDAS) ANTES DE IMPUESTOS</v>
          </cell>
          <cell r="O2589" t="str">
            <v>GANANCIA (PÉRDIDA) NETA</v>
          </cell>
          <cell r="P2589" t="str">
            <v>Resultado Ingresos y Gastos Integrales</v>
          </cell>
          <cell r="Q2589" t="str">
            <v>I. Ganancia (pérdida), antes de impuestos</v>
          </cell>
          <cell r="R2589" t="str">
            <v>b. Ganancia (pérdida)</v>
          </cell>
          <cell r="S2589" t="str">
            <v>5. Gasto de administración</v>
          </cell>
          <cell r="T2589" t="str">
            <v>11. Fletes y Seguros</v>
          </cell>
          <cell r="V2589" t="str">
            <v>II. Gastos</v>
          </cell>
          <cell r="W2589" t="str">
            <v>23. Bienes y Servicios para Producción</v>
          </cell>
          <cell r="Z2589" t="str">
            <v>III. Gastos de Administración</v>
          </cell>
          <cell r="AA2589" t="str">
            <v>5. Fletes y Seguros</v>
          </cell>
          <cell r="AC2589" t="str">
            <v>III. Gasto Administración</v>
          </cell>
          <cell r="AD2589" t="str">
            <v>2. Bienes y servicios Adm.</v>
          </cell>
          <cell r="AE2589" t="str">
            <v>5. Fletes y Seguros</v>
          </cell>
          <cell r="AH2589" t="str">
            <v>6. Partidas significativas de gastos</v>
          </cell>
        </row>
        <row r="2590">
          <cell r="D2590">
            <v>0</v>
          </cell>
        </row>
        <row r="2591">
          <cell r="D2591">
            <v>0</v>
          </cell>
        </row>
        <row r="2592">
          <cell r="D2592" t="str">
            <v>Fletes y Seguros</v>
          </cell>
          <cell r="E2592" t="str">
            <v>Fletes y Seguros</v>
          </cell>
          <cell r="G2592" t="str">
            <v xml:space="preserve">Fletes y Seguros  </v>
          </cell>
        </row>
        <row r="2593">
          <cell r="D2593" t="str">
            <v>3202102</v>
          </cell>
          <cell r="E2593" t="str">
            <v>3202102</v>
          </cell>
          <cell r="F2593" t="str">
            <v>Arriendos</v>
          </cell>
          <cell r="G2593" t="str">
            <v>3202102  Arriendos</v>
          </cell>
          <cell r="H2593" t="str">
            <v>Est. Resultado</v>
          </cell>
          <cell r="I2593" t="str">
            <v>Resultado</v>
          </cell>
          <cell r="J2593" t="str">
            <v>7. Gastos de Administración</v>
          </cell>
          <cell r="K2593" t="str">
            <v>10. Gastos Generales</v>
          </cell>
          <cell r="L2593" t="str">
            <v>EBITDA</v>
          </cell>
          <cell r="N2593" t="str">
            <v>GANANCIAS (PERDIDAS) ANTES DE IMPUESTOS</v>
          </cell>
          <cell r="O2593" t="str">
            <v>GANANCIA (PÉRDIDA) NETA</v>
          </cell>
          <cell r="P2593" t="str">
            <v>Resultado Ingresos y Gastos Integrales</v>
          </cell>
          <cell r="Q2593" t="str">
            <v>I. Ganancia (pérdida), antes de impuestos</v>
          </cell>
          <cell r="R2593" t="str">
            <v>b. Ganancia (pérdida)</v>
          </cell>
          <cell r="S2593" t="str">
            <v>5. Gasto de administración</v>
          </cell>
          <cell r="T2593" t="str">
            <v>14. Gastos Generales</v>
          </cell>
          <cell r="V2593" t="str">
            <v>II. Gastos</v>
          </cell>
          <cell r="W2593" t="str">
            <v>23. Bienes y Servicios para Producción</v>
          </cell>
          <cell r="Z2593" t="str">
            <v>III. Gastos de Administración</v>
          </cell>
          <cell r="AA2593" t="str">
            <v>6. Gastos Generales</v>
          </cell>
          <cell r="AC2593" t="str">
            <v>III. Gasto Administración</v>
          </cell>
          <cell r="AD2593" t="str">
            <v>2. Bienes y servicios Adm.</v>
          </cell>
          <cell r="AE2593" t="str">
            <v>6. Gastos Generales</v>
          </cell>
          <cell r="AH2593" t="str">
            <v>6. Partidas significativas de gastos</v>
          </cell>
        </row>
        <row r="2594">
          <cell r="D2594" t="str">
            <v>3202110</v>
          </cell>
          <cell r="E2594" t="str">
            <v>3202110</v>
          </cell>
          <cell r="F2594" t="str">
            <v>Patentes</v>
          </cell>
          <cell r="G2594" t="str">
            <v>3202110  Patentes</v>
          </cell>
          <cell r="H2594" t="str">
            <v>Est. Resultado</v>
          </cell>
          <cell r="I2594" t="str">
            <v>Resultado</v>
          </cell>
          <cell r="J2594" t="str">
            <v>7. Gastos de Administración</v>
          </cell>
          <cell r="K2594" t="str">
            <v>10. Gastos Generales</v>
          </cell>
          <cell r="L2594" t="str">
            <v>EBITDA</v>
          </cell>
          <cell r="N2594" t="str">
            <v>GANANCIAS (PERDIDAS) ANTES DE IMPUESTOS</v>
          </cell>
          <cell r="O2594" t="str">
            <v>GANANCIA (PÉRDIDA) NETA</v>
          </cell>
          <cell r="P2594" t="str">
            <v>Resultado Ingresos y Gastos Integrales</v>
          </cell>
          <cell r="Q2594" t="str">
            <v>I. Ganancia (pérdida), antes de impuestos</v>
          </cell>
          <cell r="R2594" t="str">
            <v>b. Ganancia (pérdida)</v>
          </cell>
          <cell r="S2594" t="str">
            <v>5. Gasto de administración</v>
          </cell>
          <cell r="T2594" t="str">
            <v>14. Gastos Generales</v>
          </cell>
          <cell r="V2594" t="str">
            <v>II. Gastos</v>
          </cell>
          <cell r="W2594" t="str">
            <v>23. Bienes y Servicios para Producción</v>
          </cell>
          <cell r="Z2594" t="str">
            <v>III. Gastos de Administración</v>
          </cell>
          <cell r="AA2594" t="str">
            <v>6. Gastos Generales</v>
          </cell>
          <cell r="AC2594" t="str">
            <v>III. Gasto Administración</v>
          </cell>
          <cell r="AD2594" t="str">
            <v>2. Bienes y servicios Adm.</v>
          </cell>
          <cell r="AE2594" t="str">
            <v>6. Gastos Generales</v>
          </cell>
          <cell r="AH2594" t="str">
            <v>6. Partidas significativas de gastos</v>
          </cell>
        </row>
        <row r="2595">
          <cell r="D2595" t="str">
            <v>3202111</v>
          </cell>
          <cell r="E2595" t="str">
            <v>3202111</v>
          </cell>
          <cell r="F2595" t="str">
            <v>Contribuciones</v>
          </cell>
          <cell r="G2595" t="str">
            <v>3202111  Contribuciones</v>
          </cell>
          <cell r="H2595" t="str">
            <v>Est. Resultado</v>
          </cell>
          <cell r="I2595" t="str">
            <v>Resultado</v>
          </cell>
          <cell r="J2595" t="str">
            <v>7. Gastos de Administración</v>
          </cell>
          <cell r="K2595" t="str">
            <v>10. Gastos Generales</v>
          </cell>
          <cell r="L2595" t="str">
            <v>EBITDA</v>
          </cell>
          <cell r="N2595" t="str">
            <v>GANANCIAS (PERDIDAS) ANTES DE IMPUESTOS</v>
          </cell>
          <cell r="O2595" t="str">
            <v>GANANCIA (PÉRDIDA) NETA</v>
          </cell>
          <cell r="P2595" t="str">
            <v>Resultado Ingresos y Gastos Integrales</v>
          </cell>
          <cell r="Q2595" t="str">
            <v>I. Ganancia (pérdida), antes de impuestos</v>
          </cell>
          <cell r="R2595" t="str">
            <v>b. Ganancia (pérdida)</v>
          </cell>
          <cell r="S2595" t="str">
            <v>5. Gasto de administración</v>
          </cell>
          <cell r="T2595" t="str">
            <v>14. Gastos Generales</v>
          </cell>
          <cell r="V2595" t="str">
            <v>II. Gastos</v>
          </cell>
          <cell r="W2595" t="str">
            <v>23. Bienes y Servicios para Producción</v>
          </cell>
          <cell r="Z2595" t="str">
            <v>III. Gastos de Administración</v>
          </cell>
          <cell r="AA2595" t="str">
            <v>6. Gastos Generales</v>
          </cell>
          <cell r="AC2595" t="str">
            <v>III. Gasto Administración</v>
          </cell>
          <cell r="AD2595" t="str">
            <v>2. Bienes y servicios Adm.</v>
          </cell>
          <cell r="AE2595" t="str">
            <v>6. Gastos Generales</v>
          </cell>
          <cell r="AH2595" t="str">
            <v>6. Partidas significativas de gastos</v>
          </cell>
        </row>
        <row r="2596">
          <cell r="D2596" t="str">
            <v>3202118</v>
          </cell>
          <cell r="E2596" t="str">
            <v>3202118</v>
          </cell>
          <cell r="F2596" t="str">
            <v>Gastos de viajes</v>
          </cell>
          <cell r="G2596" t="str">
            <v>3202118  Gastos de viajes</v>
          </cell>
          <cell r="H2596" t="str">
            <v>Est. Resultado</v>
          </cell>
          <cell r="I2596" t="str">
            <v>Resultado</v>
          </cell>
          <cell r="J2596" t="str">
            <v>7. Gastos de Administración</v>
          </cell>
          <cell r="K2596" t="str">
            <v>10. Gastos Generales</v>
          </cell>
          <cell r="L2596" t="str">
            <v>EBITDA</v>
          </cell>
          <cell r="N2596" t="str">
            <v>GANANCIAS (PERDIDAS) ANTES DE IMPUESTOS</v>
          </cell>
          <cell r="O2596" t="str">
            <v>GANANCIA (PÉRDIDA) NETA</v>
          </cell>
          <cell r="P2596" t="str">
            <v>Resultado Ingresos y Gastos Integrales</v>
          </cell>
          <cell r="Q2596" t="str">
            <v>I. Ganancia (pérdida), antes de impuestos</v>
          </cell>
          <cell r="R2596" t="str">
            <v>b. Ganancia (pérdida)</v>
          </cell>
          <cell r="S2596" t="str">
            <v>5. Gasto de administración</v>
          </cell>
          <cell r="T2596" t="str">
            <v>14. Gastos Generales</v>
          </cell>
          <cell r="V2596" t="str">
            <v>II. Gastos</v>
          </cell>
          <cell r="W2596" t="str">
            <v>23. Bienes y Servicios para Producción</v>
          </cell>
          <cell r="Z2596" t="str">
            <v>III. Gastos de Administración</v>
          </cell>
          <cell r="AA2596" t="str">
            <v>6. Gastos Generales</v>
          </cell>
          <cell r="AC2596" t="str">
            <v>III. Gasto Administración</v>
          </cell>
          <cell r="AD2596" t="str">
            <v>2. Bienes y servicios Adm.</v>
          </cell>
          <cell r="AE2596" t="str">
            <v>6. Gastos Generales</v>
          </cell>
          <cell r="AH2596" t="str">
            <v>6. Partidas significativas de gastos</v>
          </cell>
        </row>
        <row r="2597">
          <cell r="D2597" t="str">
            <v>3202119</v>
          </cell>
          <cell r="E2597" t="str">
            <v>3202119</v>
          </cell>
          <cell r="F2597" t="str">
            <v>Gastos de Viaje y Pasajes</v>
          </cell>
          <cell r="G2597" t="str">
            <v>3202119  Gastos de Viaje y Pasajes</v>
          </cell>
          <cell r="H2597" t="str">
            <v>Est. Resultado</v>
          </cell>
          <cell r="I2597" t="str">
            <v>Resultado</v>
          </cell>
          <cell r="J2597" t="str">
            <v>7. Gastos de Administración</v>
          </cell>
          <cell r="K2597" t="str">
            <v>10. Gastos Generales</v>
          </cell>
          <cell r="L2597" t="str">
            <v>EBITDA</v>
          </cell>
          <cell r="N2597" t="str">
            <v>GANANCIAS (PERDIDAS) ANTES DE IMPUESTOS</v>
          </cell>
          <cell r="O2597" t="str">
            <v>GANANCIA (PÉRDIDA) NETA</v>
          </cell>
          <cell r="P2597" t="str">
            <v>Resultado Ingresos y Gastos Integrales</v>
          </cell>
          <cell r="Q2597" t="str">
            <v>I. Ganancia (pérdida), antes de impuestos</v>
          </cell>
          <cell r="R2597" t="str">
            <v>b. Ganancia (pérdida)</v>
          </cell>
          <cell r="S2597" t="str">
            <v>5. Gasto de administración</v>
          </cell>
          <cell r="T2597" t="str">
            <v>14. Gastos Generales</v>
          </cell>
          <cell r="V2597" t="str">
            <v>II. Gastos</v>
          </cell>
          <cell r="W2597" t="str">
            <v>23. Bienes y Servicios para Producción</v>
          </cell>
          <cell r="Z2597" t="str">
            <v>III. Gastos de Administración</v>
          </cell>
          <cell r="AA2597" t="str">
            <v>6. Gastos Generales</v>
          </cell>
          <cell r="AC2597" t="str">
            <v>III. Gasto Administración</v>
          </cell>
          <cell r="AD2597" t="str">
            <v>2. Bienes y servicios Adm.</v>
          </cell>
          <cell r="AE2597" t="str">
            <v>6. Gastos Generales</v>
          </cell>
          <cell r="AH2597" t="str">
            <v>6. Partidas significativas de gastos</v>
          </cell>
        </row>
        <row r="2598">
          <cell r="D2598" t="str">
            <v>3202120</v>
          </cell>
          <cell r="E2598" t="str">
            <v>3202120</v>
          </cell>
          <cell r="F2598" t="str">
            <v>Gastos de Alojamiento</v>
          </cell>
          <cell r="G2598" t="str">
            <v>3202120  Gastos de Alojamiento</v>
          </cell>
          <cell r="H2598" t="str">
            <v>Est. Resultado</v>
          </cell>
          <cell r="I2598" t="str">
            <v>Resultado</v>
          </cell>
          <cell r="J2598" t="str">
            <v>7. Gastos de Administración</v>
          </cell>
          <cell r="K2598" t="str">
            <v>10. Gastos Generales</v>
          </cell>
          <cell r="L2598" t="str">
            <v>EBITDA</v>
          </cell>
          <cell r="N2598" t="str">
            <v>GANANCIAS (PERDIDAS) ANTES DE IMPUESTOS</v>
          </cell>
          <cell r="O2598" t="str">
            <v>GANANCIA (PÉRDIDA) NETA</v>
          </cell>
          <cell r="P2598" t="str">
            <v>Resultado Ingresos y Gastos Integrales</v>
          </cell>
          <cell r="Q2598" t="str">
            <v>I. Ganancia (pérdida), antes de impuestos</v>
          </cell>
          <cell r="R2598" t="str">
            <v>b. Ganancia (pérdida)</v>
          </cell>
          <cell r="S2598" t="str">
            <v>5. Gasto de administración</v>
          </cell>
          <cell r="T2598" t="str">
            <v>14. Gastos Generales</v>
          </cell>
          <cell r="V2598" t="str">
            <v>II. Gastos</v>
          </cell>
          <cell r="W2598" t="str">
            <v>23. Bienes y Servicios para Producción</v>
          </cell>
          <cell r="Z2598" t="str">
            <v>III. Gastos de Administración</v>
          </cell>
          <cell r="AA2598" t="str">
            <v>6. Gastos Generales</v>
          </cell>
          <cell r="AC2598" t="str">
            <v>III. Gasto Administración</v>
          </cell>
          <cell r="AD2598" t="str">
            <v>2. Bienes y servicios Adm.</v>
          </cell>
          <cell r="AE2598" t="str">
            <v>6. Gastos Generales</v>
          </cell>
          <cell r="AH2598" t="str">
            <v>6. Partidas significativas de gastos</v>
          </cell>
        </row>
        <row r="2599">
          <cell r="D2599" t="str">
            <v>3202121</v>
          </cell>
          <cell r="E2599" t="str">
            <v>3202121</v>
          </cell>
          <cell r="F2599" t="str">
            <v>Ariendo de Automoviles</v>
          </cell>
          <cell r="G2599" t="str">
            <v>3202121  Ariendo de Automoviles</v>
          </cell>
          <cell r="H2599" t="str">
            <v>Est. Resultado</v>
          </cell>
          <cell r="I2599" t="str">
            <v>Resultado</v>
          </cell>
          <cell r="J2599" t="str">
            <v>7. Gastos de Administración</v>
          </cell>
          <cell r="K2599" t="str">
            <v>10. Gastos Generales</v>
          </cell>
          <cell r="L2599" t="str">
            <v>EBITDA</v>
          </cell>
          <cell r="N2599" t="str">
            <v>GANANCIAS (PERDIDAS) ANTES DE IMPUESTOS</v>
          </cell>
          <cell r="O2599" t="str">
            <v>GANANCIA (PÉRDIDA) NETA</v>
          </cell>
          <cell r="P2599" t="str">
            <v>Resultado Ingresos y Gastos Integrales</v>
          </cell>
          <cell r="Q2599" t="str">
            <v>I. Ganancia (pérdida), antes de impuestos</v>
          </cell>
          <cell r="R2599" t="str">
            <v>b. Ganancia (pérdida)</v>
          </cell>
          <cell r="S2599" t="str">
            <v>5. Gasto de administración</v>
          </cell>
          <cell r="T2599" t="str">
            <v>14. Gastos Generales</v>
          </cell>
          <cell r="V2599" t="str">
            <v>II. Gastos</v>
          </cell>
          <cell r="W2599" t="str">
            <v>23. Bienes y Servicios para Producción</v>
          </cell>
          <cell r="Z2599" t="str">
            <v>III. Gastos de Administración</v>
          </cell>
          <cell r="AA2599" t="str">
            <v>6. Gastos Generales</v>
          </cell>
          <cell r="AC2599" t="str">
            <v>III. Gasto Administración</v>
          </cell>
          <cell r="AD2599" t="str">
            <v>2. Bienes y servicios Adm.</v>
          </cell>
          <cell r="AE2599" t="str">
            <v>6. Gastos Generales</v>
          </cell>
          <cell r="AH2599" t="str">
            <v>6. Partidas significativas de gastos</v>
          </cell>
        </row>
        <row r="2600">
          <cell r="D2600" t="str">
            <v>3202122</v>
          </cell>
          <cell r="E2600" t="str">
            <v>3202122</v>
          </cell>
          <cell r="F2600" t="str">
            <v>Bencina o Petróleo</v>
          </cell>
          <cell r="G2600" t="str">
            <v>3202122  Bencina o Petróleo</v>
          </cell>
          <cell r="H2600" t="str">
            <v>Est. Resultado</v>
          </cell>
          <cell r="I2600" t="str">
            <v>Resultado</v>
          </cell>
          <cell r="J2600" t="str">
            <v>7. Gastos de Administración</v>
          </cell>
          <cell r="K2600" t="str">
            <v>10. Gastos Generales</v>
          </cell>
          <cell r="L2600" t="str">
            <v>EBITDA</v>
          </cell>
          <cell r="N2600" t="str">
            <v>GANANCIAS (PERDIDAS) ANTES DE IMPUESTOS</v>
          </cell>
          <cell r="O2600" t="str">
            <v>GANANCIA (PÉRDIDA) NETA</v>
          </cell>
          <cell r="P2600" t="str">
            <v>Resultado Ingresos y Gastos Integrales</v>
          </cell>
          <cell r="Q2600" t="str">
            <v>I. Ganancia (pérdida), antes de impuestos</v>
          </cell>
          <cell r="R2600" t="str">
            <v>b. Ganancia (pérdida)</v>
          </cell>
          <cell r="S2600" t="str">
            <v>5. Gasto de administración</v>
          </cell>
          <cell r="T2600" t="str">
            <v>14. Gastos Generales</v>
          </cell>
          <cell r="V2600" t="str">
            <v>II. Gastos</v>
          </cell>
          <cell r="W2600" t="str">
            <v>23. Bienes y Servicios para Producción</v>
          </cell>
          <cell r="Z2600" t="str">
            <v>III. Gastos de Administración</v>
          </cell>
          <cell r="AA2600" t="str">
            <v>6. Gastos Generales</v>
          </cell>
          <cell r="AC2600" t="str">
            <v>III. Gasto Administración</v>
          </cell>
          <cell r="AD2600" t="str">
            <v>2. Bienes y servicios Adm.</v>
          </cell>
          <cell r="AE2600" t="str">
            <v>6. Gastos Generales</v>
          </cell>
          <cell r="AH2600" t="str">
            <v>6. Partidas significativas de gastos</v>
          </cell>
        </row>
        <row r="2601">
          <cell r="D2601" t="str">
            <v>3202123</v>
          </cell>
          <cell r="E2601" t="str">
            <v>3202123</v>
          </cell>
          <cell r="F2601" t="str">
            <v>Gastos de Alimentación</v>
          </cell>
          <cell r="G2601" t="str">
            <v>3202123  Gastos de Alimentación</v>
          </cell>
          <cell r="H2601" t="str">
            <v>Est. Resultado</v>
          </cell>
          <cell r="I2601" t="str">
            <v>Resultado</v>
          </cell>
          <cell r="J2601" t="str">
            <v>7. Gastos de Administración</v>
          </cell>
          <cell r="K2601" t="str">
            <v>10. Gastos Generales</v>
          </cell>
          <cell r="L2601" t="str">
            <v>EBITDA</v>
          </cell>
          <cell r="N2601" t="str">
            <v>GANANCIAS (PERDIDAS) ANTES DE IMPUESTOS</v>
          </cell>
          <cell r="O2601" t="str">
            <v>GANANCIA (PÉRDIDA) NETA</v>
          </cell>
          <cell r="P2601" t="str">
            <v>Resultado Ingresos y Gastos Integrales</v>
          </cell>
          <cell r="Q2601" t="str">
            <v>I. Ganancia (pérdida), antes de impuestos</v>
          </cell>
          <cell r="R2601" t="str">
            <v>b. Ganancia (pérdida)</v>
          </cell>
          <cell r="S2601" t="str">
            <v>5. Gasto de administración</v>
          </cell>
          <cell r="T2601" t="str">
            <v>14. Gastos Generales</v>
          </cell>
          <cell r="V2601" t="str">
            <v>II. Gastos</v>
          </cell>
          <cell r="W2601" t="str">
            <v>23. Bienes y Servicios para Producción</v>
          </cell>
          <cell r="Z2601" t="str">
            <v>III. Gastos de Administración</v>
          </cell>
          <cell r="AA2601" t="str">
            <v>6. Gastos Generales</v>
          </cell>
          <cell r="AC2601" t="str">
            <v>III. Gasto Administración</v>
          </cell>
          <cell r="AD2601" t="str">
            <v>2. Bienes y servicios Adm.</v>
          </cell>
          <cell r="AE2601" t="str">
            <v>6. Gastos Generales</v>
          </cell>
          <cell r="AH2601" t="str">
            <v>6. Partidas significativas de gastos</v>
          </cell>
        </row>
        <row r="2602">
          <cell r="D2602" t="str">
            <v>3202129</v>
          </cell>
          <cell r="E2602" t="str">
            <v>3202129</v>
          </cell>
          <cell r="F2602" t="str">
            <v>Gastos de representación</v>
          </cell>
          <cell r="G2602" t="str">
            <v>3202129  Gastos de representación</v>
          </cell>
          <cell r="H2602" t="str">
            <v>Est. Resultado</v>
          </cell>
          <cell r="I2602" t="str">
            <v>Resultado</v>
          </cell>
          <cell r="J2602" t="str">
            <v>7. Gastos de Administración</v>
          </cell>
          <cell r="K2602" t="str">
            <v>10. Gastos Generales</v>
          </cell>
          <cell r="L2602" t="str">
            <v>EBITDA</v>
          </cell>
          <cell r="N2602" t="str">
            <v>GANANCIAS (PERDIDAS) ANTES DE IMPUESTOS</v>
          </cell>
          <cell r="O2602" t="str">
            <v>GANANCIA (PÉRDIDA) NETA</v>
          </cell>
          <cell r="P2602" t="str">
            <v>Resultado Ingresos y Gastos Integrales</v>
          </cell>
          <cell r="Q2602" t="str">
            <v>I. Ganancia (pérdida), antes de impuestos</v>
          </cell>
          <cell r="R2602" t="str">
            <v>b. Ganancia (pérdida)</v>
          </cell>
          <cell r="S2602" t="str">
            <v>5. Gasto de administración</v>
          </cell>
          <cell r="T2602" t="str">
            <v>14. Gastos Generales</v>
          </cell>
          <cell r="V2602" t="str">
            <v>II. Gastos</v>
          </cell>
          <cell r="W2602" t="str">
            <v>23. Bienes y Servicios para Producción</v>
          </cell>
          <cell r="Z2602" t="str">
            <v>III. Gastos de Administración</v>
          </cell>
          <cell r="AA2602" t="str">
            <v>6. Gastos Generales</v>
          </cell>
          <cell r="AC2602" t="str">
            <v>III. Gasto Administración</v>
          </cell>
          <cell r="AD2602" t="str">
            <v>2. Bienes y servicios Adm.</v>
          </cell>
          <cell r="AE2602" t="str">
            <v>6. Gastos Generales</v>
          </cell>
          <cell r="AH2602" t="str">
            <v>6. Partidas significativas de gastos</v>
          </cell>
        </row>
        <row r="2603">
          <cell r="D2603" t="str">
            <v>3202133</v>
          </cell>
          <cell r="E2603" t="str">
            <v>3202133</v>
          </cell>
          <cell r="F2603" t="str">
            <v>Otros gastos</v>
          </cell>
          <cell r="G2603" t="str">
            <v>3202133  Otros gastos</v>
          </cell>
          <cell r="H2603" t="str">
            <v>Est. Resultado</v>
          </cell>
          <cell r="I2603" t="str">
            <v>Resultado</v>
          </cell>
          <cell r="J2603" t="str">
            <v>7. Gastos de Administración</v>
          </cell>
          <cell r="K2603" t="str">
            <v>10. Gastos Generales</v>
          </cell>
          <cell r="L2603" t="str">
            <v>EBITDA</v>
          </cell>
          <cell r="N2603" t="str">
            <v>GANANCIAS (PERDIDAS) ANTES DE IMPUESTOS</v>
          </cell>
          <cell r="O2603" t="str">
            <v>GANANCIA (PÉRDIDA) NETA</v>
          </cell>
          <cell r="P2603" t="str">
            <v>Resultado Ingresos y Gastos Integrales</v>
          </cell>
          <cell r="Q2603" t="str">
            <v>I. Ganancia (pérdida), antes de impuestos</v>
          </cell>
          <cell r="R2603" t="str">
            <v>b. Ganancia (pérdida)</v>
          </cell>
          <cell r="S2603" t="str">
            <v>5. Gasto de administración</v>
          </cell>
          <cell r="T2603" t="str">
            <v>14. Gastos Generales</v>
          </cell>
          <cell r="V2603" t="str">
            <v>II. Gastos</v>
          </cell>
          <cell r="W2603" t="str">
            <v>23. Bienes y Servicios para Producción</v>
          </cell>
          <cell r="Z2603" t="str">
            <v>III. Gastos de Administración</v>
          </cell>
          <cell r="AA2603" t="str">
            <v>6. Gastos Generales</v>
          </cell>
          <cell r="AC2603" t="str">
            <v>III. Gasto Administración</v>
          </cell>
          <cell r="AD2603" t="str">
            <v>2. Bienes y servicios Adm.</v>
          </cell>
          <cell r="AE2603" t="str">
            <v>6. Gastos Generales</v>
          </cell>
          <cell r="AH2603" t="str">
            <v>6. Partidas significativas de gastos</v>
          </cell>
        </row>
        <row r="2604">
          <cell r="D2604" t="str">
            <v>3202135</v>
          </cell>
          <cell r="E2604" t="str">
            <v>3202135</v>
          </cell>
          <cell r="F2604" t="str">
            <v>Correspondencia</v>
          </cell>
          <cell r="G2604" t="str">
            <v>3202135  Correspondencia</v>
          </cell>
          <cell r="H2604" t="str">
            <v>Est. Resultado</v>
          </cell>
          <cell r="I2604" t="str">
            <v>Resultado</v>
          </cell>
          <cell r="J2604" t="str">
            <v>7. Gastos de Administración</v>
          </cell>
          <cell r="K2604" t="str">
            <v>10. Gastos Generales</v>
          </cell>
          <cell r="L2604" t="str">
            <v>EBITDA</v>
          </cell>
          <cell r="N2604" t="str">
            <v>GANANCIAS (PERDIDAS) ANTES DE IMPUESTOS</v>
          </cell>
          <cell r="O2604" t="str">
            <v>GANANCIA (PÉRDIDA) NETA</v>
          </cell>
          <cell r="P2604" t="str">
            <v>Resultado Ingresos y Gastos Integrales</v>
          </cell>
          <cell r="Q2604" t="str">
            <v>I. Ganancia (pérdida), antes de impuestos</v>
          </cell>
          <cell r="R2604" t="str">
            <v>b. Ganancia (pérdida)</v>
          </cell>
          <cell r="S2604" t="str">
            <v>5. Gasto de administración</v>
          </cell>
          <cell r="T2604" t="str">
            <v>14. Gastos Generales</v>
          </cell>
          <cell r="V2604" t="str">
            <v>II. Gastos</v>
          </cell>
          <cell r="W2604" t="str">
            <v>23. Bienes y Servicios para Producción</v>
          </cell>
          <cell r="Z2604" t="str">
            <v>III. Gastos de Administración</v>
          </cell>
          <cell r="AA2604" t="str">
            <v>6. Gastos Generales</v>
          </cell>
          <cell r="AC2604" t="str">
            <v>III. Gasto Administración</v>
          </cell>
          <cell r="AD2604" t="str">
            <v>2. Bienes y servicios Adm.</v>
          </cell>
          <cell r="AE2604" t="str">
            <v>6. Gastos Generales</v>
          </cell>
          <cell r="AH2604" t="str">
            <v>6. Partidas significativas de gastos</v>
          </cell>
        </row>
        <row r="2605">
          <cell r="D2605" t="str">
            <v>3202136</v>
          </cell>
          <cell r="E2605" t="str">
            <v>3202136</v>
          </cell>
          <cell r="F2605" t="str">
            <v>Movilización</v>
          </cell>
          <cell r="G2605" t="str">
            <v>3202136  Movilización</v>
          </cell>
          <cell r="H2605" t="str">
            <v>Est. Resultado</v>
          </cell>
          <cell r="I2605" t="str">
            <v>Resultado</v>
          </cell>
          <cell r="J2605" t="str">
            <v>7. Gastos de Administración</v>
          </cell>
          <cell r="K2605" t="str">
            <v>10. Gastos Generales</v>
          </cell>
          <cell r="L2605" t="str">
            <v>EBITDA</v>
          </cell>
          <cell r="N2605" t="str">
            <v>GANANCIAS (PERDIDAS) ANTES DE IMPUESTOS</v>
          </cell>
          <cell r="O2605" t="str">
            <v>GANANCIA (PÉRDIDA) NETA</v>
          </cell>
          <cell r="P2605" t="str">
            <v>Resultado Ingresos y Gastos Integrales</v>
          </cell>
          <cell r="Q2605" t="str">
            <v>I. Ganancia (pérdida), antes de impuestos</v>
          </cell>
          <cell r="R2605" t="str">
            <v>b. Ganancia (pérdida)</v>
          </cell>
          <cell r="S2605" t="str">
            <v>5. Gasto de administración</v>
          </cell>
          <cell r="T2605" t="str">
            <v>14. Gastos Generales</v>
          </cell>
          <cell r="V2605" t="str">
            <v>II. Gastos</v>
          </cell>
          <cell r="W2605" t="str">
            <v>23. Bienes y Servicios para Producción</v>
          </cell>
          <cell r="Z2605" t="str">
            <v>III. Gastos de Administración</v>
          </cell>
          <cell r="AA2605" t="str">
            <v>6. Gastos Generales</v>
          </cell>
          <cell r="AC2605" t="str">
            <v>III. Gasto Administración</v>
          </cell>
          <cell r="AD2605" t="str">
            <v>2. Bienes y servicios Adm.</v>
          </cell>
          <cell r="AE2605" t="str">
            <v>6. Gastos Generales</v>
          </cell>
          <cell r="AH2605" t="str">
            <v>6. Partidas significativas de gastos</v>
          </cell>
        </row>
        <row r="2606">
          <cell r="D2606" t="str">
            <v>3202140</v>
          </cell>
          <cell r="E2606" t="str">
            <v>3202140</v>
          </cell>
          <cell r="F2606" t="str">
            <v>Gastos Notariales</v>
          </cell>
          <cell r="G2606" t="str">
            <v>3202140  Gastos Notariales</v>
          </cell>
          <cell r="H2606" t="str">
            <v>Est. Resultado</v>
          </cell>
          <cell r="I2606" t="str">
            <v>Resultado</v>
          </cell>
          <cell r="J2606" t="str">
            <v>7. Gastos de Administración</v>
          </cell>
          <cell r="K2606" t="str">
            <v>10. Gastos Generales</v>
          </cell>
          <cell r="L2606" t="str">
            <v>EBITDA</v>
          </cell>
          <cell r="N2606" t="str">
            <v>GANANCIAS (PERDIDAS) ANTES DE IMPUESTOS</v>
          </cell>
          <cell r="O2606" t="str">
            <v>GANANCIA (PÉRDIDA) NETA</v>
          </cell>
          <cell r="P2606" t="str">
            <v>Resultado Ingresos y Gastos Integrales</v>
          </cell>
          <cell r="Q2606" t="str">
            <v>I. Ganancia (pérdida), antes de impuestos</v>
          </cell>
          <cell r="R2606" t="str">
            <v>b. Ganancia (pérdida)</v>
          </cell>
          <cell r="S2606" t="str">
            <v>5. Gasto de administración</v>
          </cell>
          <cell r="T2606" t="str">
            <v>14. Gastos Generales</v>
          </cell>
          <cell r="V2606" t="str">
            <v>II. Gastos</v>
          </cell>
          <cell r="W2606" t="str">
            <v>23. Bienes y Servicios para Producción</v>
          </cell>
          <cell r="Z2606" t="str">
            <v>III. Gastos de Administración</v>
          </cell>
          <cell r="AA2606" t="str">
            <v>6. Gastos Generales</v>
          </cell>
          <cell r="AC2606" t="str">
            <v>III. Gasto Administración</v>
          </cell>
          <cell r="AD2606" t="str">
            <v>2. Bienes y servicios Adm.</v>
          </cell>
          <cell r="AE2606" t="str">
            <v>6. Gastos Generales</v>
          </cell>
          <cell r="AH2606" t="str">
            <v>6. Partidas significativas de gastos</v>
          </cell>
        </row>
        <row r="2607">
          <cell r="D2607" t="str">
            <v>3202143</v>
          </cell>
          <cell r="E2607" t="str">
            <v>3202143</v>
          </cell>
          <cell r="F2607" t="str">
            <v>Otros Gastos Varios</v>
          </cell>
          <cell r="G2607" t="str">
            <v>3202143  Otros Gastos Varios</v>
          </cell>
          <cell r="H2607" t="str">
            <v>Est. Resultado</v>
          </cell>
          <cell r="I2607" t="str">
            <v>Resultado</v>
          </cell>
          <cell r="J2607" t="str">
            <v>7. Gastos de Administración</v>
          </cell>
          <cell r="K2607" t="str">
            <v>10. Gastos Generales</v>
          </cell>
          <cell r="L2607" t="str">
            <v>EBITDA</v>
          </cell>
          <cell r="N2607" t="str">
            <v>GANANCIAS (PERDIDAS) ANTES DE IMPUESTOS</v>
          </cell>
          <cell r="O2607" t="str">
            <v>GANANCIA (PÉRDIDA) NETA</v>
          </cell>
          <cell r="P2607" t="str">
            <v>Resultado Ingresos y Gastos Integrales</v>
          </cell>
          <cell r="Q2607" t="str">
            <v>I. Ganancia (pérdida), antes de impuestos</v>
          </cell>
          <cell r="R2607" t="str">
            <v>b. Ganancia (pérdida)</v>
          </cell>
          <cell r="S2607" t="str">
            <v>5. Gasto de administración</v>
          </cell>
          <cell r="T2607" t="str">
            <v>14. Gastos Generales</v>
          </cell>
          <cell r="V2607" t="str">
            <v>II. Gastos</v>
          </cell>
          <cell r="W2607" t="str">
            <v>23. Bienes y Servicios para Producción</v>
          </cell>
          <cell r="Z2607" t="str">
            <v>III. Gastos de Administración</v>
          </cell>
          <cell r="AA2607" t="str">
            <v>6. Gastos Generales</v>
          </cell>
          <cell r="AC2607" t="str">
            <v>III. Gasto Administración</v>
          </cell>
          <cell r="AD2607" t="str">
            <v>2. Bienes y servicios Adm.</v>
          </cell>
          <cell r="AE2607" t="str">
            <v>6. Gastos Generales</v>
          </cell>
          <cell r="AH2607" t="str">
            <v>6. Partidas significativas de gastos</v>
          </cell>
        </row>
        <row r="2608">
          <cell r="D2608" t="str">
            <v>3202145</v>
          </cell>
          <cell r="E2608" t="str">
            <v>3202145</v>
          </cell>
          <cell r="F2608" t="str">
            <v>Deudores Incobrables</v>
          </cell>
          <cell r="G2608" t="str">
            <v>3202145  Deudores Incobrables</v>
          </cell>
          <cell r="H2608" t="str">
            <v>Est. Resultado</v>
          </cell>
          <cell r="I2608" t="str">
            <v>Resultado</v>
          </cell>
          <cell r="J2608" t="str">
            <v>7. Gastos de Administración</v>
          </cell>
          <cell r="K2608" t="str">
            <v>10. Gastos Generales</v>
          </cell>
          <cell r="L2608" t="str">
            <v>EBITDA</v>
          </cell>
          <cell r="N2608" t="str">
            <v>GANANCIAS (PERDIDAS) ANTES DE IMPUESTOS</v>
          </cell>
          <cell r="O2608" t="str">
            <v>GANANCIA (PÉRDIDA) NETA</v>
          </cell>
          <cell r="P2608" t="str">
            <v>Resultado Ingresos y Gastos Integrales</v>
          </cell>
          <cell r="Q2608" t="str">
            <v>I. Ganancia (pérdida), antes de impuestos</v>
          </cell>
          <cell r="R2608" t="str">
            <v>b. Ganancia (pérdida)</v>
          </cell>
          <cell r="S2608" t="str">
            <v>5. Gasto de administración</v>
          </cell>
          <cell r="T2608" t="str">
            <v>14. Gastos Generales</v>
          </cell>
          <cell r="V2608" t="str">
            <v>II. Gastos</v>
          </cell>
          <cell r="W2608" t="str">
            <v>23. Bienes y Servicios para Producción</v>
          </cell>
          <cell r="Z2608" t="str">
            <v>III. Gastos de Administración</v>
          </cell>
          <cell r="AA2608" t="str">
            <v>6. Gastos Generales</v>
          </cell>
          <cell r="AC2608" t="str">
            <v>III. Gasto Administración</v>
          </cell>
          <cell r="AD2608" t="str">
            <v>2. Bienes y servicios Adm.</v>
          </cell>
          <cell r="AE2608" t="str">
            <v>6. Gastos Generales</v>
          </cell>
          <cell r="AH2608" t="str">
            <v>6. Partidas significativas de gastos</v>
          </cell>
        </row>
        <row r="2609">
          <cell r="D2609" t="str">
            <v>3202147</v>
          </cell>
          <cell r="E2609" t="str">
            <v>3202147</v>
          </cell>
          <cell r="F2609" t="str">
            <v>Conservador de Bienes Raices</v>
          </cell>
          <cell r="G2609" t="str">
            <v>3202147  Conservador de Bienes Raices</v>
          </cell>
          <cell r="H2609" t="str">
            <v>Est. Resultado</v>
          </cell>
          <cell r="I2609" t="str">
            <v>Resultado</v>
          </cell>
          <cell r="J2609" t="str">
            <v>7. Gastos de Administración</v>
          </cell>
          <cell r="K2609" t="str">
            <v>10. Gastos Generales</v>
          </cell>
          <cell r="L2609" t="str">
            <v>EBITDA</v>
          </cell>
          <cell r="N2609" t="str">
            <v>GANANCIAS (PERDIDAS) ANTES DE IMPUESTOS</v>
          </cell>
          <cell r="O2609" t="str">
            <v>GANANCIA (PÉRDIDA) NETA</v>
          </cell>
          <cell r="P2609" t="str">
            <v>Resultado Ingresos y Gastos Integrales</v>
          </cell>
          <cell r="Q2609" t="str">
            <v>I. Ganancia (pérdida), antes de impuestos</v>
          </cell>
          <cell r="R2609" t="str">
            <v>b. Ganancia (pérdida)</v>
          </cell>
          <cell r="S2609" t="str">
            <v>5. Gasto de administración</v>
          </cell>
          <cell r="T2609" t="str">
            <v>14. Gastos Generales</v>
          </cell>
          <cell r="V2609" t="str">
            <v>II. Gastos</v>
          </cell>
          <cell r="W2609" t="str">
            <v>23. Bienes y Servicios para Producción</v>
          </cell>
          <cell r="Z2609" t="str">
            <v>III. Gastos de Administración</v>
          </cell>
          <cell r="AA2609" t="str">
            <v>6. Gastos Generales</v>
          </cell>
          <cell r="AC2609" t="str">
            <v>III. Gasto Administración</v>
          </cell>
          <cell r="AD2609" t="str">
            <v>2. Bienes y servicios Adm.</v>
          </cell>
          <cell r="AE2609" t="str">
            <v>6. Gastos Generales</v>
          </cell>
          <cell r="AH2609" t="str">
            <v>6. Partidas significativas de gastos</v>
          </cell>
        </row>
        <row r="2610">
          <cell r="D2610" t="str">
            <v>3202148</v>
          </cell>
          <cell r="E2610" t="str">
            <v>3202148</v>
          </cell>
          <cell r="F2610" t="str">
            <v>Multas</v>
          </cell>
          <cell r="G2610" t="str">
            <v>3202148  Multas</v>
          </cell>
          <cell r="H2610" t="str">
            <v>Est. Resultado</v>
          </cell>
          <cell r="I2610" t="str">
            <v>Resultado</v>
          </cell>
          <cell r="J2610" t="str">
            <v>7. Gastos de Administración</v>
          </cell>
          <cell r="K2610" t="str">
            <v>10. Gastos Generales</v>
          </cell>
          <cell r="L2610" t="str">
            <v>EBITDA</v>
          </cell>
          <cell r="N2610" t="str">
            <v>GANANCIAS (PERDIDAS) ANTES DE IMPUESTOS</v>
          </cell>
          <cell r="O2610" t="str">
            <v>GANANCIA (PÉRDIDA) NETA</v>
          </cell>
          <cell r="P2610" t="str">
            <v>Resultado Ingresos y Gastos Integrales</v>
          </cell>
          <cell r="Q2610" t="str">
            <v>I. Ganancia (pérdida), antes de impuestos</v>
          </cell>
          <cell r="R2610" t="str">
            <v>b. Ganancia (pérdida)</v>
          </cell>
          <cell r="S2610" t="str">
            <v>5. Gasto de administración</v>
          </cell>
          <cell r="T2610" t="str">
            <v>14. Gastos Generales</v>
          </cell>
          <cell r="V2610" t="str">
            <v>II. Gastos</v>
          </cell>
          <cell r="W2610" t="str">
            <v>23. Bienes y Servicios para Producción</v>
          </cell>
          <cell r="Z2610" t="str">
            <v>III. Gastos de Administración</v>
          </cell>
          <cell r="AA2610" t="str">
            <v>6. Gastos Generales</v>
          </cell>
          <cell r="AC2610" t="str">
            <v>III. Gasto Administración</v>
          </cell>
          <cell r="AD2610" t="str">
            <v>2. Bienes y servicios Adm.</v>
          </cell>
          <cell r="AE2610" t="str">
            <v>6. Gastos Generales</v>
          </cell>
          <cell r="AH2610" t="str">
            <v>6. Partidas significativas de gastos</v>
          </cell>
        </row>
        <row r="2611">
          <cell r="D2611" t="str">
            <v>3202149</v>
          </cell>
          <cell r="E2611" t="str">
            <v>3202149</v>
          </cell>
          <cell r="F2611" t="str">
            <v>Trámites Legales</v>
          </cell>
          <cell r="G2611" t="str">
            <v>3202149  Trámites Legales</v>
          </cell>
          <cell r="H2611" t="str">
            <v>Est. Resultado</v>
          </cell>
          <cell r="I2611" t="str">
            <v>Resultado</v>
          </cell>
          <cell r="J2611" t="str">
            <v>7. Gastos de Administración</v>
          </cell>
          <cell r="K2611" t="str">
            <v>10. Gastos Generales</v>
          </cell>
          <cell r="L2611" t="str">
            <v>EBITDA</v>
          </cell>
          <cell r="N2611" t="str">
            <v>GANANCIAS (PERDIDAS) ANTES DE IMPUESTOS</v>
          </cell>
          <cell r="O2611" t="str">
            <v>GANANCIA (PÉRDIDA) NETA</v>
          </cell>
          <cell r="P2611" t="str">
            <v>Resultado Ingresos y Gastos Integrales</v>
          </cell>
          <cell r="Q2611" t="str">
            <v>I. Ganancia (pérdida), antes de impuestos</v>
          </cell>
          <cell r="R2611" t="str">
            <v>b. Ganancia (pérdida)</v>
          </cell>
          <cell r="S2611" t="str">
            <v>5. Gasto de administración</v>
          </cell>
          <cell r="T2611" t="str">
            <v>14. Gastos Generales</v>
          </cell>
          <cell r="V2611" t="str">
            <v>II. Gastos</v>
          </cell>
          <cell r="W2611" t="str">
            <v>23. Bienes y Servicios para Producción</v>
          </cell>
          <cell r="Z2611" t="str">
            <v>III. Gastos de Administración</v>
          </cell>
          <cell r="AA2611" t="str">
            <v>6. Gastos Generales</v>
          </cell>
          <cell r="AC2611" t="str">
            <v>III. Gasto Administración</v>
          </cell>
          <cell r="AD2611" t="str">
            <v>2. Bienes y servicios Adm.</v>
          </cell>
          <cell r="AE2611" t="str">
            <v>6. Gastos Generales</v>
          </cell>
          <cell r="AH2611" t="str">
            <v>6. Partidas significativas de gastos</v>
          </cell>
        </row>
        <row r="2612">
          <cell r="D2612" t="str">
            <v>3202156</v>
          </cell>
          <cell r="E2612" t="str">
            <v>3202156</v>
          </cell>
          <cell r="F2612" t="str">
            <v>Mantención Maquinas y Equipos</v>
          </cell>
          <cell r="G2612" t="str">
            <v>3202156  Mantención Maquinas y Equipos</v>
          </cell>
          <cell r="H2612" t="str">
            <v>Est. Resultado</v>
          </cell>
          <cell r="I2612" t="str">
            <v>Resultado</v>
          </cell>
          <cell r="J2612" t="str">
            <v>7. Gastos de Administración</v>
          </cell>
          <cell r="K2612" t="str">
            <v>10. Gastos Generales</v>
          </cell>
          <cell r="L2612" t="str">
            <v>EBITDA</v>
          </cell>
          <cell r="N2612" t="str">
            <v>GANANCIAS (PERDIDAS) ANTES DE IMPUESTOS</v>
          </cell>
          <cell r="O2612" t="str">
            <v>GANANCIA (PÉRDIDA) NETA</v>
          </cell>
          <cell r="P2612" t="str">
            <v>Resultado Ingresos y Gastos Integrales</v>
          </cell>
          <cell r="Q2612" t="str">
            <v>I. Ganancia (pérdida), antes de impuestos</v>
          </cell>
          <cell r="R2612" t="str">
            <v>b. Ganancia (pérdida)</v>
          </cell>
          <cell r="S2612" t="str">
            <v>5. Gasto de administración</v>
          </cell>
          <cell r="T2612" t="str">
            <v>14. Gastos Generales</v>
          </cell>
          <cell r="V2612" t="str">
            <v>II. Gastos</v>
          </cell>
          <cell r="W2612" t="str">
            <v>23. Bienes y Servicios para Producción</v>
          </cell>
          <cell r="Z2612" t="str">
            <v>III. Gastos de Administración</v>
          </cell>
          <cell r="AA2612" t="str">
            <v>6. Gastos Generales</v>
          </cell>
          <cell r="AC2612" t="str">
            <v>III. Gasto Administración</v>
          </cell>
          <cell r="AD2612" t="str">
            <v>2. Bienes y servicios Adm.</v>
          </cell>
          <cell r="AE2612" t="str">
            <v>6. Gastos Generales</v>
          </cell>
          <cell r="AH2612" t="str">
            <v>6. Partidas significativas de gastos</v>
          </cell>
        </row>
        <row r="2613">
          <cell r="D2613" t="str">
            <v>3202165</v>
          </cell>
          <cell r="E2613" t="str">
            <v>3202165</v>
          </cell>
          <cell r="F2613" t="str">
            <v>Artículos de Aseo</v>
          </cell>
          <cell r="G2613" t="str">
            <v>3202165  Artículos de Aseo</v>
          </cell>
          <cell r="H2613" t="str">
            <v>Est. Resultado</v>
          </cell>
          <cell r="I2613" t="str">
            <v>Resultado</v>
          </cell>
          <cell r="J2613" t="str">
            <v>7. Gastos de Administración</v>
          </cell>
          <cell r="K2613" t="str">
            <v>10. Gastos Generales</v>
          </cell>
          <cell r="L2613" t="str">
            <v>EBITDA</v>
          </cell>
          <cell r="N2613" t="str">
            <v>GANANCIAS (PERDIDAS) ANTES DE IMPUESTOS</v>
          </cell>
          <cell r="O2613" t="str">
            <v>GANANCIA (PÉRDIDA) NETA</v>
          </cell>
          <cell r="P2613" t="str">
            <v>Resultado Ingresos y Gastos Integrales</v>
          </cell>
          <cell r="Q2613" t="str">
            <v>I. Ganancia (pérdida), antes de impuestos</v>
          </cell>
          <cell r="R2613" t="str">
            <v>b. Ganancia (pérdida)</v>
          </cell>
          <cell r="S2613" t="str">
            <v>5. Gasto de administración</v>
          </cell>
          <cell r="T2613" t="str">
            <v>14. Gastos Generales</v>
          </cell>
          <cell r="V2613" t="str">
            <v>II. Gastos</v>
          </cell>
          <cell r="W2613" t="str">
            <v>23. Bienes y Servicios para Producción</v>
          </cell>
          <cell r="Z2613" t="str">
            <v>III. Gastos de Administración</v>
          </cell>
          <cell r="AA2613" t="str">
            <v>6. Gastos Generales</v>
          </cell>
          <cell r="AC2613" t="str">
            <v>III. Gasto Administración</v>
          </cell>
          <cell r="AD2613" t="str">
            <v>2. Bienes y servicios Adm.</v>
          </cell>
          <cell r="AE2613" t="str">
            <v>6. Gastos Generales</v>
          </cell>
          <cell r="AH2613" t="str">
            <v>6. Partidas significativas de gastos</v>
          </cell>
        </row>
        <row r="2614">
          <cell r="D2614" t="str">
            <v>3202175</v>
          </cell>
          <cell r="E2614" t="str">
            <v>3202175</v>
          </cell>
          <cell r="F2614" t="str">
            <v>Asesores de Sistemas</v>
          </cell>
          <cell r="G2614" t="str">
            <v>3202175  Asesores de Sistemas</v>
          </cell>
          <cell r="H2614" t="str">
            <v>Est. Resultado</v>
          </cell>
          <cell r="I2614" t="str">
            <v>Resultado</v>
          </cell>
          <cell r="J2614" t="str">
            <v>7. Gastos de Administración</v>
          </cell>
          <cell r="K2614" t="str">
            <v>10. Gastos Generales</v>
          </cell>
          <cell r="L2614" t="str">
            <v>EBITDA</v>
          </cell>
          <cell r="N2614" t="str">
            <v>GANANCIAS (PERDIDAS) ANTES DE IMPUESTOS</v>
          </cell>
          <cell r="O2614" t="str">
            <v>GANANCIA (PÉRDIDA) NETA</v>
          </cell>
          <cell r="P2614" t="str">
            <v>Resultado Ingresos y Gastos Integrales</v>
          </cell>
          <cell r="Q2614" t="str">
            <v>I. Ganancia (pérdida), antes de impuestos</v>
          </cell>
          <cell r="R2614" t="str">
            <v>b. Ganancia (pérdida)</v>
          </cell>
          <cell r="S2614" t="str">
            <v>5. Gasto de administración</v>
          </cell>
          <cell r="T2614" t="str">
            <v>14. Gastos Generales</v>
          </cell>
          <cell r="V2614" t="str">
            <v>II. Gastos</v>
          </cell>
          <cell r="W2614" t="str">
            <v>23. Bienes y Servicios para Producción</v>
          </cell>
          <cell r="Z2614" t="str">
            <v>III. Gastos de Administración</v>
          </cell>
          <cell r="AA2614" t="str">
            <v>6. Gastos Generales</v>
          </cell>
          <cell r="AC2614" t="str">
            <v>III. Gasto Administración</v>
          </cell>
          <cell r="AD2614" t="str">
            <v>2. Bienes y servicios Adm.</v>
          </cell>
          <cell r="AE2614" t="str">
            <v>6. Gastos Generales</v>
          </cell>
          <cell r="AH2614" t="str">
            <v>6. Partidas significativas de gastos</v>
          </cell>
        </row>
        <row r="2615">
          <cell r="D2615" t="str">
            <v>3202178</v>
          </cell>
          <cell r="E2615" t="str">
            <v>3202178</v>
          </cell>
          <cell r="F2615" t="str">
            <v>Publicidad Otras</v>
          </cell>
          <cell r="G2615" t="str">
            <v>3202178  Publicidad Otras</v>
          </cell>
          <cell r="H2615" t="str">
            <v>Est. Resultado</v>
          </cell>
          <cell r="I2615" t="str">
            <v>Resultado</v>
          </cell>
          <cell r="J2615" t="str">
            <v>7. Gastos de Administración</v>
          </cell>
          <cell r="K2615" t="str">
            <v>10. Gastos Generales</v>
          </cell>
          <cell r="L2615" t="str">
            <v>EBITDA</v>
          </cell>
          <cell r="N2615" t="str">
            <v>GANANCIAS (PERDIDAS) ANTES DE IMPUESTOS</v>
          </cell>
          <cell r="O2615" t="str">
            <v>GANANCIA (PÉRDIDA) NETA</v>
          </cell>
          <cell r="P2615" t="str">
            <v>Resultado Ingresos y Gastos Integrales</v>
          </cell>
          <cell r="Q2615" t="str">
            <v>I. Ganancia (pérdida), antes de impuestos</v>
          </cell>
          <cell r="R2615" t="str">
            <v>b. Ganancia (pérdida)</v>
          </cell>
          <cell r="S2615" t="str">
            <v>5. Gasto de administración</v>
          </cell>
          <cell r="T2615" t="str">
            <v>14. Gastos Generales</v>
          </cell>
          <cell r="V2615" t="str">
            <v>II. Gastos</v>
          </cell>
          <cell r="W2615" t="str">
            <v>23. Bienes y Servicios para Producción</v>
          </cell>
          <cell r="Z2615" t="str">
            <v>III. Gastos de Administración</v>
          </cell>
          <cell r="AA2615" t="str">
            <v>6. Gastos Generales</v>
          </cell>
          <cell r="AC2615" t="str">
            <v>III. Gasto Administración</v>
          </cell>
          <cell r="AD2615" t="str">
            <v>2. Bienes y servicios Adm.</v>
          </cell>
          <cell r="AE2615" t="str">
            <v>6. Gastos Generales</v>
          </cell>
          <cell r="AH2615" t="str">
            <v>6. Partidas significativas de gastos</v>
          </cell>
        </row>
        <row r="2616">
          <cell r="D2616" t="str">
            <v>3202200</v>
          </cell>
          <cell r="E2616" t="str">
            <v>3202200</v>
          </cell>
          <cell r="F2616" t="str">
            <v>Gasto de Catastro - 2010</v>
          </cell>
          <cell r="G2616" t="str">
            <v>3202200  Gasto de Catastro - 2010</v>
          </cell>
          <cell r="H2616" t="str">
            <v>Est. Resultado</v>
          </cell>
          <cell r="I2616" t="str">
            <v>Resultado</v>
          </cell>
          <cell r="J2616" t="str">
            <v>7. Gastos de Administración</v>
          </cell>
          <cell r="K2616" t="str">
            <v>10. Gastos Generales</v>
          </cell>
          <cell r="L2616" t="str">
            <v>EBITDA</v>
          </cell>
          <cell r="N2616" t="str">
            <v>GANANCIAS (PERDIDAS) ANTES DE IMPUESTOS</v>
          </cell>
          <cell r="O2616" t="str">
            <v>GANANCIA (PÉRDIDA) NETA</v>
          </cell>
          <cell r="P2616" t="str">
            <v>Resultado Ingresos y Gastos Integrales</v>
          </cell>
          <cell r="Q2616" t="str">
            <v>I. Ganancia (pérdida), antes de impuestos</v>
          </cell>
          <cell r="R2616" t="str">
            <v>b. Ganancia (pérdida)</v>
          </cell>
          <cell r="S2616" t="str">
            <v>5. Gasto de administración</v>
          </cell>
          <cell r="T2616" t="str">
            <v>14. Gastos Generales</v>
          </cell>
          <cell r="V2616" t="str">
            <v>II. Gastos</v>
          </cell>
          <cell r="W2616" t="str">
            <v>23. Bienes y Servicios para Producción</v>
          </cell>
          <cell r="Z2616" t="str">
            <v>III. Gastos de Administración</v>
          </cell>
          <cell r="AA2616" t="str">
            <v>6. Gastos Generales</v>
          </cell>
          <cell r="AC2616" t="str">
            <v>III. Gasto Administración</v>
          </cell>
          <cell r="AD2616" t="str">
            <v>2. Bienes y servicios Adm.</v>
          </cell>
          <cell r="AE2616" t="str">
            <v>6. Gastos Generales</v>
          </cell>
          <cell r="AH2616" t="str">
            <v>6. Partidas significativas de gastos</v>
          </cell>
        </row>
        <row r="2617">
          <cell r="D2617" t="str">
            <v>3202201</v>
          </cell>
          <cell r="E2617" t="str">
            <v>3202201</v>
          </cell>
          <cell r="F2617" t="str">
            <v>Gastos Juicios y Demandas Arr.y Ocu</v>
          </cell>
          <cell r="G2617" t="str">
            <v>3202201  Gastos Juicios y Demandas Arr.y Ocu</v>
          </cell>
          <cell r="H2617" t="str">
            <v>Est. Resultado</v>
          </cell>
          <cell r="I2617" t="str">
            <v>Resultado</v>
          </cell>
          <cell r="J2617" t="str">
            <v>7. Gastos de Administración</v>
          </cell>
          <cell r="K2617" t="str">
            <v>10. Gastos Generales</v>
          </cell>
          <cell r="L2617" t="str">
            <v>EBITDA</v>
          </cell>
          <cell r="N2617" t="str">
            <v>GANANCIAS (PERDIDAS) ANTES DE IMPUESTOS</v>
          </cell>
          <cell r="O2617" t="str">
            <v>GANANCIA (PÉRDIDA) NETA</v>
          </cell>
          <cell r="P2617" t="str">
            <v>Resultado Ingresos y Gastos Integrales</v>
          </cell>
          <cell r="Q2617" t="str">
            <v>I. Ganancia (pérdida), antes de impuestos</v>
          </cell>
          <cell r="R2617" t="str">
            <v>b. Ganancia (pérdida)</v>
          </cell>
          <cell r="S2617" t="str">
            <v>5. Gasto de administración</v>
          </cell>
          <cell r="T2617" t="str">
            <v>14. Gastos Generales</v>
          </cell>
          <cell r="V2617" t="str">
            <v>II. Gastos</v>
          </cell>
          <cell r="W2617" t="str">
            <v>23. Bienes y Servicios para Producción</v>
          </cell>
          <cell r="Z2617" t="str">
            <v>III. Gastos de Administración</v>
          </cell>
          <cell r="AA2617" t="str">
            <v>6. Gastos Generales</v>
          </cell>
          <cell r="AC2617" t="str">
            <v>III. Gasto Administración</v>
          </cell>
          <cell r="AD2617" t="str">
            <v>2. Bienes y servicios Adm.</v>
          </cell>
          <cell r="AE2617" t="str">
            <v>6. Gastos Generales</v>
          </cell>
          <cell r="AH2617" t="str">
            <v>6. Partidas significativas de gastos</v>
          </cell>
        </row>
        <row r="2618">
          <cell r="D2618" t="str">
            <v>3202204</v>
          </cell>
          <cell r="E2618" t="str">
            <v>3202204</v>
          </cell>
          <cell r="F2618" t="str">
            <v>Asesorias IFRS</v>
          </cell>
          <cell r="G2618" t="str">
            <v>3202204  Asesorias IFRS</v>
          </cell>
          <cell r="H2618" t="str">
            <v>Est. Resultado</v>
          </cell>
          <cell r="I2618" t="str">
            <v>Resultado</v>
          </cell>
          <cell r="J2618" t="str">
            <v>7. Gastos de Administración</v>
          </cell>
          <cell r="K2618" t="str">
            <v>10. Gastos Generales</v>
          </cell>
          <cell r="L2618" t="str">
            <v>EBITDA</v>
          </cell>
          <cell r="N2618" t="str">
            <v>GANANCIAS (PERDIDAS) ANTES DE IMPUESTOS</v>
          </cell>
          <cell r="O2618" t="str">
            <v>GANANCIA (PÉRDIDA) NETA</v>
          </cell>
          <cell r="P2618" t="str">
            <v>Resultado Ingresos y Gastos Integrales</v>
          </cell>
          <cell r="Q2618" t="str">
            <v>I. Ganancia (pérdida), antes de impuestos</v>
          </cell>
          <cell r="R2618" t="str">
            <v>b. Ganancia (pérdida)</v>
          </cell>
          <cell r="S2618" t="str">
            <v>5. Gasto de administración</v>
          </cell>
          <cell r="T2618" t="str">
            <v>14. Gastos Generales</v>
          </cell>
          <cell r="V2618" t="str">
            <v>II. Gastos</v>
          </cell>
          <cell r="W2618" t="str">
            <v>23. Bienes y Servicios para Producción</v>
          </cell>
          <cell r="Z2618" t="str">
            <v>III. Gastos de Administración</v>
          </cell>
          <cell r="AA2618" t="str">
            <v>6. Gastos Generales</v>
          </cell>
          <cell r="AC2618" t="str">
            <v>III. Gasto Administración</v>
          </cell>
          <cell r="AD2618" t="str">
            <v>2. Bienes y servicios Adm.</v>
          </cell>
          <cell r="AE2618" t="str">
            <v>6. Gastos Generales</v>
          </cell>
          <cell r="AH2618" t="str">
            <v>6. Partidas significativas de gastos</v>
          </cell>
        </row>
        <row r="2619">
          <cell r="D2619" t="str">
            <v>3304002</v>
          </cell>
          <cell r="E2619" t="str">
            <v>3304002</v>
          </cell>
          <cell r="F2619" t="str">
            <v>Castigo por Bajas de Existencias</v>
          </cell>
          <cell r="G2619" t="str">
            <v>3304002  Castigo por Bajas de Existencias</v>
          </cell>
          <cell r="H2619" t="str">
            <v>Est. Resultado</v>
          </cell>
          <cell r="I2619" t="str">
            <v>Resultado</v>
          </cell>
          <cell r="J2619" t="str">
            <v>7. Gastos de Administración</v>
          </cell>
          <cell r="K2619" t="str">
            <v>10. Gastos Generales</v>
          </cell>
          <cell r="L2619" t="str">
            <v>EBITDA</v>
          </cell>
          <cell r="N2619" t="str">
            <v>GANANCIAS (PERDIDAS) ANTES DE IMPUESTOS</v>
          </cell>
          <cell r="O2619" t="str">
            <v>GANANCIA (PÉRDIDA) NETA</v>
          </cell>
          <cell r="P2619" t="str">
            <v>Resultado Ingresos y Gastos Integrales</v>
          </cell>
          <cell r="Q2619" t="str">
            <v>I. Ganancia (pérdida), antes de impuestos</v>
          </cell>
          <cell r="R2619" t="str">
            <v>b. Ganancia (pérdida)</v>
          </cell>
          <cell r="S2619" t="str">
            <v>5. Gasto de administración</v>
          </cell>
          <cell r="T2619" t="str">
            <v>14. Gastos Generales</v>
          </cell>
          <cell r="V2619" t="str">
            <v>II. Gastos</v>
          </cell>
          <cell r="W2619" t="str">
            <v>23. Bienes y Servicios para Producción</v>
          </cell>
          <cell r="Z2619" t="str">
            <v>III. Gastos de Administración</v>
          </cell>
          <cell r="AA2619" t="str">
            <v>6. Gastos Generales</v>
          </cell>
          <cell r="AC2619" t="str">
            <v>III. Gasto Administración</v>
          </cell>
          <cell r="AD2619" t="str">
            <v>2. Bienes y servicios Adm.</v>
          </cell>
          <cell r="AE2619" t="str">
            <v>6. Gastos Generales</v>
          </cell>
          <cell r="AH2619" t="str">
            <v>6. Partidas significativas de gastos</v>
          </cell>
        </row>
        <row r="2620">
          <cell r="D2620">
            <v>0</v>
          </cell>
        </row>
        <row r="2621">
          <cell r="D2621">
            <v>0</v>
          </cell>
          <cell r="G2621" t="str">
            <v/>
          </cell>
        </row>
        <row r="2622">
          <cell r="D2622" t="str">
            <v>Gastos Generales</v>
          </cell>
          <cell r="E2622" t="str">
            <v>Gastos Generales</v>
          </cell>
          <cell r="G2622" t="str">
            <v xml:space="preserve">Gastos Generales  </v>
          </cell>
        </row>
        <row r="2623">
          <cell r="D2623" t="str">
            <v>3202144</v>
          </cell>
          <cell r="E2623" t="str">
            <v>3202144</v>
          </cell>
          <cell r="F2623" t="str">
            <v>Uniformes</v>
          </cell>
          <cell r="G2623" t="str">
            <v>3202144  Uniformes</v>
          </cell>
          <cell r="H2623" t="str">
            <v>Est. Resultado</v>
          </cell>
          <cell r="I2623" t="str">
            <v>Resultado</v>
          </cell>
          <cell r="J2623" t="str">
            <v>7. Gastos de Administración</v>
          </cell>
          <cell r="K2623" t="str">
            <v>2. Otros Gastos en Personal</v>
          </cell>
          <cell r="L2623" t="str">
            <v>EBITDA</v>
          </cell>
          <cell r="N2623" t="str">
            <v>GANANCIAS (PERDIDAS) ANTES DE IMPUESTOS</v>
          </cell>
          <cell r="O2623" t="str">
            <v>GANANCIA (PÉRDIDA) NETA</v>
          </cell>
          <cell r="P2623" t="str">
            <v>Resultado Ingresos y Gastos Integrales</v>
          </cell>
          <cell r="Q2623" t="str">
            <v>I. Ganancia (pérdida), antes de impuestos</v>
          </cell>
          <cell r="R2623" t="str">
            <v>b. Ganancia (pérdida)</v>
          </cell>
          <cell r="S2623" t="str">
            <v>5. Gasto de administración</v>
          </cell>
          <cell r="T2623" t="str">
            <v>4. Otros Gastos en Personal</v>
          </cell>
          <cell r="V2623" t="str">
            <v>II. Gastos</v>
          </cell>
          <cell r="W2623" t="str">
            <v>21. Gastos en Personal</v>
          </cell>
          <cell r="Z2623" t="str">
            <v>III. Gastos de Administración</v>
          </cell>
          <cell r="AA2623" t="str">
            <v>8. Otros Gastos en Personal</v>
          </cell>
          <cell r="AC2623" t="str">
            <v>III. Gasto Administración</v>
          </cell>
          <cell r="AD2623" t="str">
            <v>1. Personal Administrativo</v>
          </cell>
          <cell r="AE2623" t="str">
            <v>2. Otros Gastos en Personal</v>
          </cell>
          <cell r="AH2623" t="str">
            <v>6. Partidas significativas de gastos</v>
          </cell>
        </row>
        <row r="2624">
          <cell r="D2624" t="str">
            <v>3201110</v>
          </cell>
          <cell r="E2624" t="str">
            <v>3201110</v>
          </cell>
          <cell r="F2624" t="str">
            <v>Aporte Seguro de Cesantía</v>
          </cell>
          <cell r="G2624" t="str">
            <v>3201110  Aporte Seguro de Cesantía</v>
          </cell>
          <cell r="H2624" t="str">
            <v>Est. Resultado</v>
          </cell>
          <cell r="I2624" t="str">
            <v>Resultado</v>
          </cell>
          <cell r="J2624" t="str">
            <v>7. Gastos de Administración</v>
          </cell>
          <cell r="K2624" t="str">
            <v>2. Otros Gastos en Personal</v>
          </cell>
          <cell r="L2624" t="str">
            <v>EBITDA</v>
          </cell>
          <cell r="N2624" t="str">
            <v>GANANCIAS (PERDIDAS) ANTES DE IMPUESTOS</v>
          </cell>
          <cell r="O2624" t="str">
            <v>GANANCIA (PÉRDIDA) NETA</v>
          </cell>
          <cell r="P2624" t="str">
            <v>Resultado Ingresos y Gastos Integrales</v>
          </cell>
          <cell r="Q2624" t="str">
            <v>I. Ganancia (pérdida), antes de impuestos</v>
          </cell>
          <cell r="R2624" t="str">
            <v>b. Ganancia (pérdida)</v>
          </cell>
          <cell r="S2624" t="str">
            <v>5. Gasto de administración</v>
          </cell>
          <cell r="T2624" t="str">
            <v>4. Otros Gastos en Personal</v>
          </cell>
          <cell r="V2624" t="str">
            <v>II. Gastos</v>
          </cell>
          <cell r="W2624" t="str">
            <v>21. Gastos en Personal</v>
          </cell>
          <cell r="Z2624" t="str">
            <v>III. Gastos de Administración</v>
          </cell>
          <cell r="AA2624" t="str">
            <v>8. Otros Gastos en Personal</v>
          </cell>
          <cell r="AC2624" t="str">
            <v>III. Gasto Administración</v>
          </cell>
          <cell r="AD2624" t="str">
            <v>1. Personal Administrativo</v>
          </cell>
          <cell r="AE2624" t="str">
            <v>2. Otros Gastos en Personal</v>
          </cell>
          <cell r="AH2624" t="str">
            <v>6. Partidas significativas de gastos</v>
          </cell>
        </row>
        <row r="2625">
          <cell r="D2625" t="str">
            <v>3204101</v>
          </cell>
          <cell r="E2625" t="str">
            <v>3204101</v>
          </cell>
          <cell r="F2625" t="str">
            <v>Gasto de Capacitacion Otros Curso Sence</v>
          </cell>
          <cell r="G2625" t="str">
            <v>3204101  Gasto de Capacitacion Otros Curso Sence</v>
          </cell>
          <cell r="H2625" t="str">
            <v>Est. Resultado</v>
          </cell>
          <cell r="I2625" t="str">
            <v>Resultado</v>
          </cell>
          <cell r="J2625" t="str">
            <v>7. Gastos de Administración</v>
          </cell>
          <cell r="K2625" t="str">
            <v>2. Otros Gastos en Personal</v>
          </cell>
          <cell r="L2625" t="str">
            <v>EBITDA</v>
          </cell>
          <cell r="N2625" t="str">
            <v>GANANCIAS (PERDIDAS) ANTES DE IMPUESTOS</v>
          </cell>
          <cell r="O2625" t="str">
            <v>GANANCIA (PÉRDIDA) NETA</v>
          </cell>
          <cell r="P2625" t="str">
            <v>Resultado Ingresos y Gastos Integrales</v>
          </cell>
          <cell r="Q2625" t="str">
            <v>I. Ganancia (pérdida), antes de impuestos</v>
          </cell>
          <cell r="R2625" t="str">
            <v>b. Ganancia (pérdida)</v>
          </cell>
          <cell r="S2625" t="str">
            <v>5. Gasto de administración</v>
          </cell>
          <cell r="T2625" t="str">
            <v>4. Otros Gastos en Personal</v>
          </cell>
          <cell r="V2625" t="str">
            <v>II. Gastos</v>
          </cell>
          <cell r="W2625" t="str">
            <v>21. Gastos en Personal</v>
          </cell>
          <cell r="Z2625" t="str">
            <v>III. Gastos de Administración</v>
          </cell>
          <cell r="AA2625" t="str">
            <v>8. Otros Gastos en Personal</v>
          </cell>
          <cell r="AC2625" t="str">
            <v>III. Gasto Administración</v>
          </cell>
          <cell r="AD2625" t="str">
            <v>1. Personal Administrativo</v>
          </cell>
          <cell r="AE2625" t="str">
            <v>2. Otros Gastos en Personal</v>
          </cell>
          <cell r="AH2625" t="str">
            <v>6. Partidas significativas de gastos</v>
          </cell>
        </row>
        <row r="2626">
          <cell r="D2626" t="str">
            <v>3201108</v>
          </cell>
          <cell r="E2626" t="str">
            <v>3201108</v>
          </cell>
          <cell r="F2626" t="str">
            <v>Aporte Patronal</v>
          </cell>
          <cell r="G2626" t="str">
            <v>3201108  Aporte Patronal</v>
          </cell>
          <cell r="H2626" t="str">
            <v>Est. Resultado</v>
          </cell>
          <cell r="I2626" t="str">
            <v>Resultado</v>
          </cell>
          <cell r="J2626" t="str">
            <v>7. Gastos de Administración</v>
          </cell>
          <cell r="K2626" t="str">
            <v>2. Otros Gastos en Personal</v>
          </cell>
          <cell r="L2626" t="str">
            <v>EBITDA</v>
          </cell>
          <cell r="N2626" t="str">
            <v>GANANCIAS (PERDIDAS) ANTES DE IMPUESTOS</v>
          </cell>
          <cell r="O2626" t="str">
            <v>GANANCIA (PÉRDIDA) NETA</v>
          </cell>
          <cell r="P2626" t="str">
            <v>Resultado Ingresos y Gastos Integrales</v>
          </cell>
          <cell r="Q2626" t="str">
            <v>I. Ganancia (pérdida), antes de impuestos</v>
          </cell>
          <cell r="R2626" t="str">
            <v>b. Ganancia (pérdida)</v>
          </cell>
          <cell r="S2626" t="str">
            <v>5. Gasto de administración</v>
          </cell>
          <cell r="T2626" t="str">
            <v>4. Otros Gastos en Personal</v>
          </cell>
          <cell r="V2626" t="str">
            <v>II. Gastos</v>
          </cell>
          <cell r="W2626" t="str">
            <v>21. Gastos en Personal</v>
          </cell>
          <cell r="Z2626" t="str">
            <v>III. Gastos de Administración</v>
          </cell>
          <cell r="AA2626" t="str">
            <v>8. Otros Gastos en Personal</v>
          </cell>
          <cell r="AC2626" t="str">
            <v>III. Gasto Administración</v>
          </cell>
          <cell r="AD2626" t="str">
            <v>1. Personal Administrativo</v>
          </cell>
          <cell r="AE2626" t="str">
            <v>2. Otros Gastos en Personal</v>
          </cell>
          <cell r="AH2626" t="str">
            <v>6. Partidas significativas de gastos</v>
          </cell>
        </row>
        <row r="2627">
          <cell r="D2627">
            <v>0</v>
          </cell>
          <cell r="G2627" t="str">
            <v/>
          </cell>
          <cell r="H2627" t="str">
            <v>Est. Resultado</v>
          </cell>
          <cell r="I2627" t="str">
            <v>Resultado</v>
          </cell>
          <cell r="J2627" t="str">
            <v>7. Gastos de Administración</v>
          </cell>
          <cell r="K2627" t="str">
            <v>2. Otros Gastos en Personal</v>
          </cell>
          <cell r="L2627" t="str">
            <v>EBITDA</v>
          </cell>
          <cell r="N2627" t="str">
            <v>GANANCIAS (PERDIDAS) ANTES DE IMPUESTOS</v>
          </cell>
          <cell r="O2627" t="str">
            <v>GANANCIA (PÉRDIDA) NETA</v>
          </cell>
          <cell r="P2627" t="str">
            <v>Resultado Ingresos y Gastos Integrales</v>
          </cell>
          <cell r="Q2627" t="str">
            <v>I. Ganancia (pérdida), antes de impuestos</v>
          </cell>
          <cell r="R2627" t="str">
            <v>b. Ganancia (pérdida)</v>
          </cell>
          <cell r="S2627" t="str">
            <v>5. Gasto de administración</v>
          </cell>
          <cell r="T2627" t="str">
            <v>4. Otros Gastos en Personal</v>
          </cell>
          <cell r="V2627" t="str">
            <v>II. Gastos</v>
          </cell>
          <cell r="W2627" t="str">
            <v>21. Gastos en Personal</v>
          </cell>
          <cell r="Z2627" t="str">
            <v>III. Gastos de Administración</v>
          </cell>
          <cell r="AA2627" t="str">
            <v>8. Otros Gastos en Personal</v>
          </cell>
          <cell r="AC2627" t="str">
            <v>III. Gasto Administración</v>
          </cell>
          <cell r="AD2627" t="str">
            <v>1. Personal Administrativo</v>
          </cell>
          <cell r="AE2627" t="str">
            <v>2. Otros Gastos en Personal</v>
          </cell>
          <cell r="AH2627" t="str">
            <v>6. Partidas significativas de gastos</v>
          </cell>
        </row>
        <row r="2628">
          <cell r="D2628">
            <v>0</v>
          </cell>
          <cell r="G2628" t="str">
            <v/>
          </cell>
          <cell r="H2628" t="str">
            <v>Est. Resultado</v>
          </cell>
          <cell r="I2628" t="str">
            <v>Resultado</v>
          </cell>
          <cell r="J2628" t="str">
            <v>7. Gastos de Administración</v>
          </cell>
          <cell r="K2628" t="str">
            <v>2. Otros Gastos en Personal</v>
          </cell>
          <cell r="L2628" t="str">
            <v>EBITDA</v>
          </cell>
          <cell r="N2628" t="str">
            <v>GANANCIAS (PERDIDAS) ANTES DE IMPUESTOS</v>
          </cell>
          <cell r="O2628" t="str">
            <v>GANANCIA (PÉRDIDA) NETA</v>
          </cell>
          <cell r="P2628" t="str">
            <v>Resultado Ingresos y Gastos Integrales</v>
          </cell>
          <cell r="Q2628" t="str">
            <v>I. Ganancia (pérdida), antes de impuestos</v>
          </cell>
          <cell r="R2628" t="str">
            <v>b. Ganancia (pérdida)</v>
          </cell>
          <cell r="S2628" t="str">
            <v>5. Gasto de administración</v>
          </cell>
          <cell r="T2628" t="str">
            <v>4. Otros Gastos en Personal</v>
          </cell>
          <cell r="V2628" t="str">
            <v>II. Gastos</v>
          </cell>
          <cell r="W2628" t="str">
            <v>21. Gastos en Personal</v>
          </cell>
          <cell r="Z2628" t="str">
            <v>III. Gastos de Administración</v>
          </cell>
          <cell r="AA2628" t="str">
            <v>8. Otros Gastos en Personal</v>
          </cell>
          <cell r="AC2628" t="str">
            <v>III. Gasto Administración</v>
          </cell>
          <cell r="AD2628" t="str">
            <v>1. Personal Administrativo</v>
          </cell>
          <cell r="AE2628" t="str">
            <v>2. Otros Gastos en Personal</v>
          </cell>
          <cell r="AH2628" t="str">
            <v>6. Partidas significativas de gastos</v>
          </cell>
        </row>
        <row r="2629">
          <cell r="D2629" t="str">
            <v>Otros Gastos en Personal</v>
          </cell>
          <cell r="E2629" t="str">
            <v>Otros Gastos en Personal</v>
          </cell>
          <cell r="G2629" t="str">
            <v xml:space="preserve">Otros Gastos en Personal  </v>
          </cell>
        </row>
        <row r="2630">
          <cell r="D2630" t="str">
            <v>3202128</v>
          </cell>
          <cell r="E2630" t="str">
            <v>3202128</v>
          </cell>
          <cell r="F2630" t="str">
            <v>Gastos computacionales</v>
          </cell>
          <cell r="G2630" t="str">
            <v>3202128  Gastos computacionales</v>
          </cell>
          <cell r="H2630" t="str">
            <v>Est. Resultado</v>
          </cell>
          <cell r="I2630" t="str">
            <v>Resultado</v>
          </cell>
          <cell r="J2630" t="str">
            <v>7. Gastos de Administración</v>
          </cell>
          <cell r="K2630" t="str">
            <v>8. Informática y Comunicaciones</v>
          </cell>
          <cell r="L2630" t="str">
            <v>EBITDA</v>
          </cell>
          <cell r="M2630">
            <v>0</v>
          </cell>
          <cell r="N2630" t="str">
            <v>GANANCIAS (PERDIDAS) ANTES DE IMPUESTOS</v>
          </cell>
          <cell r="O2630" t="str">
            <v>GANANCIA (PÉRDIDA) NETA</v>
          </cell>
          <cell r="P2630" t="str">
            <v>Resultado Ingresos y Gastos Integrales</v>
          </cell>
          <cell r="Q2630" t="str">
            <v>I. Ganancia (pérdida), antes de impuestos</v>
          </cell>
          <cell r="R2630" t="str">
            <v>b. Ganancia (pérdida)</v>
          </cell>
          <cell r="S2630" t="str">
            <v>5. Gasto de administración</v>
          </cell>
          <cell r="T2630" t="str">
            <v>9. Informática y Comunicaciones</v>
          </cell>
          <cell r="V2630" t="str">
            <v>II. Gastos</v>
          </cell>
          <cell r="W2630" t="str">
            <v>23. Bienes y Servicios para Producción</v>
          </cell>
          <cell r="Z2630" t="str">
            <v>III. Gastos de Administración</v>
          </cell>
          <cell r="AA2630" t="str">
            <v>4. Informática y Comunicaciones</v>
          </cell>
          <cell r="AC2630" t="str">
            <v>III. Gasto Administración</v>
          </cell>
          <cell r="AD2630" t="str">
            <v>2. Bienes y servicios Adm.</v>
          </cell>
          <cell r="AE2630" t="str">
            <v>4. Informática y Comunicaciones</v>
          </cell>
          <cell r="AH2630" t="str">
            <v>6. Partidas significativas de gastos</v>
          </cell>
        </row>
        <row r="2631">
          <cell r="D2631">
            <v>0</v>
          </cell>
          <cell r="G2631" t="str">
            <v/>
          </cell>
          <cell r="H2631" t="str">
            <v>Est. Resultado</v>
          </cell>
          <cell r="I2631" t="str">
            <v>Resultado</v>
          </cell>
          <cell r="J2631" t="str">
            <v>7. Gastos de Administración</v>
          </cell>
          <cell r="K2631" t="str">
            <v>8. Informática y Comunicaciones</v>
          </cell>
          <cell r="L2631" t="str">
            <v>EBITDA</v>
          </cell>
          <cell r="M2631">
            <v>0</v>
          </cell>
          <cell r="N2631" t="str">
            <v>GANANCIAS (PERDIDAS) ANTES DE IMPUESTOS</v>
          </cell>
          <cell r="O2631" t="str">
            <v>GANANCIA (PÉRDIDA) NETA</v>
          </cell>
          <cell r="P2631" t="str">
            <v>Resultado Ingresos y Gastos Integrales</v>
          </cell>
          <cell r="Q2631" t="str">
            <v>I. Ganancia (pérdida), antes de impuestos</v>
          </cell>
          <cell r="R2631" t="str">
            <v>b. Ganancia (pérdida)</v>
          </cell>
          <cell r="S2631" t="str">
            <v>5. Gasto de administración</v>
          </cell>
          <cell r="T2631" t="str">
            <v>9. Informática y Comunicaciones</v>
          </cell>
          <cell r="V2631" t="str">
            <v>II. Gastos</v>
          </cell>
          <cell r="W2631" t="str">
            <v>23. Bienes y Servicios para Producción</v>
          </cell>
          <cell r="Z2631" t="str">
            <v>III. Gastos de Administración</v>
          </cell>
          <cell r="AA2631" t="str">
            <v>4. Informática y Comunicaciones</v>
          </cell>
          <cell r="AC2631" t="str">
            <v>III. Gasto Administración</v>
          </cell>
          <cell r="AD2631" t="str">
            <v>2. Bienes y servicios Adm.</v>
          </cell>
          <cell r="AE2631" t="str">
            <v>4. Informática y Comunicaciones</v>
          </cell>
          <cell r="AH2631" t="str">
            <v>6. Partidas significativas de gastos</v>
          </cell>
        </row>
        <row r="2632">
          <cell r="D2632">
            <v>0</v>
          </cell>
          <cell r="G2632" t="str">
            <v/>
          </cell>
          <cell r="H2632" t="str">
            <v>Est. Resultado</v>
          </cell>
          <cell r="I2632" t="str">
            <v>Resultado</v>
          </cell>
          <cell r="J2632" t="str">
            <v>7. Gastos de Administración</v>
          </cell>
          <cell r="K2632" t="str">
            <v>8. Informática y Comunicaciones</v>
          </cell>
          <cell r="L2632" t="str">
            <v>EBITDA</v>
          </cell>
          <cell r="M2632">
            <v>0</v>
          </cell>
          <cell r="N2632" t="str">
            <v>GANANCIAS (PERDIDAS) ANTES DE IMPUESTOS</v>
          </cell>
          <cell r="O2632" t="str">
            <v>GANANCIA (PÉRDIDA) NETA</v>
          </cell>
          <cell r="P2632" t="str">
            <v>Resultado Ingresos y Gastos Integrales</v>
          </cell>
          <cell r="Q2632" t="str">
            <v>I. Ganancia (pérdida), antes de impuestos</v>
          </cell>
          <cell r="R2632" t="str">
            <v>b. Ganancia (pérdida)</v>
          </cell>
          <cell r="S2632" t="str">
            <v>5. Gasto de administración</v>
          </cell>
          <cell r="T2632" t="str">
            <v>9. Informática y Comunicaciones</v>
          </cell>
          <cell r="V2632" t="str">
            <v>II. Gastos</v>
          </cell>
          <cell r="W2632" t="str">
            <v>23. Bienes y Servicios para Producción</v>
          </cell>
          <cell r="Z2632" t="str">
            <v>III. Gastos de Administración</v>
          </cell>
          <cell r="AA2632" t="str">
            <v>4. Informática y Comunicaciones</v>
          </cell>
          <cell r="AC2632" t="str">
            <v>III. Gasto Administración</v>
          </cell>
          <cell r="AD2632" t="str">
            <v>2. Bienes y servicios Adm.</v>
          </cell>
          <cell r="AE2632" t="str">
            <v>4. Informática y Comunicaciones</v>
          </cell>
          <cell r="AH2632" t="str">
            <v>6. Partidas significativas de gastos</v>
          </cell>
        </row>
        <row r="2633">
          <cell r="D2633" t="str">
            <v>Informatica y Comunicaciones</v>
          </cell>
          <cell r="E2633" t="str">
            <v>Informatica y Comunicaciones</v>
          </cell>
          <cell r="G2633" t="str">
            <v xml:space="preserve">Informatica y Comunicaciones  </v>
          </cell>
          <cell r="H2633" t="str">
            <v/>
          </cell>
          <cell r="I2633" t="str">
            <v/>
          </cell>
        </row>
        <row r="2634">
          <cell r="D2634" t="str">
            <v>3203101</v>
          </cell>
          <cell r="E2634" t="str">
            <v>3203101</v>
          </cell>
          <cell r="F2634" t="str">
            <v>Deprec.del Ejercicio Activo Fijo</v>
          </cell>
          <cell r="G2634" t="str">
            <v>3203101  Deprec.del Ejercicio Activo Fijo</v>
          </cell>
          <cell r="H2634" t="str">
            <v>Est. Resultado</v>
          </cell>
          <cell r="I2634" t="str">
            <v>Resultado</v>
          </cell>
          <cell r="J2634" t="str">
            <v>4. Depreciación</v>
          </cell>
          <cell r="K2634" t="str">
            <v>1. Depreciación</v>
          </cell>
          <cell r="L2634" t="str">
            <v>EBITDA</v>
          </cell>
          <cell r="M2634" t="str">
            <v>MARGEN BRUTO</v>
          </cell>
          <cell r="N2634" t="str">
            <v>GANANCIAS (PERDIDAS) ANTES DE IMPUESTOS</v>
          </cell>
          <cell r="O2634" t="str">
            <v>GANANCIA (PÉRDIDA) NETA</v>
          </cell>
          <cell r="P2634" t="str">
            <v>Resultado Ingresos y Gastos Integrales</v>
          </cell>
          <cell r="Q2634" t="str">
            <v>I. Ganancia (pérdida), antes de impuestos</v>
          </cell>
          <cell r="R2634" t="str">
            <v>b. Ganancia (pérdida)</v>
          </cell>
          <cell r="S2634" t="str">
            <v>5. Gasto de administración</v>
          </cell>
          <cell r="T2634" t="str">
            <v>16. Depreciación</v>
          </cell>
          <cell r="Z2634" t="str">
            <v>II. Costo Ventas</v>
          </cell>
          <cell r="AA2634" t="str">
            <v>8. Depreciación</v>
          </cell>
          <cell r="AC2634" t="str">
            <v>IV. Depreciación</v>
          </cell>
          <cell r="AD2634" t="str">
            <v>1. Depreciación</v>
          </cell>
          <cell r="AE2634" t="str">
            <v>1. Depreciación A.F.</v>
          </cell>
          <cell r="AH2634" t="str">
            <v>4. Depreciaciones y amortizaciones</v>
          </cell>
        </row>
        <row r="2635">
          <cell r="D2635" t="str">
            <v>3203102</v>
          </cell>
          <cell r="E2635" t="str">
            <v>3203102</v>
          </cell>
          <cell r="F2635" t="str">
            <v>Deprec.del Ejercicio Existencias</v>
          </cell>
          <cell r="G2635" t="str">
            <v>3203102  Deprec.del Ejercicio Existencias</v>
          </cell>
          <cell r="H2635" t="str">
            <v>Est. Resultado</v>
          </cell>
          <cell r="I2635" t="str">
            <v>Resultado</v>
          </cell>
          <cell r="J2635" t="str">
            <v>4. Depreciación</v>
          </cell>
          <cell r="K2635" t="str">
            <v>1. Depreciación</v>
          </cell>
          <cell r="L2635" t="str">
            <v>EBITDA</v>
          </cell>
          <cell r="M2635" t="str">
            <v>MARGEN BRUTO</v>
          </cell>
          <cell r="N2635" t="str">
            <v>GANANCIAS (PERDIDAS) ANTES DE IMPUESTOS</v>
          </cell>
          <cell r="O2635" t="str">
            <v>GANANCIA (PÉRDIDA) NETA</v>
          </cell>
          <cell r="P2635" t="str">
            <v>Resultado Ingresos y Gastos Integrales</v>
          </cell>
          <cell r="Q2635" t="str">
            <v>I. Ganancia (pérdida), antes de impuestos</v>
          </cell>
          <cell r="R2635" t="str">
            <v>b. Ganancia (pérdida)</v>
          </cell>
          <cell r="S2635" t="str">
            <v>5. Gasto de administración</v>
          </cell>
          <cell r="T2635" t="str">
            <v>16. Depreciación</v>
          </cell>
          <cell r="Z2635" t="str">
            <v>II. Costo Ventas</v>
          </cell>
          <cell r="AA2635" t="str">
            <v>8. Depreciación</v>
          </cell>
          <cell r="AC2635" t="str">
            <v>IV. Depreciación</v>
          </cell>
          <cell r="AD2635" t="str">
            <v>1. Depreciación</v>
          </cell>
          <cell r="AE2635" t="str">
            <v>1. Depreciación A.F.</v>
          </cell>
          <cell r="AH2635" t="str">
            <v>4. Depreciaciones y amortizaciones</v>
          </cell>
        </row>
        <row r="2636">
          <cell r="D2636">
            <v>0</v>
          </cell>
          <cell r="G2636" t="str">
            <v/>
          </cell>
          <cell r="H2636" t="str">
            <v>Est. Resultado</v>
          </cell>
          <cell r="I2636" t="str">
            <v>Resultado</v>
          </cell>
          <cell r="J2636" t="str">
            <v>4. Depreciación</v>
          </cell>
          <cell r="K2636" t="str">
            <v>1. Depreciación</v>
          </cell>
          <cell r="L2636" t="str">
            <v>EBITDA</v>
          </cell>
          <cell r="M2636" t="str">
            <v>MARGEN BRUTO</v>
          </cell>
          <cell r="N2636" t="str">
            <v>GANANCIAS (PERDIDAS) ANTES DE IMPUESTOS</v>
          </cell>
          <cell r="O2636" t="str">
            <v>GANANCIA (PÉRDIDA) NETA</v>
          </cell>
          <cell r="P2636" t="str">
            <v>Resultado Ingresos y Gastos Integrales</v>
          </cell>
          <cell r="Q2636" t="str">
            <v>I. Ganancia (pérdida), antes de impuestos</v>
          </cell>
          <cell r="R2636" t="str">
            <v>b. Ganancia (pérdida)</v>
          </cell>
          <cell r="S2636" t="str">
            <v>5. Gasto de administración</v>
          </cell>
          <cell r="T2636" t="str">
            <v>16. Depreciación</v>
          </cell>
          <cell r="Z2636" t="str">
            <v>II. Costo Ventas</v>
          </cell>
          <cell r="AA2636" t="str">
            <v>8. Depreciación</v>
          </cell>
          <cell r="AC2636" t="str">
            <v>IV. Depreciación</v>
          </cell>
          <cell r="AD2636" t="str">
            <v>1. Depreciación</v>
          </cell>
          <cell r="AE2636" t="str">
            <v>1. Depreciación A.F.</v>
          </cell>
          <cell r="AH2636" t="str">
            <v>4. Depreciaciones y amortizaciones</v>
          </cell>
        </row>
        <row r="2637">
          <cell r="D2637">
            <v>0</v>
          </cell>
          <cell r="G2637" t="str">
            <v/>
          </cell>
          <cell r="H2637" t="str">
            <v>Est. Resultado</v>
          </cell>
          <cell r="I2637" t="str">
            <v>Resultado</v>
          </cell>
          <cell r="J2637" t="str">
            <v>4. Depreciación</v>
          </cell>
          <cell r="K2637" t="str">
            <v>1. Depreciación</v>
          </cell>
          <cell r="L2637" t="str">
            <v>EBITDA</v>
          </cell>
          <cell r="M2637" t="str">
            <v>MARGEN BRUTO</v>
          </cell>
          <cell r="N2637" t="str">
            <v>GANANCIAS (PERDIDAS) ANTES DE IMPUESTOS</v>
          </cell>
          <cell r="O2637" t="str">
            <v>GANANCIA (PÉRDIDA) NETA</v>
          </cell>
          <cell r="P2637" t="str">
            <v>Resultado Ingresos y Gastos Integrales</v>
          </cell>
          <cell r="Q2637" t="str">
            <v>I. Ganancia (pérdida), antes de impuestos</v>
          </cell>
          <cell r="R2637" t="str">
            <v>b. Ganancia (pérdida)</v>
          </cell>
          <cell r="S2637" t="str">
            <v>5. Gasto de administración</v>
          </cell>
          <cell r="T2637" t="str">
            <v>16. Depreciación</v>
          </cell>
          <cell r="Z2637" t="str">
            <v>II. Costo Ventas</v>
          </cell>
          <cell r="AA2637" t="str">
            <v>8. Depreciación</v>
          </cell>
          <cell r="AC2637" t="str">
            <v>IV. Depreciación</v>
          </cell>
          <cell r="AD2637" t="str">
            <v>1. Depreciación</v>
          </cell>
          <cell r="AE2637" t="str">
            <v>1. Depreciación A.F.</v>
          </cell>
          <cell r="AH2637" t="str">
            <v>4. Depreciaciones y amortizaciones</v>
          </cell>
        </row>
        <row r="2638">
          <cell r="D2638" t="str">
            <v>Depreciación</v>
          </cell>
          <cell r="E2638" t="str">
            <v>Depreciación</v>
          </cell>
          <cell r="G2638" t="str">
            <v xml:space="preserve">Depreciación  </v>
          </cell>
          <cell r="H2638" t="str">
            <v/>
          </cell>
          <cell r="I2638" t="str">
            <v/>
          </cell>
          <cell r="Q2638">
            <v>0</v>
          </cell>
          <cell r="R2638" t="str">
            <v/>
          </cell>
          <cell r="T2638" t="str">
            <v/>
          </cell>
        </row>
        <row r="2639">
          <cell r="D2639" t="str">
            <v>4201101</v>
          </cell>
          <cell r="E2639" t="str">
            <v>4201101</v>
          </cell>
          <cell r="F2639" t="str">
            <v>Intereses Financieros</v>
          </cell>
          <cell r="G2639" t="str">
            <v>4201101  Intereses Financieros</v>
          </cell>
          <cell r="H2639" t="str">
            <v>Est. Resultado</v>
          </cell>
          <cell r="I2639" t="str">
            <v>Resultado</v>
          </cell>
          <cell r="J2639" t="str">
            <v>9. Otras Ganancias</v>
          </cell>
          <cell r="K2639" t="str">
            <v>2. Ingresos Financieros</v>
          </cell>
          <cell r="L2639" t="str">
            <v>NO OPER</v>
          </cell>
          <cell r="N2639" t="str">
            <v>GANANCIAS (PERDIDAS) ANTES DE IMPUESTOS</v>
          </cell>
          <cell r="O2639" t="str">
            <v>GANANCIA (PÉRDIDA) NETA</v>
          </cell>
          <cell r="P2639" t="str">
            <v>Resultado Ingresos y Gastos Integrales</v>
          </cell>
          <cell r="Q2639" t="str">
            <v>I. Ganancia (pérdida), antes de impuestos</v>
          </cell>
          <cell r="R2639" t="str">
            <v>b. Ganancia (pérdida)</v>
          </cell>
          <cell r="S2639" t="str">
            <v>8. Ingresos financieros</v>
          </cell>
          <cell r="T2639" t="str">
            <v>1. Ingresos Financieros</v>
          </cell>
          <cell r="V2639" t="str">
            <v>I. Ingresos</v>
          </cell>
          <cell r="W2639" t="str">
            <v>2. Rentas de Inversiones</v>
          </cell>
          <cell r="Z2639" t="str">
            <v>I. Ganacia / Pérdida - No Oper</v>
          </cell>
          <cell r="AA2639" t="str">
            <v>1. Ingresos Financieros</v>
          </cell>
          <cell r="AB2639" t="str">
            <v>1. Ingresos Financieros</v>
          </cell>
          <cell r="AC2639" t="str">
            <v>I. Ganancia / Pérdida No Oper.</v>
          </cell>
          <cell r="AD2639" t="str">
            <v>1. Ingresos No Oper.</v>
          </cell>
          <cell r="AE2639" t="str">
            <v>1. Ingresos Financieros</v>
          </cell>
          <cell r="AH2639" t="str">
            <v>3. Resultado financiero, neto segmento</v>
          </cell>
        </row>
        <row r="2640">
          <cell r="D2640" t="str">
            <v>4201102</v>
          </cell>
          <cell r="E2640" t="str">
            <v>4201102</v>
          </cell>
          <cell r="F2640" t="str">
            <v>Reajustes financieros</v>
          </cell>
          <cell r="G2640" t="str">
            <v>4201102  Reajustes financieros</v>
          </cell>
          <cell r="H2640" t="str">
            <v>Est. Resultado</v>
          </cell>
          <cell r="I2640" t="str">
            <v>Resultado</v>
          </cell>
          <cell r="J2640" t="str">
            <v>9. Otras Ganancias</v>
          </cell>
          <cell r="K2640" t="str">
            <v>2. Ingresos Financieros</v>
          </cell>
          <cell r="L2640" t="str">
            <v>NO OPER</v>
          </cell>
          <cell r="N2640" t="str">
            <v>GANANCIAS (PERDIDAS) ANTES DE IMPUESTOS</v>
          </cell>
          <cell r="O2640" t="str">
            <v>GANANCIA (PÉRDIDA) NETA</v>
          </cell>
          <cell r="P2640" t="str">
            <v>Resultado Ingresos y Gastos Integrales</v>
          </cell>
          <cell r="Q2640" t="str">
            <v>I. Ganancia (pérdida), antes de impuestos</v>
          </cell>
          <cell r="R2640" t="str">
            <v>b. Ganancia (pérdida)</v>
          </cell>
          <cell r="S2640" t="str">
            <v>8. Ingresos financieros</v>
          </cell>
          <cell r="T2640" t="str">
            <v>1. Ingresos Financieros</v>
          </cell>
          <cell r="V2640" t="str">
            <v>I. Ingresos</v>
          </cell>
          <cell r="W2640" t="str">
            <v>2. Rentas de Inversiones</v>
          </cell>
          <cell r="Z2640" t="str">
            <v>I. Ganacia / Pérdida - No Oper</v>
          </cell>
          <cell r="AA2640" t="str">
            <v>1. Ingresos Financieros</v>
          </cell>
          <cell r="AB2640" t="str">
            <v>1. Ingresos Financieros</v>
          </cell>
          <cell r="AC2640" t="str">
            <v>I. Ganancia / Pérdida No Oper.</v>
          </cell>
          <cell r="AD2640" t="str">
            <v>1. Ingresos No Oper.</v>
          </cell>
          <cell r="AE2640" t="str">
            <v>1. Ingresos Financieros</v>
          </cell>
          <cell r="AH2640" t="str">
            <v>3. Resultado financiero, neto segmento</v>
          </cell>
        </row>
        <row r="2641">
          <cell r="D2641" t="str">
            <v>4203001</v>
          </cell>
          <cell r="E2641" t="str">
            <v>4203001</v>
          </cell>
          <cell r="F2641" t="str">
            <v>Otros Ingresos no Operacionales</v>
          </cell>
          <cell r="G2641" t="str">
            <v>4203001  Otros Ingresos no Operacionales</v>
          </cell>
          <cell r="H2641" t="str">
            <v>Est. Resultado</v>
          </cell>
          <cell r="I2641" t="str">
            <v>Resultado</v>
          </cell>
          <cell r="J2641" t="str">
            <v>9. Otras Ganancias</v>
          </cell>
          <cell r="K2641" t="str">
            <v>2. Ingresos Financieros</v>
          </cell>
          <cell r="L2641" t="str">
            <v>NO OPER</v>
          </cell>
          <cell r="N2641" t="str">
            <v>GANANCIAS (PERDIDAS) ANTES DE IMPUESTOS</v>
          </cell>
          <cell r="O2641" t="str">
            <v>GANANCIA (PÉRDIDA) NETA</v>
          </cell>
          <cell r="P2641" t="str">
            <v>Resultado Ingresos y Gastos Integrales</v>
          </cell>
          <cell r="Q2641" t="str">
            <v>I. Ganancia (pérdida), antes de impuestos</v>
          </cell>
          <cell r="R2641" t="str">
            <v>b. Ganancia (pérdida)</v>
          </cell>
          <cell r="S2641" t="str">
            <v>8. Ingresos financieros</v>
          </cell>
          <cell r="T2641" t="str">
            <v>1. Ingresos Financieros</v>
          </cell>
          <cell r="V2641" t="str">
            <v>I. Ingresos</v>
          </cell>
          <cell r="W2641" t="str">
            <v>2. Rentas de Inversiones</v>
          </cell>
          <cell r="Z2641" t="str">
            <v>I. Ganacia / Pérdida - No Oper</v>
          </cell>
          <cell r="AA2641" t="str">
            <v>1. Ingresos Financieros</v>
          </cell>
          <cell r="AB2641" t="str">
            <v>1. Ingresos Financieros</v>
          </cell>
          <cell r="AC2641" t="str">
            <v>I. Ganancia / Pérdida No Oper.</v>
          </cell>
          <cell r="AD2641" t="str">
            <v>1. Ingresos No Oper.</v>
          </cell>
          <cell r="AE2641" t="str">
            <v>1. Ingresos Financieros</v>
          </cell>
          <cell r="AH2641" t="str">
            <v>3. Resultado financiero, neto segmento</v>
          </cell>
        </row>
        <row r="2642">
          <cell r="D2642" t="str">
            <v>4107003</v>
          </cell>
          <cell r="E2642" t="str">
            <v>4107003</v>
          </cell>
          <cell r="F2642" t="str">
            <v>Intereses cta mercantil EFE</v>
          </cell>
          <cell r="G2642" t="str">
            <v>4107003  Intereses cta mercantil EFE</v>
          </cell>
          <cell r="H2642" t="str">
            <v>Est. Resultado</v>
          </cell>
          <cell r="I2642" t="str">
            <v>Resultado</v>
          </cell>
          <cell r="J2642" t="str">
            <v>9. Otras Ganancias</v>
          </cell>
          <cell r="K2642" t="str">
            <v>2. Ingresos Financieros</v>
          </cell>
          <cell r="L2642" t="str">
            <v>NO OPER</v>
          </cell>
          <cell r="N2642" t="str">
            <v>GANANCIAS (PERDIDAS) ANTES DE IMPUESTOS</v>
          </cell>
          <cell r="O2642" t="str">
            <v>GANANCIA (PÉRDIDA) NETA</v>
          </cell>
          <cell r="P2642" t="str">
            <v>Resultado Ingresos y Gastos Integrales</v>
          </cell>
          <cell r="Q2642" t="str">
            <v>I. Ganancia (pérdida), antes de impuestos</v>
          </cell>
          <cell r="R2642" t="str">
            <v>b. Ganancia (pérdida)</v>
          </cell>
          <cell r="S2642" t="str">
            <v>8. Ingresos financieros</v>
          </cell>
          <cell r="T2642" t="str">
            <v>1. Ingresos Financieros</v>
          </cell>
          <cell r="V2642" t="str">
            <v>I. Ingresos</v>
          </cell>
          <cell r="W2642" t="str">
            <v>2. Rentas de Inversiones</v>
          </cell>
          <cell r="Z2642" t="str">
            <v>I. Ganacia / Pérdida - No Oper</v>
          </cell>
          <cell r="AA2642" t="str">
            <v>1. Ingresos Financieros</v>
          </cell>
          <cell r="AB2642" t="str">
            <v>1. Ingresos Financieros</v>
          </cell>
          <cell r="AC2642" t="str">
            <v>I. Ganancia / Pérdida No Oper.</v>
          </cell>
          <cell r="AD2642" t="str">
            <v>1. Ingresos No Oper.</v>
          </cell>
          <cell r="AE2642" t="str">
            <v>1. Ingresos Financieros</v>
          </cell>
          <cell r="AH2642" t="str">
            <v>3. Resultado financiero, neto segmento</v>
          </cell>
        </row>
        <row r="2643">
          <cell r="D2643">
            <v>0</v>
          </cell>
          <cell r="G2643" t="str">
            <v/>
          </cell>
          <cell r="H2643" t="str">
            <v>Est. Resultado</v>
          </cell>
          <cell r="I2643" t="str">
            <v>Resultado</v>
          </cell>
          <cell r="J2643" t="str">
            <v>9. Otras Ganancias</v>
          </cell>
          <cell r="K2643" t="str">
            <v>2. Ingresos Financieros</v>
          </cell>
          <cell r="L2643" t="str">
            <v>NO OPER</v>
          </cell>
          <cell r="N2643" t="str">
            <v>GANANCIAS (PERDIDAS) ANTES DE IMPUESTOS</v>
          </cell>
          <cell r="O2643" t="str">
            <v>GANANCIA (PÉRDIDA) NETA</v>
          </cell>
          <cell r="P2643" t="str">
            <v>Resultado Ingresos y Gastos Integrales</v>
          </cell>
          <cell r="Q2643" t="str">
            <v>I. Ganancia (pérdida), antes de impuestos</v>
          </cell>
          <cell r="R2643" t="str">
            <v>b. Ganancia (pérdida)</v>
          </cell>
          <cell r="S2643" t="str">
            <v>8. Ingresos financieros</v>
          </cell>
          <cell r="T2643" t="str">
            <v>1. Ingresos Financieros</v>
          </cell>
          <cell r="V2643" t="str">
            <v>I. Ingresos</v>
          </cell>
          <cell r="W2643" t="str">
            <v>2. Rentas de Inversiones</v>
          </cell>
          <cell r="Z2643" t="str">
            <v>I. Ganacia / Pérdida - No Oper</v>
          </cell>
          <cell r="AA2643" t="str">
            <v>1. Ingresos Financieros</v>
          </cell>
          <cell r="AB2643" t="str">
            <v>1. Ingresos Financieros</v>
          </cell>
          <cell r="AC2643" t="str">
            <v>I. Ganancia / Pérdida No Oper.</v>
          </cell>
          <cell r="AD2643" t="str">
            <v>1. Ingresos No Oper.</v>
          </cell>
          <cell r="AE2643" t="str">
            <v>1. Ingresos Financieros</v>
          </cell>
          <cell r="AH2643" t="str">
            <v>3. Resultado financiero, neto segmento</v>
          </cell>
        </row>
        <row r="2644">
          <cell r="D2644">
            <v>0</v>
          </cell>
          <cell r="G2644" t="str">
            <v/>
          </cell>
          <cell r="H2644" t="str">
            <v>Est. Resultado</v>
          </cell>
          <cell r="I2644" t="str">
            <v>Resultado</v>
          </cell>
          <cell r="J2644" t="str">
            <v>9. Otras Ganancias</v>
          </cell>
          <cell r="K2644" t="str">
            <v>2. Ingresos Financieros</v>
          </cell>
          <cell r="L2644" t="str">
            <v>NO OPER</v>
          </cell>
          <cell r="N2644" t="str">
            <v>GANANCIAS (PERDIDAS) ANTES DE IMPUESTOS</v>
          </cell>
          <cell r="O2644" t="str">
            <v>GANANCIA (PÉRDIDA) NETA</v>
          </cell>
          <cell r="P2644" t="str">
            <v>Resultado Ingresos y Gastos Integrales</v>
          </cell>
          <cell r="Q2644" t="str">
            <v>I. Ganancia (pérdida), antes de impuestos</v>
          </cell>
          <cell r="R2644" t="str">
            <v>b. Ganancia (pérdida)</v>
          </cell>
          <cell r="S2644" t="str">
            <v>8. Ingresos financieros</v>
          </cell>
          <cell r="T2644" t="str">
            <v>1. Ingresos Financieros</v>
          </cell>
          <cell r="V2644" t="str">
            <v>I. Ingresos</v>
          </cell>
          <cell r="W2644" t="str">
            <v>2. Rentas de Inversiones</v>
          </cell>
          <cell r="Z2644" t="str">
            <v>I. Ganacia / Pérdida - No Oper</v>
          </cell>
          <cell r="AA2644" t="str">
            <v>1. Ingresos Financieros</v>
          </cell>
          <cell r="AB2644" t="str">
            <v>1. Ingresos Financieros</v>
          </cell>
          <cell r="AC2644" t="str">
            <v>I. Ganancia / Pérdida No Oper.</v>
          </cell>
          <cell r="AD2644" t="str">
            <v>1. Ingresos No Oper.</v>
          </cell>
          <cell r="AE2644" t="str">
            <v>1. Ingresos Financieros</v>
          </cell>
          <cell r="AH2644" t="str">
            <v>3. Resultado financiero, neto segmento</v>
          </cell>
        </row>
        <row r="2645">
          <cell r="D2645" t="str">
            <v>Ingresos Financieros</v>
          </cell>
          <cell r="E2645" t="str">
            <v>Ingresos Financieros</v>
          </cell>
          <cell r="G2645" t="str">
            <v xml:space="preserve">Ingresos Financieros  </v>
          </cell>
          <cell r="Q2645">
            <v>0</v>
          </cell>
          <cell r="R2645" t="str">
            <v/>
          </cell>
          <cell r="T2645" t="str">
            <v/>
          </cell>
        </row>
        <row r="2646">
          <cell r="D2646" t="str">
            <v>OTRAS GANACIAS</v>
          </cell>
          <cell r="E2646" t="str">
            <v>OTRAS GANACIAS</v>
          </cell>
          <cell r="G2646" t="str">
            <v xml:space="preserve">OTRAS GANACIAS  </v>
          </cell>
          <cell r="Q2646">
            <v>0</v>
          </cell>
          <cell r="R2646" t="str">
            <v/>
          </cell>
          <cell r="T2646" t="str">
            <v/>
          </cell>
        </row>
        <row r="2647">
          <cell r="D2647" t="str">
            <v>3304001</v>
          </cell>
          <cell r="E2647" t="str">
            <v>3304001</v>
          </cell>
          <cell r="F2647" t="str">
            <v>Otos Egresos Fuera de Explotación</v>
          </cell>
          <cell r="G2647" t="str">
            <v>3304001  Otos Egresos Fuera de Explotación</v>
          </cell>
          <cell r="H2647" t="str">
            <v>Est. Resultado</v>
          </cell>
          <cell r="I2647" t="str">
            <v>Resultado</v>
          </cell>
          <cell r="J2647" t="str">
            <v>10. Otras Pérdidas</v>
          </cell>
          <cell r="K2647" t="str">
            <v>2. Costos Financieros</v>
          </cell>
          <cell r="L2647" t="str">
            <v>NO OPER</v>
          </cell>
          <cell r="N2647" t="str">
            <v>GANANCIAS (PERDIDAS) ANTES DE IMPUESTOS</v>
          </cell>
          <cell r="O2647" t="str">
            <v>GANANCIA (PÉRDIDA) NETA</v>
          </cell>
          <cell r="P2647" t="str">
            <v>Resultado Ingresos y Gastos Integrales</v>
          </cell>
          <cell r="Q2647" t="str">
            <v>I. Ganancia (pérdida), antes de impuestos</v>
          </cell>
          <cell r="R2647" t="str">
            <v>b. Ganancia (pérdida)</v>
          </cell>
          <cell r="S2647" t="str">
            <v>9. Costos financieros</v>
          </cell>
          <cell r="T2647" t="str">
            <v>1. Costos Financieros</v>
          </cell>
          <cell r="V2647" t="str">
            <v>II. Gastos</v>
          </cell>
          <cell r="W2647" t="str">
            <v>26. Intereses y Gastos Financieros</v>
          </cell>
          <cell r="Z2647" t="str">
            <v>I. Ganacia / Pérdida - No Oper</v>
          </cell>
          <cell r="AA2647" t="str">
            <v>4. Gastos Financieros</v>
          </cell>
          <cell r="AB2647" t="str">
            <v>6. Gastos Financieros</v>
          </cell>
          <cell r="AC2647" t="str">
            <v>I. Ganancia / Pérdida No Oper.</v>
          </cell>
          <cell r="AD2647" t="str">
            <v>3. Gastos Financieros</v>
          </cell>
          <cell r="AE2647" t="str">
            <v>4. Gastos Financieros</v>
          </cell>
          <cell r="AH2647" t="str">
            <v>3. Resultado financiero, neto segmento</v>
          </cell>
        </row>
        <row r="2648">
          <cell r="D2648" t="str">
            <v>3303104</v>
          </cell>
          <cell r="E2648" t="str">
            <v>3303104</v>
          </cell>
          <cell r="F2648" t="str">
            <v>Gastos Bancarios</v>
          </cell>
          <cell r="G2648" t="str">
            <v>3303104  Gastos Bancarios</v>
          </cell>
          <cell r="H2648" t="str">
            <v>Est. Resultado</v>
          </cell>
          <cell r="I2648" t="str">
            <v>Resultado</v>
          </cell>
          <cell r="J2648" t="str">
            <v>10. Otras Pérdidas</v>
          </cell>
          <cell r="K2648" t="str">
            <v>2. Costos Financieros</v>
          </cell>
          <cell r="L2648" t="str">
            <v>NO OPER</v>
          </cell>
          <cell r="N2648" t="str">
            <v>GANANCIAS (PERDIDAS) ANTES DE IMPUESTOS</v>
          </cell>
          <cell r="O2648" t="str">
            <v>GANANCIA (PÉRDIDA) NETA</v>
          </cell>
          <cell r="P2648" t="str">
            <v>Resultado Ingresos y Gastos Integrales</v>
          </cell>
          <cell r="Q2648" t="str">
            <v>I. Ganancia (pérdida), antes de impuestos</v>
          </cell>
          <cell r="R2648" t="str">
            <v>b. Ganancia (pérdida)</v>
          </cell>
          <cell r="S2648" t="str">
            <v>9. Costos financieros</v>
          </cell>
          <cell r="T2648" t="str">
            <v>1. Costos Financieros</v>
          </cell>
          <cell r="V2648" t="str">
            <v>II. Gastos</v>
          </cell>
          <cell r="W2648" t="str">
            <v>26. Intereses y Gastos Financieros</v>
          </cell>
          <cell r="Z2648" t="str">
            <v>I. Ganacia / Pérdida - No Oper</v>
          </cell>
          <cell r="AA2648" t="str">
            <v>4. Gastos Financieros</v>
          </cell>
          <cell r="AB2648" t="str">
            <v>6. Gastos Financieros</v>
          </cell>
          <cell r="AC2648" t="str">
            <v>I. Ganancia / Pérdida No Oper.</v>
          </cell>
          <cell r="AD2648" t="str">
            <v>3. Gastos Financieros</v>
          </cell>
          <cell r="AE2648" t="str">
            <v>4. Gastos Financieros</v>
          </cell>
          <cell r="AH2648" t="str">
            <v>3. Resultado financiero, neto segmento</v>
          </cell>
        </row>
        <row r="2649">
          <cell r="D2649" t="str">
            <v>3303103</v>
          </cell>
          <cell r="E2649" t="str">
            <v>3303103</v>
          </cell>
          <cell r="F2649" t="str">
            <v>Reajuste Financiero</v>
          </cell>
          <cell r="G2649" t="str">
            <v>3303103  Reajuste Financiero</v>
          </cell>
          <cell r="H2649" t="str">
            <v>Est. Resultado</v>
          </cell>
          <cell r="I2649" t="str">
            <v>Resultado</v>
          </cell>
          <cell r="J2649" t="str">
            <v>10. Otras Pérdidas</v>
          </cell>
          <cell r="K2649" t="str">
            <v>2. Costos Financieros</v>
          </cell>
          <cell r="L2649" t="str">
            <v>NO OPER</v>
          </cell>
          <cell r="N2649" t="str">
            <v>GANANCIAS (PERDIDAS) ANTES DE IMPUESTOS</v>
          </cell>
          <cell r="O2649" t="str">
            <v>GANANCIA (PÉRDIDA) NETA</v>
          </cell>
          <cell r="P2649" t="str">
            <v>Resultado Ingresos y Gastos Integrales</v>
          </cell>
          <cell r="Q2649" t="str">
            <v>I. Ganancia (pérdida), antes de impuestos</v>
          </cell>
          <cell r="R2649" t="str">
            <v>b. Ganancia (pérdida)</v>
          </cell>
          <cell r="S2649" t="str">
            <v>9. Costos financieros</v>
          </cell>
          <cell r="T2649" t="str">
            <v>1. Costos Financieros</v>
          </cell>
          <cell r="V2649" t="str">
            <v>II. Gastos</v>
          </cell>
          <cell r="W2649" t="str">
            <v>26. Intereses y Gastos Financieros</v>
          </cell>
          <cell r="Z2649" t="str">
            <v>I. Ganacia / Pérdida - No Oper</v>
          </cell>
          <cell r="AA2649" t="str">
            <v>4. Gastos Financieros</v>
          </cell>
          <cell r="AB2649" t="str">
            <v>6. Gastos Financieros</v>
          </cell>
          <cell r="AC2649" t="str">
            <v>I. Ganancia / Pérdida No Oper.</v>
          </cell>
          <cell r="AD2649" t="str">
            <v>3. Gastos Financieros</v>
          </cell>
          <cell r="AE2649" t="str">
            <v>4. Gastos Financieros</v>
          </cell>
          <cell r="AH2649" t="str">
            <v>3. Resultado financiero, neto segmento</v>
          </cell>
        </row>
        <row r="2650">
          <cell r="D2650">
            <v>0</v>
          </cell>
          <cell r="G2650" t="str">
            <v/>
          </cell>
          <cell r="Q2650">
            <v>0</v>
          </cell>
          <cell r="R2650" t="str">
            <v/>
          </cell>
          <cell r="T2650" t="str">
            <v/>
          </cell>
        </row>
        <row r="2651">
          <cell r="D2651">
            <v>0</v>
          </cell>
          <cell r="G2651" t="str">
            <v/>
          </cell>
          <cell r="Q2651">
            <v>0</v>
          </cell>
          <cell r="R2651" t="str">
            <v/>
          </cell>
          <cell r="T2651" t="str">
            <v/>
          </cell>
        </row>
        <row r="2652">
          <cell r="D2652" t="str">
            <v>Costos Financieros</v>
          </cell>
          <cell r="E2652" t="str">
            <v>Costos Financieros</v>
          </cell>
          <cell r="G2652" t="str">
            <v xml:space="preserve">Costos Financieros  </v>
          </cell>
          <cell r="Q2652">
            <v>0</v>
          </cell>
          <cell r="R2652" t="str">
            <v/>
          </cell>
          <cell r="T2652" t="str">
            <v/>
          </cell>
        </row>
        <row r="2653">
          <cell r="D2653">
            <v>0</v>
          </cell>
        </row>
        <row r="2654">
          <cell r="D2654">
            <v>0</v>
          </cell>
          <cell r="G2654" t="str">
            <v/>
          </cell>
          <cell r="H2654" t="str">
            <v>Est. Resultado</v>
          </cell>
          <cell r="I2654" t="str">
            <v>Resultado</v>
          </cell>
          <cell r="J2654" t="str">
            <v>10. Otras Pérdidas</v>
          </cell>
          <cell r="K2654" t="str">
            <v>5. Diferencias de Cambio</v>
          </cell>
          <cell r="L2654" t="str">
            <v>NO OPER</v>
          </cell>
          <cell r="N2654" t="str">
            <v>GANANCIAS (PERDIDAS) ANTES DE IMPUESTOS</v>
          </cell>
          <cell r="O2654" t="str">
            <v>GANANCIA (PÉRDIDA) NETA</v>
          </cell>
          <cell r="P2654" t="str">
            <v>Resultado Ingresos y Gastos Integrales</v>
          </cell>
          <cell r="Q2654" t="str">
            <v>I. Ganancia (pérdida), antes de impuestos</v>
          </cell>
          <cell r="R2654" t="str">
            <v>b. Ganancia (pérdida)</v>
          </cell>
          <cell r="S2654" t="str">
            <v>11. Diferencias de cambio</v>
          </cell>
          <cell r="T2654" t="str">
            <v>1. Diferencia de Cambio</v>
          </cell>
          <cell r="Z2654" t="str">
            <v>I. Ganacia / Pérdida - No Oper</v>
          </cell>
          <cell r="AA2654" t="str">
            <v>7. Diferencias de Cambio</v>
          </cell>
          <cell r="AB2654" t="str">
            <v>10. Diferencias de Cambio</v>
          </cell>
          <cell r="AC2654" t="str">
            <v>I. Ganancia / Pérdida No Oper.</v>
          </cell>
          <cell r="AD2654" t="str">
            <v>7. Diferencias de Cambio</v>
          </cell>
          <cell r="AE2654" t="str">
            <v>2. Dif. de Cambio</v>
          </cell>
          <cell r="AH2654" t="str">
            <v>6. Partidas significativas de gastos</v>
          </cell>
        </row>
        <row r="2655">
          <cell r="D2655">
            <v>0</v>
          </cell>
          <cell r="F2655" t="str">
            <v/>
          </cell>
          <cell r="G2655" t="str">
            <v/>
          </cell>
          <cell r="H2655" t="str">
            <v>Est. Resultado</v>
          </cell>
          <cell r="I2655" t="str">
            <v>Resultado</v>
          </cell>
          <cell r="J2655" t="str">
            <v>10. Otras Pérdidas</v>
          </cell>
          <cell r="K2655" t="str">
            <v>5. Diferencias de Cambio</v>
          </cell>
          <cell r="L2655" t="str">
            <v>NO OPER</v>
          </cell>
          <cell r="N2655" t="str">
            <v>GANANCIAS (PERDIDAS) ANTES DE IMPUESTOS</v>
          </cell>
          <cell r="O2655" t="str">
            <v>GANANCIA (PÉRDIDA) NETA</v>
          </cell>
          <cell r="P2655" t="str">
            <v>Resultado Ingresos y Gastos Integrales</v>
          </cell>
          <cell r="Q2655" t="str">
            <v>I. Ganancia (pérdida), antes de impuestos</v>
          </cell>
          <cell r="R2655" t="str">
            <v>b. Ganancia (pérdida)</v>
          </cell>
          <cell r="S2655" t="str">
            <v>11. Diferencias de cambio</v>
          </cell>
          <cell r="T2655" t="str">
            <v>1. Diferencia de Cambio</v>
          </cell>
          <cell r="Z2655" t="str">
            <v>I. Ganacia / Pérdida - No Oper</v>
          </cell>
          <cell r="AA2655" t="str">
            <v>7. Diferencias de Cambio</v>
          </cell>
          <cell r="AB2655" t="str">
            <v>10. Diferencias de Cambio</v>
          </cell>
          <cell r="AC2655" t="str">
            <v>I. Ganancia / Pérdida No Oper.</v>
          </cell>
          <cell r="AD2655" t="str">
            <v>7. Diferencias de Cambio</v>
          </cell>
          <cell r="AE2655" t="str">
            <v>2. Dif. de Cambio</v>
          </cell>
          <cell r="AH2655" t="str">
            <v>6. Partidas significativas de gastos</v>
          </cell>
        </row>
        <row r="2656">
          <cell r="D2656" t="str">
            <v>Diferencias de Cambio</v>
          </cell>
          <cell r="E2656" t="str">
            <v>Diferencias de Cambio</v>
          </cell>
          <cell r="G2656" t="str">
            <v xml:space="preserve">Diferencias de Cambio  </v>
          </cell>
          <cell r="Q2656">
            <v>0</v>
          </cell>
          <cell r="R2656" t="str">
            <v/>
          </cell>
        </row>
        <row r="2657">
          <cell r="D2657" t="str">
            <v>3401001</v>
          </cell>
          <cell r="E2657" t="str">
            <v>3401001</v>
          </cell>
          <cell r="F2657" t="str">
            <v>C. M. Activo Circulante</v>
          </cell>
          <cell r="G2657" t="str">
            <v>3401001  C. M. Activo Circulante</v>
          </cell>
          <cell r="H2657" t="str">
            <v>Est. Resultado</v>
          </cell>
          <cell r="I2657" t="str">
            <v>Resultado</v>
          </cell>
          <cell r="J2657" t="str">
            <v>10. Otras Pérdidas</v>
          </cell>
          <cell r="K2657" t="str">
            <v>4. Otros Gastos Fuera Explotación</v>
          </cell>
          <cell r="L2657" t="str">
            <v>NO OPER</v>
          </cell>
          <cell r="N2657" t="str">
            <v>GANANCIAS (PERDIDAS) ANTES DE IMPUESTOS</v>
          </cell>
          <cell r="O2657" t="str">
            <v>GANANCIA (PÉRDIDA) NETA</v>
          </cell>
          <cell r="P2657" t="str">
            <v>Resultado Ingresos y Gastos Integrales</v>
          </cell>
          <cell r="Q2657" t="str">
            <v>I. Ganancia (pérdida), antes de impuestos</v>
          </cell>
          <cell r="R2657" t="str">
            <v>b. Ganancia (pérdida)</v>
          </cell>
          <cell r="S2657" t="str">
            <v>12. Resultados por unidades de reajuste</v>
          </cell>
          <cell r="T2657" t="str">
            <v>1. Resultado Unidad de Reajuste</v>
          </cell>
          <cell r="Z2657" t="str">
            <v>I. Ganacia / Pérdida - No Oper</v>
          </cell>
          <cell r="AA2657" t="str">
            <v>6. Unidad de Reajuste</v>
          </cell>
          <cell r="AB2657" t="str">
            <v>9. Resultado Unidad de Reajuste</v>
          </cell>
          <cell r="AC2657" t="str">
            <v>I. Ganancia / Pérdida No Oper.</v>
          </cell>
          <cell r="AD2657" t="str">
            <v>6. Unidad de Reajuste</v>
          </cell>
          <cell r="AE2657" t="str">
            <v>1. Unid. de Reajuste</v>
          </cell>
          <cell r="AH2657" t="str">
            <v>6. Partidas significativas de gastos</v>
          </cell>
        </row>
        <row r="2658">
          <cell r="D2658" t="str">
            <v>3401002</v>
          </cell>
          <cell r="E2658" t="str">
            <v>3401002</v>
          </cell>
          <cell r="F2658" t="str">
            <v>C. M. Existencias</v>
          </cell>
          <cell r="G2658" t="str">
            <v>3401002  C. M. Existencias</v>
          </cell>
          <cell r="H2658" t="str">
            <v>Est. Resultado</v>
          </cell>
          <cell r="I2658" t="str">
            <v>Resultado</v>
          </cell>
          <cell r="J2658" t="str">
            <v>10. Otras Pérdidas</v>
          </cell>
          <cell r="K2658" t="str">
            <v>4. Otros Gastos Fuera Explotación</v>
          </cell>
          <cell r="L2658" t="str">
            <v>NO OPER</v>
          </cell>
          <cell r="N2658" t="str">
            <v>GANANCIAS (PERDIDAS) ANTES DE IMPUESTOS</v>
          </cell>
          <cell r="O2658" t="str">
            <v>GANANCIA (PÉRDIDA) NETA</v>
          </cell>
          <cell r="P2658" t="str">
            <v>Resultado Ingresos y Gastos Integrales</v>
          </cell>
          <cell r="Q2658" t="str">
            <v>I. Ganancia (pérdida), antes de impuestos</v>
          </cell>
          <cell r="R2658" t="str">
            <v>b. Ganancia (pérdida)</v>
          </cell>
          <cell r="S2658" t="str">
            <v>12. Resultados por unidades de reajuste</v>
          </cell>
          <cell r="T2658" t="str">
            <v>1. Resultado Unidad de Reajuste</v>
          </cell>
          <cell r="Z2658" t="str">
            <v>I. Ganacia / Pérdida - No Oper</v>
          </cell>
          <cell r="AA2658" t="str">
            <v>6. Unidad de Reajuste</v>
          </cell>
          <cell r="AB2658" t="str">
            <v>9. Resultado Unidad de Reajuste</v>
          </cell>
          <cell r="AC2658" t="str">
            <v>I. Ganancia / Pérdida No Oper.</v>
          </cell>
          <cell r="AD2658" t="str">
            <v>6. Unidad de Reajuste</v>
          </cell>
          <cell r="AE2658" t="str">
            <v>1. Unid. de Reajuste</v>
          </cell>
          <cell r="AH2658" t="str">
            <v>6. Partidas significativas de gastos</v>
          </cell>
        </row>
        <row r="2659">
          <cell r="D2659" t="str">
            <v>3401003</v>
          </cell>
          <cell r="E2659" t="str">
            <v>3401003</v>
          </cell>
          <cell r="F2659" t="str">
            <v>C. M. Activo Fijo</v>
          </cell>
          <cell r="G2659" t="str">
            <v>3401003  C. M. Activo Fijo</v>
          </cell>
          <cell r="H2659" t="str">
            <v>Est. Resultado</v>
          </cell>
          <cell r="I2659" t="str">
            <v>Resultado</v>
          </cell>
          <cell r="J2659" t="str">
            <v>10. Otras Pérdidas</v>
          </cell>
          <cell r="K2659" t="str">
            <v>4. Otros Gastos Fuera Explotación</v>
          </cell>
          <cell r="L2659" t="str">
            <v>NO OPER</v>
          </cell>
          <cell r="N2659" t="str">
            <v>GANANCIAS (PERDIDAS) ANTES DE IMPUESTOS</v>
          </cell>
          <cell r="O2659" t="str">
            <v>GANANCIA (PÉRDIDA) NETA</v>
          </cell>
          <cell r="P2659" t="str">
            <v>Resultado Ingresos y Gastos Integrales</v>
          </cell>
          <cell r="Q2659" t="str">
            <v>I. Ganancia (pérdida), antes de impuestos</v>
          </cell>
          <cell r="R2659" t="str">
            <v>b. Ganancia (pérdida)</v>
          </cell>
          <cell r="S2659" t="str">
            <v>12. Resultados por unidades de reajuste</v>
          </cell>
          <cell r="T2659" t="str">
            <v>1. Resultado Unidad de Reajuste</v>
          </cell>
          <cell r="Z2659" t="str">
            <v>I. Ganacia / Pérdida - No Oper</v>
          </cell>
          <cell r="AA2659" t="str">
            <v>6. Unidad de Reajuste</v>
          </cell>
          <cell r="AB2659" t="str">
            <v>9. Resultado Unidad de Reajuste</v>
          </cell>
          <cell r="AC2659" t="str">
            <v>I. Ganancia / Pérdida No Oper.</v>
          </cell>
          <cell r="AD2659" t="str">
            <v>6. Unidad de Reajuste</v>
          </cell>
          <cell r="AE2659" t="str">
            <v>1. Unid. de Reajuste</v>
          </cell>
          <cell r="AH2659" t="str">
            <v>6. Partidas significativas de gastos</v>
          </cell>
        </row>
        <row r="2660">
          <cell r="D2660" t="str">
            <v>3401004</v>
          </cell>
          <cell r="E2660" t="str">
            <v>3401004</v>
          </cell>
          <cell r="F2660" t="str">
            <v>C. M. Otros Activos</v>
          </cell>
          <cell r="G2660" t="str">
            <v>3401004  C. M. Otros Activos</v>
          </cell>
          <cell r="H2660" t="str">
            <v>Est. Resultado</v>
          </cell>
          <cell r="I2660" t="str">
            <v>Resultado</v>
          </cell>
          <cell r="J2660" t="str">
            <v>10. Otras Pérdidas</v>
          </cell>
          <cell r="K2660" t="str">
            <v>4. Otros Gastos Fuera Explotación</v>
          </cell>
          <cell r="L2660" t="str">
            <v>NO OPER</v>
          </cell>
          <cell r="N2660" t="str">
            <v>GANANCIAS (PERDIDAS) ANTES DE IMPUESTOS</v>
          </cell>
          <cell r="O2660" t="str">
            <v>GANANCIA (PÉRDIDA) NETA</v>
          </cell>
          <cell r="P2660" t="str">
            <v>Resultado Ingresos y Gastos Integrales</v>
          </cell>
          <cell r="Q2660" t="str">
            <v>I. Ganancia (pérdida), antes de impuestos</v>
          </cell>
          <cell r="R2660" t="str">
            <v>b. Ganancia (pérdida)</v>
          </cell>
          <cell r="S2660" t="str">
            <v>12. Resultados por unidades de reajuste</v>
          </cell>
          <cell r="T2660" t="str">
            <v>1. Resultado Unidad de Reajuste</v>
          </cell>
          <cell r="Z2660" t="str">
            <v>I. Ganacia / Pérdida - No Oper</v>
          </cell>
          <cell r="AA2660" t="str">
            <v>6. Unidad de Reajuste</v>
          </cell>
          <cell r="AB2660" t="str">
            <v>9. Resultado Unidad de Reajuste</v>
          </cell>
          <cell r="AC2660" t="str">
            <v>I. Ganancia / Pérdida No Oper.</v>
          </cell>
          <cell r="AD2660" t="str">
            <v>6. Unidad de Reajuste</v>
          </cell>
          <cell r="AE2660" t="str">
            <v>1. Unid. de Reajuste</v>
          </cell>
          <cell r="AH2660" t="str">
            <v>6. Partidas significativas de gastos</v>
          </cell>
        </row>
        <row r="2661">
          <cell r="D2661" t="str">
            <v>3402002</v>
          </cell>
          <cell r="E2661" t="str">
            <v>3402002</v>
          </cell>
          <cell r="F2661" t="str">
            <v>C. M. Pasivo a Largo Plazo</v>
          </cell>
          <cell r="G2661" t="str">
            <v>3402002  C. M. Pasivo a Largo Plazo</v>
          </cell>
          <cell r="H2661" t="str">
            <v>Est. Resultado</v>
          </cell>
          <cell r="I2661" t="str">
            <v>Resultado</v>
          </cell>
          <cell r="J2661" t="str">
            <v>10. Otras Pérdidas</v>
          </cell>
          <cell r="K2661" t="str">
            <v>4. Otros Gastos Fuera Explotación</v>
          </cell>
          <cell r="L2661" t="str">
            <v>NO OPER</v>
          </cell>
          <cell r="N2661" t="str">
            <v>GANANCIAS (PERDIDAS) ANTES DE IMPUESTOS</v>
          </cell>
          <cell r="O2661" t="str">
            <v>GANANCIA (PÉRDIDA) NETA</v>
          </cell>
          <cell r="P2661" t="str">
            <v>Resultado Ingresos y Gastos Integrales</v>
          </cell>
          <cell r="Q2661" t="str">
            <v>I. Ganancia (pérdida), antes de impuestos</v>
          </cell>
          <cell r="R2661" t="str">
            <v>b. Ganancia (pérdida)</v>
          </cell>
          <cell r="S2661" t="str">
            <v>12. Resultados por unidades de reajuste</v>
          </cell>
          <cell r="T2661" t="str">
            <v>1. Resultado Unidad de Reajuste</v>
          </cell>
          <cell r="Z2661" t="str">
            <v>I. Ganacia / Pérdida - No Oper</v>
          </cell>
          <cell r="AA2661" t="str">
            <v>6. Unidad de Reajuste</v>
          </cell>
          <cell r="AB2661" t="str">
            <v>9. Resultado Unidad de Reajuste</v>
          </cell>
          <cell r="AC2661" t="str">
            <v>I. Ganancia / Pérdida No Oper.</v>
          </cell>
          <cell r="AD2661" t="str">
            <v>6. Unidad de Reajuste</v>
          </cell>
          <cell r="AE2661" t="str">
            <v>1. Unid. de Reajuste</v>
          </cell>
          <cell r="AH2661" t="str">
            <v>6. Partidas significativas de gastos</v>
          </cell>
        </row>
        <row r="2662">
          <cell r="D2662" t="str">
            <v>3402003</v>
          </cell>
          <cell r="E2662" t="str">
            <v>3402003</v>
          </cell>
          <cell r="F2662" t="str">
            <v>C. M. Patrimonio</v>
          </cell>
          <cell r="G2662" t="str">
            <v>3402003  C. M. Patrimonio</v>
          </cell>
          <cell r="H2662" t="str">
            <v>Est. Resultado</v>
          </cell>
          <cell r="I2662" t="str">
            <v>Resultado</v>
          </cell>
          <cell r="J2662" t="str">
            <v>10. Otras Pérdidas</v>
          </cell>
          <cell r="K2662" t="str">
            <v>4. Otros Gastos Fuera Explotación</v>
          </cell>
          <cell r="L2662" t="str">
            <v>NO OPER</v>
          </cell>
          <cell r="N2662" t="str">
            <v>GANANCIAS (PERDIDAS) ANTES DE IMPUESTOS</v>
          </cell>
          <cell r="O2662" t="str">
            <v>GANANCIA (PÉRDIDA) NETA</v>
          </cell>
          <cell r="P2662" t="str">
            <v>Resultado Ingresos y Gastos Integrales</v>
          </cell>
          <cell r="Q2662" t="str">
            <v>I. Ganancia (pérdida), antes de impuestos</v>
          </cell>
          <cell r="R2662" t="str">
            <v>b. Ganancia (pérdida)</v>
          </cell>
          <cell r="S2662" t="str">
            <v>12. Resultados por unidades de reajuste</v>
          </cell>
          <cell r="T2662" t="str">
            <v>1. Resultado Unidad de Reajuste</v>
          </cell>
          <cell r="Z2662" t="str">
            <v>I. Ganacia / Pérdida - No Oper</v>
          </cell>
          <cell r="AA2662" t="str">
            <v>6. Unidad de Reajuste</v>
          </cell>
          <cell r="AB2662" t="str">
            <v>9. Resultado Unidad de Reajuste</v>
          </cell>
          <cell r="AC2662" t="str">
            <v>I. Ganancia / Pérdida No Oper.</v>
          </cell>
          <cell r="AD2662" t="str">
            <v>6. Unidad de Reajuste</v>
          </cell>
          <cell r="AE2662" t="str">
            <v>1. Unid. de Reajuste</v>
          </cell>
          <cell r="AH2662" t="str">
            <v>6. Partidas significativas de gastos</v>
          </cell>
        </row>
        <row r="2663">
          <cell r="D2663" t="str">
            <v>3403001</v>
          </cell>
          <cell r="E2663" t="str">
            <v>3403001</v>
          </cell>
          <cell r="F2663" t="str">
            <v>C. M. Ingresos</v>
          </cell>
          <cell r="G2663" t="str">
            <v>3403001  C. M. Ingresos</v>
          </cell>
          <cell r="H2663" t="str">
            <v>Est. Resultado</v>
          </cell>
          <cell r="I2663" t="str">
            <v>Resultado</v>
          </cell>
          <cell r="J2663" t="str">
            <v>10. Otras Pérdidas</v>
          </cell>
          <cell r="K2663" t="str">
            <v>4. Otros Gastos Fuera Explotación</v>
          </cell>
          <cell r="L2663" t="str">
            <v>NO OPER</v>
          </cell>
          <cell r="N2663" t="str">
            <v>GANANCIAS (PERDIDAS) ANTES DE IMPUESTOS</v>
          </cell>
          <cell r="O2663" t="str">
            <v>GANANCIA (PÉRDIDA) NETA</v>
          </cell>
          <cell r="P2663" t="str">
            <v>Resultado Ingresos y Gastos Integrales</v>
          </cell>
          <cell r="Q2663" t="str">
            <v>I. Ganancia (pérdida), antes de impuestos</v>
          </cell>
          <cell r="R2663" t="str">
            <v>b. Ganancia (pérdida)</v>
          </cell>
          <cell r="S2663" t="str">
            <v>12. Resultados por unidades de reajuste</v>
          </cell>
          <cell r="T2663" t="str">
            <v>1. Resultado Unidad de Reajuste</v>
          </cell>
          <cell r="Z2663" t="str">
            <v>I. Ganacia / Pérdida - No Oper</v>
          </cell>
          <cell r="AA2663" t="str">
            <v>6. Unidad de Reajuste</v>
          </cell>
          <cell r="AB2663" t="str">
            <v>9. Resultado Unidad de Reajuste</v>
          </cell>
          <cell r="AC2663" t="str">
            <v>I. Ganancia / Pérdida No Oper.</v>
          </cell>
          <cell r="AD2663" t="str">
            <v>6. Unidad de Reajuste</v>
          </cell>
          <cell r="AE2663" t="str">
            <v>1. Unid. de Reajuste</v>
          </cell>
          <cell r="AH2663" t="str">
            <v>6. Partidas significativas de gastos</v>
          </cell>
        </row>
        <row r="2664">
          <cell r="D2664" t="str">
            <v>3403002</v>
          </cell>
          <cell r="E2664" t="str">
            <v>3403002</v>
          </cell>
          <cell r="F2664" t="str">
            <v>C. M. Gastos</v>
          </cell>
          <cell r="G2664" t="str">
            <v>3403002  C. M. Gastos</v>
          </cell>
          <cell r="H2664" t="str">
            <v>Est. Resultado</v>
          </cell>
          <cell r="I2664" t="str">
            <v>Resultado</v>
          </cell>
          <cell r="J2664" t="str">
            <v>10. Otras Pérdidas</v>
          </cell>
          <cell r="K2664" t="str">
            <v>4. Otros Gastos Fuera Explotación</v>
          </cell>
          <cell r="L2664" t="str">
            <v>NO OPER</v>
          </cell>
          <cell r="N2664" t="str">
            <v>GANANCIAS (PERDIDAS) ANTES DE IMPUESTOS</v>
          </cell>
          <cell r="O2664" t="str">
            <v>GANANCIA (PÉRDIDA) NETA</v>
          </cell>
          <cell r="P2664" t="str">
            <v>Resultado Ingresos y Gastos Integrales</v>
          </cell>
          <cell r="Q2664" t="str">
            <v>I. Ganancia (pérdida), antes de impuestos</v>
          </cell>
          <cell r="R2664" t="str">
            <v>b. Ganancia (pérdida)</v>
          </cell>
          <cell r="S2664" t="str">
            <v>12. Resultados por unidades de reajuste</v>
          </cell>
          <cell r="T2664" t="str">
            <v>1. Resultado Unidad de Reajuste</v>
          </cell>
          <cell r="Z2664" t="str">
            <v>I. Ganacia / Pérdida - No Oper</v>
          </cell>
          <cell r="AA2664" t="str">
            <v>6. Unidad de Reajuste</v>
          </cell>
          <cell r="AB2664" t="str">
            <v>9. Resultado Unidad de Reajuste</v>
          </cell>
          <cell r="AC2664" t="str">
            <v>I. Ganancia / Pérdida No Oper.</v>
          </cell>
          <cell r="AD2664" t="str">
            <v>6. Unidad de Reajuste</v>
          </cell>
          <cell r="AE2664" t="str">
            <v>1. Unid. de Reajuste</v>
          </cell>
          <cell r="AH2664" t="str">
            <v>6. Partidas significativas de gastos</v>
          </cell>
        </row>
        <row r="2665">
          <cell r="D2665">
            <v>0</v>
          </cell>
          <cell r="G2665" t="str">
            <v/>
          </cell>
          <cell r="H2665" t="str">
            <v>Est. Resultado</v>
          </cell>
          <cell r="I2665" t="str">
            <v>Resultado</v>
          </cell>
          <cell r="J2665" t="str">
            <v>10. Otras Pérdidas</v>
          </cell>
          <cell r="K2665" t="str">
            <v>4. Otros Gastos Fuera Explotación</v>
          </cell>
          <cell r="L2665" t="str">
            <v>NO OPER</v>
          </cell>
          <cell r="N2665" t="str">
            <v>GANANCIAS (PERDIDAS) ANTES DE IMPUESTOS</v>
          </cell>
          <cell r="O2665" t="str">
            <v>GANANCIA (PÉRDIDA) NETA</v>
          </cell>
          <cell r="P2665" t="str">
            <v>Resultado Ingresos y Gastos Integrales</v>
          </cell>
          <cell r="Q2665" t="str">
            <v>I. Ganancia (pérdida), antes de impuestos</v>
          </cell>
          <cell r="R2665" t="str">
            <v>b. Ganancia (pérdida)</v>
          </cell>
          <cell r="S2665" t="str">
            <v>12. Resultados por unidades de reajuste</v>
          </cell>
          <cell r="T2665" t="str">
            <v>1. Resultado Unidad de Reajuste</v>
          </cell>
          <cell r="Z2665" t="str">
            <v>I. Ganacia / Pérdida - No Oper</v>
          </cell>
          <cell r="AA2665" t="str">
            <v>6. Unidad de Reajuste</v>
          </cell>
          <cell r="AB2665" t="str">
            <v>9. Resultado Unidad de Reajuste</v>
          </cell>
          <cell r="AC2665" t="str">
            <v>I. Ganancia / Pérdida No Oper.</v>
          </cell>
          <cell r="AD2665" t="str">
            <v>6. Unidad de Reajuste</v>
          </cell>
          <cell r="AE2665" t="str">
            <v>1. Unid. de Reajuste</v>
          </cell>
          <cell r="AH2665" t="str">
            <v>6. Partidas significativas de gastos</v>
          </cell>
        </row>
        <row r="2666">
          <cell r="D2666">
            <v>0</v>
          </cell>
          <cell r="G2666" t="str">
            <v/>
          </cell>
          <cell r="H2666" t="str">
            <v>Est. Resultado</v>
          </cell>
          <cell r="I2666" t="str">
            <v>Resultado</v>
          </cell>
          <cell r="J2666" t="str">
            <v>10. Otras Pérdidas</v>
          </cell>
          <cell r="K2666" t="str">
            <v>4. Otros Gastos Fuera Explotación</v>
          </cell>
          <cell r="L2666" t="str">
            <v>NO OPER</v>
          </cell>
          <cell r="N2666" t="str">
            <v>GANANCIAS (PERDIDAS) ANTES DE IMPUESTOS</v>
          </cell>
          <cell r="O2666" t="str">
            <v>GANANCIA (PÉRDIDA) NETA</v>
          </cell>
          <cell r="P2666" t="str">
            <v>Resultado Ingresos y Gastos Integrales</v>
          </cell>
          <cell r="Q2666" t="str">
            <v>I. Ganancia (pérdida), antes de impuestos</v>
          </cell>
          <cell r="R2666" t="str">
            <v>b. Ganancia (pérdida)</v>
          </cell>
          <cell r="S2666" t="str">
            <v>12. Resultados por unidades de reajuste</v>
          </cell>
          <cell r="T2666" t="str">
            <v>1. Resultado Unidad de Reajuste</v>
          </cell>
          <cell r="Z2666" t="str">
            <v>I. Ganacia / Pérdida - No Oper</v>
          </cell>
          <cell r="AA2666" t="str">
            <v>6. Unidad de Reajuste</v>
          </cell>
          <cell r="AB2666" t="str">
            <v>9. Resultado Unidad de Reajuste</v>
          </cell>
          <cell r="AC2666" t="str">
            <v>I. Ganancia / Pérdida No Oper.</v>
          </cell>
          <cell r="AD2666" t="str">
            <v>6. Unidad de Reajuste</v>
          </cell>
          <cell r="AE2666" t="str">
            <v>1. Unid. de Reajuste</v>
          </cell>
          <cell r="AH2666" t="str">
            <v>6. Partidas significativas de gastos</v>
          </cell>
        </row>
        <row r="2667">
          <cell r="D2667" t="str">
            <v>Resultado Unidad de Reajuste</v>
          </cell>
          <cell r="E2667" t="str">
            <v>Resultado Unidad de Reajuste</v>
          </cell>
          <cell r="G2667" t="str">
            <v xml:space="preserve">Resultado Unidad de Reajuste  </v>
          </cell>
          <cell r="Q2667">
            <v>0</v>
          </cell>
          <cell r="R2667" t="str">
            <v/>
          </cell>
        </row>
        <row r="2668">
          <cell r="D2668" t="str">
            <v>OTRAS PERDIDAS</v>
          </cell>
          <cell r="E2668" t="str">
            <v>OTRAS PERDIDAS</v>
          </cell>
          <cell r="G2668" t="str">
            <v xml:space="preserve">OTRAS PERDIDAS  </v>
          </cell>
          <cell r="Q2668">
            <v>0</v>
          </cell>
          <cell r="R2668" t="str">
            <v/>
          </cell>
        </row>
        <row r="2669">
          <cell r="D2669">
            <v>0</v>
          </cell>
          <cell r="G2669" t="str">
            <v/>
          </cell>
          <cell r="Q2669">
            <v>0</v>
          </cell>
          <cell r="R2669" t="str">
            <v/>
          </cell>
        </row>
        <row r="2670">
          <cell r="D2670" t="str">
            <v>3501002</v>
          </cell>
          <cell r="E2670" t="str">
            <v>3501002</v>
          </cell>
          <cell r="F2670" t="str">
            <v>Impuestos Diferidos</v>
          </cell>
          <cell r="G2670" t="str">
            <v>3501002  Impuestos Diferidos</v>
          </cell>
          <cell r="H2670" t="str">
            <v>Est. Resultado</v>
          </cell>
          <cell r="I2670" t="str">
            <v>Resultado</v>
          </cell>
          <cell r="J2670" t="str">
            <v>11. Impuestos</v>
          </cell>
          <cell r="K2670" t="str">
            <v>1. Impuesto a la Renta</v>
          </cell>
          <cell r="L2670" t="str">
            <v>NO OPER</v>
          </cell>
          <cell r="N2670">
            <v>0</v>
          </cell>
          <cell r="O2670" t="str">
            <v>GANANCIA (PÉRDIDA) NETA</v>
          </cell>
          <cell r="P2670" t="str">
            <v>Resultado Ingresos y Gastos Integrales</v>
          </cell>
          <cell r="Q2670" t="str">
            <v>II. Gasto por impuestos</v>
          </cell>
          <cell r="R2670" t="str">
            <v>c. Impuestos</v>
          </cell>
          <cell r="S2670" t="str">
            <v>1. Gasto por impuestos a las ganancias</v>
          </cell>
          <cell r="T2670" t="str">
            <v>1. Impuesto a la Renta</v>
          </cell>
          <cell r="V2670" t="str">
            <v>II. Gastos</v>
          </cell>
          <cell r="W2670" t="str">
            <v>25. Transferencias Corrientes</v>
          </cell>
          <cell r="Z2670" t="str">
            <v>II. Impuestos</v>
          </cell>
          <cell r="AA2670" t="str">
            <v>1. Impuesto a la Renta</v>
          </cell>
          <cell r="AC2670" t="str">
            <v>II. Impuestos</v>
          </cell>
          <cell r="AD2670" t="str">
            <v>1. Impuesto a la Renta</v>
          </cell>
          <cell r="AE2670" t="str">
            <v>1. Impuesto Renta</v>
          </cell>
          <cell r="AH2670" t="str">
            <v>8. Gasto (ingreso) sobre impuesto a la renta</v>
          </cell>
        </row>
        <row r="2671">
          <cell r="D2671">
            <v>0</v>
          </cell>
          <cell r="G2671" t="str">
            <v/>
          </cell>
          <cell r="H2671" t="str">
            <v/>
          </cell>
          <cell r="I2671" t="str">
            <v/>
          </cell>
          <cell r="Q2671" t="str">
            <v/>
          </cell>
          <cell r="S2671" t="str">
            <v/>
          </cell>
        </row>
        <row r="2672">
          <cell r="D2672">
            <v>0</v>
          </cell>
          <cell r="G2672" t="str">
            <v/>
          </cell>
          <cell r="H2672" t="str">
            <v>Est. Resultado</v>
          </cell>
          <cell r="I2672" t="str">
            <v>Resultado</v>
          </cell>
          <cell r="J2672" t="str">
            <v>12, Interés minoritario</v>
          </cell>
          <cell r="K2672" t="str">
            <v>1. Interés Minoritario</v>
          </cell>
          <cell r="L2672" t="str">
            <v>NO OPER</v>
          </cell>
          <cell r="O2672" t="str">
            <v>GANANCIA (PÉRDIDA) NETA</v>
          </cell>
          <cell r="P2672" t="str">
            <v>Resultado Ingresos y Gastos Integrales</v>
          </cell>
          <cell r="Q2672" t="str">
            <v>III. Ganancia (pérdida), atribuible</v>
          </cell>
          <cell r="R2672" t="str">
            <v>d. Ganancia (pérdida), atribuible a</v>
          </cell>
          <cell r="S2672" t="str">
            <v>1. Ganancia (pérdida), atribuible a participaciones no controladoras</v>
          </cell>
          <cell r="T2672" t="str">
            <v>1. Interés Minoritario</v>
          </cell>
          <cell r="Z2672" t="str">
            <v>III, Interés minoritario</v>
          </cell>
          <cell r="AA2672" t="str">
            <v>1. Interés Minoritario</v>
          </cell>
          <cell r="AC2672" t="str">
            <v>III. Interés Minoritario</v>
          </cell>
          <cell r="AD2672" t="str">
            <v>1. Particip. No Controladora</v>
          </cell>
          <cell r="AE2672" t="str">
            <v>1. Interés Minoritario</v>
          </cell>
          <cell r="AH2672" t="str">
            <v>6. Partidas significativas de gastos</v>
          </cell>
        </row>
        <row r="2673">
          <cell r="D2673">
            <v>0</v>
          </cell>
          <cell r="G2673" t="str">
            <v/>
          </cell>
          <cell r="H2673" t="str">
            <v/>
          </cell>
          <cell r="I2673" t="str">
            <v/>
          </cell>
          <cell r="Q2673" t="str">
            <v/>
          </cell>
          <cell r="S2673" t="str">
            <v/>
          </cell>
        </row>
        <row r="2674">
          <cell r="D2674">
            <v>0</v>
          </cell>
          <cell r="G2674" t="str">
            <v/>
          </cell>
          <cell r="H2674" t="str">
            <v/>
          </cell>
          <cell r="I2674" t="str">
            <v/>
          </cell>
          <cell r="Q2674" t="str">
            <v/>
          </cell>
          <cell r="S2674" t="str">
            <v/>
          </cell>
        </row>
        <row r="2675">
          <cell r="D2675" t="str">
            <v>5103000300</v>
          </cell>
          <cell r="E2675" t="str">
            <v>5103000300</v>
          </cell>
          <cell r="F2675" t="str">
            <v>Gastos generales</v>
          </cell>
          <cell r="G2675" t="str">
            <v>5103000300  Gastos generales</v>
          </cell>
          <cell r="H2675" t="str">
            <v>Est. Resultado</v>
          </cell>
          <cell r="I2675" t="str">
            <v>Resultado</v>
          </cell>
          <cell r="J2675" t="str">
            <v>7. Gastos de Administración</v>
          </cell>
          <cell r="K2675" t="str">
            <v>10. Gastos Generales</v>
          </cell>
          <cell r="L2675" t="str">
            <v>EBITDA</v>
          </cell>
          <cell r="N2675" t="str">
            <v>GANANCIAS (PERDIDAS) ANTES DE IMPUESTOS</v>
          </cell>
          <cell r="O2675" t="str">
            <v>GANANCIA (PÉRDIDA) NETA</v>
          </cell>
          <cell r="P2675" t="str">
            <v>Resultado Ingresos y Gastos Integrales</v>
          </cell>
          <cell r="Q2675" t="str">
            <v>I. Ganancia (pérdida), antes de impuestos</v>
          </cell>
          <cell r="R2675" t="str">
            <v>b. Ganancia (pérdida)</v>
          </cell>
          <cell r="S2675" t="str">
            <v>5. Gasto de administración</v>
          </cell>
          <cell r="T2675" t="str">
            <v>14. Gastos Generales</v>
          </cell>
          <cell r="V2675" t="str">
            <v>II. Gastos</v>
          </cell>
          <cell r="W2675" t="str">
            <v>23. Bienes y Servicios para Producción</v>
          </cell>
          <cell r="Z2675" t="str">
            <v>III. Gastos de Administración</v>
          </cell>
          <cell r="AA2675" t="str">
            <v>6. Gastos Generales</v>
          </cell>
          <cell r="AC2675" t="str">
            <v>III. Gasto Administración</v>
          </cell>
          <cell r="AD2675" t="str">
            <v>2. Bienes y servicios Adm.</v>
          </cell>
          <cell r="AE2675" t="str">
            <v>6. Gastos Generales</v>
          </cell>
          <cell r="AH2675" t="str">
            <v>6. Partidas significativas de gastos</v>
          </cell>
        </row>
        <row r="2676">
          <cell r="D2676">
            <v>0</v>
          </cell>
          <cell r="Q2676">
            <v>0</v>
          </cell>
          <cell r="R2676" t="str">
            <v/>
          </cell>
          <cell r="T2676" t="str">
            <v/>
          </cell>
        </row>
        <row r="2677">
          <cell r="D2677" t="str">
            <v>5104000000</v>
          </cell>
          <cell r="E2677" t="str">
            <v>5104000000</v>
          </cell>
          <cell r="F2677" t="str">
            <v>Corrección monetaria</v>
          </cell>
          <cell r="G2677" t="str">
            <v>5104000000  Corrección monetaria</v>
          </cell>
          <cell r="H2677" t="str">
            <v>Est. Resultado</v>
          </cell>
          <cell r="I2677" t="str">
            <v>Resultado</v>
          </cell>
          <cell r="J2677" t="str">
            <v>10. Otras Pérdidas</v>
          </cell>
          <cell r="K2677" t="str">
            <v>4. Otros Gastos Fuera Explotación</v>
          </cell>
          <cell r="L2677" t="str">
            <v>NO OPER</v>
          </cell>
          <cell r="N2677" t="str">
            <v>GANANCIAS (PERDIDAS) ANTES DE IMPUESTOS</v>
          </cell>
          <cell r="O2677" t="str">
            <v>GANANCIA (PÉRDIDA) NETA</v>
          </cell>
          <cell r="P2677" t="str">
            <v>Resultado Ingresos y Gastos Integrales</v>
          </cell>
          <cell r="Q2677" t="str">
            <v>I. Ganancia (pérdida), antes de impuestos</v>
          </cell>
          <cell r="R2677" t="str">
            <v>b. Ganancia (pérdida)</v>
          </cell>
          <cell r="S2677" t="str">
            <v>12. Resultados por unidades de reajuste</v>
          </cell>
          <cell r="T2677" t="str">
            <v>1. Resultado Unidad de Reajuste</v>
          </cell>
          <cell r="Z2677" t="str">
            <v>I. Ganacia / Pérdida - No Oper</v>
          </cell>
          <cell r="AA2677" t="str">
            <v>5. Otras pérdidas No Oper.</v>
          </cell>
          <cell r="AB2677" t="str">
            <v>7. Otros Gastos Fuera Explotación</v>
          </cell>
          <cell r="AC2677" t="str">
            <v>I. Ganancia / Pérdida No Oper.</v>
          </cell>
          <cell r="AD2677" t="str">
            <v>4. Egresos No Oper.</v>
          </cell>
          <cell r="AE2677" t="str">
            <v>5. Otras pérdidas No Oper.</v>
          </cell>
          <cell r="AH2677" t="str">
            <v>6. Partidas significativas de gastos</v>
          </cell>
        </row>
        <row r="2678">
          <cell r="D2678">
            <v>0</v>
          </cell>
          <cell r="Q2678">
            <v>0</v>
          </cell>
          <cell r="R2678" t="str">
            <v/>
          </cell>
        </row>
        <row r="2679">
          <cell r="D2679" t="str">
            <v>4310940014</v>
          </cell>
          <cell r="E2679" t="str">
            <v>4310940014</v>
          </cell>
          <cell r="F2679" t="str">
            <v>Impuestos Pagados</v>
          </cell>
          <cell r="G2679" t="str">
            <v>4310940014  Impuestos Pagados</v>
          </cell>
          <cell r="H2679" t="str">
            <v>Est. Resultado</v>
          </cell>
          <cell r="I2679" t="str">
            <v>Resultado</v>
          </cell>
          <cell r="J2679" t="str">
            <v>11. Impuestos</v>
          </cell>
          <cell r="K2679" t="str">
            <v>1. Impuesto a la Renta</v>
          </cell>
          <cell r="L2679" t="str">
            <v>NO OPER</v>
          </cell>
          <cell r="N2679">
            <v>0</v>
          </cell>
          <cell r="O2679" t="str">
            <v>GANANCIA (PÉRDIDA) NETA</v>
          </cell>
          <cell r="P2679" t="str">
            <v>Resultado Ingresos y Gastos Integrales</v>
          </cell>
          <cell r="Q2679" t="str">
            <v>II. Gasto por impuestos</v>
          </cell>
          <cell r="R2679" t="str">
            <v>c. Impuestos</v>
          </cell>
          <cell r="S2679" t="str">
            <v>1. Gasto por impuestos a las ganancias</v>
          </cell>
          <cell r="T2679" t="str">
            <v>1. Impuesto a la Renta</v>
          </cell>
          <cell r="V2679" t="str">
            <v>II. Gastos</v>
          </cell>
          <cell r="W2679" t="str">
            <v>25. Transferencias Corrientes</v>
          </cell>
          <cell r="X2679" t="str">
            <v>34. Transferencias al Fisco</v>
          </cell>
          <cell r="Z2679" t="str">
            <v>II. Impuestos</v>
          </cell>
          <cell r="AA2679" t="str">
            <v>1. Impuesto a la Renta</v>
          </cell>
          <cell r="AC2679" t="str">
            <v>II. Impuestos</v>
          </cell>
          <cell r="AD2679" t="str">
            <v>1. Impuesto a la Renta</v>
          </cell>
          <cell r="AE2679" t="str">
            <v>1. Impuesto Renta</v>
          </cell>
          <cell r="AH2679" t="str">
            <v>8. Gasto (ingreso) sobre impuesto a la renta</v>
          </cell>
        </row>
        <row r="2680">
          <cell r="D2680" t="str">
            <v>Impuesto a la Renta</v>
          </cell>
          <cell r="E2680" t="str">
            <v>Impuesto a la Renta</v>
          </cell>
          <cell r="G2680" t="str">
            <v xml:space="preserve">Impuesto a la Renta  </v>
          </cell>
          <cell r="H2680" t="str">
            <v/>
          </cell>
          <cell r="I2680" t="str">
            <v/>
          </cell>
          <cell r="Q2680" t="str">
            <v/>
          </cell>
          <cell r="S2680" t="str">
            <v/>
          </cell>
        </row>
        <row r="2681">
          <cell r="D2681" t="str">
            <v>4319999991</v>
          </cell>
          <cell r="E2681" t="str">
            <v>4319999991</v>
          </cell>
          <cell r="F2681" t="str">
            <v>Interés minoritarios</v>
          </cell>
          <cell r="G2681" t="str">
            <v>4319999991  Interés minoritarios</v>
          </cell>
          <cell r="H2681" t="str">
            <v>Est. Resultado</v>
          </cell>
          <cell r="I2681" t="str">
            <v>Resultado</v>
          </cell>
          <cell r="J2681" t="str">
            <v>12, Interés minoritario</v>
          </cell>
          <cell r="K2681" t="str">
            <v>1. Interés Minoritario</v>
          </cell>
          <cell r="L2681" t="str">
            <v>NO OPER</v>
          </cell>
          <cell r="O2681" t="str">
            <v>GANANCIA (PÉRDIDA) NETA</v>
          </cell>
          <cell r="P2681" t="str">
            <v>Resultado Ingresos y Gastos Integrales</v>
          </cell>
          <cell r="Q2681" t="str">
            <v>III. Ganancia (pérdida), atribuible</v>
          </cell>
          <cell r="R2681" t="str">
            <v>d. Ganancia (pérdida), atribuible a</v>
          </cell>
          <cell r="S2681" t="str">
            <v>1. Ganancia (pérdida), atribuible a participaciones no controladoras</v>
          </cell>
          <cell r="T2681" t="str">
            <v>1. Interés Minoritario</v>
          </cell>
          <cell r="Z2681" t="str">
            <v>III. Interés minoritario</v>
          </cell>
          <cell r="AA2681" t="str">
            <v>1. Interés Minoritario</v>
          </cell>
          <cell r="AC2681" t="str">
            <v>III. Interés Minoritario</v>
          </cell>
          <cell r="AD2681" t="str">
            <v>1. Particip. No Controladora</v>
          </cell>
          <cell r="AE2681" t="str">
            <v>1. Interés Minoritario</v>
          </cell>
          <cell r="AH2681" t="str">
            <v>6. Partidas significativas de gastos</v>
          </cell>
        </row>
        <row r="2682">
          <cell r="D2682">
            <v>0</v>
          </cell>
          <cell r="G2682" t="str">
            <v/>
          </cell>
          <cell r="H2682" t="str">
            <v/>
          </cell>
        </row>
        <row r="2683">
          <cell r="D2683" t="str">
            <v>0</v>
          </cell>
          <cell r="E2683" t="str">
            <v>0</v>
          </cell>
          <cell r="F2683" t="str">
            <v>Deprec.</v>
          </cell>
          <cell r="G2683" t="str">
            <v>0  Deprec.</v>
          </cell>
          <cell r="H2683" t="str">
            <v>Est. Resultado</v>
          </cell>
          <cell r="I2683" t="str">
            <v>Resultado</v>
          </cell>
          <cell r="J2683" t="str">
            <v>4. Depreciación</v>
          </cell>
          <cell r="K2683" t="str">
            <v>1. Depreciación</v>
          </cell>
          <cell r="L2683" t="str">
            <v>EBITDA</v>
          </cell>
          <cell r="M2683" t="str">
            <v>MARGEN BRUTO</v>
          </cell>
          <cell r="N2683" t="str">
            <v>GANANCIAS (PERDIDAS) ANTES DE IMPUESTOS</v>
          </cell>
          <cell r="O2683" t="str">
            <v>GANANCIA (PÉRDIDA) NETA</v>
          </cell>
          <cell r="P2683" t="str">
            <v>Resultado Ingresos y Gastos Integrales</v>
          </cell>
          <cell r="Q2683" t="str">
            <v>I. Ganancia (pérdida), antes de impuestos</v>
          </cell>
          <cell r="R2683" t="str">
            <v>a. Ganancia bruta</v>
          </cell>
          <cell r="S2683" t="str">
            <v>2. Costo de ventas</v>
          </cell>
          <cell r="T2683" t="str">
            <v>10. Depreciación</v>
          </cell>
          <cell r="Z2683" t="str">
            <v>II. Costo Ventas</v>
          </cell>
          <cell r="AA2683" t="str">
            <v>8. Depreciación</v>
          </cell>
          <cell r="AC2683" t="str">
            <v>IV. Depreciación</v>
          </cell>
          <cell r="AD2683" t="str">
            <v>1. Depreciación</v>
          </cell>
          <cell r="AE2683" t="str">
            <v>1. Depreciación A.F.</v>
          </cell>
          <cell r="AH2683" t="str">
            <v>4. Depreciaciones y amortizaciones</v>
          </cell>
        </row>
        <row r="2684">
          <cell r="D2684">
            <v>0</v>
          </cell>
          <cell r="G2684" t="str">
            <v/>
          </cell>
          <cell r="H2684" t="str">
            <v/>
          </cell>
        </row>
        <row r="2685">
          <cell r="D2685">
            <v>0</v>
          </cell>
          <cell r="G2685" t="str">
            <v/>
          </cell>
          <cell r="H2685" t="str">
            <v/>
          </cell>
        </row>
        <row r="2686">
          <cell r="D2686" t="str">
            <v>5103000300</v>
          </cell>
          <cell r="E2686" t="str">
            <v>5103000300</v>
          </cell>
          <cell r="F2686" t="str">
            <v>Gastos generales</v>
          </cell>
          <cell r="G2686" t="str">
            <v>5103000300  Gastos generales</v>
          </cell>
          <cell r="H2686" t="str">
            <v>Est. Resultado</v>
          </cell>
          <cell r="I2686" t="str">
            <v>Resultado</v>
          </cell>
          <cell r="J2686" t="str">
            <v>7. Gastos de Administración</v>
          </cell>
          <cell r="K2686" t="str">
            <v>10. Gastos Generales</v>
          </cell>
          <cell r="L2686" t="str">
            <v>EBITDA</v>
          </cell>
          <cell r="N2686" t="str">
            <v>GANANCIAS (PERDIDAS) ANTES DE IMPUESTOS</v>
          </cell>
          <cell r="O2686" t="str">
            <v>GANANCIA (PÉRDIDA) NETA</v>
          </cell>
          <cell r="P2686" t="str">
            <v>Resultado Ingresos y Gastos Integrales</v>
          </cell>
          <cell r="Q2686" t="str">
            <v>I. Ganancia (pérdida), antes de impuestos</v>
          </cell>
          <cell r="R2686" t="str">
            <v>b. Ganancia (pérdida)</v>
          </cell>
          <cell r="S2686" t="str">
            <v>5. Gasto de administración</v>
          </cell>
          <cell r="T2686" t="str">
            <v>14. Gastos Generales</v>
          </cell>
          <cell r="V2686" t="str">
            <v>II. Gastos</v>
          </cell>
          <cell r="Z2686" t="str">
            <v>III. Gastos de Administración</v>
          </cell>
          <cell r="AA2686" t="str">
            <v>6. Gastos Generales</v>
          </cell>
          <cell r="AC2686" t="str">
            <v>III. Gasto Administración</v>
          </cell>
          <cell r="AD2686" t="str">
            <v>2. Bienes y servicios Adm.</v>
          </cell>
          <cell r="AE2686" t="str">
            <v>6. Gastos Generales</v>
          </cell>
          <cell r="AH2686" t="str">
            <v>6. Partidas significativas de gastos</v>
          </cell>
        </row>
        <row r="2687">
          <cell r="D2687" t="str">
            <v>5103000100</v>
          </cell>
          <cell r="E2687" t="str">
            <v>5103000100</v>
          </cell>
          <cell r="F2687" t="str">
            <v>gastos bancarios</v>
          </cell>
          <cell r="G2687" t="str">
            <v>5103000100  gastos bancarios</v>
          </cell>
          <cell r="H2687" t="str">
            <v>Est. Resultado</v>
          </cell>
          <cell r="I2687" t="str">
            <v>Resultado</v>
          </cell>
          <cell r="J2687" t="str">
            <v>7. Gastos de Administración</v>
          </cell>
          <cell r="K2687" t="str">
            <v>10. Gastos Generales</v>
          </cell>
          <cell r="L2687" t="str">
            <v>EBITDA</v>
          </cell>
          <cell r="N2687" t="str">
            <v>GANANCIAS (PERDIDAS) ANTES DE IMPUESTOS</v>
          </cell>
          <cell r="O2687" t="str">
            <v>GANANCIA (PÉRDIDA) NETA</v>
          </cell>
          <cell r="P2687" t="str">
            <v>Resultado Ingresos y Gastos Integrales</v>
          </cell>
          <cell r="Q2687" t="str">
            <v>I. Ganancia (pérdida), antes de impuestos</v>
          </cell>
          <cell r="R2687" t="str">
            <v>b. Ganancia (pérdida)</v>
          </cell>
          <cell r="S2687" t="str">
            <v>5. Gasto de administración</v>
          </cell>
          <cell r="T2687" t="str">
            <v>14. Gastos Generales</v>
          </cell>
          <cell r="V2687" t="str">
            <v>II. Gastos</v>
          </cell>
          <cell r="Z2687" t="str">
            <v>III. Gastos de Administración</v>
          </cell>
          <cell r="AA2687" t="str">
            <v>6. Gastos Generales</v>
          </cell>
          <cell r="AC2687" t="str">
            <v>III. Gasto Administración</v>
          </cell>
          <cell r="AD2687" t="str">
            <v>2. Bienes y servicios Adm.</v>
          </cell>
          <cell r="AE2687" t="str">
            <v>6. Gastos Generales</v>
          </cell>
          <cell r="AH2687" t="str">
            <v>6. Partidas significativas de gastos</v>
          </cell>
        </row>
        <row r="2688">
          <cell r="D2688" t="str">
            <v>5103000200</v>
          </cell>
          <cell r="E2688" t="str">
            <v>5103000200</v>
          </cell>
          <cell r="F2688" t="str">
            <v>Arriendo de Oficinas</v>
          </cell>
          <cell r="G2688" t="str">
            <v>5103000200  Arriendo de Oficinas</v>
          </cell>
          <cell r="H2688" t="str">
            <v>Est. Resultado</v>
          </cell>
          <cell r="I2688" t="str">
            <v>Resultado</v>
          </cell>
          <cell r="J2688" t="str">
            <v>7. Gastos de Administración</v>
          </cell>
          <cell r="K2688" t="str">
            <v>10. Gastos Generales</v>
          </cell>
          <cell r="L2688" t="str">
            <v>EBITDA</v>
          </cell>
          <cell r="N2688" t="str">
            <v>GANANCIAS (PERDIDAS) ANTES DE IMPUESTOS</v>
          </cell>
          <cell r="O2688" t="str">
            <v>GANANCIA (PÉRDIDA) NETA</v>
          </cell>
          <cell r="P2688" t="str">
            <v>Resultado Ingresos y Gastos Integrales</v>
          </cell>
          <cell r="Q2688" t="str">
            <v>I. Ganancia (pérdida), antes de impuestos</v>
          </cell>
          <cell r="R2688" t="str">
            <v>b. Ganancia (pérdida)</v>
          </cell>
          <cell r="S2688" t="str">
            <v>5. Gasto de administración</v>
          </cell>
          <cell r="T2688" t="str">
            <v>14. Gastos Generales</v>
          </cell>
          <cell r="V2688" t="str">
            <v>II. Gastos</v>
          </cell>
          <cell r="Z2688" t="str">
            <v>III. Gastos de Administración</v>
          </cell>
          <cell r="AA2688" t="str">
            <v>6. Gastos Generales</v>
          </cell>
          <cell r="AC2688" t="str">
            <v>III. Gasto Administración</v>
          </cell>
          <cell r="AD2688" t="str">
            <v>2. Bienes y servicios Adm.</v>
          </cell>
          <cell r="AE2688" t="str">
            <v>6. Gastos Generales</v>
          </cell>
          <cell r="AH2688" t="str">
            <v>6. Partidas significativas de gastos</v>
          </cell>
        </row>
        <row r="2689">
          <cell r="D2689">
            <v>0</v>
          </cell>
        </row>
        <row r="2690">
          <cell r="D2690" t="str">
            <v>4104000000</v>
          </cell>
          <cell r="E2690" t="str">
            <v>4104000000</v>
          </cell>
          <cell r="F2690" t="str">
            <v>Resultado ej. Anteriores</v>
          </cell>
          <cell r="G2690" t="str">
            <v>4104000000  Resultado ej. Anteriores</v>
          </cell>
          <cell r="H2690" t="str">
            <v>Est. Resultado</v>
          </cell>
          <cell r="I2690" t="str">
            <v>Resultado</v>
          </cell>
          <cell r="J2690" t="str">
            <v>7. Gastos de Administración</v>
          </cell>
          <cell r="K2690" t="str">
            <v>10. Gastos Generales</v>
          </cell>
          <cell r="L2690" t="str">
            <v>EBITDA</v>
          </cell>
          <cell r="N2690" t="str">
            <v>GANANCIAS (PERDIDAS) ANTES DE IMPUESTOS</v>
          </cell>
          <cell r="O2690" t="str">
            <v>GANANCIA (PÉRDIDA) NETA</v>
          </cell>
          <cell r="P2690" t="str">
            <v>Resultado Ingresos y Gastos Integrales</v>
          </cell>
          <cell r="Q2690" t="str">
            <v>I. Ganancia (pérdida), antes de impuestos</v>
          </cell>
          <cell r="R2690" t="str">
            <v>b. Ganancia (pérdida)</v>
          </cell>
          <cell r="S2690" t="str">
            <v>5. Gasto de administración</v>
          </cell>
          <cell r="T2690" t="str">
            <v>14. Gastos Generales</v>
          </cell>
          <cell r="Z2690" t="str">
            <v>III. Gastos de Administración</v>
          </cell>
          <cell r="AA2690" t="str">
            <v>6. Gastos Generales</v>
          </cell>
          <cell r="AC2690" t="str">
            <v>III. Gasto Administración</v>
          </cell>
          <cell r="AD2690" t="str">
            <v>2. Bienes y servicios Adm.</v>
          </cell>
          <cell r="AE2690" t="str">
            <v>6. Gastos Generales</v>
          </cell>
          <cell r="AH2690" t="str">
            <v>6. Partidas significativas de gastos</v>
          </cell>
        </row>
        <row r="2691">
          <cell r="D2691">
            <v>0</v>
          </cell>
          <cell r="Q2691">
            <v>0</v>
          </cell>
          <cell r="R2691" t="str">
            <v/>
          </cell>
          <cell r="T2691" t="str">
            <v/>
          </cell>
        </row>
        <row r="2692">
          <cell r="D2692" t="str">
            <v>5104000000</v>
          </cell>
          <cell r="E2692" t="str">
            <v>5104000000</v>
          </cell>
          <cell r="F2692" t="str">
            <v>Corrección monetaria</v>
          </cell>
          <cell r="G2692" t="str">
            <v>5104000000  Corrección monetaria</v>
          </cell>
          <cell r="H2692" t="str">
            <v>Est. Resultado</v>
          </cell>
          <cell r="I2692" t="str">
            <v>Resultado</v>
          </cell>
          <cell r="J2692" t="str">
            <v>10. Otras Pérdidas</v>
          </cell>
          <cell r="K2692" t="str">
            <v>4. Otros Gastos Fuera Explotación</v>
          </cell>
          <cell r="L2692" t="str">
            <v>NO OPER</v>
          </cell>
          <cell r="N2692" t="str">
            <v>GANANCIAS (PERDIDAS) ANTES DE IMPUESTOS</v>
          </cell>
          <cell r="O2692" t="str">
            <v>GANANCIA (PÉRDIDA) NETA</v>
          </cell>
          <cell r="P2692" t="str">
            <v>Resultado Ingresos y Gastos Integrales</v>
          </cell>
          <cell r="Q2692" t="str">
            <v>I. Ganancia (pérdida), antes de impuestos</v>
          </cell>
          <cell r="R2692" t="str">
            <v>b. Ganancia (pérdida)</v>
          </cell>
          <cell r="S2692" t="str">
            <v>12. Resultados por unidades de reajuste</v>
          </cell>
          <cell r="T2692" t="str">
            <v>1. Resultado Unidad de Reajuste</v>
          </cell>
          <cell r="Z2692" t="str">
            <v>I. Ganacia / Pérdida - No Oper</v>
          </cell>
          <cell r="AA2692" t="str">
            <v>5. Otras pérdidas No Oper.</v>
          </cell>
          <cell r="AB2692" t="str">
            <v>7. Otros Gastos Fuera Explotación</v>
          </cell>
          <cell r="AC2692" t="str">
            <v>I. Ganancia / Pérdida No Oper.</v>
          </cell>
          <cell r="AD2692" t="str">
            <v>4. Egresos No Oper.</v>
          </cell>
          <cell r="AE2692" t="str">
            <v>5. Otras pérdidas No Oper.</v>
          </cell>
          <cell r="AH2692" t="str">
            <v>6. Partidas significativas de gastos</v>
          </cell>
        </row>
        <row r="2693">
          <cell r="D2693">
            <v>0</v>
          </cell>
          <cell r="Q2693">
            <v>0</v>
          </cell>
          <cell r="R2693" t="str">
            <v/>
          </cell>
          <cell r="T2693" t="str">
            <v/>
          </cell>
        </row>
        <row r="2694">
          <cell r="D2694" t="str">
            <v>4310940014</v>
          </cell>
          <cell r="E2694" t="str">
            <v>4310940014</v>
          </cell>
          <cell r="F2694" t="str">
            <v>Impuestos Pagados</v>
          </cell>
          <cell r="G2694" t="str">
            <v>4310940014  Impuestos Pagados</v>
          </cell>
          <cell r="H2694" t="str">
            <v>Est. Resultado</v>
          </cell>
          <cell r="I2694" t="str">
            <v>Resultado</v>
          </cell>
          <cell r="J2694" t="str">
            <v>11. Impuestos</v>
          </cell>
          <cell r="K2694" t="str">
            <v>1. Impuesto a la Renta</v>
          </cell>
          <cell r="L2694" t="str">
            <v>NO OPER</v>
          </cell>
          <cell r="N2694">
            <v>0</v>
          </cell>
          <cell r="O2694" t="str">
            <v>GANANCIA (PÉRDIDA) NETA</v>
          </cell>
          <cell r="P2694" t="str">
            <v>Resultado Ingresos y Gastos Integrales</v>
          </cell>
          <cell r="Q2694" t="str">
            <v>II. Gasto por impuestos</v>
          </cell>
          <cell r="R2694" t="str">
            <v>c. Impuestos</v>
          </cell>
          <cell r="S2694" t="str">
            <v>1. Gasto por impuestos a las ganancias</v>
          </cell>
          <cell r="T2694" t="str">
            <v>1. Impuesto a la Renta</v>
          </cell>
          <cell r="V2694" t="str">
            <v>II. Gastos</v>
          </cell>
          <cell r="W2694" t="str">
            <v>25. Transferencias Corrientes</v>
          </cell>
          <cell r="X2694" t="str">
            <v>34. Transferencias al Fisco</v>
          </cell>
          <cell r="Z2694" t="str">
            <v>II. Impuestos</v>
          </cell>
          <cell r="AA2694" t="str">
            <v>1. Impuesto a la Renta</v>
          </cell>
          <cell r="AC2694" t="str">
            <v>II. Impuestos</v>
          </cell>
          <cell r="AD2694" t="str">
            <v>1. Impuesto a la Renta</v>
          </cell>
          <cell r="AE2694" t="str">
            <v>1. Impuesto Renta</v>
          </cell>
          <cell r="AH2694" t="str">
            <v>8. Gasto (ingreso) sobre impuesto a la renta</v>
          </cell>
        </row>
        <row r="2695">
          <cell r="D2695" t="str">
            <v>Impuesto a la Renta</v>
          </cell>
          <cell r="E2695" t="str">
            <v>Impuesto a la Renta</v>
          </cell>
          <cell r="G2695" t="str">
            <v xml:space="preserve">Impuesto a la Renta  </v>
          </cell>
          <cell r="H2695" t="str">
            <v/>
          </cell>
          <cell r="I2695" t="str">
            <v/>
          </cell>
          <cell r="Q2695" t="str">
            <v/>
          </cell>
          <cell r="R2695">
            <v>0</v>
          </cell>
          <cell r="S2695" t="str">
            <v/>
          </cell>
        </row>
        <row r="2696">
          <cell r="D2696" t="str">
            <v>4319999991</v>
          </cell>
          <cell r="E2696" t="str">
            <v>4319999991</v>
          </cell>
          <cell r="F2696" t="str">
            <v>Interés minoritarios</v>
          </cell>
          <cell r="G2696" t="str">
            <v>4319999991  Interés minoritarios</v>
          </cell>
          <cell r="H2696" t="str">
            <v>Est. Resultado</v>
          </cell>
          <cell r="I2696" t="str">
            <v>Resultado</v>
          </cell>
          <cell r="J2696" t="str">
            <v>12, Interés minoritario</v>
          </cell>
          <cell r="K2696" t="str">
            <v>1. Interés Minoritario</v>
          </cell>
          <cell r="L2696" t="str">
            <v>NO OPER</v>
          </cell>
          <cell r="O2696" t="str">
            <v>GANANCIA (PÉRDIDA) NETA</v>
          </cell>
          <cell r="P2696" t="str">
            <v>Resultado Ingresos y Gastos Integrales</v>
          </cell>
          <cell r="Q2696" t="str">
            <v>III. Ganancia (pérdida), atribuible</v>
          </cell>
          <cell r="R2696" t="str">
            <v>d. Ganancia (pérdida), atribuible a</v>
          </cell>
          <cell r="S2696" t="str">
            <v>1. Ganancia (pérdida), atribuible a participaciones no controladoras</v>
          </cell>
          <cell r="T2696" t="str">
            <v>1. Interés Minoritario</v>
          </cell>
          <cell r="Z2696" t="str">
            <v>III, Interés minoritario</v>
          </cell>
          <cell r="AA2696" t="str">
            <v>1. Interés Minoritario</v>
          </cell>
          <cell r="AC2696" t="str">
            <v>III. Interés Minoritario</v>
          </cell>
          <cell r="AD2696" t="str">
            <v>1. Particip. No Controladora</v>
          </cell>
          <cell r="AE2696" t="str">
            <v>1. Interés Minoritario</v>
          </cell>
          <cell r="AH2696" t="str">
            <v>6. Partidas significativas de gastos</v>
          </cell>
        </row>
        <row r="2697">
          <cell r="D2697">
            <v>0</v>
          </cell>
          <cell r="G2697" t="str">
            <v/>
          </cell>
          <cell r="H2697" t="str">
            <v/>
          </cell>
          <cell r="S2697" t="str">
            <v/>
          </cell>
        </row>
        <row r="2698">
          <cell r="D2698" t="str">
            <v>0</v>
          </cell>
          <cell r="E2698" t="str">
            <v>0</v>
          </cell>
          <cell r="F2698">
            <v>0</v>
          </cell>
          <cell r="G2698" t="str">
            <v>0  0</v>
          </cell>
          <cell r="H2698" t="str">
            <v>Est. Resultado</v>
          </cell>
          <cell r="I2698" t="str">
            <v>Resultado</v>
          </cell>
          <cell r="J2698" t="str">
            <v>4. Depreciación</v>
          </cell>
          <cell r="K2698" t="str">
            <v>1. Depreciación</v>
          </cell>
          <cell r="L2698" t="str">
            <v>EBITDA</v>
          </cell>
          <cell r="M2698" t="str">
            <v>MARGEN BRUTO</v>
          </cell>
          <cell r="N2698" t="str">
            <v>GANANCIAS (PERDIDAS) ANTES DE IMPUESTOS</v>
          </cell>
          <cell r="O2698" t="str">
            <v>GANANCIA (PÉRDIDA) NETA</v>
          </cell>
          <cell r="P2698" t="str">
            <v>Resultado Ingresos y Gastos Integrales</v>
          </cell>
          <cell r="Q2698" t="str">
            <v>I. Ganancia (pérdida), antes de impuestos</v>
          </cell>
          <cell r="R2698" t="str">
            <v>a. Ganancia bruta</v>
          </cell>
          <cell r="S2698" t="str">
            <v>2. Costo de ventas</v>
          </cell>
          <cell r="T2698" t="str">
            <v>10. Depreciación</v>
          </cell>
          <cell r="Z2698" t="str">
            <v>II. Costo Ventas</v>
          </cell>
          <cell r="AA2698" t="str">
            <v>8. Depreciación</v>
          </cell>
          <cell r="AC2698" t="str">
            <v>IV. Depreciación</v>
          </cell>
          <cell r="AD2698" t="str">
            <v>1. Depreciación</v>
          </cell>
          <cell r="AE2698" t="str">
            <v>1. Depreciación A.F.</v>
          </cell>
          <cell r="AH2698" t="str">
            <v>4. Depreciaciones y amortizaciones</v>
          </cell>
        </row>
        <row r="2699">
          <cell r="D2699">
            <v>0</v>
          </cell>
          <cell r="G2699" t="str">
            <v/>
          </cell>
          <cell r="H2699" t="str">
            <v/>
          </cell>
        </row>
        <row r="2700">
          <cell r="D2700">
            <v>0</v>
          </cell>
          <cell r="G2700" t="str">
            <v/>
          </cell>
          <cell r="H2700" t="str">
            <v/>
          </cell>
        </row>
        <row r="2701">
          <cell r="D2701">
            <v>0</v>
          </cell>
          <cell r="G2701" t="str">
            <v/>
          </cell>
          <cell r="H2701" t="str">
            <v/>
          </cell>
        </row>
        <row r="2702">
          <cell r="D2702">
            <v>0</v>
          </cell>
          <cell r="G2702" t="str">
            <v/>
          </cell>
          <cell r="H2702" t="str">
            <v/>
          </cell>
        </row>
        <row r="2703">
          <cell r="D2703" t="str">
            <v>4360100000-e</v>
          </cell>
          <cell r="E2703" t="str">
            <v>4360100000-e</v>
          </cell>
          <cell r="F2703" t="str">
            <v>Deprec Bienes Operac</v>
          </cell>
          <cell r="G2703" t="str">
            <v>4360100000-e  Deprec Bienes Operac</v>
          </cell>
          <cell r="H2703" t="str">
            <v>Est. Resultado</v>
          </cell>
          <cell r="I2703" t="str">
            <v>Resultado</v>
          </cell>
          <cell r="J2703" t="str">
            <v>Ajustes EBITDA</v>
          </cell>
          <cell r="K2703" t="str">
            <v>1. DepreciacIón</v>
          </cell>
          <cell r="L2703" t="str">
            <v>EBITDA</v>
          </cell>
          <cell r="O2703" t="str">
            <v>GANANCIA (PÉRDIDA) NETA</v>
          </cell>
          <cell r="Z2703" t="str">
            <v>IV. Ajustes EBITDA</v>
          </cell>
          <cell r="AA2703" t="str">
            <v>1. DepreciacIón</v>
          </cell>
          <cell r="AC2703" t="str">
            <v>V. Ajustes EBITDA</v>
          </cell>
          <cell r="AD2703" t="str">
            <v>1. Aj. DepreciacIón</v>
          </cell>
          <cell r="AE2703" t="str">
            <v>1. Aj. DepreciacIón A.F.</v>
          </cell>
        </row>
        <row r="2704">
          <cell r="D2704" t="str">
            <v>4360200000-e</v>
          </cell>
          <cell r="E2704" t="str">
            <v>4360200000-e</v>
          </cell>
          <cell r="F2704" t="str">
            <v>Deprec Bienes fuera de la Operac</v>
          </cell>
          <cell r="G2704" t="str">
            <v>4360200000-e  Deprec Bienes fuera de la Operac</v>
          </cell>
          <cell r="H2704" t="str">
            <v>Est. Resultado</v>
          </cell>
          <cell r="I2704" t="str">
            <v>Resultado</v>
          </cell>
          <cell r="J2704" t="str">
            <v>Ajustes EBITDA</v>
          </cell>
          <cell r="K2704" t="str">
            <v>1. DepreciacIón</v>
          </cell>
          <cell r="L2704" t="str">
            <v>EBITDA</v>
          </cell>
          <cell r="O2704" t="str">
            <v>GANANCIA (PÉRDIDA) NETA</v>
          </cell>
          <cell r="Z2704" t="str">
            <v>IV. Ajustes EBITDA</v>
          </cell>
          <cell r="AA2704" t="str">
            <v>1. DepreciacIón</v>
          </cell>
          <cell r="AC2704" t="str">
            <v>V. Ajustes EBITDA</v>
          </cell>
          <cell r="AD2704" t="str">
            <v>1. Aj. DepreciacIón</v>
          </cell>
          <cell r="AE2704" t="str">
            <v>1. Aj. DepreciacIón A.F.</v>
          </cell>
        </row>
        <row r="2705">
          <cell r="D2705" t="str">
            <v>4360300000-e</v>
          </cell>
          <cell r="E2705" t="str">
            <v>4360300000-e</v>
          </cell>
          <cell r="F2705" t="str">
            <v>Deprec Vias Operac</v>
          </cell>
          <cell r="G2705" t="str">
            <v>4360300000-e  Deprec Vias Operac</v>
          </cell>
          <cell r="H2705" t="str">
            <v>Est. Resultado</v>
          </cell>
          <cell r="I2705" t="str">
            <v>Resultado</v>
          </cell>
          <cell r="J2705" t="str">
            <v>Ajustes EBITDA</v>
          </cell>
          <cell r="K2705" t="str">
            <v>1. DepreciacIón</v>
          </cell>
          <cell r="L2705" t="str">
            <v>EBITDA</v>
          </cell>
          <cell r="O2705" t="str">
            <v>GANANCIA (PÉRDIDA) NETA</v>
          </cell>
          <cell r="Z2705" t="str">
            <v>IV. Ajustes EBITDA</v>
          </cell>
          <cell r="AA2705" t="str">
            <v>1. DepreciacIón</v>
          </cell>
          <cell r="AC2705" t="str">
            <v>V. Ajustes EBITDA</v>
          </cell>
          <cell r="AD2705" t="str">
            <v>1. Aj. DepreciacIón</v>
          </cell>
          <cell r="AE2705" t="str">
            <v>1. Aj. DepreciacIón A.F.</v>
          </cell>
        </row>
        <row r="2706">
          <cell r="D2706" t="str">
            <v>4360310000-e</v>
          </cell>
          <cell r="E2706" t="str">
            <v>4360310000-e</v>
          </cell>
          <cell r="F2706" t="str">
            <v>Deprec Vias Operac Comp.</v>
          </cell>
          <cell r="G2706" t="str">
            <v>4360310000-e  Deprec Vias Operac Comp.</v>
          </cell>
          <cell r="H2706" t="str">
            <v>Est. Resultado</v>
          </cell>
          <cell r="I2706" t="str">
            <v>Resultado</v>
          </cell>
          <cell r="J2706" t="str">
            <v>Ajustes EBITDA</v>
          </cell>
          <cell r="K2706" t="str">
            <v>1. DepreciacIón</v>
          </cell>
          <cell r="L2706" t="str">
            <v>EBITDA</v>
          </cell>
          <cell r="O2706" t="str">
            <v>GANANCIA (PÉRDIDA) NETA</v>
          </cell>
          <cell r="Z2706" t="str">
            <v>IV. Ajustes EBITDA</v>
          </cell>
          <cell r="AA2706" t="str">
            <v>1. DepreciacIón</v>
          </cell>
          <cell r="AC2706" t="str">
            <v>V. Ajustes EBITDA</v>
          </cell>
          <cell r="AD2706" t="str">
            <v>1. Aj. DepreciacIón</v>
          </cell>
          <cell r="AE2706" t="str">
            <v>1. Aj. DepreciacIón A.F.</v>
          </cell>
        </row>
        <row r="2707">
          <cell r="D2707" t="str">
            <v>4360400000-e</v>
          </cell>
          <cell r="E2707" t="str">
            <v>4360400000-e</v>
          </cell>
          <cell r="F2707" t="str">
            <v>Deprec  Locom 269</v>
          </cell>
          <cell r="G2707" t="str">
            <v>4360400000-e  Deprec  Locom 269</v>
          </cell>
          <cell r="H2707" t="str">
            <v>Est. Resultado</v>
          </cell>
          <cell r="I2707" t="str">
            <v>Resultado</v>
          </cell>
          <cell r="J2707" t="str">
            <v>Ajustes EBITDA</v>
          </cell>
          <cell r="K2707" t="str">
            <v>1. DepreciacIón</v>
          </cell>
          <cell r="L2707" t="str">
            <v>EBITDA</v>
          </cell>
          <cell r="O2707" t="str">
            <v>GANANCIA (PÉRDIDA) NETA</v>
          </cell>
          <cell r="Z2707" t="str">
            <v>IV. Ajustes EBITDA</v>
          </cell>
          <cell r="AA2707" t="str">
            <v>1. DepreciacIón</v>
          </cell>
          <cell r="AC2707" t="str">
            <v>V. Ajustes EBITDA</v>
          </cell>
          <cell r="AD2707" t="str">
            <v>1. Aj. DepreciacIón</v>
          </cell>
          <cell r="AE2707" t="str">
            <v>1. Aj. DepreciacIón A.F.</v>
          </cell>
        </row>
        <row r="2708">
          <cell r="D2708" t="str">
            <v>4360490000-e</v>
          </cell>
          <cell r="E2708" t="str">
            <v>4360490000-e</v>
          </cell>
          <cell r="F2708" t="str">
            <v>Deprec Automot UT440</v>
          </cell>
          <cell r="G2708" t="str">
            <v>4360490000-e  Deprec Automot UT440</v>
          </cell>
          <cell r="H2708" t="str">
            <v>Est. Resultado</v>
          </cell>
          <cell r="I2708" t="str">
            <v>Resultado</v>
          </cell>
          <cell r="J2708" t="str">
            <v>Ajustes EBITDA</v>
          </cell>
          <cell r="K2708" t="str">
            <v>1. DepreciacIón</v>
          </cell>
          <cell r="L2708" t="str">
            <v>EBITDA</v>
          </cell>
          <cell r="O2708" t="str">
            <v>GANANCIA (PÉRDIDA) NETA</v>
          </cell>
          <cell r="Z2708" t="str">
            <v>IV. Ajustes EBITDA</v>
          </cell>
          <cell r="AA2708" t="str">
            <v>1. DepreciacIón</v>
          </cell>
          <cell r="AC2708" t="str">
            <v>V. Ajustes EBITDA</v>
          </cell>
          <cell r="AD2708" t="str">
            <v>1. Aj. DepreciacIón</v>
          </cell>
          <cell r="AE2708" t="str">
            <v>1. Aj. DepreciacIón A.F.</v>
          </cell>
        </row>
        <row r="2709">
          <cell r="D2709" t="str">
            <v>4360500000-e</v>
          </cell>
          <cell r="E2709" t="str">
            <v>4360500000-e</v>
          </cell>
          <cell r="F2709" t="str">
            <v>Deprec Retas Tecnica</v>
          </cell>
          <cell r="G2709" t="str">
            <v>4360500000-e  Deprec Retas Tecnica</v>
          </cell>
          <cell r="H2709" t="str">
            <v>Est. Resultado</v>
          </cell>
          <cell r="I2709" t="str">
            <v>Resultado</v>
          </cell>
          <cell r="J2709" t="str">
            <v>Ajustes EBITDA</v>
          </cell>
          <cell r="K2709" t="str">
            <v>1. DepreciacIón</v>
          </cell>
          <cell r="L2709" t="str">
            <v>EBITDA</v>
          </cell>
          <cell r="O2709" t="str">
            <v>GANANCIA (PÉRDIDA) NETA</v>
          </cell>
          <cell r="Z2709" t="str">
            <v>IV. Ajustes EBITDA</v>
          </cell>
          <cell r="AA2709" t="str">
            <v>1. DepreciacIón</v>
          </cell>
          <cell r="AC2709" t="str">
            <v>V. Ajustes EBITDA</v>
          </cell>
          <cell r="AD2709" t="str">
            <v>1. Aj. DepreciacIón</v>
          </cell>
          <cell r="AE2709" t="str">
            <v>1. Aj. DepreciacIón A.F.</v>
          </cell>
        </row>
        <row r="2710">
          <cell r="D2710" t="str">
            <v>4360530000-e</v>
          </cell>
          <cell r="E2710" t="str">
            <v>4360530000-e</v>
          </cell>
          <cell r="F2710" t="str">
            <v>Deprec Automot UT444</v>
          </cell>
          <cell r="G2710" t="str">
            <v>4360530000-e  Deprec Automot UT444</v>
          </cell>
          <cell r="H2710" t="str">
            <v>Est. Resultado</v>
          </cell>
          <cell r="I2710" t="str">
            <v>Resultado</v>
          </cell>
          <cell r="J2710" t="str">
            <v>Ajustes EBITDA</v>
          </cell>
          <cell r="K2710" t="str">
            <v>1. DepreciacIón</v>
          </cell>
          <cell r="L2710" t="str">
            <v>EBITDA</v>
          </cell>
          <cell r="O2710" t="str">
            <v>GANANCIA (PÉRDIDA) NETA</v>
          </cell>
          <cell r="Z2710" t="str">
            <v>IV. Ajustes EBITDA</v>
          </cell>
          <cell r="AA2710" t="str">
            <v>1. DepreciacIón</v>
          </cell>
          <cell r="AC2710" t="str">
            <v>V. Ajustes EBITDA</v>
          </cell>
          <cell r="AD2710" t="str">
            <v>1. Aj. DepreciacIón</v>
          </cell>
          <cell r="AE2710" t="str">
            <v>1. Aj. DepreciacIón A.F.</v>
          </cell>
        </row>
        <row r="2711">
          <cell r="D2711" t="str">
            <v>4-1-09-01-02-e</v>
          </cell>
          <cell r="E2711" t="str">
            <v>4-1-09-01-02-e</v>
          </cell>
          <cell r="F2711" t="str">
            <v>Deprec. Del Ejerc. Maquinas Y Herramient</v>
          </cell>
          <cell r="G2711" t="str">
            <v>4-1-09-01-02-e  Deprec. Del Ejerc. Maquinas Y Herramient</v>
          </cell>
          <cell r="H2711" t="str">
            <v>Est. Resultado</v>
          </cell>
          <cell r="I2711" t="str">
            <v>Resultado</v>
          </cell>
          <cell r="J2711" t="str">
            <v>Ajustes EBITDA</v>
          </cell>
          <cell r="K2711" t="str">
            <v>1. DepreciacIón</v>
          </cell>
          <cell r="L2711" t="str">
            <v>EBITDA</v>
          </cell>
          <cell r="O2711" t="str">
            <v>GANANCIA (PÉRDIDA) NETA</v>
          </cell>
          <cell r="Z2711" t="str">
            <v>IV. Ajustes EBITDA</v>
          </cell>
          <cell r="AA2711" t="str">
            <v>1. DepreciacIón</v>
          </cell>
          <cell r="AC2711" t="str">
            <v>V. Ajustes EBITDA</v>
          </cell>
          <cell r="AD2711" t="str">
            <v>1. Aj. DepreciacIón</v>
          </cell>
          <cell r="AE2711" t="str">
            <v>1. Aj. DepreciacIón A.F.</v>
          </cell>
        </row>
        <row r="2712">
          <cell r="D2712" t="str">
            <v>4-1-09-01-03-e</v>
          </cell>
          <cell r="E2712" t="str">
            <v>4-1-09-01-03-e</v>
          </cell>
          <cell r="F2712" t="str">
            <v>Deprec.Del Ejerc. Vehiculos</v>
          </cell>
          <cell r="G2712" t="str">
            <v>4-1-09-01-03-e  Deprec.Del Ejerc. Vehiculos</v>
          </cell>
          <cell r="H2712" t="str">
            <v>Est. Resultado</v>
          </cell>
          <cell r="I2712" t="str">
            <v>Resultado</v>
          </cell>
          <cell r="J2712" t="str">
            <v>Ajustes EBITDA</v>
          </cell>
          <cell r="K2712" t="str">
            <v>1. DepreciacIón</v>
          </cell>
          <cell r="L2712" t="str">
            <v>EBITDA</v>
          </cell>
          <cell r="O2712" t="str">
            <v>GANANCIA (PÉRDIDA) NETA</v>
          </cell>
          <cell r="Z2712" t="str">
            <v>IV. Ajustes EBITDA</v>
          </cell>
          <cell r="AA2712" t="str">
            <v>1. DepreciacIón</v>
          </cell>
          <cell r="AC2712" t="str">
            <v>V. Ajustes EBITDA</v>
          </cell>
          <cell r="AD2712" t="str">
            <v>1. Aj. DepreciacIón</v>
          </cell>
          <cell r="AE2712" t="str">
            <v>1. Aj. DepreciacIón A.F.</v>
          </cell>
        </row>
        <row r="2713">
          <cell r="D2713" t="str">
            <v>4-1-09-02-01-e</v>
          </cell>
          <cell r="E2713" t="str">
            <v>4-1-09-02-01-e</v>
          </cell>
          <cell r="F2713" t="str">
            <v>Deprec. Del Ejerc. Edificios Y Construc.</v>
          </cell>
          <cell r="G2713" t="str">
            <v>4-1-09-02-01-e  Deprec. Del Ejerc. Edificios Y Construc.</v>
          </cell>
          <cell r="H2713" t="str">
            <v>Est. Resultado</v>
          </cell>
          <cell r="I2713" t="str">
            <v>Resultado</v>
          </cell>
          <cell r="J2713" t="str">
            <v>Ajustes EBITDA</v>
          </cell>
          <cell r="K2713" t="str">
            <v>1. DepreciacIón</v>
          </cell>
          <cell r="L2713" t="str">
            <v>EBITDA</v>
          </cell>
          <cell r="O2713" t="str">
            <v>GANANCIA (PÉRDIDA) NETA</v>
          </cell>
          <cell r="Z2713" t="str">
            <v>IV. Ajustes EBITDA</v>
          </cell>
          <cell r="AA2713" t="str">
            <v>1. DepreciacIón</v>
          </cell>
          <cell r="AC2713" t="str">
            <v>V. Ajustes EBITDA</v>
          </cell>
          <cell r="AD2713" t="str">
            <v>1. Aj. DepreciacIón</v>
          </cell>
          <cell r="AE2713" t="str">
            <v>1. Aj. DepreciacIón A.F.</v>
          </cell>
        </row>
        <row r="2714">
          <cell r="D2714" t="str">
            <v>4-1-09-02-02-e</v>
          </cell>
          <cell r="E2714" t="str">
            <v>4-1-09-02-02-e</v>
          </cell>
          <cell r="F2714" t="str">
            <v>Deprec. Del Ejerc. Maquinas Y Equip. Ofi</v>
          </cell>
          <cell r="G2714" t="str">
            <v>4-1-09-02-02-e  Deprec. Del Ejerc. Maquinas Y Equip. Ofi</v>
          </cell>
          <cell r="H2714" t="str">
            <v>Est. Resultado</v>
          </cell>
          <cell r="I2714" t="str">
            <v>Resultado</v>
          </cell>
          <cell r="J2714" t="str">
            <v>Ajustes EBITDA</v>
          </cell>
          <cell r="K2714" t="str">
            <v>1. DepreciacIón</v>
          </cell>
          <cell r="L2714" t="str">
            <v>EBITDA</v>
          </cell>
          <cell r="O2714" t="str">
            <v>GANANCIA (PÉRDIDA) NETA</v>
          </cell>
          <cell r="Z2714" t="str">
            <v>IV. Ajustes EBITDA</v>
          </cell>
          <cell r="AA2714" t="str">
            <v>1. DepreciacIón</v>
          </cell>
          <cell r="AC2714" t="str">
            <v>V. Ajustes EBITDA</v>
          </cell>
          <cell r="AD2714" t="str">
            <v>1. Aj. DepreciacIón</v>
          </cell>
          <cell r="AE2714" t="str">
            <v>1. Aj. DepreciacIón A.F.</v>
          </cell>
        </row>
        <row r="2715">
          <cell r="D2715" t="str">
            <v>4-1-09-01-01-e</v>
          </cell>
          <cell r="E2715" t="str">
            <v>4-1-09-01-01-e</v>
          </cell>
          <cell r="F2715" t="str">
            <v>Deprec.Del Ejerc. Automotores</v>
          </cell>
          <cell r="G2715" t="str">
            <v>4-1-09-01-01-e  Deprec.Del Ejerc. Automotores</v>
          </cell>
          <cell r="H2715" t="str">
            <v>Est. Resultado</v>
          </cell>
          <cell r="I2715" t="str">
            <v>Resultado</v>
          </cell>
          <cell r="J2715" t="str">
            <v>Ajustes EBITDA</v>
          </cell>
          <cell r="K2715" t="str">
            <v>1. DepreciacIón</v>
          </cell>
          <cell r="L2715" t="str">
            <v>EBITDA</v>
          </cell>
          <cell r="O2715" t="str">
            <v>GANANCIA (PÉRDIDA) NETA</v>
          </cell>
          <cell r="Z2715" t="str">
            <v>IV. Ajustes EBITDA</v>
          </cell>
          <cell r="AA2715" t="str">
            <v>1. DepreciacIón</v>
          </cell>
          <cell r="AC2715" t="str">
            <v>V. Ajustes EBITDA</v>
          </cell>
          <cell r="AD2715" t="str">
            <v>1. Aj. DepreciacIón</v>
          </cell>
          <cell r="AE2715" t="str">
            <v>1. Aj. DepreciacIón A.F.</v>
          </cell>
        </row>
        <row r="2716">
          <cell r="D2716" t="str">
            <v>4-1-09-02-03-e</v>
          </cell>
          <cell r="E2716" t="str">
            <v>4-1-09-02-03-e</v>
          </cell>
          <cell r="F2716" t="str">
            <v>Deprec. Del Ejerc. Muebles ( Adm. Y Vent</v>
          </cell>
          <cell r="G2716" t="str">
            <v>4-1-09-02-03-e  Deprec. Del Ejerc. Muebles ( Adm. Y Vent</v>
          </cell>
          <cell r="H2716" t="str">
            <v>Est. Resultado</v>
          </cell>
          <cell r="I2716" t="str">
            <v>Resultado</v>
          </cell>
          <cell r="J2716" t="str">
            <v>Ajustes EBITDA</v>
          </cell>
          <cell r="K2716" t="str">
            <v>1. DepreciacIón</v>
          </cell>
          <cell r="L2716" t="str">
            <v>EBITDA</v>
          </cell>
          <cell r="O2716" t="str">
            <v>GANANCIA (PÉRDIDA) NETA</v>
          </cell>
          <cell r="Z2716" t="str">
            <v>IV. Ajustes EBITDA</v>
          </cell>
          <cell r="AA2716" t="str">
            <v>1. DepreciacIón</v>
          </cell>
          <cell r="AC2716" t="str">
            <v>V. Ajustes EBITDA</v>
          </cell>
          <cell r="AD2716" t="str">
            <v>1. Aj. DepreciacIón</v>
          </cell>
          <cell r="AE2716" t="str">
            <v>1. Aj. DepreciacIón A.F.</v>
          </cell>
        </row>
        <row r="2717">
          <cell r="D2717" t="str">
            <v>4-1-09-02-04-e</v>
          </cell>
          <cell r="E2717" t="str">
            <v>4-1-09-02-04-e</v>
          </cell>
          <cell r="F2717" t="str">
            <v>Deprec. Del Ejerc. Equi. Computacionales</v>
          </cell>
          <cell r="G2717" t="str">
            <v>4-1-09-02-04-e  Deprec. Del Ejerc. Equi. Computacionales</v>
          </cell>
          <cell r="H2717" t="str">
            <v>Est. Resultado</v>
          </cell>
          <cell r="I2717" t="str">
            <v>Resultado</v>
          </cell>
          <cell r="J2717" t="str">
            <v>Ajustes EBITDA</v>
          </cell>
          <cell r="K2717" t="str">
            <v>1. DepreciacIón</v>
          </cell>
          <cell r="L2717" t="str">
            <v>EBITDA</v>
          </cell>
          <cell r="O2717" t="str">
            <v>GANANCIA (PÉRDIDA) NETA</v>
          </cell>
          <cell r="Z2717" t="str">
            <v>IV. Ajustes EBITDA</v>
          </cell>
          <cell r="AA2717" t="str">
            <v>1. DepreciacIón</v>
          </cell>
          <cell r="AC2717" t="str">
            <v>V. Ajustes EBITDA</v>
          </cell>
          <cell r="AD2717" t="str">
            <v>1. Aj. DepreciacIón</v>
          </cell>
          <cell r="AE2717" t="str">
            <v>1. Aj. DepreciacIón A.F.</v>
          </cell>
        </row>
        <row r="2718">
          <cell r="D2718" t="str">
            <v>4-1-09-02-05-e</v>
          </cell>
          <cell r="E2718" t="str">
            <v>4-1-09-02-05-e</v>
          </cell>
          <cell r="F2718" t="str">
            <v>Deprec. Del Ejerc. Software</v>
          </cell>
          <cell r="G2718" t="str">
            <v>4-1-09-02-05-e  Deprec. Del Ejerc. Software</v>
          </cell>
          <cell r="H2718" t="str">
            <v>Est. Resultado</v>
          </cell>
          <cell r="I2718" t="str">
            <v>Resultado</v>
          </cell>
          <cell r="J2718" t="str">
            <v>Ajustes EBITDA</v>
          </cell>
          <cell r="K2718" t="str">
            <v>1. DepreciacIón</v>
          </cell>
          <cell r="L2718" t="str">
            <v>EBITDA</v>
          </cell>
          <cell r="O2718" t="str">
            <v>GANANCIA (PÉRDIDA) NETA</v>
          </cell>
          <cell r="Z2718" t="str">
            <v>IV. Ajustes EBITDA</v>
          </cell>
          <cell r="AA2718" t="str">
            <v>1. DepreciacIón</v>
          </cell>
          <cell r="AC2718" t="str">
            <v>V. Ajustes EBITDA</v>
          </cell>
          <cell r="AD2718" t="str">
            <v>1. Aj. DepreciacIón</v>
          </cell>
          <cell r="AE2718" t="str">
            <v>1. Aj. DepreciacIón A.F.</v>
          </cell>
        </row>
        <row r="2719">
          <cell r="D2719" t="str">
            <v>4-1-09-02-06-e</v>
          </cell>
          <cell r="E2719" t="str">
            <v>4-1-09-02-06-e</v>
          </cell>
          <cell r="F2719" t="str">
            <v>Deprec. Del Ejerc. Edif. y Constr.</v>
          </cell>
          <cell r="G2719" t="str">
            <v>4-1-09-02-06-e  Deprec. Del Ejerc. Edif. y Constr.</v>
          </cell>
          <cell r="H2719" t="str">
            <v>Est. Resultado</v>
          </cell>
          <cell r="I2719" t="str">
            <v>Resultado</v>
          </cell>
          <cell r="J2719" t="str">
            <v>Ajustes EBITDA</v>
          </cell>
          <cell r="K2719" t="str">
            <v>1. DepreciacIón</v>
          </cell>
          <cell r="L2719" t="str">
            <v>EBITDA</v>
          </cell>
          <cell r="O2719" t="str">
            <v>GANANCIA (PÉRDIDA) NETA</v>
          </cell>
          <cell r="Z2719" t="str">
            <v>IV. Ajustes EBITDA</v>
          </cell>
          <cell r="AA2719" t="str">
            <v>1. DepreciacIón</v>
          </cell>
          <cell r="AC2719" t="str">
            <v>V. Ajustes EBITDA</v>
          </cell>
          <cell r="AD2719" t="str">
            <v>1. Aj. DepreciacIón</v>
          </cell>
          <cell r="AE2719" t="str">
            <v>1. Aj. DepreciacIón A.F.</v>
          </cell>
        </row>
        <row r="2720">
          <cell r="D2720" t="str">
            <v>3203101-e</v>
          </cell>
          <cell r="E2720" t="str">
            <v>3203101-e</v>
          </cell>
          <cell r="F2720" t="str">
            <v>Deprec.del ejercicio Act.Fijo</v>
          </cell>
          <cell r="G2720" t="str">
            <v>3203101-e  Deprec.del ejercicio Act.Fijo</v>
          </cell>
          <cell r="H2720" t="str">
            <v>Est. Resultado</v>
          </cell>
          <cell r="I2720" t="str">
            <v>Resultado</v>
          </cell>
          <cell r="J2720" t="str">
            <v>Ajustes EBITDA</v>
          </cell>
          <cell r="K2720" t="str">
            <v>1. DepreciacIón</v>
          </cell>
          <cell r="L2720" t="str">
            <v>EBITDA</v>
          </cell>
          <cell r="O2720" t="str">
            <v>GANANCIA (PÉRDIDA) NETA</v>
          </cell>
          <cell r="Z2720" t="str">
            <v>IV. Ajustes EBITDA</v>
          </cell>
          <cell r="AA2720" t="str">
            <v>1. DepreciacIón</v>
          </cell>
          <cell r="AC2720" t="str">
            <v>V. Ajustes EBITDA</v>
          </cell>
          <cell r="AD2720" t="str">
            <v>1. Aj. DepreciacIón</v>
          </cell>
          <cell r="AE2720" t="str">
            <v>1. Aj. DepreciacIón A.F.</v>
          </cell>
        </row>
        <row r="2721">
          <cell r="D2721" t="str">
            <v>3203102-e</v>
          </cell>
          <cell r="E2721" t="str">
            <v>3203102-e</v>
          </cell>
          <cell r="F2721" t="str">
            <v>Deprec.del ejercicio Existencias</v>
          </cell>
          <cell r="G2721" t="str">
            <v>3203102-e  Deprec.del ejercicio Existencias</v>
          </cell>
          <cell r="H2721" t="str">
            <v>Est. Resultado</v>
          </cell>
          <cell r="I2721" t="str">
            <v>Resultado</v>
          </cell>
          <cell r="J2721" t="str">
            <v>Ajustes EBITDA</v>
          </cell>
          <cell r="K2721" t="str">
            <v>1. DepreciacIón</v>
          </cell>
          <cell r="L2721" t="str">
            <v>EBITDA</v>
          </cell>
          <cell r="O2721" t="str">
            <v>GANANCIA (PÉRDIDA) NETA</v>
          </cell>
          <cell r="Z2721" t="str">
            <v>IV. Ajustes EBITDA</v>
          </cell>
          <cell r="AA2721" t="str">
            <v>1. DepreciacIón</v>
          </cell>
          <cell r="AC2721" t="str">
            <v>V. Ajustes EBITDA</v>
          </cell>
          <cell r="AD2721" t="str">
            <v>1. Aj. DepreciacIón</v>
          </cell>
          <cell r="AE2721" t="str">
            <v>1. Aj. DepreciacIón A.F.</v>
          </cell>
        </row>
        <row r="2722">
          <cell r="D2722" t="str">
            <v>0-e</v>
          </cell>
          <cell r="E2722" t="str">
            <v>0-e</v>
          </cell>
          <cell r="F2722" t="str">
            <v>Deprec.</v>
          </cell>
          <cell r="G2722" t="str">
            <v>0-e  Deprec.</v>
          </cell>
          <cell r="H2722" t="str">
            <v>Est. Resultado</v>
          </cell>
          <cell r="I2722" t="str">
            <v>Resultado</v>
          </cell>
          <cell r="J2722" t="str">
            <v>Ajustes EBITDA</v>
          </cell>
          <cell r="K2722" t="str">
            <v>1. DepreciacIón</v>
          </cell>
          <cell r="L2722" t="str">
            <v>EBITDA</v>
          </cell>
          <cell r="O2722" t="str">
            <v>GANANCIA (PÉRDIDA) NETA</v>
          </cell>
          <cell r="Z2722" t="str">
            <v>IV. Ajustes EBITDA</v>
          </cell>
          <cell r="AA2722" t="str">
            <v>1. DepreciacIón</v>
          </cell>
          <cell r="AC2722" t="str">
            <v>V. Ajustes EBITDA</v>
          </cell>
          <cell r="AD2722" t="str">
            <v>1. Aj. DepreciacIón</v>
          </cell>
          <cell r="AE2722" t="str">
            <v>1. Aj. DepreciacIón A.F.</v>
          </cell>
        </row>
        <row r="2723">
          <cell r="D2723" t="str">
            <v>0-e</v>
          </cell>
          <cell r="E2723" t="str">
            <v>0-e</v>
          </cell>
          <cell r="F2723" t="str">
            <v>Deprec.</v>
          </cell>
          <cell r="G2723" t="str">
            <v>0-e  Deprec.</v>
          </cell>
          <cell r="H2723" t="str">
            <v>Est. Resultado</v>
          </cell>
          <cell r="I2723" t="str">
            <v>Resultado</v>
          </cell>
          <cell r="J2723" t="str">
            <v>Ajustes EBITDA</v>
          </cell>
          <cell r="K2723" t="str">
            <v>1. DepreciacIón</v>
          </cell>
          <cell r="L2723" t="str">
            <v>EBITDA</v>
          </cell>
          <cell r="O2723" t="str">
            <v>GANANCIA (PÉRDIDA) NETA</v>
          </cell>
          <cell r="Z2723" t="str">
            <v>IV. Ajustes EBITDA</v>
          </cell>
          <cell r="AA2723" t="str">
            <v>1. DepreciacIón</v>
          </cell>
          <cell r="AC2723" t="str">
            <v>V. Ajustes EBITDA</v>
          </cell>
          <cell r="AD2723" t="str">
            <v>1. Aj. DepreciacIón</v>
          </cell>
          <cell r="AE2723" t="str">
            <v>1. Aj. DepreciacIón A.F.</v>
          </cell>
        </row>
        <row r="2724">
          <cell r="D2724">
            <v>0</v>
          </cell>
          <cell r="G2724" t="str">
            <v/>
          </cell>
          <cell r="H2724" t="str">
            <v>Est. Resultado</v>
          </cell>
          <cell r="I2724" t="str">
            <v>Resultado</v>
          </cell>
          <cell r="J2724" t="str">
            <v>Ajustes EBITDA</v>
          </cell>
          <cell r="K2724" t="str">
            <v>1. DepreciacIón</v>
          </cell>
          <cell r="L2724" t="str">
            <v>EBITDA</v>
          </cell>
          <cell r="O2724" t="str">
            <v>GANANCIA (PÉRDIDA) NETA</v>
          </cell>
          <cell r="Z2724" t="str">
            <v>IV. Ajustes EBITDA</v>
          </cell>
          <cell r="AA2724" t="str">
            <v>1. DepreciacIón</v>
          </cell>
          <cell r="AC2724" t="str">
            <v>V. Ajustes EBITDA</v>
          </cell>
          <cell r="AD2724" t="str">
            <v>1. Aj. DepreciacIón</v>
          </cell>
          <cell r="AE2724" t="str">
            <v>1. Aj. DepreciacIón A.F.</v>
          </cell>
        </row>
        <row r="2725">
          <cell r="D2725">
            <v>0</v>
          </cell>
          <cell r="G2725" t="str">
            <v/>
          </cell>
          <cell r="H2725" t="str">
            <v>Est. Resultado</v>
          </cell>
          <cell r="I2725" t="str">
            <v>Resultado</v>
          </cell>
          <cell r="J2725" t="str">
            <v>Ajustes EBITDA</v>
          </cell>
          <cell r="K2725" t="str">
            <v>1. DepreciacIón</v>
          </cell>
          <cell r="L2725" t="str">
            <v>EBITDA</v>
          </cell>
          <cell r="O2725" t="str">
            <v>GANANCIA (PÉRDIDA) NETA</v>
          </cell>
          <cell r="Z2725" t="str">
            <v>IV. Ajustes EBITDA</v>
          </cell>
          <cell r="AA2725" t="str">
            <v>1. DepreciacIón</v>
          </cell>
          <cell r="AC2725" t="str">
            <v>V. Ajustes EBITDA</v>
          </cell>
          <cell r="AD2725" t="str">
            <v>1. Aj. DepreciacIón</v>
          </cell>
          <cell r="AE2725" t="str">
            <v>1. Aj. DepreciacIón A.F.</v>
          </cell>
        </row>
        <row r="2745">
          <cell r="F2745" t="str">
            <v>Resultado</v>
          </cell>
        </row>
        <row r="2748">
          <cell r="F2748" t="str">
            <v>Resultado</v>
          </cell>
        </row>
        <row r="2753">
          <cell r="F2753" t="str">
            <v>Período</v>
          </cell>
          <cell r="G2753">
            <v>2</v>
          </cell>
        </row>
        <row r="2754">
          <cell r="F2754">
            <v>2</v>
          </cell>
          <cell r="G2754">
            <v>3</v>
          </cell>
        </row>
        <row r="2755">
          <cell r="F2755" t="str">
            <v>ene.</v>
          </cell>
          <cell r="G2755" t="str">
            <v>I   T</v>
          </cell>
        </row>
        <row r="2756">
          <cell r="F2756" t="str">
            <v>feb.</v>
          </cell>
          <cell r="G2756" t="str">
            <v>I   T</v>
          </cell>
        </row>
        <row r="2757">
          <cell r="F2757" t="str">
            <v>mar.</v>
          </cell>
          <cell r="G2757" t="str">
            <v>I   T</v>
          </cell>
        </row>
        <row r="2758">
          <cell r="F2758" t="str">
            <v>abr.</v>
          </cell>
          <cell r="G2758" t="str">
            <v>II  T</v>
          </cell>
        </row>
        <row r="2759">
          <cell r="F2759" t="str">
            <v>may.</v>
          </cell>
          <cell r="G2759" t="str">
            <v>II  T</v>
          </cell>
        </row>
        <row r="2760">
          <cell r="F2760" t="str">
            <v>jun.</v>
          </cell>
          <cell r="G2760" t="str">
            <v>II  T</v>
          </cell>
        </row>
        <row r="2761">
          <cell r="F2761" t="str">
            <v>jul.</v>
          </cell>
          <cell r="G2761" t="str">
            <v>III T</v>
          </cell>
        </row>
        <row r="2762">
          <cell r="F2762" t="str">
            <v>ago.</v>
          </cell>
          <cell r="G2762" t="str">
            <v>III T</v>
          </cell>
        </row>
        <row r="2763">
          <cell r="F2763" t="str">
            <v>sep.</v>
          </cell>
          <cell r="G2763" t="str">
            <v>III T</v>
          </cell>
        </row>
        <row r="2778">
          <cell r="E2778" t="str">
            <v>F</v>
          </cell>
          <cell r="F2778" t="str">
            <v>Fuera Explotación</v>
          </cell>
        </row>
        <row r="2786">
          <cell r="E2786" t="str">
            <v>Cuentas EE.RR.</v>
          </cell>
          <cell r="F2786">
            <v>2</v>
          </cell>
          <cell r="G2786">
            <v>3</v>
          </cell>
        </row>
        <row r="2787">
          <cell r="E2787" t="str">
            <v>5. Ctas. por Cobrar a Entidades Relacionadas Corrientes</v>
          </cell>
          <cell r="G2787" t="str">
            <v>EE.RR. bce</v>
          </cell>
        </row>
        <row r="2788">
          <cell r="E2788" t="str">
            <v>1007100001</v>
          </cell>
          <cell r="F2788" t="str">
            <v>Cta.Cte.Mercantil Remesa</v>
          </cell>
          <cell r="G2788" t="str">
            <v>EE.RR. bce</v>
          </cell>
        </row>
        <row r="2789">
          <cell r="E2789" t="str">
            <v>1007100002</v>
          </cell>
          <cell r="F2789" t="str">
            <v>Intereses Cta.Cte.Mercantil</v>
          </cell>
          <cell r="G2789" t="str">
            <v>EE.RR. bce</v>
          </cell>
        </row>
        <row r="2790">
          <cell r="E2790" t="str">
            <v>1007100010</v>
          </cell>
          <cell r="F2790" t="str">
            <v>Cuenta por cobrar INVIA CORTO PLAZO</v>
          </cell>
          <cell r="G2790" t="str">
            <v>EE.RR. bce</v>
          </cell>
        </row>
        <row r="2791">
          <cell r="E2791" t="str">
            <v>1007100015</v>
          </cell>
          <cell r="F2791" t="str">
            <v>Cuenta Por Cobrar Efe Corto Plazo</v>
          </cell>
          <cell r="G2791" t="str">
            <v>EE.RR. bce</v>
          </cell>
        </row>
        <row r="2792">
          <cell r="E2792" t="str">
            <v>1007100020</v>
          </cell>
          <cell r="F2792" t="str">
            <v>Metro Regional Valparaíso S.A De Corto Plazo</v>
          </cell>
          <cell r="G2792" t="str">
            <v>EE.RR. bce</v>
          </cell>
        </row>
        <row r="2793">
          <cell r="E2793" t="str">
            <v>1007100030</v>
          </cell>
          <cell r="F2793" t="str">
            <v>Isapre Ferrosalud S.A De Corto Plazo</v>
          </cell>
          <cell r="G2793" t="str">
            <v>EE.RR. bce</v>
          </cell>
        </row>
        <row r="2794">
          <cell r="E2794" t="str">
            <v>1007100040</v>
          </cell>
          <cell r="F2794" t="str">
            <v>Ferrocarriles Suburbanos S.A De Corto Plazo</v>
          </cell>
          <cell r="G2794" t="str">
            <v>EE.RR. bce</v>
          </cell>
        </row>
        <row r="2795">
          <cell r="E2795" t="str">
            <v>1007100050</v>
          </cell>
          <cell r="F2795" t="str">
            <v>Ferrocarriles Del Sur S.A De Corto Plazo</v>
          </cell>
          <cell r="G2795" t="str">
            <v>EE.RR. bce</v>
          </cell>
        </row>
        <row r="2796">
          <cell r="E2796" t="str">
            <v>1007100060</v>
          </cell>
          <cell r="F2796" t="str">
            <v>Ferrocarriles De Pasajeros S.A De Corto Plazo</v>
          </cell>
          <cell r="G2796" t="str">
            <v>EE.RR. bce</v>
          </cell>
        </row>
        <row r="2797">
          <cell r="E2797" t="str">
            <v>1007100070</v>
          </cell>
          <cell r="F2797" t="str">
            <v>Ferrocarril De Arica A La Paz S.A De Corto Plazo</v>
          </cell>
          <cell r="G2797" t="str">
            <v>EE.RR. bce</v>
          </cell>
        </row>
        <row r="2798">
          <cell r="E2798" t="str">
            <v>1007100080</v>
          </cell>
          <cell r="F2798" t="str">
            <v>Infraestructura Y Tráfico Ferroviario S.A De Cp</v>
          </cell>
          <cell r="G2798" t="str">
            <v>EE.RR. bce</v>
          </cell>
        </row>
        <row r="2799">
          <cell r="E2799" t="str">
            <v>1007200030</v>
          </cell>
          <cell r="F2799" t="str">
            <v>Inmobiliaria San Bernardo S.A. Corto Plazo</v>
          </cell>
          <cell r="G2799" t="str">
            <v>EE.RR. bce</v>
          </cell>
        </row>
        <row r="2800">
          <cell r="E2800" t="str">
            <v>1103000000</v>
          </cell>
          <cell r="F2800" t="str">
            <v>INVIA S.A.</v>
          </cell>
          <cell r="G2800" t="str">
            <v>EE.RR. bce</v>
          </cell>
        </row>
        <row r="2801">
          <cell r="E2801" t="str">
            <v>1-1-07-01-01</v>
          </cell>
          <cell r="F2801" t="str">
            <v>Docs Y Ctas Por Cobrar Emp Rel Efe</v>
          </cell>
          <cell r="G2801" t="str">
            <v>EE.RR. bce</v>
          </cell>
        </row>
        <row r="2802">
          <cell r="E2802" t="str">
            <v>1-1-07-01-02</v>
          </cell>
          <cell r="F2802" t="str">
            <v>Iv Etapa Doctos.Y Ctas.Por Cobrar A Efe</v>
          </cell>
          <cell r="G2802" t="str">
            <v>EE.RR. bce</v>
          </cell>
        </row>
        <row r="2803">
          <cell r="E2803" t="str">
            <v>1007100151</v>
          </cell>
          <cell r="F2803" t="str">
            <v>Cta. Cte. Mercantil INVIA</v>
          </cell>
          <cell r="G2803" t="str">
            <v>EE.RR. bce</v>
          </cell>
        </row>
        <row r="2804">
          <cell r="E2804" t="str">
            <v>1007100152</v>
          </cell>
          <cell r="F2804" t="str">
            <v>Cta. Cte. Mercantil Intereses INVIA</v>
          </cell>
          <cell r="G2804" t="str">
            <v>EE.RR. bce</v>
          </cell>
        </row>
        <row r="2805">
          <cell r="E2805" t="str">
            <v>1007100153</v>
          </cell>
          <cell r="F2805" t="str">
            <v>Cta. Cte. Mercantil EFE (invia)</v>
          </cell>
          <cell r="G2805" t="str">
            <v>EE.RR. bce</v>
          </cell>
        </row>
        <row r="2806">
          <cell r="E2806" t="str">
            <v>1007100154</v>
          </cell>
          <cell r="F2806" t="str">
            <v>Cta. Cte. Mercantil Intereses EFE (invia)</v>
          </cell>
          <cell r="G2806" t="str">
            <v>EE.RR. bce</v>
          </cell>
        </row>
        <row r="2807">
          <cell r="E2807" t="str">
            <v>1007100161</v>
          </cell>
          <cell r="F2807" t="str">
            <v>Cta. Cte. Mercantil MERVAL</v>
          </cell>
          <cell r="G2807" t="str">
            <v>EE.RR. bce</v>
          </cell>
        </row>
        <row r="2808">
          <cell r="E2808" t="str">
            <v>1007100162</v>
          </cell>
          <cell r="F2808" t="str">
            <v>Cta. Cte. Mercantil Intereses MERVAL</v>
          </cell>
          <cell r="G2808" t="str">
            <v>EE.RR. bce</v>
          </cell>
        </row>
        <row r="2809">
          <cell r="E2809" t="str">
            <v>1007100163</v>
          </cell>
          <cell r="F2809" t="str">
            <v>Cta. Cte. Mercantil EFE (merval)</v>
          </cell>
          <cell r="G2809" t="str">
            <v>EE.RR. bce</v>
          </cell>
        </row>
        <row r="2810">
          <cell r="E2810" t="str">
            <v>1007100164</v>
          </cell>
          <cell r="F2810" t="str">
            <v>Cta. Cte. Mercantil Intereses EFE (merval)</v>
          </cell>
          <cell r="G2810" t="str">
            <v>EE.RR. bce</v>
          </cell>
        </row>
        <row r="2811">
          <cell r="E2811" t="str">
            <v>1007100171</v>
          </cell>
          <cell r="F2811" t="str">
            <v>Cta. Cte. Mercantil FESUB</v>
          </cell>
          <cell r="G2811" t="str">
            <v>EE.RR. bce</v>
          </cell>
        </row>
        <row r="2812">
          <cell r="E2812" t="str">
            <v>1007100172</v>
          </cell>
          <cell r="F2812" t="str">
            <v>Cta. Cte. Mercantil Intereses FESUB</v>
          </cell>
          <cell r="G2812" t="str">
            <v>EE.RR. bce</v>
          </cell>
        </row>
        <row r="2813">
          <cell r="E2813" t="str">
            <v>1007100173</v>
          </cell>
          <cell r="F2813" t="str">
            <v>Cta. Cte. Mercantil EFE (fesub)</v>
          </cell>
          <cell r="G2813" t="str">
            <v>EE.RR. bce</v>
          </cell>
        </row>
        <row r="2814">
          <cell r="E2814" t="str">
            <v>1007100174</v>
          </cell>
          <cell r="F2814" t="str">
            <v>Cta. Cte. Mercantil Intereses EFE (fesub)</v>
          </cell>
          <cell r="G2814" t="str">
            <v>EE.RR. bce</v>
          </cell>
        </row>
        <row r="2815">
          <cell r="E2815" t="str">
            <v>1007100181</v>
          </cell>
          <cell r="F2815" t="str">
            <v>Cta. Cte. Mercantil TERRA</v>
          </cell>
          <cell r="G2815" t="str">
            <v>EE.RR. bce</v>
          </cell>
        </row>
        <row r="2816">
          <cell r="E2816" t="str">
            <v>1007100182</v>
          </cell>
          <cell r="F2816" t="str">
            <v>Cta. Cte. Mercantil Intereses TERRA</v>
          </cell>
          <cell r="G2816" t="str">
            <v>EE.RR. bce</v>
          </cell>
        </row>
        <row r="2817">
          <cell r="E2817" t="str">
            <v>1007100183</v>
          </cell>
          <cell r="F2817" t="str">
            <v>Cta. Cte. Mercantil EFE</v>
          </cell>
          <cell r="G2817" t="str">
            <v>EE.RR. bce</v>
          </cell>
        </row>
        <row r="2818">
          <cell r="E2818" t="str">
            <v>1007100184</v>
          </cell>
          <cell r="F2818" t="str">
            <v>Cta. Cte. Mercantil Intereses EFE</v>
          </cell>
          <cell r="G2818" t="str">
            <v>EE.RR. bce</v>
          </cell>
        </row>
        <row r="2819">
          <cell r="E2819" t="str">
            <v>1007100191</v>
          </cell>
          <cell r="F2819" t="str">
            <v>Cta. Cte. Mercantil TERRA</v>
          </cell>
          <cell r="G2819" t="str">
            <v>EE.RR. bce</v>
          </cell>
        </row>
        <row r="2820">
          <cell r="E2820" t="str">
            <v>1007100192</v>
          </cell>
          <cell r="F2820" t="str">
            <v>Cta. Cte. Mercantil Intereses TERRA</v>
          </cell>
          <cell r="G2820" t="str">
            <v>EE.RR. bce</v>
          </cell>
        </row>
        <row r="2821">
          <cell r="E2821" t="str">
            <v>1007100193</v>
          </cell>
          <cell r="F2821" t="str">
            <v>Cta. Cte. Mercantil EFE</v>
          </cell>
          <cell r="G2821" t="str">
            <v>EE.RR. bce</v>
          </cell>
        </row>
        <row r="2822">
          <cell r="E2822" t="str">
            <v>1007100194</v>
          </cell>
          <cell r="F2822" t="str">
            <v>Cta. Cte. Mercantil Intereses EFE</v>
          </cell>
          <cell r="G2822" t="str">
            <v>EE.RR. bce</v>
          </cell>
        </row>
        <row r="2823">
          <cell r="E2823" t="str">
            <v>1106107</v>
          </cell>
          <cell r="F2823" t="str">
            <v>Deudas por recuperación de gastos</v>
          </cell>
          <cell r="G2823" t="str">
            <v>EE.RR. bce</v>
          </cell>
        </row>
        <row r="2824">
          <cell r="E2824" t="str">
            <v>1106110</v>
          </cell>
          <cell r="F2824" t="str">
            <v>Deudas por Recup. EFE Cta 2</v>
          </cell>
          <cell r="G2824" t="str">
            <v>EE.RR. bce</v>
          </cell>
        </row>
        <row r="2825">
          <cell r="E2825" t="str">
            <v>1103000000</v>
          </cell>
          <cell r="F2825" t="str">
            <v>INVIA S.A.</v>
          </cell>
          <cell r="G2825" t="str">
            <v>EE.RR. bce</v>
          </cell>
        </row>
        <row r="2826">
          <cell r="E2826" t="str">
            <v>1104114</v>
          </cell>
          <cell r="F2826" t="str">
            <v>Deudores cta cte mercantil EFE</v>
          </cell>
          <cell r="G2826" t="str">
            <v>EE.RR. bce</v>
          </cell>
        </row>
        <row r="2827">
          <cell r="E2827" t="str">
            <v>1007100061</v>
          </cell>
          <cell r="F2827" t="str">
            <v>Doctos y ctas. Por cobrar EFE</v>
          </cell>
          <cell r="G2827" t="str">
            <v>EE.RR. bce</v>
          </cell>
        </row>
        <row r="2830">
          <cell r="E2830" t="str">
            <v>4. Cuentas por Cobrar a Entidades Relacionadas, No Corriente</v>
          </cell>
        </row>
        <row r="2831">
          <cell r="E2831" t="str">
            <v>1036100040</v>
          </cell>
          <cell r="F2831" t="str">
            <v>Ferrocarriles Suburbanos S.A De Largo Plazo</v>
          </cell>
          <cell r="G2831" t="str">
            <v>EE.RR. bce</v>
          </cell>
        </row>
        <row r="2832">
          <cell r="E2832" t="str">
            <v>1036100020</v>
          </cell>
          <cell r="F2832" t="str">
            <v>Metro Regional Valparáiso S.A De Largo Plazo</v>
          </cell>
          <cell r="G2832" t="str">
            <v>EE.RR. bce</v>
          </cell>
        </row>
        <row r="2833">
          <cell r="E2833" t="str">
            <v>1036100050</v>
          </cell>
          <cell r="F2833" t="str">
            <v>Ferrocarriles Del Sur S.A De Largo Plazo</v>
          </cell>
          <cell r="G2833" t="str">
            <v>EE.RR. bce</v>
          </cell>
        </row>
        <row r="2834">
          <cell r="E2834" t="str">
            <v>1036100060</v>
          </cell>
          <cell r="F2834" t="str">
            <v>Ferrocarriles De Pasajeros S.A De Largo Plazo</v>
          </cell>
          <cell r="G2834" t="str">
            <v>EE.RR. bce</v>
          </cell>
        </row>
        <row r="2835">
          <cell r="E2835" t="str">
            <v>1-3-06-01-01</v>
          </cell>
          <cell r="F2835" t="str">
            <v>Docs Y Ctas Por Cobrar Empresas Relacion</v>
          </cell>
          <cell r="G2835" t="str">
            <v>EE.RR. bce</v>
          </cell>
        </row>
        <row r="2836">
          <cell r="E2836" t="str">
            <v>1306002</v>
          </cell>
          <cell r="F2836" t="str">
            <v>Cuentas por cobrar a EFE L/P</v>
          </cell>
          <cell r="G2836" t="str">
            <v>EE.RR. bce</v>
          </cell>
        </row>
        <row r="2837">
          <cell r="E2837" t="str">
            <v>1306005</v>
          </cell>
          <cell r="F2837" t="str">
            <v>Cte Cte Mercantil EFE</v>
          </cell>
          <cell r="G2837" t="str">
            <v>EE.RR. bce</v>
          </cell>
        </row>
        <row r="2838">
          <cell r="E2838" t="str">
            <v>1036100070</v>
          </cell>
          <cell r="F2838" t="str">
            <v>Ctas. por cobrar FCALP</v>
          </cell>
          <cell r="G2838" t="str">
            <v>EE.RR. bce</v>
          </cell>
        </row>
        <row r="2839">
          <cell r="E2839" t="str">
            <v>1036100080</v>
          </cell>
          <cell r="F2839" t="str">
            <v>Ctas. por cobrar ITF</v>
          </cell>
          <cell r="G2839" t="str">
            <v>EE.RR. bce</v>
          </cell>
        </row>
        <row r="2842">
          <cell r="E2842" t="str">
            <v>3. Cuentas por Pagar a Entidades Relacionadas, Corrientes</v>
          </cell>
        </row>
        <row r="2843">
          <cell r="E2843" t="str">
            <v>2008100010</v>
          </cell>
          <cell r="F2843" t="str">
            <v>Inmobiliaria Nueva Vía S.A De Corto Plazo</v>
          </cell>
          <cell r="G2843" t="str">
            <v>EE.RR. bce</v>
          </cell>
        </row>
        <row r="2844">
          <cell r="E2844" t="str">
            <v>2008100020</v>
          </cell>
          <cell r="F2844" t="str">
            <v>Metro Regional Valparaíso S.A De Corto Plazo</v>
          </cell>
          <cell r="G2844" t="str">
            <v>EE.RR. bce</v>
          </cell>
        </row>
        <row r="2845">
          <cell r="E2845" t="str">
            <v>2008100030</v>
          </cell>
          <cell r="F2845" t="str">
            <v>Isapre Ferrosalud S.A De Corto Plazo</v>
          </cell>
          <cell r="G2845" t="str">
            <v>EE.RR. bce</v>
          </cell>
        </row>
        <row r="2846">
          <cell r="E2846" t="str">
            <v>2008100040</v>
          </cell>
          <cell r="F2846" t="str">
            <v>Ctas por Pagar EFE</v>
          </cell>
          <cell r="G2846" t="str">
            <v>EE.RR. bce</v>
          </cell>
        </row>
        <row r="2847">
          <cell r="E2847" t="str">
            <v>2008100400</v>
          </cell>
          <cell r="F2847" t="str">
            <v>Provisiones varias EFE</v>
          </cell>
          <cell r="G2847" t="str">
            <v>EE.RR. bce</v>
          </cell>
        </row>
        <row r="2848">
          <cell r="E2848" t="str">
            <v>2008100070</v>
          </cell>
          <cell r="F2848" t="str">
            <v>Ferrocarriles Del Sur S.A De Corto Plazo</v>
          </cell>
          <cell r="G2848" t="str">
            <v>EE.RR. bce</v>
          </cell>
        </row>
        <row r="2849">
          <cell r="E2849" t="str">
            <v>2008100080</v>
          </cell>
          <cell r="F2849" t="str">
            <v>Trenes Metropolitanos S.A  De Corto Plazo</v>
          </cell>
          <cell r="G2849" t="str">
            <v>EE.RR. bce</v>
          </cell>
        </row>
        <row r="2850">
          <cell r="E2850" t="str">
            <v>2008200020</v>
          </cell>
          <cell r="F2850" t="str">
            <v>Cta. Cte. Ferrosur S.A.</v>
          </cell>
          <cell r="G2850" t="str">
            <v>EE.RR. bce</v>
          </cell>
        </row>
        <row r="2851">
          <cell r="E2851" t="str">
            <v>2008200030</v>
          </cell>
          <cell r="F2851" t="str">
            <v>Paseo Estacion Arriendos Percibidos Anticip. C.P</v>
          </cell>
          <cell r="G2851" t="str">
            <v>EE.RR. bce</v>
          </cell>
        </row>
        <row r="2852">
          <cell r="E2852" t="str">
            <v>21050000</v>
          </cell>
          <cell r="F2852" t="str">
            <v>EFE</v>
          </cell>
          <cell r="G2852" t="str">
            <v>EE.RR. bce</v>
          </cell>
        </row>
        <row r="2853">
          <cell r="E2853" t="str">
            <v>2-1-10-01-01</v>
          </cell>
          <cell r="F2853" t="str">
            <v>Docs Y Ctas Por Pagar Emp Relac Cp A Efe</v>
          </cell>
          <cell r="G2853" t="str">
            <v>EE.RR. bce</v>
          </cell>
        </row>
        <row r="2854">
          <cell r="E2854" t="str">
            <v>2-1-10-01-02</v>
          </cell>
          <cell r="F2854" t="str">
            <v>Iv Etapa Docs. Y Ctas. Por Pagar Emp Rel</v>
          </cell>
          <cell r="G2854" t="str">
            <v>EE.RR. bce</v>
          </cell>
        </row>
        <row r="2855">
          <cell r="E2855" t="str">
            <v>2-1-10-01-03</v>
          </cell>
          <cell r="F2855" t="str">
            <v>Cuenta Corriente Mercantil Por Pagar A E</v>
          </cell>
          <cell r="G2855" t="str">
            <v>EE.RR. bce</v>
          </cell>
        </row>
        <row r="2856">
          <cell r="E2856" t="str">
            <v>2009100015</v>
          </cell>
          <cell r="G2856" t="str">
            <v>EE.RR. bce</v>
          </cell>
        </row>
        <row r="2857">
          <cell r="E2857" t="str">
            <v>2009100016</v>
          </cell>
          <cell r="G2857" t="str">
            <v>EE.RR. bce</v>
          </cell>
        </row>
        <row r="2858">
          <cell r="E2858" t="str">
            <v>2109005</v>
          </cell>
          <cell r="F2858" t="str">
            <v>Fondos por Rendir a EFE</v>
          </cell>
          <cell r="G2858" t="str">
            <v>EE.RR. bce</v>
          </cell>
        </row>
        <row r="2859">
          <cell r="E2859" t="str">
            <v>2109003</v>
          </cell>
          <cell r="F2859" t="str">
            <v>Cta. Cte. EFE C.P.</v>
          </cell>
          <cell r="G2859" t="str">
            <v>EE.RR. bce</v>
          </cell>
        </row>
        <row r="2860">
          <cell r="E2860" t="str">
            <v>2109004</v>
          </cell>
          <cell r="F2860" t="str">
            <v>Cta. Cte. ITF C.P.</v>
          </cell>
          <cell r="G2860" t="str">
            <v>EE.RR. bce</v>
          </cell>
        </row>
        <row r="2861">
          <cell r="E2861" t="str">
            <v>2100200200</v>
          </cell>
          <cell r="F2861" t="str">
            <v>Ctas. por pagar EFE C.P.</v>
          </cell>
          <cell r="G2861" t="str">
            <v>EE.RR. bce</v>
          </cell>
        </row>
        <row r="2864">
          <cell r="E2864" t="str">
            <v>3. Cuentas por Pagar a Entidades Relaconadas, No Corrientes</v>
          </cell>
        </row>
        <row r="2865">
          <cell r="E2865" t="str">
            <v>2025100010</v>
          </cell>
          <cell r="F2865" t="str">
            <v>Inmobiliaria Nueva Vía S.A De Largo Plazo</v>
          </cell>
          <cell r="G2865" t="str">
            <v>EE.RR. bce</v>
          </cell>
        </row>
        <row r="2866">
          <cell r="E2866" t="str">
            <v>2025100020</v>
          </cell>
          <cell r="F2866" t="str">
            <v>Metro Regional Valparáiso S.A De Largo Plazo</v>
          </cell>
          <cell r="G2866" t="str">
            <v>EE.RR. bce</v>
          </cell>
        </row>
        <row r="2867">
          <cell r="E2867" t="str">
            <v>2025100060</v>
          </cell>
          <cell r="F2867" t="str">
            <v>Cuenta Por Pagar Efe Largo Plazo</v>
          </cell>
          <cell r="G2867" t="str">
            <v>EE.RR. bce</v>
          </cell>
        </row>
        <row r="2868">
          <cell r="E2868" t="str">
            <v>2029100060</v>
          </cell>
          <cell r="F2868" t="str">
            <v>Arriendos Percibidos Anticipadamente Lp</v>
          </cell>
          <cell r="G2868" t="str">
            <v>EE.RR. bce</v>
          </cell>
        </row>
        <row r="2869">
          <cell r="E2869" t="str">
            <v>2-2-05-01-02</v>
          </cell>
          <cell r="F2869" t="str">
            <v>Deuda Automotores Dólares</v>
          </cell>
          <cell r="G2869" t="str">
            <v>EE.RR. bce</v>
          </cell>
        </row>
        <row r="2870">
          <cell r="E2870" t="str">
            <v>2-2-05-01-03</v>
          </cell>
          <cell r="F2870" t="str">
            <v>Deuda Automotores Uf</v>
          </cell>
          <cell r="G2870" t="str">
            <v>EE.RR. bce</v>
          </cell>
        </row>
        <row r="2871">
          <cell r="E2871" t="str">
            <v>2-2-05-01-04</v>
          </cell>
          <cell r="F2871" t="str">
            <v>Deuda Automotores Pesos</v>
          </cell>
          <cell r="G2871" t="str">
            <v>EE.RR. bce</v>
          </cell>
        </row>
        <row r="2872">
          <cell r="E2872" t="str">
            <v>2025100070</v>
          </cell>
          <cell r="F2872" t="str">
            <v>Cuenta Por Pagar Efe Largo Plazo</v>
          </cell>
          <cell r="G2872" t="str">
            <v>EE.RR. bce</v>
          </cell>
        </row>
        <row r="2873">
          <cell r="E2873" t="str">
            <v>2105000000</v>
          </cell>
          <cell r="F2873" t="str">
            <v>Ctas. por pagar EFE L.P.</v>
          </cell>
          <cell r="G2873" t="str">
            <v>EE.RR. bce</v>
          </cell>
        </row>
        <row r="2874">
          <cell r="E2874" t="str">
            <v>2209004</v>
          </cell>
          <cell r="F2874" t="str">
            <v>Ctas. Por pagar ITF L.P.</v>
          </cell>
          <cell r="G2874" t="str">
            <v>EE.RR. bce</v>
          </cell>
        </row>
        <row r="2879">
          <cell r="E2879" t="str">
            <v>3120400000</v>
          </cell>
          <cell r="F2879" t="str">
            <v>Peaje MERVAL</v>
          </cell>
          <cell r="G2879" t="str">
            <v>EE.RR. estres</v>
          </cell>
        </row>
        <row r="2880">
          <cell r="E2880" t="str">
            <v>3240010001</v>
          </cell>
          <cell r="F2880" t="str">
            <v>Ing Rec Serv Mantencion Vias</v>
          </cell>
          <cell r="G2880" t="str">
            <v>EE.RR. estres</v>
          </cell>
        </row>
        <row r="2881">
          <cell r="E2881" t="str">
            <v>3240050000</v>
          </cell>
          <cell r="F2881" t="str">
            <v>Ing Rec Serv Mantencion SEC</v>
          </cell>
          <cell r="G2881" t="str">
            <v>EE.RR. estres</v>
          </cell>
        </row>
        <row r="2882">
          <cell r="E2882" t="str">
            <v>3240160001</v>
          </cell>
          <cell r="F2882" t="str">
            <v>Ing Rec Serv Mantencion UT440</v>
          </cell>
          <cell r="G2882" t="str">
            <v>EE.RR. estres</v>
          </cell>
        </row>
        <row r="2883">
          <cell r="E2883" t="str">
            <v>3240170001</v>
          </cell>
          <cell r="F2883" t="str">
            <v>Ing Rec Serv Mantencion UT444</v>
          </cell>
          <cell r="G2883" t="str">
            <v>EE.RR. estres</v>
          </cell>
        </row>
        <row r="2884">
          <cell r="E2884" t="str">
            <v>3240210001</v>
          </cell>
          <cell r="F2884" t="str">
            <v>Ing Rec Serv Terceros</v>
          </cell>
          <cell r="G2884" t="str">
            <v>EE.RR. estres</v>
          </cell>
        </row>
        <row r="2885">
          <cell r="E2885" t="str">
            <v>3241000000</v>
          </cell>
          <cell r="F2885" t="str">
            <v>Ing Rec Sueldo Filial</v>
          </cell>
          <cell r="G2885" t="str">
            <v>EE.RR. estres</v>
          </cell>
        </row>
        <row r="2886">
          <cell r="E2886" t="str">
            <v>3242400001</v>
          </cell>
          <cell r="F2886" t="str">
            <v>Ing Rec Energia Traccion</v>
          </cell>
          <cell r="G2886" t="str">
            <v>EE.RR. estres</v>
          </cell>
        </row>
        <row r="2887">
          <cell r="E2887" t="str">
            <v>4100100010</v>
          </cell>
          <cell r="F2887" t="str">
            <v>Sueldo Personal EFE</v>
          </cell>
          <cell r="G2887" t="str">
            <v>EE.RR. estres</v>
          </cell>
        </row>
        <row r="2888">
          <cell r="E2888" t="str">
            <v>4220160000</v>
          </cell>
          <cell r="F2888" t="str">
            <v>Serv Mantencion Automotor UT440</v>
          </cell>
          <cell r="G2888" t="str">
            <v>EE.RR. estres</v>
          </cell>
        </row>
        <row r="2889">
          <cell r="E2889" t="str">
            <v>4220170000</v>
          </cell>
          <cell r="F2889" t="str">
            <v>Serv Mantencion Automotor UT444</v>
          </cell>
          <cell r="G2889" t="str">
            <v>EE.RR. estres</v>
          </cell>
        </row>
        <row r="2890">
          <cell r="E2890" t="str">
            <v>4202400000</v>
          </cell>
          <cell r="F2890" t="str">
            <v>Consumo Energia Electrica Traccion</v>
          </cell>
          <cell r="G2890" t="str">
            <v>EE.RR. estres</v>
          </cell>
        </row>
        <row r="2891">
          <cell r="E2891" t="str">
            <v>4220010000</v>
          </cell>
          <cell r="F2891" t="str">
            <v>Serv Mantencion Vias</v>
          </cell>
          <cell r="G2891" t="str">
            <v>EE.RR. estres</v>
          </cell>
        </row>
        <row r="2892">
          <cell r="E2892" t="str">
            <v>4220050000</v>
          </cell>
          <cell r="F2892" t="str">
            <v>Serv Mantencion Señalizacion</v>
          </cell>
          <cell r="G2892" t="str">
            <v>EE.RR. estres</v>
          </cell>
        </row>
        <row r="2893">
          <cell r="E2893" t="str">
            <v>4220060000</v>
          </cell>
          <cell r="F2893" t="str">
            <v>Serv Mantencion Trafico</v>
          </cell>
          <cell r="G2893" t="str">
            <v>EE.RR. estres</v>
          </cell>
        </row>
        <row r="2894">
          <cell r="E2894" t="str">
            <v>4230210000</v>
          </cell>
          <cell r="F2894" t="str">
            <v>Serv Guardia Seguridad</v>
          </cell>
          <cell r="G2894" t="str">
            <v>EE.RR. estres</v>
          </cell>
        </row>
        <row r="2895">
          <cell r="E2895" t="str">
            <v>4340600000</v>
          </cell>
          <cell r="F2895" t="str">
            <v>IVA no Recuperable</v>
          </cell>
          <cell r="G2895" t="str">
            <v>EE.RR. estres</v>
          </cell>
        </row>
        <row r="2896">
          <cell r="E2896" t="str">
            <v>4100100010</v>
          </cell>
          <cell r="F2896" t="str">
            <v>Sueldo Personal EFE</v>
          </cell>
          <cell r="G2896" t="str">
            <v>EE.RR. estres</v>
          </cell>
        </row>
        <row r="2897">
          <cell r="E2897" t="str">
            <v>4230440000</v>
          </cell>
          <cell r="F2897" t="str">
            <v>Serv Pago Adm Trafico MERVAL</v>
          </cell>
          <cell r="G2897" t="str">
            <v>EE.RR. estres</v>
          </cell>
        </row>
        <row r="2898">
          <cell r="E2898" t="str">
            <v>4250700000</v>
          </cell>
          <cell r="F2898" t="str">
            <v>Transporte Pasajero Chillan-Concepcion</v>
          </cell>
          <cell r="G2898" t="str">
            <v>EE.RR. estres</v>
          </cell>
        </row>
        <row r="2899">
          <cell r="E2899" t="str">
            <v>4250750010</v>
          </cell>
          <cell r="F2899" t="str">
            <v>Comision Tarjetas Creditos y Debitos</v>
          </cell>
          <cell r="G2899" t="str">
            <v>EE.RR. estres</v>
          </cell>
        </row>
        <row r="2900">
          <cell r="E2900" t="str">
            <v>4270300000</v>
          </cell>
          <cell r="F2900" t="str">
            <v>Servicio SAP</v>
          </cell>
          <cell r="G2900" t="str">
            <v>EE.RR. estres</v>
          </cell>
        </row>
        <row r="2901">
          <cell r="E2901" t="str">
            <v>4270700000</v>
          </cell>
          <cell r="F2901" t="str">
            <v>Red Comunicacion</v>
          </cell>
          <cell r="G2901" t="str">
            <v>EE.RR. estres</v>
          </cell>
        </row>
        <row r="2902">
          <cell r="E2902" t="str">
            <v>4270800000</v>
          </cell>
          <cell r="F2902" t="str">
            <v>Suministro Computacional</v>
          </cell>
          <cell r="G2902" t="str">
            <v>EE.RR. estres</v>
          </cell>
        </row>
        <row r="2903">
          <cell r="E2903" t="str">
            <v>4280300000</v>
          </cell>
          <cell r="F2903" t="str">
            <v>Serv Energia Electrica</v>
          </cell>
          <cell r="G2903" t="str">
            <v>EE.RR. estres</v>
          </cell>
        </row>
        <row r="2906">
          <cell r="E2906" t="str">
            <v>3240300010</v>
          </cell>
          <cell r="F2906" t="str">
            <v>Ing Rec Serv Administracion</v>
          </cell>
          <cell r="G2906" t="str">
            <v>EE.RR. estres</v>
          </cell>
        </row>
        <row r="2907">
          <cell r="E2907" t="str">
            <v>3242500000</v>
          </cell>
          <cell r="F2907" t="str">
            <v>Ing Rec Gastos Grales Filial</v>
          </cell>
          <cell r="G2907" t="str">
            <v>EE.RR. estres</v>
          </cell>
        </row>
        <row r="2908">
          <cell r="E2908" t="str">
            <v>4340600000</v>
          </cell>
          <cell r="F2908" t="str">
            <v>IVA no Recuperable</v>
          </cell>
          <cell r="G2908" t="str">
            <v>EE.RR. estres</v>
          </cell>
        </row>
        <row r="2914">
          <cell r="C2914" t="str">
            <v>Empresas</v>
          </cell>
        </row>
        <row r="2915">
          <cell r="C2915" t="str">
            <v>Soc.</v>
          </cell>
          <cell r="D2915" t="str">
            <v>Código</v>
          </cell>
          <cell r="E2915" t="str">
            <v>RUT</v>
          </cell>
          <cell r="F2915" t="str">
            <v>Sociedad</v>
          </cell>
          <cell r="G2915" t="str">
            <v>R.U.T.</v>
          </cell>
          <cell r="H2915" t="str">
            <v>Segmento</v>
          </cell>
        </row>
        <row r="2916">
          <cell r="C2916">
            <v>1</v>
          </cell>
          <cell r="D2916">
            <v>2</v>
          </cell>
          <cell r="E2916">
            <v>3</v>
          </cell>
          <cell r="F2916">
            <v>4</v>
          </cell>
          <cell r="G2916">
            <v>5</v>
          </cell>
          <cell r="H2916">
            <v>6</v>
          </cell>
          <cell r="I2916">
            <v>7</v>
          </cell>
        </row>
        <row r="2918">
          <cell r="C2918" t="str">
            <v>EFE</v>
          </cell>
          <cell r="D2918">
            <v>1000</v>
          </cell>
          <cell r="E2918" t="str">
            <v>61.216.000-7</v>
          </cell>
          <cell r="F2918" t="str">
            <v>Empresa de los Ferrocarriles del Estado</v>
          </cell>
          <cell r="G2918" t="str">
            <v>61.216.000-7</v>
          </cell>
          <cell r="H2918" t="str">
            <v>Infraestrctura ferroviaria</v>
          </cell>
        </row>
        <row r="2919">
          <cell r="C2919" t="str">
            <v>FESUB</v>
          </cell>
          <cell r="D2919">
            <v>1070</v>
          </cell>
          <cell r="E2919" t="str">
            <v>96.756.310-2</v>
          </cell>
          <cell r="F2919" t="str">
            <v>Ferrocarriles Suburbanos de Concepción S.A.</v>
          </cell>
          <cell r="G2919" t="str">
            <v>96.756.310-2</v>
          </cell>
          <cell r="H2919" t="str">
            <v>FESUB</v>
          </cell>
          <cell r="I2919" t="str">
            <v>VIII Región</v>
          </cell>
        </row>
        <row r="2920">
          <cell r="C2920" t="str">
            <v>TERRA</v>
          </cell>
          <cell r="D2920">
            <v>1080</v>
          </cell>
          <cell r="E2920" t="str">
            <v>96.756.300-5</v>
          </cell>
          <cell r="F2920" t="str">
            <v>Ferrocarriles del Sur S.A.</v>
          </cell>
          <cell r="G2920" t="str">
            <v>96.756.300-5</v>
          </cell>
          <cell r="H2920" t="str">
            <v>TERRA</v>
          </cell>
          <cell r="I2920" t="str">
            <v>Stgo. - Chillán - Concepción</v>
          </cell>
        </row>
        <row r="2921">
          <cell r="C2921" t="str">
            <v>TMSA</v>
          </cell>
          <cell r="D2921">
            <v>1090</v>
          </cell>
          <cell r="E2921" t="str">
            <v>96.756.320-K</v>
          </cell>
          <cell r="F2921" t="str">
            <v>Trenes Metropolitanos S.A.</v>
          </cell>
          <cell r="G2921" t="str">
            <v>96.756.320-K</v>
          </cell>
          <cell r="H2921" t="str">
            <v>TMSA</v>
          </cell>
          <cell r="I2921" t="str">
            <v>Santiago - San Fernando</v>
          </cell>
        </row>
        <row r="2922">
          <cell r="C2922" t="str">
            <v>MERVAL</v>
          </cell>
          <cell r="E2922" t="str">
            <v>96.766.340-9</v>
          </cell>
          <cell r="F2922" t="str">
            <v>Metro Regional de Valparaíso S.A.</v>
          </cell>
          <cell r="G2922" t="str">
            <v>96.766.340-9</v>
          </cell>
          <cell r="H2922" t="str">
            <v>MERVAL</v>
          </cell>
          <cell r="I2922" t="str">
            <v>V Región</v>
          </cell>
        </row>
        <row r="2923">
          <cell r="C2923" t="str">
            <v>INVIA</v>
          </cell>
          <cell r="E2923" t="str">
            <v>96.756.340-4</v>
          </cell>
          <cell r="F2923" t="str">
            <v>Inmobiliaria Nueva Vía S.A.</v>
          </cell>
          <cell r="G2923" t="str">
            <v>96.756.340-4</v>
          </cell>
          <cell r="H2923" t="str">
            <v>INVIA</v>
          </cell>
          <cell r="I2923" t="str">
            <v>Sector Inmobiliario</v>
          </cell>
        </row>
        <row r="2924">
          <cell r="C2924" t="str">
            <v>FCALP</v>
          </cell>
          <cell r="E2924" t="str">
            <v>96.769.070-8</v>
          </cell>
          <cell r="F2924" t="str">
            <v>Ferrocarril de Arica a La Paz S.A.</v>
          </cell>
          <cell r="G2924" t="str">
            <v>96.769.070-8</v>
          </cell>
          <cell r="H2924" t="str">
            <v>Otros</v>
          </cell>
        </row>
        <row r="2925">
          <cell r="C2925" t="str">
            <v>ITF</v>
          </cell>
          <cell r="E2925" t="str">
            <v>96.756.330-7</v>
          </cell>
          <cell r="F2925" t="str">
            <v>Infraestructura y Tráfico Ferroviario S.A.</v>
          </cell>
          <cell r="G2925" t="str">
            <v>96.756.330-7</v>
          </cell>
          <cell r="H2925" t="str">
            <v>Otros</v>
          </cell>
        </row>
        <row r="2926">
          <cell r="E2926" t="str">
            <v>96.794.010-0</v>
          </cell>
          <cell r="F2926" t="str">
            <v>Inmobiliaria San Bernardo S.A.</v>
          </cell>
          <cell r="G2926" t="str">
            <v>96.794.010-0</v>
          </cell>
          <cell r="H2926" t="str">
            <v>AJUSTE CONS D</v>
          </cell>
        </row>
        <row r="2939">
          <cell r="D2939" t="str">
            <v>Criterio ctas EE.RR.</v>
          </cell>
          <cell r="E2939">
            <v>2</v>
          </cell>
          <cell r="F2939">
            <v>3</v>
          </cell>
          <cell r="G2939">
            <v>4</v>
          </cell>
          <cell r="H2939">
            <v>5</v>
          </cell>
          <cell r="I2939">
            <v>6</v>
          </cell>
          <cell r="J2939">
            <v>7</v>
          </cell>
          <cell r="K2939">
            <v>8</v>
          </cell>
          <cell r="L2939">
            <v>9</v>
          </cell>
          <cell r="M2939">
            <v>10</v>
          </cell>
          <cell r="N2939">
            <v>11</v>
          </cell>
          <cell r="O2939">
            <v>12</v>
          </cell>
        </row>
        <row r="2940">
          <cell r="E2940" t="str">
            <v>C/L P</v>
          </cell>
          <cell r="F2940" t="str">
            <v>Empresa</v>
          </cell>
          <cell r="G2940" t="str">
            <v>Por a</v>
          </cell>
          <cell r="H2940" t="str">
            <v>D/H</v>
          </cell>
          <cell r="I2940" t="str">
            <v>CUENTA</v>
          </cell>
          <cell r="J2940" t="str">
            <v>CONCEPTO</v>
          </cell>
          <cell r="L2940" t="str">
            <v>AJUSTE</v>
          </cell>
          <cell r="M2940" t="str">
            <v>A</v>
          </cell>
          <cell r="N2940" t="str">
            <v>parea</v>
          </cell>
          <cell r="O2940" t="str">
            <v>Cobrar/Pagar</v>
          </cell>
        </row>
        <row r="2941">
          <cell r="D2941" t="str">
            <v>1007100040EFE</v>
          </cell>
          <cell r="E2941" t="str">
            <v>C.P.</v>
          </cell>
          <cell r="F2941" t="str">
            <v>EFE</v>
          </cell>
          <cell r="G2941" t="str">
            <v>EFE por cobrar a FESUB - C.P.</v>
          </cell>
          <cell r="H2941" t="str">
            <v>D</v>
          </cell>
          <cell r="I2941" t="str">
            <v>1007100040</v>
          </cell>
          <cell r="J2941" t="str">
            <v>Cuenta por cobrar FESUB CORTO PLAZO</v>
          </cell>
          <cell r="K2941" t="str">
            <v>EFE-FESUB</v>
          </cell>
          <cell r="L2941" t="str">
            <v>AJUSTE CONS D</v>
          </cell>
          <cell r="M2941" t="str">
            <v>FESUB</v>
          </cell>
          <cell r="N2941">
            <v>1</v>
          </cell>
          <cell r="O2941" t="str">
            <v>Cobrar o Pagar</v>
          </cell>
        </row>
        <row r="2942">
          <cell r="D2942" t="str">
            <v>1007100151EFE</v>
          </cell>
          <cell r="E2942" t="str">
            <v>C.P.</v>
          </cell>
          <cell r="F2942" t="str">
            <v>EFE</v>
          </cell>
          <cell r="G2942" t="str">
            <v>EFE por cobrar a INVIA - C.P.</v>
          </cell>
          <cell r="H2942" t="str">
            <v>D</v>
          </cell>
          <cell r="I2942" t="str">
            <v>1007100151</v>
          </cell>
          <cell r="J2942" t="str">
            <v>Cta. Cte. Mercantil MERVAL</v>
          </cell>
          <cell r="K2942" t="str">
            <v>EFE-INVIA</v>
          </cell>
          <cell r="L2942" t="str">
            <v>AJUSTE CONS D</v>
          </cell>
          <cell r="M2942" t="str">
            <v>INVIA</v>
          </cell>
          <cell r="N2942">
            <v>1</v>
          </cell>
          <cell r="O2942" t="str">
            <v>Cobrar o Pagar</v>
          </cell>
        </row>
        <row r="2943">
          <cell r="D2943" t="str">
            <v>1007100152EFE</v>
          </cell>
          <cell r="E2943" t="str">
            <v>C.P.</v>
          </cell>
          <cell r="F2943" t="str">
            <v>EFE</v>
          </cell>
          <cell r="G2943" t="str">
            <v>EFE por cobrar a INVIA - C.P.</v>
          </cell>
          <cell r="H2943" t="str">
            <v>D</v>
          </cell>
          <cell r="I2943" t="str">
            <v>1007100152</v>
          </cell>
          <cell r="J2943" t="str">
            <v>Cta. Cte. Mercantil Intereses MERVAL</v>
          </cell>
          <cell r="K2943" t="str">
            <v>EFE-INVIA</v>
          </cell>
          <cell r="L2943" t="str">
            <v>AJUSTE CONS D</v>
          </cell>
          <cell r="M2943" t="str">
            <v>INVIA</v>
          </cell>
          <cell r="N2943">
            <v>1</v>
          </cell>
          <cell r="O2943" t="str">
            <v>Cobrar o Pagar</v>
          </cell>
        </row>
        <row r="2944">
          <cell r="D2944" t="str">
            <v>1007100161EFE</v>
          </cell>
          <cell r="E2944" t="str">
            <v>C.P.</v>
          </cell>
          <cell r="F2944" t="str">
            <v>EFE</v>
          </cell>
          <cell r="G2944" t="str">
            <v>EFE por cobrar a MERVAL - C.P.</v>
          </cell>
          <cell r="H2944" t="str">
            <v>D</v>
          </cell>
          <cell r="I2944" t="str">
            <v>1007100161</v>
          </cell>
          <cell r="J2944" t="str">
            <v>Cta. Cte. Mercantil MERVAL</v>
          </cell>
          <cell r="K2944" t="str">
            <v>EFE-MERVAL</v>
          </cell>
          <cell r="L2944" t="str">
            <v>AJUSTE CONS D</v>
          </cell>
          <cell r="M2944" t="str">
            <v>MERVAL</v>
          </cell>
          <cell r="N2944">
            <v>1</v>
          </cell>
          <cell r="O2944" t="str">
            <v>Cobrar o Pagar</v>
          </cell>
        </row>
        <row r="2945">
          <cell r="D2945" t="str">
            <v>1007100162EFE</v>
          </cell>
          <cell r="E2945" t="str">
            <v>C.P.</v>
          </cell>
          <cell r="F2945" t="str">
            <v>EFE</v>
          </cell>
          <cell r="G2945" t="str">
            <v>EFE por cobrar a MERVAL - C.P.</v>
          </cell>
          <cell r="H2945" t="str">
            <v>D</v>
          </cell>
          <cell r="I2945" t="str">
            <v>1007100162</v>
          </cell>
          <cell r="J2945" t="str">
            <v>Cta. Cte. Mercantil Intereses MERVAL</v>
          </cell>
          <cell r="K2945" t="str">
            <v>EFE-MERVAL</v>
          </cell>
          <cell r="L2945" t="str">
            <v>AJUSTE CONS D</v>
          </cell>
          <cell r="M2945" t="str">
            <v>MERVAL</v>
          </cell>
          <cell r="N2945">
            <v>1</v>
          </cell>
          <cell r="O2945" t="str">
            <v>Cobrar o Pagar</v>
          </cell>
        </row>
        <row r="2946">
          <cell r="D2946" t="str">
            <v>1007100171EFE</v>
          </cell>
          <cell r="E2946" t="str">
            <v>C.P.</v>
          </cell>
          <cell r="F2946" t="str">
            <v>EFE</v>
          </cell>
          <cell r="G2946" t="str">
            <v>EFE por cobrar a FESUB - C.P.</v>
          </cell>
          <cell r="H2946" t="str">
            <v>D</v>
          </cell>
          <cell r="I2946" t="str">
            <v>1007100171</v>
          </cell>
          <cell r="J2946" t="str">
            <v>Cta. Cte. Mercantil FESUB</v>
          </cell>
          <cell r="K2946" t="str">
            <v>EFE-FESUB</v>
          </cell>
          <cell r="L2946" t="str">
            <v>AJUSTE CONS D</v>
          </cell>
          <cell r="M2946" t="str">
            <v>FESUB</v>
          </cell>
          <cell r="N2946">
            <v>1</v>
          </cell>
          <cell r="O2946" t="str">
            <v>Cobrar o Pagar</v>
          </cell>
        </row>
        <row r="2947">
          <cell r="D2947" t="str">
            <v>1007100172EFE</v>
          </cell>
          <cell r="E2947" t="str">
            <v>C.P.</v>
          </cell>
          <cell r="F2947" t="str">
            <v>EFE</v>
          </cell>
          <cell r="G2947" t="str">
            <v>EFE por cobrar a FESUB - C.P.</v>
          </cell>
          <cell r="H2947" t="str">
            <v>D</v>
          </cell>
          <cell r="I2947" t="str">
            <v>1007100172</v>
          </cell>
          <cell r="J2947" t="str">
            <v>Cta. Cte. Mercantil Intereses FESUB</v>
          </cell>
          <cell r="K2947" t="str">
            <v>EFE-FESUB</v>
          </cell>
          <cell r="L2947" t="str">
            <v>AJUSTE CONS D</v>
          </cell>
          <cell r="M2947" t="str">
            <v>FESUB</v>
          </cell>
          <cell r="N2947">
            <v>1</v>
          </cell>
          <cell r="O2947" t="str">
            <v>Cobrar o Pagar</v>
          </cell>
        </row>
        <row r="2948">
          <cell r="D2948" t="str">
            <v>1007100181EFE</v>
          </cell>
          <cell r="E2948" t="str">
            <v>C.P.</v>
          </cell>
          <cell r="F2948" t="str">
            <v>EFE</v>
          </cell>
          <cell r="G2948" t="str">
            <v>EFE por cobrar a TERRA - C.P.</v>
          </cell>
          <cell r="H2948" t="str">
            <v>D</v>
          </cell>
          <cell r="I2948" t="str">
            <v>1007100181</v>
          </cell>
          <cell r="J2948" t="str">
            <v>Cta. Cte. Mercantil TERRA</v>
          </cell>
          <cell r="K2948" t="str">
            <v>EFE-TERRA</v>
          </cell>
          <cell r="L2948" t="str">
            <v>AJUSTE CONS D</v>
          </cell>
          <cell r="M2948" t="str">
            <v>TERRA</v>
          </cell>
          <cell r="N2948">
            <v>1</v>
          </cell>
          <cell r="O2948" t="str">
            <v>Cobrar o Pagar</v>
          </cell>
        </row>
        <row r="2949">
          <cell r="D2949" t="str">
            <v>1007100182EFE</v>
          </cell>
          <cell r="E2949" t="str">
            <v>C.P.</v>
          </cell>
          <cell r="F2949" t="str">
            <v>EFE</v>
          </cell>
          <cell r="G2949" t="str">
            <v>EFE por cobrar a TERRA - C.P.</v>
          </cell>
          <cell r="H2949" t="str">
            <v>D</v>
          </cell>
          <cell r="I2949" t="str">
            <v>1007100182</v>
          </cell>
          <cell r="J2949" t="str">
            <v>Cta. Cte. Mercantil Intereses TERRA</v>
          </cell>
          <cell r="K2949" t="str">
            <v>EFE-TERRA</v>
          </cell>
          <cell r="L2949" t="str">
            <v>AJUSTE CONS D</v>
          </cell>
          <cell r="M2949" t="str">
            <v>TERRA</v>
          </cell>
          <cell r="N2949">
            <v>1</v>
          </cell>
          <cell r="O2949" t="str">
            <v>Cobrar o Pagar</v>
          </cell>
        </row>
        <row r="2950">
          <cell r="D2950" t="str">
            <v>1007100191EFE</v>
          </cell>
          <cell r="E2950" t="str">
            <v>C.P.</v>
          </cell>
          <cell r="F2950" t="str">
            <v>EFE</v>
          </cell>
          <cell r="G2950" t="str">
            <v>EFE por cobrar a TMSA - C.P.</v>
          </cell>
          <cell r="H2950" t="str">
            <v>D</v>
          </cell>
          <cell r="I2950" t="str">
            <v>1007100191</v>
          </cell>
          <cell r="J2950" t="str">
            <v>Cta. Cte. Mercantil TMSA</v>
          </cell>
          <cell r="K2950" t="str">
            <v>EFE-TMSA</v>
          </cell>
          <cell r="L2950" t="str">
            <v>AJUSTE CONS D</v>
          </cell>
          <cell r="M2950" t="str">
            <v>TMSA</v>
          </cell>
          <cell r="N2950">
            <v>1</v>
          </cell>
          <cell r="O2950" t="str">
            <v>Cobrar o Pagar</v>
          </cell>
        </row>
        <row r="2951">
          <cell r="D2951" t="str">
            <v>1007100192EFE</v>
          </cell>
          <cell r="E2951" t="str">
            <v>C.P.</v>
          </cell>
          <cell r="F2951" t="str">
            <v>EFE</v>
          </cell>
          <cell r="G2951" t="str">
            <v>EFE por cobrar a TMSA - C.P.</v>
          </cell>
          <cell r="H2951" t="str">
            <v>D</v>
          </cell>
          <cell r="I2951" t="str">
            <v>1007100192</v>
          </cell>
          <cell r="J2951" t="str">
            <v>Cta. Cte. Mercantil Intereses TMSA</v>
          </cell>
          <cell r="K2951" t="str">
            <v>EFE-TMSA</v>
          </cell>
          <cell r="L2951" t="str">
            <v>AJUSTE CONS D</v>
          </cell>
          <cell r="M2951" t="str">
            <v>TMSA</v>
          </cell>
          <cell r="N2951">
            <v>1</v>
          </cell>
          <cell r="O2951" t="str">
            <v>Cobrar o Pagar</v>
          </cell>
        </row>
        <row r="2952">
          <cell r="D2952" t="str">
            <v>1036100040EFE</v>
          </cell>
          <cell r="E2952" t="str">
            <v>C.P.</v>
          </cell>
          <cell r="F2952" t="str">
            <v>EFE</v>
          </cell>
          <cell r="G2952" t="str">
            <v>EFE por cobrar a FESUB - C.P.</v>
          </cell>
          <cell r="H2952" t="str">
            <v>D</v>
          </cell>
          <cell r="I2952" t="str">
            <v>1036100040</v>
          </cell>
          <cell r="J2952" t="str">
            <v>Cuenta por cobrar FESUB LARGO PLAZO</v>
          </cell>
          <cell r="K2952" t="str">
            <v>EFE-FESUB</v>
          </cell>
          <cell r="L2952" t="str">
            <v>AJUSTE CONS D</v>
          </cell>
          <cell r="M2952" t="str">
            <v>FESUB</v>
          </cell>
          <cell r="N2952">
            <v>1</v>
          </cell>
          <cell r="O2952" t="str">
            <v>Cobrar o Pagar</v>
          </cell>
        </row>
        <row r="2953">
          <cell r="D2953" t="str">
            <v>1007100010EFE</v>
          </cell>
          <cell r="E2953" t="str">
            <v>C.P.</v>
          </cell>
          <cell r="F2953" t="str">
            <v>EFE</v>
          </cell>
          <cell r="G2953" t="str">
            <v>EFE por cobrar a INVIA - C.P.</v>
          </cell>
          <cell r="H2953" t="str">
            <v>D</v>
          </cell>
          <cell r="I2953" t="str">
            <v>1007100010</v>
          </cell>
          <cell r="J2953" t="str">
            <v>Cuenta por cobrar INVIA CORTO PLAZO</v>
          </cell>
          <cell r="K2953" t="str">
            <v>EFE-INVIA</v>
          </cell>
          <cell r="L2953" t="str">
            <v>AJUSTE CONS D</v>
          </cell>
          <cell r="M2953" t="str">
            <v>INVIA</v>
          </cell>
          <cell r="N2953">
            <v>5</v>
          </cell>
          <cell r="O2953" t="str">
            <v>Cobrar o Pagar</v>
          </cell>
        </row>
        <row r="2954">
          <cell r="D2954" t="str">
            <v>2008100010EFE</v>
          </cell>
          <cell r="E2954" t="str">
            <v>C.P.</v>
          </cell>
          <cell r="F2954" t="str">
            <v>EFE</v>
          </cell>
          <cell r="G2954" t="str">
            <v>EFE por pagar a INVIA - C.P.</v>
          </cell>
          <cell r="H2954" t="str">
            <v>H</v>
          </cell>
          <cell r="I2954" t="str">
            <v>2008100010</v>
          </cell>
          <cell r="J2954" t="str">
            <v>Cuenta por pagar INVIA CORTO PLAZO</v>
          </cell>
          <cell r="K2954" t="str">
            <v>EFE-INVIA</v>
          </cell>
          <cell r="L2954" t="str">
            <v>AJUSTE CONS H</v>
          </cell>
          <cell r="M2954" t="str">
            <v>INVIA</v>
          </cell>
          <cell r="N2954">
            <v>55</v>
          </cell>
          <cell r="O2954" t="str">
            <v>Cobrar o Pagar</v>
          </cell>
        </row>
        <row r="2955">
          <cell r="D2955" t="str">
            <v>1007100020EFE</v>
          </cell>
          <cell r="E2955" t="str">
            <v>C.P.</v>
          </cell>
          <cell r="F2955" t="str">
            <v>EFE</v>
          </cell>
          <cell r="G2955" t="str">
            <v>EFE por cobrar a MERVAL - C.P.</v>
          </cell>
          <cell r="H2955" t="str">
            <v>D</v>
          </cell>
          <cell r="I2955" t="str">
            <v>1007100020</v>
          </cell>
          <cell r="J2955" t="str">
            <v>Cuenta por cobrar MERVAL CORTO PLAZO</v>
          </cell>
          <cell r="K2955" t="str">
            <v>EFE-MERVAL</v>
          </cell>
          <cell r="L2955" t="str">
            <v>AJUSTE CONS D</v>
          </cell>
          <cell r="M2955" t="str">
            <v>MERVAL</v>
          </cell>
          <cell r="N2955">
            <v>4</v>
          </cell>
          <cell r="O2955" t="str">
            <v>Cobrar o Pagar</v>
          </cell>
        </row>
        <row r="2956">
          <cell r="D2956" t="str">
            <v>2008100020EFE</v>
          </cell>
          <cell r="E2956" t="str">
            <v>C.P.</v>
          </cell>
          <cell r="F2956" t="str">
            <v>EFE</v>
          </cell>
          <cell r="G2956" t="str">
            <v>EFE por pagar a MERVAL - C.P.</v>
          </cell>
          <cell r="H2956" t="str">
            <v>H</v>
          </cell>
          <cell r="I2956" t="str">
            <v>2008100020</v>
          </cell>
          <cell r="J2956" t="str">
            <v>Cuenta por pagar MERVAL CORTO PLAZO</v>
          </cell>
          <cell r="K2956" t="str">
            <v>EFE-MERVAL</v>
          </cell>
          <cell r="L2956" t="str">
            <v>AJUSTE CONS H</v>
          </cell>
          <cell r="M2956" t="str">
            <v>MERVAL</v>
          </cell>
          <cell r="N2956">
            <v>44</v>
          </cell>
          <cell r="O2956" t="str">
            <v>Cobrar o Pagar</v>
          </cell>
        </row>
        <row r="2957">
          <cell r="D2957" t="str">
            <v>1007100050EFE</v>
          </cell>
          <cell r="E2957" t="str">
            <v>C.P.</v>
          </cell>
          <cell r="F2957" t="str">
            <v>EFE</v>
          </cell>
          <cell r="G2957" t="str">
            <v>EFE por cobrar a TERRA - C.P.</v>
          </cell>
          <cell r="H2957" t="str">
            <v>D</v>
          </cell>
          <cell r="I2957" t="str">
            <v>1007100050</v>
          </cell>
          <cell r="J2957" t="str">
            <v>Cuenta por cobrar TERRA CORTO PLAZO</v>
          </cell>
          <cell r="K2957" t="str">
            <v>EFE-TERRA</v>
          </cell>
          <cell r="L2957" t="str">
            <v>AJUSTE CONS D</v>
          </cell>
          <cell r="M2957" t="str">
            <v>TERRA</v>
          </cell>
          <cell r="N2957">
            <v>2</v>
          </cell>
          <cell r="O2957" t="str">
            <v>Cobrar o Pagar</v>
          </cell>
        </row>
        <row r="2958">
          <cell r="D2958" t="str">
            <v>2008100070EFE</v>
          </cell>
          <cell r="E2958" t="str">
            <v>C.P.</v>
          </cell>
          <cell r="F2958" t="str">
            <v>EFE</v>
          </cell>
          <cell r="G2958" t="str">
            <v>EFE por pagar a TERRA - C.P.</v>
          </cell>
          <cell r="H2958" t="str">
            <v>H</v>
          </cell>
          <cell r="I2958" t="str">
            <v>2008100070</v>
          </cell>
          <cell r="J2958" t="str">
            <v>Cuenta por pagar TERRA CORTO PLAZO</v>
          </cell>
          <cell r="K2958" t="str">
            <v>EFE-TERRA</v>
          </cell>
          <cell r="L2958" t="str">
            <v>AJUSTE CONS H</v>
          </cell>
          <cell r="M2958" t="str">
            <v>TERRA</v>
          </cell>
          <cell r="N2958">
            <v>2</v>
          </cell>
          <cell r="O2958" t="str">
            <v>Cobrar o Pagar</v>
          </cell>
        </row>
        <row r="2959">
          <cell r="D2959" t="str">
            <v>1007100060EFE</v>
          </cell>
          <cell r="E2959" t="str">
            <v>C.P.</v>
          </cell>
          <cell r="F2959" t="str">
            <v>EFE</v>
          </cell>
          <cell r="G2959" t="str">
            <v>EFE por cobrar a TMSA - C.P.</v>
          </cell>
          <cell r="H2959" t="str">
            <v>D</v>
          </cell>
          <cell r="I2959" t="str">
            <v>1007100060</v>
          </cell>
          <cell r="J2959" t="str">
            <v>Cuenta por cobrar TM CORTO PLAZO</v>
          </cell>
          <cell r="K2959" t="str">
            <v>EFE-TMSA</v>
          </cell>
          <cell r="L2959" t="str">
            <v>AJUSTE CONS D</v>
          </cell>
          <cell r="M2959" t="str">
            <v>TMSA</v>
          </cell>
          <cell r="N2959">
            <v>3</v>
          </cell>
          <cell r="O2959" t="str">
            <v>Cobrar o Pagar</v>
          </cell>
        </row>
        <row r="2960">
          <cell r="D2960" t="str">
            <v>2008100080EFE</v>
          </cell>
          <cell r="E2960" t="str">
            <v>C.P.</v>
          </cell>
          <cell r="F2960" t="str">
            <v>EFE</v>
          </cell>
          <cell r="G2960" t="str">
            <v>EFE por pagar a TMSA - C.P.</v>
          </cell>
          <cell r="H2960" t="str">
            <v>H</v>
          </cell>
          <cell r="I2960" t="str">
            <v>2008100080</v>
          </cell>
          <cell r="J2960" t="str">
            <v>Ferrocarriles de pasajeros SA ,CORTO PLAZO</v>
          </cell>
          <cell r="K2960" t="str">
            <v>EFE-TMSA</v>
          </cell>
          <cell r="L2960" t="str">
            <v>AJUSTE CONS H</v>
          </cell>
          <cell r="M2960" t="str">
            <v>TMSA</v>
          </cell>
          <cell r="N2960">
            <v>33</v>
          </cell>
          <cell r="O2960" t="str">
            <v>Cobrar o Pagar</v>
          </cell>
        </row>
        <row r="2961">
          <cell r="D2961" t="str">
            <v>2025100010EFE</v>
          </cell>
          <cell r="E2961" t="str">
            <v>L.P.</v>
          </cell>
          <cell r="F2961" t="str">
            <v>EFE</v>
          </cell>
          <cell r="G2961" t="str">
            <v>EFE por pagar a INVIA - L.P.</v>
          </cell>
          <cell r="H2961" t="str">
            <v>H</v>
          </cell>
          <cell r="I2961" t="str">
            <v>2025100010</v>
          </cell>
          <cell r="J2961" t="str">
            <v>Cuenta por pagar INVIA LARGO PLAZO</v>
          </cell>
          <cell r="K2961" t="str">
            <v>EFE-INVIA</v>
          </cell>
          <cell r="L2961" t="str">
            <v>AJUSTE CONS H</v>
          </cell>
          <cell r="M2961" t="str">
            <v>INVIA</v>
          </cell>
          <cell r="N2961">
            <v>55</v>
          </cell>
          <cell r="O2961" t="str">
            <v>Cobrar o Pagar</v>
          </cell>
        </row>
        <row r="2962">
          <cell r="D2962" t="str">
            <v>1036100020EFE</v>
          </cell>
          <cell r="E2962" t="str">
            <v>L.P.</v>
          </cell>
          <cell r="F2962" t="str">
            <v>EFE</v>
          </cell>
          <cell r="G2962" t="str">
            <v>EFE por cobrar a MERVAL - L.P.</v>
          </cell>
          <cell r="H2962" t="str">
            <v>D</v>
          </cell>
          <cell r="I2962" t="str">
            <v>1036100020</v>
          </cell>
          <cell r="J2962" t="str">
            <v>Cuenta por cobrar MERVAL LARGO PLAZO</v>
          </cell>
          <cell r="K2962" t="str">
            <v>EFE-MERVAL</v>
          </cell>
          <cell r="L2962" t="str">
            <v>AJUSTE CONS D</v>
          </cell>
          <cell r="M2962" t="str">
            <v>MERVAL</v>
          </cell>
          <cell r="N2962">
            <v>4</v>
          </cell>
          <cell r="O2962" t="str">
            <v>Cobrar o Pagar</v>
          </cell>
        </row>
        <row r="2963">
          <cell r="D2963" t="str">
            <v>2025100020EFE</v>
          </cell>
          <cell r="E2963" t="str">
            <v>L.P.</v>
          </cell>
          <cell r="F2963" t="str">
            <v>EFE</v>
          </cell>
          <cell r="G2963" t="str">
            <v>EFE por pagar a MERVAL - L.P.</v>
          </cell>
          <cell r="H2963" t="str">
            <v>H</v>
          </cell>
          <cell r="I2963" t="str">
            <v>2025100020</v>
          </cell>
          <cell r="J2963" t="str">
            <v>Cuenta por pagar MERVAL LARGO PLAZO</v>
          </cell>
          <cell r="K2963" t="str">
            <v>EFE-MERVAL</v>
          </cell>
          <cell r="L2963" t="str">
            <v>AJUSTE CONS H</v>
          </cell>
          <cell r="M2963" t="str">
            <v>MERVAL</v>
          </cell>
          <cell r="N2963">
            <v>44</v>
          </cell>
          <cell r="O2963" t="str">
            <v>Cobrar o Pagar</v>
          </cell>
        </row>
        <row r="2964">
          <cell r="D2964" t="str">
            <v>1036100050EFE</v>
          </cell>
          <cell r="E2964" t="str">
            <v>L.P.</v>
          </cell>
          <cell r="F2964" t="str">
            <v>EFE</v>
          </cell>
          <cell r="G2964" t="str">
            <v>EFE por cobrar a TERRA - L.P.</v>
          </cell>
          <cell r="H2964" t="str">
            <v>D</v>
          </cell>
          <cell r="I2964" t="str">
            <v>1036100050</v>
          </cell>
          <cell r="J2964" t="str">
            <v>Cuenta por cobrar TERRA LARGO PLAZO</v>
          </cell>
          <cell r="K2964" t="str">
            <v>EFE-TERRA</v>
          </cell>
          <cell r="L2964" t="str">
            <v>AJUSTE CONS D</v>
          </cell>
          <cell r="M2964" t="str">
            <v>TERRA</v>
          </cell>
          <cell r="N2964">
            <v>2</v>
          </cell>
          <cell r="O2964" t="str">
            <v>Cobrar o Pagar</v>
          </cell>
        </row>
        <row r="2965">
          <cell r="D2965" t="str">
            <v>1036100060EFE</v>
          </cell>
          <cell r="E2965" t="str">
            <v>L.P.</v>
          </cell>
          <cell r="F2965" t="str">
            <v>EFE</v>
          </cell>
          <cell r="G2965" t="str">
            <v>EFE por cobrar a TMSA - L.P.</v>
          </cell>
          <cell r="H2965" t="str">
            <v>D</v>
          </cell>
          <cell r="I2965" t="str">
            <v>1036100060</v>
          </cell>
          <cell r="J2965" t="str">
            <v>Cuenta por cobrar TM LARGO PLAZO</v>
          </cell>
          <cell r="K2965" t="str">
            <v>EFE-TMSA</v>
          </cell>
          <cell r="L2965" t="str">
            <v>AJUSTE CONS D</v>
          </cell>
          <cell r="M2965" t="str">
            <v>TMSA</v>
          </cell>
          <cell r="N2965">
            <v>3</v>
          </cell>
          <cell r="O2965" t="str">
            <v>Cobrar o Pagar</v>
          </cell>
        </row>
        <row r="2966">
          <cell r="D2966" t="str">
            <v>1036100070EFE</v>
          </cell>
          <cell r="E2966" t="str">
            <v>L.P.</v>
          </cell>
          <cell r="F2966" t="str">
            <v>EFE</v>
          </cell>
          <cell r="G2966" t="str">
            <v>EFE por cobrar a FCALP - L.P.</v>
          </cell>
          <cell r="H2966" t="str">
            <v>D</v>
          </cell>
          <cell r="I2966" t="str">
            <v>1036100070</v>
          </cell>
          <cell r="J2966" t="str">
            <v>Cuenta por cobrar FCALP LARGO PLAZO</v>
          </cell>
          <cell r="K2966" t="str">
            <v>EFE-FCALP</v>
          </cell>
          <cell r="L2966" t="str">
            <v>AJUSTE CONS D</v>
          </cell>
          <cell r="M2966" t="str">
            <v>FCALP</v>
          </cell>
          <cell r="O2966" t="str">
            <v>Cobrar o Pagar</v>
          </cell>
        </row>
        <row r="2967">
          <cell r="D2967" t="str">
            <v>1036100080EFE</v>
          </cell>
          <cell r="E2967" t="str">
            <v>L.P.</v>
          </cell>
          <cell r="F2967" t="str">
            <v>EFE</v>
          </cell>
          <cell r="G2967" t="str">
            <v>EFE por cobrar a ITF - L.P.</v>
          </cell>
          <cell r="H2967" t="str">
            <v>D</v>
          </cell>
          <cell r="I2967" t="str">
            <v>1036100080</v>
          </cell>
          <cell r="J2967" t="str">
            <v>Cuenta por cobrar ITF LARGO PLAZO</v>
          </cell>
          <cell r="K2967" t="str">
            <v>EFE-ITF</v>
          </cell>
          <cell r="L2967" t="str">
            <v>AJUSTE CONS D</v>
          </cell>
          <cell r="M2967" t="str">
            <v>ITF</v>
          </cell>
          <cell r="O2967" t="str">
            <v>Cobrar o Pagar</v>
          </cell>
        </row>
        <row r="2968">
          <cell r="D2968" t="str">
            <v>1007100070EFE</v>
          </cell>
          <cell r="E2968" t="str">
            <v>C.P.</v>
          </cell>
          <cell r="F2968" t="str">
            <v>EFE</v>
          </cell>
          <cell r="G2968" t="str">
            <v>EFE por cobrar a FECALP - C.P.</v>
          </cell>
          <cell r="H2968" t="str">
            <v>D</v>
          </cell>
          <cell r="I2968" t="str">
            <v>1007100070</v>
          </cell>
          <cell r="J2968" t="str">
            <v>Cuenta por cobrar FECALP CORTO PLAZO</v>
          </cell>
          <cell r="K2968" t="str">
            <v>EFE-FCALP</v>
          </cell>
          <cell r="L2968" t="str">
            <v>AJUSTE CONS D</v>
          </cell>
          <cell r="M2968" t="str">
            <v>FCALP</v>
          </cell>
          <cell r="N2968">
            <v>1</v>
          </cell>
          <cell r="O2968" t="str">
            <v>Cobrar o Pagar</v>
          </cell>
        </row>
        <row r="2969">
          <cell r="D2969" t="str">
            <v>1007100080EFE</v>
          </cell>
          <cell r="E2969" t="str">
            <v>C.P.</v>
          </cell>
          <cell r="F2969" t="str">
            <v>EFE</v>
          </cell>
          <cell r="G2969" t="str">
            <v>EFE por cobrar a ITF - C.P.</v>
          </cell>
          <cell r="H2969" t="str">
            <v>D</v>
          </cell>
          <cell r="I2969" t="str">
            <v>1007100080</v>
          </cell>
          <cell r="J2969" t="str">
            <v>Cuenta por cobrar ITF CORTO PLAZO</v>
          </cell>
          <cell r="K2969" t="str">
            <v>EFE-ITF</v>
          </cell>
          <cell r="L2969" t="str">
            <v>AJUSTE CONS D</v>
          </cell>
          <cell r="M2969" t="str">
            <v>ITF</v>
          </cell>
          <cell r="N2969">
            <v>1</v>
          </cell>
          <cell r="O2969" t="str">
            <v>Cobrar o Pagar</v>
          </cell>
        </row>
        <row r="2970">
          <cell r="D2970" t="str">
            <v>1103000000ITF</v>
          </cell>
          <cell r="E2970" t="str">
            <v>C.P.</v>
          </cell>
          <cell r="F2970" t="str">
            <v>ITF</v>
          </cell>
          <cell r="G2970" t="str">
            <v>ITF por cobrar a INVIA - C.P.</v>
          </cell>
          <cell r="H2970" t="str">
            <v>D</v>
          </cell>
          <cell r="I2970" t="str">
            <v>1103000000</v>
          </cell>
          <cell r="J2970" t="str">
            <v>Cuenta por cobrar INVIA CORTO PLAZO</v>
          </cell>
          <cell r="K2970" t="str">
            <v>ITF-INVIA</v>
          </cell>
          <cell r="L2970" t="str">
            <v>AJUSTE CONS D</v>
          </cell>
          <cell r="M2970" t="str">
            <v>INVIA</v>
          </cell>
          <cell r="O2970" t="str">
            <v>Cobrar o Pagar</v>
          </cell>
        </row>
        <row r="2971">
          <cell r="D2971" t="str">
            <v>1203000000ITF</v>
          </cell>
          <cell r="E2971" t="str">
            <v>L.P.</v>
          </cell>
          <cell r="F2971" t="str">
            <v>ITF</v>
          </cell>
          <cell r="G2971" t="str">
            <v>ITF por cobrar a INVIA - L.P.</v>
          </cell>
          <cell r="H2971" t="str">
            <v>D</v>
          </cell>
          <cell r="I2971" t="str">
            <v>1203000000</v>
          </cell>
          <cell r="J2971" t="str">
            <v>Cuenta por cobrar INVIA LARGO PLAZO</v>
          </cell>
          <cell r="K2971" t="str">
            <v>ITF-INVIA</v>
          </cell>
          <cell r="L2971" t="str">
            <v>AJUSTE CONS D</v>
          </cell>
          <cell r="M2971" t="str">
            <v>INVIA</v>
          </cell>
          <cell r="O2971" t="str">
            <v>Cobrar o Pagar</v>
          </cell>
        </row>
        <row r="2975">
          <cell r="D2975" t="str">
            <v>2008100040FESUB</v>
          </cell>
          <cell r="E2975" t="str">
            <v>C.P.</v>
          </cell>
          <cell r="F2975" t="str">
            <v>FESUB</v>
          </cell>
          <cell r="G2975" t="str">
            <v>FESUB por pagar a EFE - C.P.</v>
          </cell>
          <cell r="H2975" t="str">
            <v>H</v>
          </cell>
          <cell r="I2975" t="str">
            <v>2008100040</v>
          </cell>
          <cell r="J2975" t="str">
            <v xml:space="preserve">Cuenta por pagar EFE </v>
          </cell>
          <cell r="K2975" t="str">
            <v>EFE-FESUB</v>
          </cell>
          <cell r="L2975" t="str">
            <v>AJUSTE CONS H</v>
          </cell>
          <cell r="M2975" t="str">
            <v>EFE</v>
          </cell>
          <cell r="N2975">
            <v>1</v>
          </cell>
          <cell r="O2975" t="str">
            <v>Pagar o Cobrar</v>
          </cell>
        </row>
        <row r="2976">
          <cell r="D2976" t="str">
            <v>2025100070FESUB</v>
          </cell>
          <cell r="E2976" t="str">
            <v>L.P.</v>
          </cell>
          <cell r="F2976" t="str">
            <v>FESUB</v>
          </cell>
          <cell r="G2976" t="str">
            <v>FESUB por pagar a EFE - L.P.</v>
          </cell>
          <cell r="H2976" t="str">
            <v>H</v>
          </cell>
          <cell r="I2976" t="str">
            <v>2025100070</v>
          </cell>
          <cell r="J2976" t="str">
            <v xml:space="preserve">Cuenta por pagar EFE </v>
          </cell>
          <cell r="K2976" t="str">
            <v>EFE-FESUB</v>
          </cell>
          <cell r="L2976" t="str">
            <v>AJUSTE CONS H</v>
          </cell>
          <cell r="M2976" t="str">
            <v>EFE</v>
          </cell>
          <cell r="N2976">
            <v>1</v>
          </cell>
          <cell r="O2976" t="str">
            <v>Pagar o Cobrar</v>
          </cell>
        </row>
        <row r="2977">
          <cell r="D2977" t="str">
            <v>1007100173FESUB</v>
          </cell>
          <cell r="E2977" t="str">
            <v>C.P.</v>
          </cell>
          <cell r="F2977" t="str">
            <v>FESUB</v>
          </cell>
          <cell r="G2977" t="str">
            <v>FESUB por pagar a EFE - C.P.</v>
          </cell>
          <cell r="H2977" t="str">
            <v>H</v>
          </cell>
          <cell r="I2977" t="str">
            <v>1007100173</v>
          </cell>
          <cell r="J2977" t="str">
            <v>Ca. Cte. Mercantil EFE (terra)</v>
          </cell>
          <cell r="K2977" t="str">
            <v>EFE-FESUB</v>
          </cell>
          <cell r="L2977" t="str">
            <v>AJUSTE CONS H</v>
          </cell>
          <cell r="M2977" t="str">
            <v>EFE</v>
          </cell>
          <cell r="N2977">
            <v>1</v>
          </cell>
          <cell r="O2977" t="str">
            <v>Pagar o Cobrar</v>
          </cell>
        </row>
        <row r="2978">
          <cell r="D2978" t="str">
            <v>1007100174FESUB</v>
          </cell>
          <cell r="E2978" t="str">
            <v>L.P.</v>
          </cell>
          <cell r="F2978" t="str">
            <v>FESUB</v>
          </cell>
          <cell r="G2978" t="str">
            <v>FESUB por pagar a EFE - L.P.</v>
          </cell>
          <cell r="H2978" t="str">
            <v>H</v>
          </cell>
          <cell r="I2978" t="str">
            <v>1007100174</v>
          </cell>
          <cell r="J2978" t="str">
            <v>Ca. Cte. Mercantil Intereses EFE (terra)</v>
          </cell>
          <cell r="K2978" t="str">
            <v>EFE-FESUB</v>
          </cell>
          <cell r="L2978" t="str">
            <v>AJUSTE CONS H</v>
          </cell>
          <cell r="M2978" t="str">
            <v>EFE</v>
          </cell>
          <cell r="N2978">
            <v>1</v>
          </cell>
          <cell r="O2978" t="str">
            <v>Pagar o Cobrar</v>
          </cell>
        </row>
        <row r="2979">
          <cell r="D2979" t="str">
            <v>1106107INVIA</v>
          </cell>
          <cell r="E2979" t="str">
            <v>C.P.</v>
          </cell>
          <cell r="F2979" t="str">
            <v>INVIA</v>
          </cell>
          <cell r="G2979" t="str">
            <v>INVIA por cobrar a EFE - C.P.</v>
          </cell>
          <cell r="H2979" t="str">
            <v>D</v>
          </cell>
          <cell r="I2979" t="str">
            <v>1106107</v>
          </cell>
          <cell r="J2979" t="str">
            <v>Documentos y ctas por cobrar LARGO PLAZO</v>
          </cell>
          <cell r="K2979" t="str">
            <v>EFE-INVIA</v>
          </cell>
          <cell r="L2979" t="str">
            <v>AJUSTE CONS D</v>
          </cell>
          <cell r="M2979" t="str">
            <v>EFE</v>
          </cell>
          <cell r="N2979">
            <v>55</v>
          </cell>
          <cell r="O2979" t="str">
            <v>Pagar o Cobrar</v>
          </cell>
        </row>
        <row r="2980">
          <cell r="D2980" t="str">
            <v>1106110INVIA</v>
          </cell>
          <cell r="E2980" t="str">
            <v>C.P.</v>
          </cell>
          <cell r="F2980" t="str">
            <v>INVIA</v>
          </cell>
          <cell r="G2980" t="str">
            <v>INVIA por cobrar a EFE - C.P.</v>
          </cell>
          <cell r="H2980" t="str">
            <v>D</v>
          </cell>
          <cell r="I2980" t="str">
            <v>1106110</v>
          </cell>
          <cell r="J2980" t="str">
            <v>Documentos y ctas por cobrar LARGO PLAZO</v>
          </cell>
          <cell r="K2980" t="str">
            <v>EFE-INVIA</v>
          </cell>
          <cell r="L2980" t="str">
            <v>AJUSTE CONS D</v>
          </cell>
          <cell r="M2980" t="str">
            <v>EFE</v>
          </cell>
          <cell r="N2980">
            <v>55</v>
          </cell>
          <cell r="O2980" t="str">
            <v>Pagar o Cobrar</v>
          </cell>
        </row>
        <row r="2981">
          <cell r="D2981" t="str">
            <v>1104114INVIA</v>
          </cell>
          <cell r="E2981" t="str">
            <v>C.P.</v>
          </cell>
          <cell r="F2981" t="str">
            <v>INVIA</v>
          </cell>
          <cell r="G2981" t="str">
            <v>INVIA por cobrar a EFE - C.P.</v>
          </cell>
          <cell r="H2981" t="str">
            <v>D</v>
          </cell>
          <cell r="I2981" t="str">
            <v>1104114</v>
          </cell>
          <cell r="J2981" t="str">
            <v>Documentos y ctas por cobrar LARGO PLAZO</v>
          </cell>
          <cell r="K2981" t="str">
            <v>EFE-INVIA</v>
          </cell>
          <cell r="L2981" t="str">
            <v>AJUSTE CONS D</v>
          </cell>
          <cell r="M2981" t="str">
            <v>EFE</v>
          </cell>
          <cell r="N2981">
            <v>55</v>
          </cell>
          <cell r="O2981" t="str">
            <v>Pagar o Cobrar</v>
          </cell>
        </row>
        <row r="2982">
          <cell r="D2982" t="str">
            <v>1306002INVIA</v>
          </cell>
          <cell r="E2982" t="str">
            <v>L.P.</v>
          </cell>
          <cell r="F2982" t="str">
            <v>INVIA</v>
          </cell>
          <cell r="G2982" t="str">
            <v>INVIA por cobrar a EFE - L.P.</v>
          </cell>
          <cell r="H2982" t="str">
            <v>D</v>
          </cell>
          <cell r="I2982" t="str">
            <v>1306002</v>
          </cell>
          <cell r="J2982" t="str">
            <v>Documentos y ctas por cobrar LARGO PLAZO</v>
          </cell>
          <cell r="K2982" t="str">
            <v>EFE-INVIA</v>
          </cell>
          <cell r="L2982" t="str">
            <v>AJUSTE CONS D</v>
          </cell>
          <cell r="M2982" t="str">
            <v>EFE</v>
          </cell>
          <cell r="N2982">
            <v>55</v>
          </cell>
          <cell r="O2982" t="str">
            <v>Pagar o Cobrar</v>
          </cell>
        </row>
        <row r="2983">
          <cell r="D2983" t="str">
            <v>1306005INVIA</v>
          </cell>
          <cell r="E2983" t="str">
            <v>L.P.</v>
          </cell>
          <cell r="F2983" t="str">
            <v>INVIA</v>
          </cell>
          <cell r="G2983" t="str">
            <v>INVIA por cobrar a EFE - L.P.</v>
          </cell>
          <cell r="H2983" t="str">
            <v>D</v>
          </cell>
          <cell r="I2983" t="str">
            <v>1306005</v>
          </cell>
          <cell r="J2983" t="str">
            <v>Documentos y ctas por cobrar LARGO PLAZO</v>
          </cell>
          <cell r="K2983" t="str">
            <v>EFE-INVIA</v>
          </cell>
          <cell r="L2983" t="str">
            <v>AJUSTE CONS D</v>
          </cell>
          <cell r="M2983" t="str">
            <v>EFE</v>
          </cell>
          <cell r="N2983">
            <v>55</v>
          </cell>
          <cell r="O2983" t="str">
            <v>Pagar o Cobrar</v>
          </cell>
        </row>
        <row r="2984">
          <cell r="D2984" t="str">
            <v>2109005INVIA</v>
          </cell>
          <cell r="E2984" t="str">
            <v>C.P.</v>
          </cell>
          <cell r="F2984" t="str">
            <v>INVIA</v>
          </cell>
          <cell r="G2984" t="str">
            <v>INVIA por pagar a EFE - C.P.</v>
          </cell>
          <cell r="H2984" t="str">
            <v>H</v>
          </cell>
          <cell r="I2984" t="str">
            <v>2109005</v>
          </cell>
          <cell r="J2984" t="str">
            <v>Documentos y ctas por cobrar LARGO PLAZO</v>
          </cell>
          <cell r="K2984" t="str">
            <v>EFE-INVIA</v>
          </cell>
          <cell r="L2984" t="str">
            <v>AJUSTE CONS D</v>
          </cell>
          <cell r="M2984" t="str">
            <v>EFE</v>
          </cell>
          <cell r="N2984">
            <v>55</v>
          </cell>
          <cell r="O2984" t="str">
            <v>Pagar o Cobrar</v>
          </cell>
        </row>
        <row r="2985">
          <cell r="D2985" t="str">
            <v>2109003INVIA</v>
          </cell>
          <cell r="E2985" t="str">
            <v>C.P.</v>
          </cell>
          <cell r="F2985" t="str">
            <v>INVIA</v>
          </cell>
          <cell r="G2985" t="str">
            <v>INVIA por pagar a EFE - C.P.</v>
          </cell>
          <cell r="H2985" t="str">
            <v>H</v>
          </cell>
          <cell r="I2985" t="str">
            <v>2109003</v>
          </cell>
          <cell r="J2985" t="str">
            <v>Documentos y ctas por cobrar LARGO PLAZO</v>
          </cell>
          <cell r="K2985" t="str">
            <v>EFE-INVIA</v>
          </cell>
          <cell r="L2985" t="str">
            <v>AJUSTE CONS D</v>
          </cell>
          <cell r="M2985" t="str">
            <v>EFE</v>
          </cell>
          <cell r="N2985">
            <v>55</v>
          </cell>
          <cell r="O2985" t="str">
            <v>Pagar o Cobrar</v>
          </cell>
        </row>
        <row r="2986">
          <cell r="D2986" t="str">
            <v>1-1-07-01-01MERVAL</v>
          </cell>
          <cell r="E2986" t="str">
            <v>C.P.</v>
          </cell>
          <cell r="F2986" t="str">
            <v>MERVAL</v>
          </cell>
          <cell r="G2986" t="str">
            <v>MERVAL por cobrar a EFE - C.P.</v>
          </cell>
          <cell r="H2986" t="str">
            <v>D</v>
          </cell>
          <cell r="I2986" t="str">
            <v>1-1-07-01-01</v>
          </cell>
          <cell r="J2986" t="str">
            <v>MERVAL por cobrar a EFE CORTO PLAZO</v>
          </cell>
          <cell r="K2986" t="str">
            <v>EFE-MERVAL</v>
          </cell>
          <cell r="L2986" t="str">
            <v>AJUSTE CONS D</v>
          </cell>
          <cell r="M2986" t="str">
            <v>EFE</v>
          </cell>
          <cell r="N2986">
            <v>44</v>
          </cell>
          <cell r="O2986" t="str">
            <v>Pagar o Cobrar</v>
          </cell>
        </row>
        <row r="2987">
          <cell r="D2987" t="str">
            <v>1-1-07-01-02MERVAL</v>
          </cell>
          <cell r="E2987" t="str">
            <v>C.P.</v>
          </cell>
          <cell r="F2987" t="str">
            <v>MERVAL</v>
          </cell>
          <cell r="G2987" t="str">
            <v>MERVAL por cobrar a EFE - C.P.</v>
          </cell>
          <cell r="H2987" t="str">
            <v>D</v>
          </cell>
          <cell r="I2987" t="str">
            <v>1-1-07-01-02</v>
          </cell>
          <cell r="J2987" t="str">
            <v>IV Etapa Doctos y Ctas por cobrar a EFE</v>
          </cell>
          <cell r="K2987" t="str">
            <v>EFE-MERVAL</v>
          </cell>
          <cell r="L2987" t="str">
            <v>AJUSTE CONS D</v>
          </cell>
          <cell r="M2987" t="str">
            <v>EFE</v>
          </cell>
          <cell r="N2987">
            <v>44</v>
          </cell>
          <cell r="O2987" t="str">
            <v>Pagar o Cobrar</v>
          </cell>
        </row>
        <row r="2988">
          <cell r="D2988" t="str">
            <v>2-1-10-01-01MERVAL</v>
          </cell>
          <cell r="E2988" t="str">
            <v>C.P.</v>
          </cell>
          <cell r="F2988" t="str">
            <v>MERVAL</v>
          </cell>
          <cell r="G2988" t="str">
            <v>MERVAL por pagar a EFE - C.P.</v>
          </cell>
          <cell r="H2988" t="str">
            <v>H</v>
          </cell>
          <cell r="I2988" t="str">
            <v>2-1-10-01-01</v>
          </cell>
          <cell r="J2988" t="str">
            <v>MERVAL por pagar a EFE</v>
          </cell>
          <cell r="K2988" t="str">
            <v>EFE-MERVAL</v>
          </cell>
          <cell r="L2988" t="str">
            <v>AJUSTE CONS H</v>
          </cell>
          <cell r="M2988" t="str">
            <v>EFE</v>
          </cell>
          <cell r="N2988">
            <v>4</v>
          </cell>
          <cell r="O2988" t="str">
            <v>Pagar o Cobrar</v>
          </cell>
        </row>
        <row r="2989">
          <cell r="D2989" t="str">
            <v>2-1-10-01-02MERVAL</v>
          </cell>
          <cell r="E2989" t="str">
            <v>C.P.</v>
          </cell>
          <cell r="F2989" t="str">
            <v>MERVAL</v>
          </cell>
          <cell r="G2989" t="str">
            <v>MERVAL por pagar a EFE - C.P.</v>
          </cell>
          <cell r="H2989" t="str">
            <v>H</v>
          </cell>
          <cell r="I2989" t="str">
            <v>2-1-10-01-02</v>
          </cell>
          <cell r="J2989" t="str">
            <v>IV Etapa por pagar a EFE</v>
          </cell>
          <cell r="K2989" t="str">
            <v>EFE-MERVAL</v>
          </cell>
          <cell r="L2989" t="str">
            <v>AJUSTE CONS H</v>
          </cell>
          <cell r="M2989" t="str">
            <v>EFE</v>
          </cell>
          <cell r="N2989">
            <v>4</v>
          </cell>
          <cell r="O2989" t="str">
            <v>Pagar o Cobrar</v>
          </cell>
        </row>
        <row r="2990">
          <cell r="D2990" t="str">
            <v>2-1-10-01-03MERVAL</v>
          </cell>
          <cell r="E2990" t="str">
            <v>C.P.</v>
          </cell>
          <cell r="F2990" t="str">
            <v>MERVAL</v>
          </cell>
          <cell r="G2990" t="str">
            <v>MERVAL por pagar a EFE - C.P.</v>
          </cell>
          <cell r="H2990" t="str">
            <v>H</v>
          </cell>
          <cell r="I2990" t="str">
            <v>2-1-10-01-03</v>
          </cell>
          <cell r="J2990" t="str">
            <v>Cta Cte Mercantil por pagar a EFE</v>
          </cell>
          <cell r="K2990" t="str">
            <v>EFE-MERVAL</v>
          </cell>
          <cell r="L2990" t="str">
            <v>AJUSTE CONS H</v>
          </cell>
          <cell r="M2990" t="str">
            <v>EFE</v>
          </cell>
          <cell r="N2990">
            <v>4</v>
          </cell>
          <cell r="O2990" t="str">
            <v>Pagar o Cobrar</v>
          </cell>
        </row>
        <row r="2991">
          <cell r="D2991" t="str">
            <v>1-3-06-01-01MERVAL</v>
          </cell>
          <cell r="E2991" t="str">
            <v>L.P.</v>
          </cell>
          <cell r="F2991" t="str">
            <v>MERVAL</v>
          </cell>
          <cell r="G2991" t="str">
            <v>MERVAL por cobrar a EFE - L.P.</v>
          </cell>
          <cell r="H2991" t="str">
            <v>D</v>
          </cell>
          <cell r="I2991" t="str">
            <v>1-3-06-01-01</v>
          </cell>
          <cell r="J2991" t="str">
            <v>MERVAL por cobrar a EFE LARGO PLAZO</v>
          </cell>
          <cell r="K2991" t="str">
            <v>EFE-MERVAL</v>
          </cell>
          <cell r="L2991" t="str">
            <v>AJUSTE CONS D</v>
          </cell>
          <cell r="M2991" t="str">
            <v>EFE</v>
          </cell>
          <cell r="N2991">
            <v>44</v>
          </cell>
          <cell r="O2991" t="str">
            <v>Pagar o Cobrar</v>
          </cell>
        </row>
        <row r="2992">
          <cell r="D2992" t="str">
            <v>2-2-05-01-02MERVAL</v>
          </cell>
          <cell r="E2992" t="str">
            <v>L.P.</v>
          </cell>
          <cell r="F2992" t="str">
            <v>MERVAL</v>
          </cell>
          <cell r="G2992" t="str">
            <v>MERVAL por pagar a EFE - L.P.</v>
          </cell>
          <cell r="H2992" t="str">
            <v>H</v>
          </cell>
          <cell r="I2992" t="str">
            <v>2-2-05-01-02</v>
          </cell>
          <cell r="J2992" t="str">
            <v>Deuda Automotores a EFE en Dolares</v>
          </cell>
          <cell r="K2992" t="str">
            <v>EFE-MERVAL</v>
          </cell>
          <cell r="L2992" t="str">
            <v>AJUSTE CONS H</v>
          </cell>
          <cell r="M2992" t="str">
            <v>EFE</v>
          </cell>
          <cell r="N2992">
            <v>4</v>
          </cell>
          <cell r="O2992" t="str">
            <v>Pagar o Cobrar</v>
          </cell>
        </row>
        <row r="2993">
          <cell r="D2993" t="str">
            <v>2-2-05-01-03MERVAL</v>
          </cell>
          <cell r="E2993" t="str">
            <v>L.P.</v>
          </cell>
          <cell r="F2993" t="str">
            <v>MERVAL</v>
          </cell>
          <cell r="G2993" t="str">
            <v>MERVAL por pagar a EFE - L.P.</v>
          </cell>
          <cell r="H2993" t="str">
            <v>H</v>
          </cell>
          <cell r="I2993" t="str">
            <v>2-2-05-01-03</v>
          </cell>
          <cell r="J2993" t="str">
            <v>Deuda Automotores a EFE en U.F.</v>
          </cell>
          <cell r="K2993" t="str">
            <v>EFE-MERVAL</v>
          </cell>
          <cell r="L2993" t="str">
            <v>AJUSTE CONS H</v>
          </cell>
          <cell r="M2993" t="str">
            <v>EFE</v>
          </cell>
          <cell r="N2993">
            <v>4</v>
          </cell>
          <cell r="O2993" t="str">
            <v>Pagar o Cobrar</v>
          </cell>
        </row>
        <row r="2994">
          <cell r="D2994" t="str">
            <v>2-2-05-01-04MERVAL</v>
          </cell>
          <cell r="E2994" t="str">
            <v>L.P.</v>
          </cell>
          <cell r="F2994" t="str">
            <v>MERVAL</v>
          </cell>
          <cell r="G2994" t="str">
            <v>MERVAL por pagar a EFE - L.P.</v>
          </cell>
          <cell r="H2994" t="str">
            <v>H</v>
          </cell>
          <cell r="I2994" t="str">
            <v>2-2-05-01-04</v>
          </cell>
          <cell r="J2994" t="str">
            <v>Deuda Automotores a EFE en Pesos</v>
          </cell>
          <cell r="K2994" t="str">
            <v>EFE-MERVAL</v>
          </cell>
          <cell r="L2994" t="str">
            <v>AJUSTE CONS H</v>
          </cell>
          <cell r="M2994" t="str">
            <v>EFE</v>
          </cell>
          <cell r="N2994">
            <v>4</v>
          </cell>
          <cell r="O2994" t="str">
            <v>Pagar o Cobrar</v>
          </cell>
        </row>
        <row r="2995">
          <cell r="D2995" t="str">
            <v>1007100015TERRA</v>
          </cell>
          <cell r="E2995" t="str">
            <v>C.P.</v>
          </cell>
          <cell r="F2995" t="str">
            <v>TERRA</v>
          </cell>
          <cell r="G2995" t="str">
            <v>TERRA por cobrar a EFE - C.P.</v>
          </cell>
          <cell r="H2995" t="str">
            <v>D</v>
          </cell>
          <cell r="I2995" t="str">
            <v>1007100015</v>
          </cell>
          <cell r="J2995" t="str">
            <v>Cuenta por cobrar EFE CORTO PLAZO</v>
          </cell>
          <cell r="K2995" t="str">
            <v>EFE-TERRA</v>
          </cell>
          <cell r="L2995" t="str">
            <v>AJUSTE CONS D</v>
          </cell>
          <cell r="M2995" t="str">
            <v>EFE</v>
          </cell>
          <cell r="N2995">
            <v>33</v>
          </cell>
          <cell r="O2995" t="str">
            <v>Pagar o Cobrar</v>
          </cell>
        </row>
        <row r="2996">
          <cell r="D2996" t="str">
            <v>2008100040TERRA</v>
          </cell>
          <cell r="E2996" t="str">
            <v>C.P.</v>
          </cell>
          <cell r="F2996" t="str">
            <v>TERRA</v>
          </cell>
          <cell r="G2996" t="str">
            <v>TERRA por pagar a EFE - C.P.</v>
          </cell>
          <cell r="H2996" t="str">
            <v>H</v>
          </cell>
          <cell r="I2996" t="str">
            <v>2008100040</v>
          </cell>
          <cell r="J2996" t="str">
            <v>Cuenta por pagar EFE CORTO PLAZO</v>
          </cell>
          <cell r="K2996" t="str">
            <v>EFE-TERRA</v>
          </cell>
          <cell r="L2996" t="str">
            <v>AJUSTE CONS H</v>
          </cell>
          <cell r="M2996" t="str">
            <v>EFE</v>
          </cell>
          <cell r="N2996">
            <v>2</v>
          </cell>
          <cell r="O2996" t="str">
            <v>Pagar o Cobrar</v>
          </cell>
        </row>
        <row r="2997">
          <cell r="D2997" t="str">
            <v>2025100060TERRA</v>
          </cell>
          <cell r="E2997" t="str">
            <v>L.P.</v>
          </cell>
          <cell r="F2997" t="str">
            <v>TERRA</v>
          </cell>
          <cell r="G2997" t="str">
            <v>TERRA por pagar a EFE - L.P.</v>
          </cell>
          <cell r="H2997" t="str">
            <v>H</v>
          </cell>
          <cell r="I2997" t="str">
            <v>2025100060</v>
          </cell>
          <cell r="J2997" t="str">
            <v>Cuenta por pagar EFE LARGO PLAZO</v>
          </cell>
          <cell r="K2997" t="str">
            <v>EFE-TERRA</v>
          </cell>
          <cell r="L2997" t="str">
            <v>AJUSTE CONS H</v>
          </cell>
          <cell r="M2997" t="str">
            <v>EFE</v>
          </cell>
          <cell r="N2997">
            <v>2</v>
          </cell>
          <cell r="O2997" t="str">
            <v>Pagar o Cobrar</v>
          </cell>
        </row>
        <row r="2998">
          <cell r="D2998" t="str">
            <v>1007100183TERRA</v>
          </cell>
          <cell r="E2998" t="str">
            <v>C.P.</v>
          </cell>
          <cell r="F2998" t="str">
            <v>TERRA</v>
          </cell>
          <cell r="G2998" t="str">
            <v>TERRA por pagar a EFE - C.P.</v>
          </cell>
          <cell r="H2998" t="str">
            <v>H</v>
          </cell>
          <cell r="I2998" t="str">
            <v>1007100183</v>
          </cell>
          <cell r="J2998" t="str">
            <v>Ca. Cte. Mercantil EFE (terra)</v>
          </cell>
          <cell r="K2998" t="str">
            <v>EFE-TERRA</v>
          </cell>
          <cell r="L2998" t="str">
            <v>AJUSTE CONS H</v>
          </cell>
          <cell r="M2998" t="str">
            <v>EFE</v>
          </cell>
          <cell r="N2998">
            <v>2</v>
          </cell>
          <cell r="O2998" t="str">
            <v>Pagar o Cobrar</v>
          </cell>
        </row>
        <row r="2999">
          <cell r="D2999" t="str">
            <v>1007100184TERRA</v>
          </cell>
          <cell r="E2999" t="str">
            <v>L.P.</v>
          </cell>
          <cell r="F2999" t="str">
            <v>TERRA</v>
          </cell>
          <cell r="G2999" t="str">
            <v>TERRA por pagar a EFE - L.P.</v>
          </cell>
          <cell r="H2999" t="str">
            <v>H</v>
          </cell>
          <cell r="I2999" t="str">
            <v>1007100184</v>
          </cell>
          <cell r="J2999" t="str">
            <v>Ca. Cte. Mercantil Intereses EFE (terra)</v>
          </cell>
          <cell r="K2999" t="str">
            <v>EFE-TERRA</v>
          </cell>
          <cell r="L2999" t="str">
            <v>AJUSTE CONS H</v>
          </cell>
          <cell r="M2999" t="str">
            <v>EFE</v>
          </cell>
          <cell r="N2999">
            <v>2</v>
          </cell>
          <cell r="O2999" t="str">
            <v>Pagar o Cobrar</v>
          </cell>
        </row>
        <row r="3000">
          <cell r="D3000" t="str">
            <v>1007100015TMSA</v>
          </cell>
          <cell r="E3000" t="str">
            <v>C.P.</v>
          </cell>
          <cell r="F3000" t="str">
            <v>TMSA</v>
          </cell>
          <cell r="G3000" t="str">
            <v>TMSA por cobrar a EFE - C.P.</v>
          </cell>
          <cell r="H3000" t="str">
            <v>D</v>
          </cell>
          <cell r="I3000" t="str">
            <v>1007100015</v>
          </cell>
          <cell r="J3000" t="str">
            <v>Cuenta por cobrar EFE CORTO PLAZO</v>
          </cell>
          <cell r="K3000" t="str">
            <v>EFE-TMSA</v>
          </cell>
          <cell r="L3000" t="str">
            <v>AJUSTE CONS D</v>
          </cell>
          <cell r="M3000" t="str">
            <v>EFE</v>
          </cell>
          <cell r="N3000">
            <v>33</v>
          </cell>
          <cell r="O3000" t="str">
            <v>Pagar o Cobrar</v>
          </cell>
        </row>
        <row r="3001">
          <cell r="D3001" t="str">
            <v>1007100061TMSA</v>
          </cell>
          <cell r="E3001" t="str">
            <v>C.P.</v>
          </cell>
          <cell r="F3001" t="str">
            <v>TMSA</v>
          </cell>
          <cell r="G3001" t="str">
            <v>TMSA por cobrar a EFE - C.P.</v>
          </cell>
          <cell r="H3001" t="str">
            <v>D</v>
          </cell>
          <cell r="I3001" t="str">
            <v>1007100061</v>
          </cell>
          <cell r="J3001" t="str">
            <v>Cuenta por cobrar EFE CORTO PLAZO</v>
          </cell>
          <cell r="K3001" t="str">
            <v>EFE-TMSA</v>
          </cell>
          <cell r="L3001" t="str">
            <v>AJUSTE CONS D</v>
          </cell>
          <cell r="M3001" t="str">
            <v>EFE</v>
          </cell>
          <cell r="N3001">
            <v>33</v>
          </cell>
          <cell r="O3001" t="str">
            <v>Pagar o Cobrar</v>
          </cell>
        </row>
        <row r="3002">
          <cell r="D3002" t="str">
            <v>2008100040TMSA</v>
          </cell>
          <cell r="E3002" t="str">
            <v>C.P.</v>
          </cell>
          <cell r="F3002" t="str">
            <v>TMSA</v>
          </cell>
          <cell r="G3002" t="str">
            <v>TMSA por pagar a EFE - C.P.</v>
          </cell>
          <cell r="H3002" t="str">
            <v>H</v>
          </cell>
          <cell r="I3002" t="str">
            <v>2008100040</v>
          </cell>
          <cell r="J3002" t="str">
            <v xml:space="preserve">Cuenta por pagar EFE </v>
          </cell>
          <cell r="K3002" t="str">
            <v>EFE-TMSA</v>
          </cell>
          <cell r="L3002" t="str">
            <v>AJUSTE CONS H</v>
          </cell>
          <cell r="M3002" t="str">
            <v>EFE</v>
          </cell>
          <cell r="N3002">
            <v>3</v>
          </cell>
          <cell r="O3002" t="str">
            <v>Pagar o Cobrar</v>
          </cell>
        </row>
        <row r="3003">
          <cell r="D3003" t="str">
            <v>2008100400TMSA</v>
          </cell>
          <cell r="E3003" t="str">
            <v>C.P.</v>
          </cell>
          <cell r="F3003" t="str">
            <v>TMSA</v>
          </cell>
          <cell r="G3003" t="str">
            <v>TMSA por pagar a EFE - C.P.</v>
          </cell>
          <cell r="H3003" t="str">
            <v>H</v>
          </cell>
          <cell r="I3003" t="str">
            <v>2008100400</v>
          </cell>
          <cell r="J3003" t="str">
            <v>Provisiones Varias de Automotores</v>
          </cell>
          <cell r="K3003" t="str">
            <v>EFE-TMSA</v>
          </cell>
          <cell r="L3003" t="str">
            <v>AJUSTE CONS H</v>
          </cell>
          <cell r="M3003" t="str">
            <v>EFE</v>
          </cell>
          <cell r="N3003">
            <v>3</v>
          </cell>
          <cell r="O3003" t="str">
            <v>Pagar o Cobrar</v>
          </cell>
        </row>
        <row r="3004">
          <cell r="D3004" t="str">
            <v>2025100060TMSA</v>
          </cell>
          <cell r="E3004" t="str">
            <v>L.P.</v>
          </cell>
          <cell r="F3004" t="str">
            <v>TMSA</v>
          </cell>
          <cell r="G3004" t="str">
            <v>TMSA por pagar a EFE - L.P.</v>
          </cell>
          <cell r="H3004" t="str">
            <v>H</v>
          </cell>
          <cell r="I3004" t="str">
            <v>2025100060</v>
          </cell>
          <cell r="J3004" t="str">
            <v>Cuenta por pagar EFE LARGO PLAZO</v>
          </cell>
          <cell r="K3004" t="str">
            <v>EFE-TMSA</v>
          </cell>
          <cell r="L3004" t="str">
            <v>AJUSTE CONS H</v>
          </cell>
          <cell r="M3004" t="str">
            <v>EFE</v>
          </cell>
          <cell r="N3004">
            <v>3</v>
          </cell>
          <cell r="O3004" t="str">
            <v>Pagar o Cobrar</v>
          </cell>
        </row>
        <row r="3005">
          <cell r="D3005" t="str">
            <v>2008100400TMSA</v>
          </cell>
          <cell r="E3005" t="str">
            <v>C.P.</v>
          </cell>
          <cell r="F3005" t="str">
            <v>TMSA</v>
          </cell>
          <cell r="G3005" t="str">
            <v>TMSA por pagar a EFE - C.P.</v>
          </cell>
          <cell r="H3005" t="str">
            <v>H</v>
          </cell>
          <cell r="I3005" t="str">
            <v>2008100400</v>
          </cell>
          <cell r="J3005" t="str">
            <v>Ca. Cte. Mercantil EFE (tmsa)</v>
          </cell>
          <cell r="K3005" t="str">
            <v>EFE-TMSA</v>
          </cell>
          <cell r="L3005" t="str">
            <v>AJUSTE CONS H</v>
          </cell>
          <cell r="M3005" t="str">
            <v>EFE</v>
          </cell>
          <cell r="N3005">
            <v>3</v>
          </cell>
          <cell r="O3005" t="str">
            <v>Pagar o Cobrar</v>
          </cell>
        </row>
        <row r="3006">
          <cell r="D3006" t="str">
            <v>2025100060TMSA</v>
          </cell>
          <cell r="E3006" t="str">
            <v>L.P.</v>
          </cell>
          <cell r="F3006" t="str">
            <v>TMSA</v>
          </cell>
          <cell r="G3006" t="str">
            <v>TMSA por pagar a EFE - L.P.</v>
          </cell>
          <cell r="H3006" t="str">
            <v>H</v>
          </cell>
          <cell r="I3006" t="str">
            <v>2025100060</v>
          </cell>
          <cell r="J3006" t="str">
            <v>Ca. Cte. Mercantil Intereses EFE (tmsa)</v>
          </cell>
          <cell r="K3006" t="str">
            <v>EFE-TMSA</v>
          </cell>
          <cell r="L3006" t="str">
            <v>AJUSTE CONS H</v>
          </cell>
          <cell r="M3006" t="str">
            <v>EFE</v>
          </cell>
          <cell r="N3006">
            <v>3</v>
          </cell>
          <cell r="O3006" t="str">
            <v>Pagar o Cobrar</v>
          </cell>
        </row>
        <row r="3007">
          <cell r="D3007" t="str">
            <v>2105000000FCALP</v>
          </cell>
          <cell r="E3007" t="str">
            <v>L.P.</v>
          </cell>
          <cell r="F3007" t="str">
            <v>FCALP</v>
          </cell>
          <cell r="G3007" t="str">
            <v>FCALP por pagar a EFE - C.P.</v>
          </cell>
          <cell r="H3007" t="str">
            <v>H</v>
          </cell>
          <cell r="I3007" t="str">
            <v>2105000000</v>
          </cell>
          <cell r="J3007" t="str">
            <v>Cuenta por pagar EFE LARGO PLAZO</v>
          </cell>
          <cell r="K3007" t="str">
            <v>EFE-FCALP</v>
          </cell>
          <cell r="L3007" t="str">
            <v>AJUSTE CONS H</v>
          </cell>
          <cell r="M3007" t="str">
            <v>EFE</v>
          </cell>
          <cell r="N3007">
            <v>3</v>
          </cell>
          <cell r="O3007" t="str">
            <v>Pagar o Cobrar</v>
          </cell>
        </row>
        <row r="3008">
          <cell r="D3008" t="str">
            <v>2105000000ITF</v>
          </cell>
          <cell r="E3008" t="str">
            <v>L.P.</v>
          </cell>
          <cell r="F3008" t="str">
            <v>ITF</v>
          </cell>
          <cell r="G3008" t="str">
            <v>ITF por pagar a EFE - C.P.</v>
          </cell>
          <cell r="H3008" t="str">
            <v>H</v>
          </cell>
          <cell r="I3008" t="str">
            <v>2105000000</v>
          </cell>
          <cell r="J3008" t="str">
            <v>Cuenta por pagar EFE LARGO PLAZO</v>
          </cell>
          <cell r="K3008" t="str">
            <v>EFE-ITF</v>
          </cell>
          <cell r="L3008" t="str">
            <v>AJUSTE CONS H</v>
          </cell>
          <cell r="M3008" t="str">
            <v>EFE</v>
          </cell>
          <cell r="N3008">
            <v>3</v>
          </cell>
          <cell r="O3008" t="str">
            <v>Pagar o Cobrar</v>
          </cell>
        </row>
        <row r="3009">
          <cell r="D3009" t="str">
            <v>2101000200FCALP</v>
          </cell>
          <cell r="E3009" t="str">
            <v>C.P.</v>
          </cell>
          <cell r="F3009" t="str">
            <v>FCALP</v>
          </cell>
          <cell r="G3009" t="str">
            <v>FCALP por pagar a EFE - C.P.</v>
          </cell>
          <cell r="H3009" t="str">
            <v>H</v>
          </cell>
          <cell r="I3009" t="str">
            <v>2101000200</v>
          </cell>
          <cell r="J3009" t="str">
            <v>Cuenta por pagar EFE CORTO PLAZO</v>
          </cell>
          <cell r="K3009" t="str">
            <v>EFE-FCALP</v>
          </cell>
          <cell r="L3009" t="str">
            <v>AJUSTE CONS H</v>
          </cell>
          <cell r="M3009" t="str">
            <v>EFE</v>
          </cell>
          <cell r="N3009">
            <v>3</v>
          </cell>
          <cell r="O3009" t="str">
            <v>Pagar o Cobrar</v>
          </cell>
        </row>
        <row r="3010">
          <cell r="D3010" t="str">
            <v>2101000200ITF</v>
          </cell>
          <cell r="E3010" t="str">
            <v>C.P.</v>
          </cell>
          <cell r="F3010" t="str">
            <v>ITF</v>
          </cell>
          <cell r="G3010" t="str">
            <v>ITF por pagar a EFE - C.P.</v>
          </cell>
          <cell r="H3010" t="str">
            <v>H</v>
          </cell>
          <cell r="I3010" t="str">
            <v>2101000200</v>
          </cell>
          <cell r="J3010" t="str">
            <v>Cuenta por pagar EFE CORTO PLAZO</v>
          </cell>
          <cell r="K3010" t="str">
            <v>EFE-ITF</v>
          </cell>
          <cell r="L3010" t="str">
            <v>AJUSTE CONS H</v>
          </cell>
          <cell r="M3010" t="str">
            <v>EFE</v>
          </cell>
          <cell r="N3010">
            <v>3</v>
          </cell>
          <cell r="O3010" t="str">
            <v>Pagar o Cobrar</v>
          </cell>
        </row>
        <row r="3011">
          <cell r="D3011" t="str">
            <v>2109004INVIA</v>
          </cell>
          <cell r="E3011" t="str">
            <v>C.P.</v>
          </cell>
          <cell r="F3011" t="str">
            <v>INVIA</v>
          </cell>
          <cell r="G3011" t="str">
            <v>INVIA por pagar a ITF - C.P.</v>
          </cell>
          <cell r="H3011" t="str">
            <v>H</v>
          </cell>
          <cell r="I3011" t="str">
            <v>2109004</v>
          </cell>
          <cell r="J3011" t="str">
            <v>Documentos y ctas por pagar CORTO PLAZO</v>
          </cell>
          <cell r="K3011" t="str">
            <v>ITF-INVIA</v>
          </cell>
          <cell r="L3011" t="str">
            <v>AJUSTE CONS H</v>
          </cell>
          <cell r="M3011" t="str">
            <v>ITF</v>
          </cell>
          <cell r="N3011">
            <v>5</v>
          </cell>
          <cell r="O3011" t="str">
            <v>Pagar o Cobrar</v>
          </cell>
        </row>
        <row r="3012">
          <cell r="D3012" t="str">
            <v>2209004INVIA</v>
          </cell>
          <cell r="E3012" t="str">
            <v>L.P.</v>
          </cell>
          <cell r="F3012" t="str">
            <v>INVIA</v>
          </cell>
          <cell r="G3012" t="str">
            <v>INVIA por pagar a ITF - L.P.</v>
          </cell>
          <cell r="H3012" t="str">
            <v>H</v>
          </cell>
          <cell r="I3012" t="str">
            <v>2209004</v>
          </cell>
          <cell r="J3012" t="str">
            <v>Documentos y ctas por pagar LARGO PLAZO</v>
          </cell>
          <cell r="K3012" t="str">
            <v>ITF-INVIA</v>
          </cell>
          <cell r="L3012" t="str">
            <v>AJUSTE CONS H</v>
          </cell>
          <cell r="M3012" t="str">
            <v>ITF</v>
          </cell>
          <cell r="N3012">
            <v>5</v>
          </cell>
          <cell r="O3012" t="str">
            <v>Pagar o Cobrar</v>
          </cell>
        </row>
        <row r="3016">
          <cell r="D3016" t="str">
            <v>3120400000EFE</v>
          </cell>
          <cell r="F3016" t="str">
            <v>EFE</v>
          </cell>
          <cell r="G3016" t="str">
            <v>EFE ingreso - MERVAL costo</v>
          </cell>
          <cell r="H3016" t="str">
            <v>D</v>
          </cell>
          <cell r="I3016" t="str">
            <v>3120400000</v>
          </cell>
          <cell r="J3016" t="str">
            <v>Peaje MERVAL</v>
          </cell>
          <cell r="L3016" t="str">
            <v>AJUSTE CONS D</v>
          </cell>
          <cell r="M3016" t="str">
            <v>MERVAL</v>
          </cell>
          <cell r="N3016">
            <v>1</v>
          </cell>
        </row>
        <row r="3017">
          <cell r="D3017" t="str">
            <v>4230440000FILIAL</v>
          </cell>
          <cell r="F3017" t="str">
            <v>FILIAL</v>
          </cell>
          <cell r="G3017" t="str">
            <v>MERVAL costo - EFE ingreso</v>
          </cell>
          <cell r="H3017" t="str">
            <v>H</v>
          </cell>
          <cell r="I3017" t="str">
            <v>4230440000</v>
          </cell>
          <cell r="J3017" t="str">
            <v>Serv Pago Adm Trafico MERVAL</v>
          </cell>
          <cell r="L3017" t="str">
            <v>AJUSTE CONS H</v>
          </cell>
          <cell r="M3017" t="str">
            <v>EFE</v>
          </cell>
          <cell r="N3017">
            <v>1</v>
          </cell>
        </row>
        <row r="3018">
          <cell r="D3018" t="str">
            <v>3240010001EFE</v>
          </cell>
          <cell r="F3018" t="str">
            <v>EFE</v>
          </cell>
          <cell r="G3018" t="str">
            <v>EFE ingreso - FILIAL costo</v>
          </cell>
          <cell r="H3018" t="str">
            <v>D</v>
          </cell>
          <cell r="I3018" t="str">
            <v>3240010001</v>
          </cell>
          <cell r="J3018" t="str">
            <v>Ing Rec Serv Mantencion Vias</v>
          </cell>
          <cell r="L3018" t="str">
            <v>AJUSTE CONS D</v>
          </cell>
          <cell r="M3018" t="str">
            <v>FILIAL</v>
          </cell>
          <cell r="N3018">
            <v>2</v>
          </cell>
        </row>
        <row r="3019">
          <cell r="D3019" t="str">
            <v>4220010000FILIAL</v>
          </cell>
          <cell r="F3019" t="str">
            <v>FILIAL</v>
          </cell>
          <cell r="G3019" t="str">
            <v>FILIAL costo - EFE ingreso</v>
          </cell>
          <cell r="H3019" t="str">
            <v>H</v>
          </cell>
          <cell r="I3019" t="str">
            <v>4220010000</v>
          </cell>
          <cell r="J3019" t="str">
            <v>Serv Mantencion Vias</v>
          </cell>
          <cell r="L3019" t="str">
            <v>AJUSTE CONS H</v>
          </cell>
          <cell r="M3019" t="str">
            <v>EFE</v>
          </cell>
          <cell r="N3019">
            <v>2</v>
          </cell>
        </row>
        <row r="3020">
          <cell r="D3020" t="str">
            <v>3240160001EFE</v>
          </cell>
          <cell r="F3020" t="str">
            <v>EFE</v>
          </cell>
          <cell r="G3020" t="str">
            <v>EFE ingreso - FILIAL costo</v>
          </cell>
          <cell r="H3020" t="str">
            <v>D</v>
          </cell>
          <cell r="I3020" t="str">
            <v>3240160001</v>
          </cell>
          <cell r="J3020" t="str">
            <v>Ing Rec Serv Mantencion UT440</v>
          </cell>
          <cell r="L3020" t="str">
            <v>AJUSTE CONS D</v>
          </cell>
          <cell r="M3020" t="str">
            <v>FILIAL</v>
          </cell>
          <cell r="N3020">
            <v>4</v>
          </cell>
        </row>
        <row r="3021">
          <cell r="D3021" t="str">
            <v>4220160000FILIAL</v>
          </cell>
          <cell r="F3021" t="str">
            <v>FILIAL</v>
          </cell>
          <cell r="G3021" t="str">
            <v>FILIAL costo - EFE ingreso</v>
          </cell>
          <cell r="H3021" t="str">
            <v>H</v>
          </cell>
          <cell r="I3021" t="str">
            <v>4220160000</v>
          </cell>
          <cell r="J3021" t="str">
            <v>Serv Mantencion Automotor UT440</v>
          </cell>
          <cell r="L3021" t="str">
            <v>AJUSTE CONS H</v>
          </cell>
          <cell r="M3021" t="str">
            <v>EFE</v>
          </cell>
          <cell r="N3021">
            <v>4</v>
          </cell>
        </row>
        <row r="3022">
          <cell r="D3022" t="str">
            <v>3240170001EFE</v>
          </cell>
          <cell r="F3022" t="str">
            <v>EFE</v>
          </cell>
          <cell r="G3022" t="str">
            <v>EFE ingreso - FILIAL costo</v>
          </cell>
          <cell r="H3022" t="str">
            <v>D</v>
          </cell>
          <cell r="I3022" t="str">
            <v>3240170001</v>
          </cell>
          <cell r="J3022" t="str">
            <v>Ing Rec Serv Mantencion UT444</v>
          </cell>
          <cell r="L3022" t="str">
            <v>AJUSTE CONS D</v>
          </cell>
          <cell r="M3022" t="str">
            <v>FILIAL</v>
          </cell>
          <cell r="N3022">
            <v>5</v>
          </cell>
        </row>
        <row r="3023">
          <cell r="D3023" t="str">
            <v>4220170000FILIAL</v>
          </cell>
          <cell r="F3023" t="str">
            <v>FILIAL</v>
          </cell>
          <cell r="G3023" t="str">
            <v>FILIAL costo - EFE ingreso</v>
          </cell>
          <cell r="H3023" t="str">
            <v>H</v>
          </cell>
          <cell r="I3023" t="str">
            <v>4220170000</v>
          </cell>
          <cell r="J3023" t="str">
            <v>Serv Mantencion Automotor UT444</v>
          </cell>
          <cell r="L3023" t="str">
            <v>AJUSTE CONS H</v>
          </cell>
          <cell r="M3023" t="str">
            <v>EFE</v>
          </cell>
          <cell r="N3023">
            <v>5</v>
          </cell>
        </row>
        <row r="3024">
          <cell r="D3024" t="str">
            <v>3242400001EFE</v>
          </cell>
          <cell r="F3024" t="str">
            <v>EFE</v>
          </cell>
          <cell r="G3024" t="str">
            <v>EFE ingreso - FILIAL costo</v>
          </cell>
          <cell r="H3024" t="str">
            <v>D</v>
          </cell>
          <cell r="I3024" t="str">
            <v>3242400001</v>
          </cell>
          <cell r="J3024" t="str">
            <v>Ing Rec Energia Traccion</v>
          </cell>
          <cell r="L3024" t="str">
            <v>AJUSTE CONS D</v>
          </cell>
          <cell r="M3024" t="str">
            <v>FILIAL</v>
          </cell>
          <cell r="N3024">
            <v>8</v>
          </cell>
        </row>
        <row r="3025">
          <cell r="D3025" t="str">
            <v>4202400000FILIAL</v>
          </cell>
          <cell r="F3025" t="str">
            <v>FILIAL</v>
          </cell>
          <cell r="G3025" t="str">
            <v>FILIAL costo - EFE ingreso</v>
          </cell>
          <cell r="H3025" t="str">
            <v>H</v>
          </cell>
          <cell r="I3025" t="str">
            <v>4202400000</v>
          </cell>
          <cell r="J3025" t="str">
            <v>Consumo Energia Electrica Traccion</v>
          </cell>
          <cell r="L3025" t="str">
            <v>AJUSTE CONS H</v>
          </cell>
          <cell r="M3025" t="str">
            <v>EFE</v>
          </cell>
          <cell r="N3025">
            <v>8</v>
          </cell>
        </row>
        <row r="3026">
          <cell r="D3026" t="str">
            <v>3242500000EFE</v>
          </cell>
          <cell r="F3026" t="str">
            <v>EFE</v>
          </cell>
          <cell r="G3026" t="str">
            <v>EFE ingreso - FILIAL costo</v>
          </cell>
          <cell r="H3026" t="str">
            <v>D</v>
          </cell>
          <cell r="I3026" t="str">
            <v>3242500000</v>
          </cell>
          <cell r="J3026" t="str">
            <v>Ing Rec Gastos Grales Filial</v>
          </cell>
          <cell r="L3026" t="str">
            <v>AJUSTE CONS D</v>
          </cell>
          <cell r="M3026" t="str">
            <v>FILIAL</v>
          </cell>
          <cell r="N3026">
            <v>9</v>
          </cell>
        </row>
        <row r="3027">
          <cell r="D3027" t="str">
            <v>4280300000FILIAL</v>
          </cell>
          <cell r="F3027" t="str">
            <v>FILIAL</v>
          </cell>
          <cell r="G3027" t="str">
            <v>FILIAL costo - EFE ingreso</v>
          </cell>
          <cell r="H3027" t="str">
            <v>H</v>
          </cell>
          <cell r="I3027" t="str">
            <v>4280300000</v>
          </cell>
          <cell r="J3027" t="str">
            <v>Serv Energia Electrica</v>
          </cell>
          <cell r="L3027" t="str">
            <v>AJUSTE CONS H</v>
          </cell>
          <cell r="M3027" t="str">
            <v>EFE</v>
          </cell>
          <cell r="N3027">
            <v>9</v>
          </cell>
        </row>
        <row r="3028">
          <cell r="D3028" t="str">
            <v>3240300010EFE</v>
          </cell>
          <cell r="F3028" t="str">
            <v>EFE</v>
          </cell>
          <cell r="G3028" t="str">
            <v>EFE ingreso - FILIAL costo</v>
          </cell>
          <cell r="H3028" t="str">
            <v>D</v>
          </cell>
          <cell r="I3028" t="str">
            <v>3240300010</v>
          </cell>
          <cell r="J3028" t="str">
            <v>Ing Rec Serv Administracion</v>
          </cell>
          <cell r="L3028" t="str">
            <v>AJUSTE CONS D</v>
          </cell>
          <cell r="M3028" t="str">
            <v>FILIAL</v>
          </cell>
          <cell r="N3028">
            <v>11</v>
          </cell>
        </row>
        <row r="3029">
          <cell r="D3029" t="str">
            <v>4290500000FILIAL</v>
          </cell>
          <cell r="F3029" t="str">
            <v>FILIAL</v>
          </cell>
          <cell r="G3029" t="str">
            <v>FILIAL costo - EFE ingreso</v>
          </cell>
          <cell r="H3029" t="str">
            <v>H</v>
          </cell>
          <cell r="I3029" t="str">
            <v>4290500000</v>
          </cell>
          <cell r="J3029" t="str">
            <v>Arriendo Bienes Inmuebles</v>
          </cell>
          <cell r="L3029" t="str">
            <v>AJUSTE CONS H</v>
          </cell>
          <cell r="M3029" t="str">
            <v>EFE</v>
          </cell>
          <cell r="N3029">
            <v>11</v>
          </cell>
        </row>
        <row r="3030">
          <cell r="D3030" t="str">
            <v/>
          </cell>
        </row>
        <row r="3031">
          <cell r="D3031" t="str">
            <v>3240050000EFE</v>
          </cell>
          <cell r="F3031" t="str">
            <v>EFE</v>
          </cell>
          <cell r="G3031" t="str">
            <v>EFE ingreso - FILIAL costo</v>
          </cell>
          <cell r="H3031" t="str">
            <v>D</v>
          </cell>
          <cell r="I3031" t="str">
            <v>3240050000</v>
          </cell>
          <cell r="J3031" t="str">
            <v>Ing Rec Serv Mantencion SEC</v>
          </cell>
          <cell r="L3031" t="str">
            <v>AJUSTE CONS D</v>
          </cell>
          <cell r="M3031" t="str">
            <v>FILIAL</v>
          </cell>
          <cell r="N3031">
            <v>3</v>
          </cell>
        </row>
        <row r="3032">
          <cell r="D3032" t="str">
            <v>4220050000FILIAL</v>
          </cell>
          <cell r="F3032" t="str">
            <v>FILIAL</v>
          </cell>
          <cell r="G3032" t="str">
            <v>FILIAL costo - EFE ingreso</v>
          </cell>
          <cell r="H3032" t="str">
            <v>H</v>
          </cell>
          <cell r="I3032" t="str">
            <v>4220050000</v>
          </cell>
          <cell r="J3032" t="str">
            <v>Serv Mantencion Señalizacion</v>
          </cell>
          <cell r="L3032" t="str">
            <v>AJUSTE CONS H</v>
          </cell>
          <cell r="M3032" t="str">
            <v>EFE</v>
          </cell>
          <cell r="N3032">
            <v>3</v>
          </cell>
        </row>
        <row r="3033">
          <cell r="D3033" t="str">
            <v>4220060000FILIAL</v>
          </cell>
          <cell r="F3033" t="str">
            <v>FILIAL</v>
          </cell>
          <cell r="G3033" t="str">
            <v>FILIAL costo - EFE ingreso</v>
          </cell>
          <cell r="H3033" t="str">
            <v>H</v>
          </cell>
          <cell r="I3033" t="str">
            <v>4220060000</v>
          </cell>
          <cell r="J3033" t="str">
            <v>Serv Mantencion Trafico</v>
          </cell>
          <cell r="L3033" t="str">
            <v>AJUSTE CONS H</v>
          </cell>
          <cell r="M3033" t="str">
            <v>EFE</v>
          </cell>
          <cell r="N3033">
            <v>3</v>
          </cell>
        </row>
        <row r="3034">
          <cell r="D3034" t="str">
            <v>3240210001EFE</v>
          </cell>
          <cell r="F3034" t="str">
            <v>EFE</v>
          </cell>
          <cell r="G3034" t="str">
            <v>EFE ingreso - FILIAL costo</v>
          </cell>
          <cell r="H3034" t="str">
            <v>D</v>
          </cell>
          <cell r="I3034" t="str">
            <v>3240210001</v>
          </cell>
          <cell r="J3034" t="str">
            <v>Ing Rec Serv Terceros</v>
          </cell>
          <cell r="L3034" t="str">
            <v>AJUSTE CONS D</v>
          </cell>
          <cell r="M3034" t="str">
            <v>FILIAL</v>
          </cell>
          <cell r="N3034">
            <v>6</v>
          </cell>
        </row>
        <row r="3035">
          <cell r="D3035" t="str">
            <v>4230210000FILIAL</v>
          </cell>
          <cell r="F3035" t="str">
            <v>FILIAL</v>
          </cell>
          <cell r="G3035" t="str">
            <v>FILIAL costo - EFE ingreso</v>
          </cell>
          <cell r="H3035" t="str">
            <v>H</v>
          </cell>
          <cell r="I3035" t="str">
            <v>4230210000</v>
          </cell>
          <cell r="J3035" t="str">
            <v>Serv Guardia Seguridad</v>
          </cell>
          <cell r="L3035" t="str">
            <v>AJUSTE CONS H</v>
          </cell>
          <cell r="M3035" t="str">
            <v>EFE</v>
          </cell>
          <cell r="N3035">
            <v>6</v>
          </cell>
        </row>
        <row r="3036">
          <cell r="D3036" t="str">
            <v>4250700000FILIAL</v>
          </cell>
          <cell r="F3036" t="str">
            <v>FILIAL</v>
          </cell>
          <cell r="G3036" t="str">
            <v>FILIAL costo - EFE ingreso</v>
          </cell>
          <cell r="H3036" t="str">
            <v>H</v>
          </cell>
          <cell r="I3036" t="str">
            <v>4250700000</v>
          </cell>
          <cell r="J3036" t="str">
            <v>Transporte Pasajero Chillan-Concepcion</v>
          </cell>
          <cell r="L3036" t="str">
            <v>AJUSTE CONS H</v>
          </cell>
          <cell r="M3036" t="str">
            <v>EFE</v>
          </cell>
          <cell r="N3036">
            <v>6</v>
          </cell>
        </row>
        <row r="3037">
          <cell r="D3037" t="str">
            <v>4250750010FILIAL</v>
          </cell>
          <cell r="F3037" t="str">
            <v>FILIAL</v>
          </cell>
          <cell r="G3037" t="str">
            <v>FILIAL costo - EFE ingreso</v>
          </cell>
          <cell r="H3037" t="str">
            <v>H</v>
          </cell>
          <cell r="I3037" t="str">
            <v>4250750010</v>
          </cell>
          <cell r="J3037" t="str">
            <v>Comision Tarjetas Creditos y Debitos</v>
          </cell>
          <cell r="L3037" t="str">
            <v>AJUSTE CONS H</v>
          </cell>
          <cell r="M3037" t="str">
            <v>EFE</v>
          </cell>
          <cell r="N3037">
            <v>6</v>
          </cell>
        </row>
        <row r="3038">
          <cell r="D3038" t="str">
            <v>3241000000EFE</v>
          </cell>
          <cell r="F3038" t="str">
            <v>EFE</v>
          </cell>
          <cell r="G3038" t="str">
            <v>EFE ingreso - FILIAL costo</v>
          </cell>
          <cell r="H3038" t="str">
            <v>D</v>
          </cell>
          <cell r="I3038" t="str">
            <v>3241000000</v>
          </cell>
          <cell r="J3038" t="str">
            <v>Ing Rec Sueldo Filial</v>
          </cell>
          <cell r="L3038" t="str">
            <v>AJUSTE CONS D</v>
          </cell>
          <cell r="M3038" t="str">
            <v>FILIAL</v>
          </cell>
          <cell r="N3038">
            <v>7</v>
          </cell>
        </row>
        <row r="3039">
          <cell r="D3039" t="str">
            <v>4340600000EFE</v>
          </cell>
          <cell r="F3039" t="str">
            <v>EFE</v>
          </cell>
          <cell r="G3039" t="str">
            <v>EFE ingreso - FILIAL costo</v>
          </cell>
          <cell r="H3039" t="str">
            <v>D</v>
          </cell>
          <cell r="I3039" t="str">
            <v>4340600000</v>
          </cell>
          <cell r="J3039" t="str">
            <v>IVA no Recuperable</v>
          </cell>
          <cell r="L3039" t="str">
            <v>AJUSTE CONS D</v>
          </cell>
          <cell r="M3039" t="str">
            <v>FILIAL</v>
          </cell>
          <cell r="N3039">
            <v>7</v>
          </cell>
        </row>
        <row r="3040">
          <cell r="D3040" t="str">
            <v>4100100010FILIAL</v>
          </cell>
          <cell r="F3040" t="str">
            <v>FILIAL</v>
          </cell>
          <cell r="G3040" t="str">
            <v>FILIAL costo - EFE ingreso</v>
          </cell>
          <cell r="H3040" t="str">
            <v>H</v>
          </cell>
          <cell r="I3040" t="str">
            <v>4100100010</v>
          </cell>
          <cell r="J3040" t="str">
            <v>Sueldo Personal EFE</v>
          </cell>
          <cell r="L3040" t="str">
            <v>AJUSTE CONS H</v>
          </cell>
          <cell r="M3040" t="str">
            <v>EFE</v>
          </cell>
          <cell r="N3040">
            <v>7</v>
          </cell>
        </row>
        <row r="3041">
          <cell r="D3041" t="str">
            <v>3240300001EFE</v>
          </cell>
          <cell r="F3041" t="str">
            <v>EFE</v>
          </cell>
          <cell r="G3041" t="str">
            <v>EFE ingreso - FILIAL costo</v>
          </cell>
          <cell r="H3041" t="str">
            <v>D</v>
          </cell>
          <cell r="I3041" t="str">
            <v>3240300001</v>
          </cell>
          <cell r="J3041" t="str">
            <v>Ing Rec Serv Informatica</v>
          </cell>
          <cell r="L3041" t="str">
            <v>AJUSTE CONS D</v>
          </cell>
          <cell r="M3041" t="str">
            <v>FILIAL</v>
          </cell>
          <cell r="N3041">
            <v>10</v>
          </cell>
        </row>
        <row r="3042">
          <cell r="D3042" t="str">
            <v>4270300000FILIAL</v>
          </cell>
          <cell r="F3042" t="str">
            <v>FILIAL</v>
          </cell>
          <cell r="G3042" t="str">
            <v>FILIAL costo - EFE ingreso</v>
          </cell>
          <cell r="H3042" t="str">
            <v>H</v>
          </cell>
          <cell r="I3042" t="str">
            <v>4270300000</v>
          </cell>
          <cell r="J3042" t="str">
            <v>Servicio SAP</v>
          </cell>
          <cell r="L3042" t="str">
            <v>AJUSTE CONS H</v>
          </cell>
          <cell r="M3042" t="str">
            <v>EFE</v>
          </cell>
          <cell r="N3042">
            <v>10</v>
          </cell>
        </row>
        <row r="3043">
          <cell r="D3043" t="str">
            <v>4270700000FILIAL</v>
          </cell>
          <cell r="F3043" t="str">
            <v>FILIAL</v>
          </cell>
          <cell r="G3043" t="str">
            <v>FILIAL costo - EFE ingreso</v>
          </cell>
          <cell r="H3043" t="str">
            <v>H</v>
          </cell>
          <cell r="I3043" t="str">
            <v>4270700000</v>
          </cell>
          <cell r="J3043" t="str">
            <v>Red Comunicacion</v>
          </cell>
          <cell r="L3043" t="str">
            <v>AJUSTE CONS H</v>
          </cell>
          <cell r="M3043" t="str">
            <v>EFE</v>
          </cell>
          <cell r="N3043">
            <v>10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>
        <row r="1">
          <cell r="B1" t="str">
            <v>E.F.E.</v>
          </cell>
          <cell r="C1" t="str">
            <v>EFE</v>
          </cell>
          <cell r="D1" t="str">
            <v>FESUB</v>
          </cell>
          <cell r="E1" t="str">
            <v>TERRA</v>
          </cell>
          <cell r="F1" t="str">
            <v>TMSA</v>
          </cell>
          <cell r="G1" t="str">
            <v>MERVAL</v>
          </cell>
          <cell r="H1" t="str">
            <v>INVIA</v>
          </cell>
          <cell r="I1" t="str">
            <v>FCALP</v>
          </cell>
          <cell r="J1" t="str">
            <v>ITF</v>
          </cell>
          <cell r="K1" t="str">
            <v>Ajustes Cons D</v>
          </cell>
          <cell r="L1" t="str">
            <v>Ajustes Cons H</v>
          </cell>
          <cell r="M1" t="str">
            <v>BALANCE CONS</v>
          </cell>
        </row>
        <row r="2"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</row>
        <row r="3">
          <cell r="B3" t="str">
            <v>FERROCARRILES DEL ESTADO y FILIALES</v>
          </cell>
        </row>
        <row r="5">
          <cell r="B5" t="str">
            <v>Año</v>
          </cell>
          <cell r="C5">
            <v>2010</v>
          </cell>
        </row>
        <row r="6">
          <cell r="B6" t="str">
            <v>Mes</v>
          </cell>
          <cell r="C6" t="str">
            <v>dic.</v>
          </cell>
        </row>
        <row r="7">
          <cell r="B7" t="str">
            <v>Clasificación estados</v>
          </cell>
          <cell r="C7" t="str">
            <v>Balance</v>
          </cell>
        </row>
        <row r="9">
          <cell r="B9" t="str">
            <v xml:space="preserve"> </v>
          </cell>
          <cell r="C9" t="str">
            <v xml:space="preserve"> </v>
          </cell>
        </row>
        <row r="10">
          <cell r="B10" t="str">
            <v>Conceptos</v>
          </cell>
          <cell r="C10" t="str">
            <v>EFE</v>
          </cell>
          <cell r="D10" t="str">
            <v>FESUB</v>
          </cell>
          <cell r="E10" t="str">
            <v>TERRA</v>
          </cell>
          <cell r="F10" t="str">
            <v>TMSA</v>
          </cell>
          <cell r="G10" t="str">
            <v>MERVAL</v>
          </cell>
          <cell r="H10" t="str">
            <v>INVIA</v>
          </cell>
          <cell r="I10" t="str">
            <v>FCALP</v>
          </cell>
          <cell r="J10" t="str">
            <v>ITF</v>
          </cell>
          <cell r="K10" t="str">
            <v>Ajustes Cons D</v>
          </cell>
          <cell r="L10" t="str">
            <v>Ajustes Cons H</v>
          </cell>
          <cell r="M10" t="str">
            <v>BALANCE CONS</v>
          </cell>
        </row>
        <row r="11">
          <cell r="B11" t="str">
            <v>I. Activos</v>
          </cell>
          <cell r="C11">
            <v>923507823449</v>
          </cell>
          <cell r="D11">
            <v>6933034600</v>
          </cell>
          <cell r="E11">
            <v>8843726867</v>
          </cell>
          <cell r="F11">
            <v>7457369680</v>
          </cell>
          <cell r="G11">
            <v>79299155296</v>
          </cell>
          <cell r="H11">
            <v>25967775671</v>
          </cell>
          <cell r="I11">
            <v>4065048</v>
          </cell>
          <cell r="J11">
            <v>3570796</v>
          </cell>
          <cell r="K11">
            <v>37357686</v>
          </cell>
          <cell r="L11">
            <v>-135237389728</v>
          </cell>
          <cell r="M11">
            <v>916816489365</v>
          </cell>
        </row>
        <row r="12">
          <cell r="B12" t="str">
            <v>1. Activos corrientes</v>
          </cell>
          <cell r="C12">
            <v>58784628066</v>
          </cell>
          <cell r="D12">
            <v>22360010</v>
          </cell>
          <cell r="E12">
            <v>2094720462</v>
          </cell>
          <cell r="F12">
            <v>494211638</v>
          </cell>
          <cell r="G12">
            <v>2666336571</v>
          </cell>
          <cell r="H12">
            <v>591855068</v>
          </cell>
          <cell r="I12">
            <v>4065048</v>
          </cell>
          <cell r="J12">
            <v>3493270</v>
          </cell>
          <cell r="K12">
            <v>9591684</v>
          </cell>
          <cell r="L12">
            <v>-21997253113</v>
          </cell>
          <cell r="M12">
            <v>42674008704</v>
          </cell>
        </row>
        <row r="13">
          <cell r="B13" t="str">
            <v>1. Efectivo y Equivalentes al Efectivo</v>
          </cell>
          <cell r="C13">
            <v>21593841970</v>
          </cell>
          <cell r="D13">
            <v>10791938</v>
          </cell>
          <cell r="E13">
            <v>161886339</v>
          </cell>
          <cell r="F13">
            <v>476477186</v>
          </cell>
          <cell r="G13">
            <v>1641101866</v>
          </cell>
          <cell r="H13">
            <v>80426662</v>
          </cell>
          <cell r="I13">
            <v>3646458</v>
          </cell>
          <cell r="M13">
            <v>23968172419</v>
          </cell>
        </row>
        <row r="14">
          <cell r="B14" t="str">
            <v>2. Otros Activos Financieros, corrientes</v>
          </cell>
          <cell r="F14">
            <v>0</v>
          </cell>
          <cell r="M14">
            <v>0</v>
          </cell>
        </row>
        <row r="15">
          <cell r="B15" t="str">
            <v>3. Otros Activos No Financieros, corrientes</v>
          </cell>
          <cell r="C15">
            <v>308980919</v>
          </cell>
          <cell r="G15">
            <v>278122654</v>
          </cell>
          <cell r="H15">
            <v>452839</v>
          </cell>
          <cell r="M15">
            <v>587556412</v>
          </cell>
        </row>
        <row r="16">
          <cell r="B16" t="str">
            <v>4. Deudores Comerciales y otras cuentas por cobrar, corrientes</v>
          </cell>
          <cell r="C16">
            <v>17482418972</v>
          </cell>
          <cell r="D16">
            <v>7133822</v>
          </cell>
          <cell r="E16">
            <v>96495187</v>
          </cell>
          <cell r="F16">
            <v>8131100</v>
          </cell>
          <cell r="G16">
            <v>35906794</v>
          </cell>
          <cell r="H16">
            <v>77983528</v>
          </cell>
          <cell r="I16">
            <v>418590</v>
          </cell>
          <cell r="J16">
            <v>3493270</v>
          </cell>
          <cell r="M16">
            <v>17711981263</v>
          </cell>
        </row>
        <row r="17">
          <cell r="B17" t="str">
            <v>5. Cuentas por Cobrar a Entidades Relacionadas, corrientes</v>
          </cell>
          <cell r="C17">
            <v>19305824140</v>
          </cell>
          <cell r="E17">
            <v>1816086914</v>
          </cell>
          <cell r="F17">
            <v>9603352</v>
          </cell>
          <cell r="G17">
            <v>671379477</v>
          </cell>
          <cell r="H17">
            <v>193690523</v>
          </cell>
          <cell r="K17">
            <v>9591684</v>
          </cell>
          <cell r="L17">
            <v>-21997253113</v>
          </cell>
          <cell r="M17">
            <v>8922977</v>
          </cell>
        </row>
        <row r="18">
          <cell r="B18" t="str">
            <v>6. Inventarios</v>
          </cell>
          <cell r="G18">
            <v>23825780</v>
          </cell>
          <cell r="H18">
            <v>230572231</v>
          </cell>
          <cell r="M18">
            <v>254398011</v>
          </cell>
        </row>
        <row r="19">
          <cell r="B19" t="str">
            <v>8. Activos por Impuestos, corrientes</v>
          </cell>
          <cell r="C19">
            <v>93562065</v>
          </cell>
          <cell r="D19">
            <v>4434250</v>
          </cell>
          <cell r="E19">
            <v>20252022</v>
          </cell>
          <cell r="G19">
            <v>16000000</v>
          </cell>
          <cell r="H19">
            <v>8729285</v>
          </cell>
          <cell r="M19">
            <v>142977622</v>
          </cell>
        </row>
        <row r="20">
          <cell r="B20" t="str">
            <v>2. Activos no corrientes</v>
          </cell>
          <cell r="C20">
            <v>864723195383</v>
          </cell>
          <cell r="D20">
            <v>6910674590</v>
          </cell>
          <cell r="E20">
            <v>6749006405</v>
          </cell>
          <cell r="F20">
            <v>6963158042</v>
          </cell>
          <cell r="G20">
            <v>76632818725</v>
          </cell>
          <cell r="H20">
            <v>25375920603</v>
          </cell>
          <cell r="J20">
            <v>77526</v>
          </cell>
          <cell r="K20">
            <v>27766002</v>
          </cell>
          <cell r="L20">
            <v>-113240136615</v>
          </cell>
          <cell r="M20">
            <v>874142480661</v>
          </cell>
        </row>
        <row r="21">
          <cell r="B21" t="str">
            <v>1. Otros Activos Financieros, no corrientes</v>
          </cell>
          <cell r="G21">
            <v>363531039</v>
          </cell>
          <cell r="M21">
            <v>363531039</v>
          </cell>
        </row>
        <row r="22">
          <cell r="B22" t="str">
            <v>2. Otros Activos No Financieros, no corrientes</v>
          </cell>
          <cell r="C22">
            <v>7146688630</v>
          </cell>
          <cell r="M22">
            <v>7146688630</v>
          </cell>
        </row>
        <row r="23">
          <cell r="B23" t="str">
            <v>3. Derechos por Cobrar, no corrientes</v>
          </cell>
          <cell r="C23">
            <v>904616475</v>
          </cell>
          <cell r="H23">
            <v>1303304</v>
          </cell>
          <cell r="M23">
            <v>905919779</v>
          </cell>
        </row>
        <row r="24">
          <cell r="B24" t="str">
            <v>4. Cuentas por Cobrar a Entidades Relacionadas, no corrientes</v>
          </cell>
          <cell r="C24">
            <v>43216847296</v>
          </cell>
          <cell r="G24">
            <v>72432265</v>
          </cell>
          <cell r="H24">
            <v>6779464660</v>
          </cell>
          <cell r="K24">
            <v>27766001</v>
          </cell>
          <cell r="L24">
            <v>-50096510222</v>
          </cell>
          <cell r="M24">
            <v>0</v>
          </cell>
        </row>
        <row r="25">
          <cell r="B25" t="str">
            <v>5. Inversiones contabilizadas utilizando el método de la participación</v>
          </cell>
          <cell r="C25">
            <v>73597693681</v>
          </cell>
          <cell r="E25">
            <v>173</v>
          </cell>
          <cell r="J25">
            <v>77526</v>
          </cell>
          <cell r="K25">
            <v>1</v>
          </cell>
          <cell r="L25">
            <v>-63143626393</v>
          </cell>
          <cell r="M25">
            <v>10454144988</v>
          </cell>
        </row>
        <row r="26">
          <cell r="B26" t="str">
            <v>1031100060  Inversiones En Fesub S.A.</v>
          </cell>
          <cell r="C26">
            <v>217244565</v>
          </cell>
          <cell r="L26">
            <v>-217244565</v>
          </cell>
          <cell r="M26">
            <v>0</v>
          </cell>
        </row>
        <row r="27">
          <cell r="B27" t="str">
            <v>1031100050  Inversiones En Ferropas S.A.</v>
          </cell>
          <cell r="C27">
            <v>1656837588</v>
          </cell>
          <cell r="L27">
            <v>-1656837588</v>
          </cell>
          <cell r="M27">
            <v>0</v>
          </cell>
        </row>
        <row r="28">
          <cell r="B28" t="str">
            <v>1031100020  Inversiones En Merval S.A.</v>
          </cell>
          <cell r="C28">
            <v>37290939986</v>
          </cell>
          <cell r="E28">
            <v>173</v>
          </cell>
          <cell r="L28">
            <v>-37290940159</v>
          </cell>
          <cell r="M28">
            <v>0</v>
          </cell>
        </row>
        <row r="29">
          <cell r="B29" t="str">
            <v>1031100010  Inversiones En Invia S.A</v>
          </cell>
          <cell r="C29">
            <v>23978526554</v>
          </cell>
          <cell r="K29">
            <v>1</v>
          </cell>
          <cell r="L29">
            <v>-23978526555</v>
          </cell>
          <cell r="M29">
            <v>0</v>
          </cell>
        </row>
        <row r="30">
          <cell r="B30" t="str">
            <v>1031200020  Inversiones En Ipesa</v>
          </cell>
          <cell r="C30">
            <v>10341050530</v>
          </cell>
          <cell r="M30">
            <v>10341050530</v>
          </cell>
        </row>
        <row r="31">
          <cell r="B31" t="str">
            <v>1031200030  Inversiones En Disba S.A.</v>
          </cell>
          <cell r="C31">
            <v>113094458</v>
          </cell>
          <cell r="M31">
            <v>113094458</v>
          </cell>
        </row>
        <row r="32">
          <cell r="B32" t="str">
            <v>1401000000  Inversiones En Invia S.A</v>
          </cell>
          <cell r="J32">
            <v>77526</v>
          </cell>
          <cell r="L32">
            <v>-77526</v>
          </cell>
          <cell r="M32">
            <v>0</v>
          </cell>
        </row>
        <row r="33">
          <cell r="B33" t="str">
            <v>6. Activos intangibles distintos de la plusvalía</v>
          </cell>
          <cell r="C33">
            <v>183004112</v>
          </cell>
          <cell r="D33">
            <v>349994</v>
          </cell>
          <cell r="E33">
            <v>448493</v>
          </cell>
          <cell r="F33">
            <v>943476</v>
          </cell>
          <cell r="G33">
            <v>30721464</v>
          </cell>
          <cell r="H33">
            <v>1088731</v>
          </cell>
          <cell r="M33">
            <v>216556270</v>
          </cell>
        </row>
        <row r="34">
          <cell r="B34" t="str">
            <v>8. Propiedades, Planta y Equipo</v>
          </cell>
          <cell r="C34">
            <v>739674345189</v>
          </cell>
          <cell r="D34">
            <v>6910324596</v>
          </cell>
          <cell r="E34">
            <v>6748557739</v>
          </cell>
          <cell r="F34">
            <v>6962214566</v>
          </cell>
          <cell r="G34">
            <v>75064325482</v>
          </cell>
          <cell r="H34">
            <v>22975792</v>
          </cell>
          <cell r="M34">
            <v>835382743364</v>
          </cell>
        </row>
        <row r="35">
          <cell r="B35" t="str">
            <v>10. Propiedad de inversión</v>
          </cell>
          <cell r="G35">
            <v>1101808475</v>
          </cell>
          <cell r="H35">
            <v>18415079830</v>
          </cell>
          <cell r="M35">
            <v>19516888305</v>
          </cell>
        </row>
        <row r="36">
          <cell r="B36" t="str">
            <v>11. Activos por impuestos diferidos</v>
          </cell>
          <cell r="H36">
            <v>156008286</v>
          </cell>
          <cell r="M36">
            <v>156008286</v>
          </cell>
        </row>
        <row r="37">
          <cell r="B37" t="str">
            <v>II. Pasivos</v>
          </cell>
          <cell r="C37">
            <v>-923507823449</v>
          </cell>
          <cell r="D37">
            <v>-6933034600</v>
          </cell>
          <cell r="E37">
            <v>-8843726867</v>
          </cell>
          <cell r="F37">
            <v>-7457369680</v>
          </cell>
          <cell r="G37">
            <v>-79299155296</v>
          </cell>
          <cell r="H37">
            <v>-25967775671</v>
          </cell>
          <cell r="I37">
            <v>-4065048</v>
          </cell>
          <cell r="J37">
            <v>-3570796</v>
          </cell>
          <cell r="K37">
            <v>219660304201</v>
          </cell>
          <cell r="L37">
            <v>-84460272159</v>
          </cell>
          <cell r="M37">
            <v>-916816489365</v>
          </cell>
        </row>
        <row r="38">
          <cell r="B38" t="str">
            <v>1. Pasivos corrientes</v>
          </cell>
          <cell r="C38">
            <v>-69610394453</v>
          </cell>
          <cell r="D38">
            <v>-6715789449</v>
          </cell>
          <cell r="E38">
            <v>-2673914325</v>
          </cell>
          <cell r="F38">
            <v>-4548354997</v>
          </cell>
          <cell r="G38">
            <v>-6556698464</v>
          </cell>
          <cell r="H38">
            <v>-228450811</v>
          </cell>
          <cell r="I38">
            <v>-455806</v>
          </cell>
          <cell r="J38">
            <v>-945496</v>
          </cell>
          <cell r="K38">
            <v>20426481993</v>
          </cell>
          <cell r="L38">
            <v>-3316175</v>
          </cell>
          <cell r="M38">
            <v>-69911837983</v>
          </cell>
        </row>
        <row r="39">
          <cell r="B39" t="str">
            <v>1. Otros Pasivos Financieros, corrientes</v>
          </cell>
          <cell r="C39">
            <v>-31709880024</v>
          </cell>
          <cell r="G39">
            <v>0</v>
          </cell>
          <cell r="J39">
            <v>-489690</v>
          </cell>
          <cell r="M39">
            <v>-31710369714</v>
          </cell>
        </row>
        <row r="40">
          <cell r="B40" t="str">
            <v>2. Cuentas comerciales y otras cuentas por pagar, corrientes</v>
          </cell>
          <cell r="C40">
            <v>-30624133454</v>
          </cell>
          <cell r="D40">
            <v>-320194941</v>
          </cell>
          <cell r="E40">
            <v>-336566148</v>
          </cell>
          <cell r="F40">
            <v>-224242222</v>
          </cell>
          <cell r="G40">
            <v>-2618103777</v>
          </cell>
          <cell r="H40">
            <v>-108000207</v>
          </cell>
          <cell r="I40">
            <v>-455806</v>
          </cell>
          <cell r="J40">
            <v>-455806</v>
          </cell>
          <cell r="M40">
            <v>-34232152361</v>
          </cell>
        </row>
        <row r="41">
          <cell r="B41" t="str">
            <v>3. Cuentas por Pagar a Entidades Relacionadas, corrientes</v>
          </cell>
          <cell r="C41">
            <v>-4404597802</v>
          </cell>
          <cell r="D41">
            <v>-6348135909</v>
          </cell>
          <cell r="E41">
            <v>-2265612308</v>
          </cell>
          <cell r="F41">
            <v>-4258947194</v>
          </cell>
          <cell r="G41">
            <v>-3156518586</v>
          </cell>
          <cell r="H41">
            <v>-1752057</v>
          </cell>
          <cell r="K41">
            <v>20426481993</v>
          </cell>
          <cell r="L41">
            <v>-3316175</v>
          </cell>
          <cell r="M41">
            <v>-12398038</v>
          </cell>
        </row>
        <row r="42">
          <cell r="B42" t="str">
            <v>2008100010  Inmobiliaria Nueva Vía S.A De Corto Plazo</v>
          </cell>
          <cell r="C42">
            <v>-1927150155</v>
          </cell>
          <cell r="K42">
            <v>1927150155</v>
          </cell>
          <cell r="M42">
            <v>0</v>
          </cell>
        </row>
        <row r="43">
          <cell r="B43" t="str">
            <v>2008100020  Metro Regional Valparaíso S.A De Corto Plazo</v>
          </cell>
          <cell r="C43">
            <v>-671379457</v>
          </cell>
          <cell r="K43">
            <v>671379457</v>
          </cell>
          <cell r="M43">
            <v>0</v>
          </cell>
        </row>
        <row r="44">
          <cell r="B44" t="str">
            <v>2008100040  Ctas por Pagar EFE</v>
          </cell>
          <cell r="D44">
            <v>-6348135909</v>
          </cell>
          <cell r="E44">
            <v>-2265612308</v>
          </cell>
          <cell r="F44">
            <v>-3395780855</v>
          </cell>
          <cell r="K44">
            <v>12012845247</v>
          </cell>
          <cell r="L44">
            <v>-3316175</v>
          </cell>
          <cell r="M44">
            <v>0</v>
          </cell>
        </row>
        <row r="45">
          <cell r="B45" t="str">
            <v>2008100070  Ferrocarriles Del Sur S.A De Corto Plazo</v>
          </cell>
          <cell r="C45">
            <v>-1806056440</v>
          </cell>
          <cell r="K45">
            <v>1806056440</v>
          </cell>
          <cell r="M45">
            <v>0</v>
          </cell>
        </row>
        <row r="46">
          <cell r="B46" t="str">
            <v>2008100080  Trenes Metropolitanos S.A  De Corto Plazo</v>
          </cell>
          <cell r="C46">
            <v>-11750</v>
          </cell>
          <cell r="K46">
            <v>11750</v>
          </cell>
          <cell r="M46">
            <v>0</v>
          </cell>
        </row>
        <row r="47">
          <cell r="B47" t="str">
            <v>2-1-10-01-01  Docs Y Ctas Por Pagar Emp Relac Cp A Efe</v>
          </cell>
          <cell r="G47">
            <v>-258386504</v>
          </cell>
          <cell r="K47">
            <v>258386504</v>
          </cell>
          <cell r="M47">
            <v>0</v>
          </cell>
        </row>
        <row r="48">
          <cell r="B48" t="str">
            <v>2-1-10-01-02  Iv Etapa Docs. Y Ctas. Por Pagar Emp Rel</v>
          </cell>
          <cell r="G48">
            <v>-152524936</v>
          </cell>
          <cell r="K48">
            <v>152524936</v>
          </cell>
          <cell r="M48">
            <v>0</v>
          </cell>
        </row>
        <row r="49">
          <cell r="B49" t="str">
            <v>2-1-10-01-03  Cuenta Corriente Mercantil Por Pagar A E</v>
          </cell>
          <cell r="G49">
            <v>-2741523877</v>
          </cell>
          <cell r="K49">
            <v>2741523877</v>
          </cell>
          <cell r="M49">
            <v>0</v>
          </cell>
        </row>
        <row r="50">
          <cell r="B50" t="str">
            <v>2109003  Cta . Cte. EFE</v>
          </cell>
          <cell r="H50">
            <v>-1752057</v>
          </cell>
          <cell r="K50">
            <v>1752057</v>
          </cell>
          <cell r="M50">
            <v>0</v>
          </cell>
        </row>
        <row r="51">
          <cell r="B51" t="str">
            <v>2109005  Cta. Cte. Ferrosalud</v>
          </cell>
          <cell r="H51">
            <v>0</v>
          </cell>
          <cell r="M51">
            <v>0</v>
          </cell>
        </row>
        <row r="52">
          <cell r="B52" t="str">
            <v>2008100400  Provisiones varias EFE</v>
          </cell>
          <cell r="F52">
            <v>-854851570</v>
          </cell>
          <cell r="K52">
            <v>854851570</v>
          </cell>
          <cell r="M52">
            <v>0</v>
          </cell>
        </row>
        <row r="53">
          <cell r="B53" t="str">
            <v>2-1-10-01-04  EXCEDENTE SUBSIDIO MINISTERO TRANSPORTES</v>
          </cell>
          <cell r="G53">
            <v>-4083269</v>
          </cell>
          <cell r="M53">
            <v>-4083269</v>
          </cell>
        </row>
        <row r="54">
          <cell r="B54" t="str">
            <v>2008100901  Mnisterio de Transportes - Excedentes subsidios</v>
          </cell>
          <cell r="F54">
            <v>-8314769</v>
          </cell>
          <cell r="M54">
            <v>-8314769</v>
          </cell>
        </row>
        <row r="55">
          <cell r="B55" t="str">
            <v>4. Otras Provisiones, corrientes</v>
          </cell>
          <cell r="C55">
            <v>-133397333</v>
          </cell>
          <cell r="H55">
            <v>-114739117</v>
          </cell>
          <cell r="M55">
            <v>-248136450</v>
          </cell>
        </row>
        <row r="56">
          <cell r="B56" t="str">
            <v>5. Pasivos por Impuestos, corrientes</v>
          </cell>
          <cell r="H56">
            <v>649316</v>
          </cell>
          <cell r="M56">
            <v>649316</v>
          </cell>
        </row>
        <row r="57">
          <cell r="B57" t="str">
            <v>6. Provisiones por beneficios a los empleados, corrientes</v>
          </cell>
          <cell r="C57">
            <v>-1289740287</v>
          </cell>
          <cell r="D57">
            <v>-27092097</v>
          </cell>
          <cell r="E57">
            <v>-30997089</v>
          </cell>
          <cell r="F57">
            <v>-40629324</v>
          </cell>
          <cell r="H57">
            <v>-4608749</v>
          </cell>
          <cell r="M57">
            <v>-1393067546</v>
          </cell>
        </row>
        <row r="58">
          <cell r="B58" t="str">
            <v>7. Otros Pasivos No Financieros, corrientes</v>
          </cell>
          <cell r="C58">
            <v>-1448645553</v>
          </cell>
          <cell r="D58">
            <v>-20366502</v>
          </cell>
          <cell r="E58">
            <v>-40738780</v>
          </cell>
          <cell r="F58">
            <v>-24536257</v>
          </cell>
          <cell r="G58">
            <v>-782076101</v>
          </cell>
          <cell r="H58">
            <v>3</v>
          </cell>
          <cell r="M58">
            <v>-2316363190</v>
          </cell>
        </row>
        <row r="59">
          <cell r="B59" t="str">
            <v>2. Pasivos no corrientes</v>
          </cell>
          <cell r="C59">
            <v>-891183733318</v>
          </cell>
          <cell r="E59">
            <v>-9805983820</v>
          </cell>
          <cell r="F59">
            <v>-1252176427</v>
          </cell>
          <cell r="G59">
            <v>-35451493819</v>
          </cell>
          <cell r="H59">
            <v>-1760673500</v>
          </cell>
          <cell r="I59">
            <v>-44429519</v>
          </cell>
          <cell r="J59">
            <v>-53770656</v>
          </cell>
          <cell r="K59">
            <v>55381409230</v>
          </cell>
          <cell r="L59">
            <v>-20132335</v>
          </cell>
          <cell r="M59">
            <v>-884190984164</v>
          </cell>
        </row>
        <row r="60">
          <cell r="B60" t="str">
            <v>1. Otros Pasivos Financieros, no corrientes</v>
          </cell>
          <cell r="C60">
            <v>-827700628389</v>
          </cell>
          <cell r="M60">
            <v>-827700628389</v>
          </cell>
        </row>
        <row r="61">
          <cell r="B61" t="str">
            <v>2. Otras cuentas por pagar, no corrientes</v>
          </cell>
          <cell r="C61">
            <v>-43395540082</v>
          </cell>
          <cell r="H61">
            <v>-8356</v>
          </cell>
          <cell r="K61">
            <v>3728037063</v>
          </cell>
          <cell r="M61">
            <v>-39667511375</v>
          </cell>
        </row>
        <row r="62">
          <cell r="B62" t="str">
            <v>3. Cuentas por Pagar a Entidades Relacionadas, no corrientes</v>
          </cell>
          <cell r="C62">
            <v>-5097476861</v>
          </cell>
          <cell r="E62">
            <v>-9805983820</v>
          </cell>
          <cell r="F62">
            <v>-1252176427</v>
          </cell>
          <cell r="G62">
            <v>-35318596354</v>
          </cell>
          <cell r="I62">
            <v>-44429519</v>
          </cell>
          <cell r="J62">
            <v>-53770656</v>
          </cell>
          <cell r="K62">
            <v>51592565972</v>
          </cell>
          <cell r="L62">
            <v>-20132335</v>
          </cell>
          <cell r="M62">
            <v>0</v>
          </cell>
        </row>
        <row r="63">
          <cell r="B63" t="str">
            <v>4. Otras Provisiones, no corrientes</v>
          </cell>
          <cell r="C63">
            <v>-920478093</v>
          </cell>
          <cell r="K63">
            <v>60806195</v>
          </cell>
          <cell r="M63">
            <v>-859671898</v>
          </cell>
        </row>
        <row r="64">
          <cell r="B64" t="str">
            <v>5. Pasivo Por Impuestos Diferidos</v>
          </cell>
          <cell r="H64">
            <v>-1713444349</v>
          </cell>
          <cell r="M64">
            <v>-1713444349</v>
          </cell>
        </row>
        <row r="65">
          <cell r="B65" t="str">
            <v>6. Provisiones por Beneficios a los Empleados, no corrientes</v>
          </cell>
          <cell r="C65">
            <v>-4345890052</v>
          </cell>
          <cell r="M65">
            <v>-4345890052</v>
          </cell>
        </row>
        <row r="66">
          <cell r="B66" t="str">
            <v>7. Otros pasivos no financieros, no corrientes</v>
          </cell>
          <cell r="C66">
            <v>-9723719841</v>
          </cell>
          <cell r="E66">
            <v>0</v>
          </cell>
          <cell r="G66">
            <v>-132897465</v>
          </cell>
          <cell r="H66">
            <v>-47220795</v>
          </cell>
          <cell r="M66">
            <v>-9903838101</v>
          </cell>
        </row>
        <row r="67">
          <cell r="B67" t="str">
            <v>3. Patrimonio</v>
          </cell>
          <cell r="C67">
            <v>37286304322</v>
          </cell>
          <cell r="D67">
            <v>-217245151</v>
          </cell>
          <cell r="E67">
            <v>3636171278</v>
          </cell>
          <cell r="F67">
            <v>-1656838256</v>
          </cell>
          <cell r="G67">
            <v>-37290963013</v>
          </cell>
          <cell r="H67">
            <v>-23978651360</v>
          </cell>
          <cell r="I67">
            <v>40820277</v>
          </cell>
          <cell r="J67">
            <v>51145356</v>
          </cell>
          <cell r="K67">
            <v>143852233096</v>
          </cell>
          <cell r="L67">
            <v>-84436672227</v>
          </cell>
          <cell r="M67">
            <v>37286304322</v>
          </cell>
        </row>
        <row r="68">
          <cell r="B68" t="str">
            <v>1. Capital Emitido</v>
          </cell>
          <cell r="C68">
            <v>-410777044090</v>
          </cell>
          <cell r="D68">
            <v>-16130577197</v>
          </cell>
          <cell r="E68">
            <v>-21731166465</v>
          </cell>
          <cell r="F68">
            <v>-12755523881</v>
          </cell>
          <cell r="G68">
            <v>-66334655099</v>
          </cell>
          <cell r="H68">
            <v>-16071926309</v>
          </cell>
          <cell r="I68">
            <v>-25233512</v>
          </cell>
          <cell r="J68">
            <v>-20641263</v>
          </cell>
          <cell r="K68">
            <v>133069723726</v>
          </cell>
          <cell r="M68">
            <v>-410777044090</v>
          </cell>
        </row>
        <row r="69">
          <cell r="B69" t="str">
            <v>2. Ganancias (Pérdidas) Acumuladas</v>
          </cell>
          <cell r="C69">
            <v>1364357834515</v>
          </cell>
          <cell r="D69">
            <v>15588642619</v>
          </cell>
          <cell r="E69">
            <v>9526862052</v>
          </cell>
          <cell r="F69">
            <v>8706438591</v>
          </cell>
          <cell r="G69">
            <v>29043692086</v>
          </cell>
          <cell r="H69">
            <v>1206921122</v>
          </cell>
          <cell r="I69">
            <v>66362651</v>
          </cell>
          <cell r="J69">
            <v>71651149</v>
          </cell>
          <cell r="K69">
            <v>1506440023</v>
          </cell>
          <cell r="L69">
            <v>-65717010293</v>
          </cell>
          <cell r="M69">
            <v>1364357834515</v>
          </cell>
        </row>
        <row r="70">
          <cell r="B70" t="str">
            <v>6. Otras Reservas</v>
          </cell>
          <cell r="C70">
            <v>-916294486103</v>
          </cell>
          <cell r="D70">
            <v>324689427</v>
          </cell>
          <cell r="E70">
            <v>15840475691</v>
          </cell>
          <cell r="F70">
            <v>2392247034</v>
          </cell>
          <cell r="H70">
            <v>-9113646173</v>
          </cell>
          <cell r="I70">
            <v>-308862</v>
          </cell>
          <cell r="J70">
            <v>135470</v>
          </cell>
          <cell r="K70">
            <v>9276069347</v>
          </cell>
          <cell r="L70">
            <v>-18719661934</v>
          </cell>
          <cell r="M70">
            <v>-916294486103</v>
          </cell>
        </row>
        <row r="71">
          <cell r="B71" t="str">
            <v>4. Interés Minoritario</v>
          </cell>
          <cell r="K71">
            <v>179882</v>
          </cell>
          <cell r="L71">
            <v>-151422</v>
          </cell>
          <cell r="M71">
            <v>28460</v>
          </cell>
        </row>
        <row r="72">
          <cell r="B72" t="str">
            <v>1. Participaciones no controladoras</v>
          </cell>
          <cell r="K72">
            <v>179882</v>
          </cell>
          <cell r="L72">
            <v>-151422</v>
          </cell>
          <cell r="M72">
            <v>28460</v>
          </cell>
        </row>
        <row r="73">
          <cell r="B73" t="str">
            <v>BALANCE CONS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219697661887</v>
          </cell>
          <cell r="L73">
            <v>-219697661887</v>
          </cell>
          <cell r="M73">
            <v>0</v>
          </cell>
        </row>
      </sheetData>
      <sheetData sheetId="18">
        <row r="1">
          <cell r="B1" t="str">
            <v>E.F.E.</v>
          </cell>
          <cell r="C1" t="str">
            <v>EFE</v>
          </cell>
          <cell r="D1" t="str">
            <v>FESUB</v>
          </cell>
          <cell r="E1" t="str">
            <v>TERRA</v>
          </cell>
          <cell r="F1" t="str">
            <v>TMSA</v>
          </cell>
          <cell r="G1" t="str">
            <v>MERVAL</v>
          </cell>
          <cell r="H1" t="str">
            <v>INVIA</v>
          </cell>
          <cell r="I1" t="str">
            <v>FCALP</v>
          </cell>
          <cell r="J1" t="str">
            <v>ITF</v>
          </cell>
          <cell r="K1" t="str">
            <v>Ajustes Cons D</v>
          </cell>
          <cell r="L1" t="str">
            <v>Ajustes Cons H</v>
          </cell>
          <cell r="M1" t="str">
            <v>(Ganancia) pérdida</v>
          </cell>
        </row>
        <row r="2"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</row>
        <row r="3">
          <cell r="B3" t="str">
            <v>FERROCARRILES DEL ESTADO y FILIALES</v>
          </cell>
        </row>
        <row r="5">
          <cell r="B5" t="str">
            <v>Año</v>
          </cell>
          <cell r="C5">
            <v>2010</v>
          </cell>
        </row>
        <row r="6">
          <cell r="B6" t="str">
            <v>Mes</v>
          </cell>
          <cell r="C6" t="str">
            <v>(Varios elementos)</v>
          </cell>
        </row>
        <row r="7">
          <cell r="B7" t="str">
            <v>Clasificación estados</v>
          </cell>
          <cell r="C7" t="str">
            <v>Est. Resultado</v>
          </cell>
        </row>
        <row r="8">
          <cell r="C8">
            <v>101783718846</v>
          </cell>
          <cell r="D8">
            <v>3578496460</v>
          </cell>
          <cell r="E8">
            <v>4073795600</v>
          </cell>
          <cell r="F8">
            <v>3400407032</v>
          </cell>
          <cell r="G8">
            <v>2154676876</v>
          </cell>
          <cell r="H8">
            <v>-466072171</v>
          </cell>
        </row>
        <row r="9">
          <cell r="B9" t="str">
            <v xml:space="preserve"> </v>
          </cell>
          <cell r="C9" t="str">
            <v xml:space="preserve"> </v>
          </cell>
        </row>
        <row r="10">
          <cell r="B10" t="str">
            <v>Conceptos</v>
          </cell>
          <cell r="C10" t="str">
            <v>EFE</v>
          </cell>
          <cell r="D10" t="str">
            <v>FESUB</v>
          </cell>
          <cell r="E10" t="str">
            <v>TERRA</v>
          </cell>
          <cell r="F10" t="str">
            <v>TMSA</v>
          </cell>
          <cell r="G10" t="str">
            <v>MERVAL</v>
          </cell>
          <cell r="H10" t="str">
            <v>INVIA</v>
          </cell>
          <cell r="I10" t="str">
            <v>FCALP</v>
          </cell>
          <cell r="J10" t="str">
            <v>ITF</v>
          </cell>
          <cell r="K10" t="str">
            <v>Ajustes Cons D</v>
          </cell>
          <cell r="L10" t="str">
            <v>Ajustes Cons H</v>
          </cell>
          <cell r="M10" t="str">
            <v>(Ganancia) pérdida</v>
          </cell>
        </row>
        <row r="11">
          <cell r="B11" t="str">
            <v>I. Ganancia (pérdida), antes de impuestos</v>
          </cell>
          <cell r="C11">
            <v>110260732396</v>
          </cell>
          <cell r="D11">
            <v>3578496460</v>
          </cell>
          <cell r="E11">
            <v>4211723105</v>
          </cell>
          <cell r="F11">
            <v>3400407032</v>
          </cell>
          <cell r="G11">
            <v>2154676876</v>
          </cell>
          <cell r="H11">
            <v>-380612413</v>
          </cell>
          <cell r="I11">
            <v>1974939</v>
          </cell>
          <cell r="J11">
            <v>1936398</v>
          </cell>
          <cell r="K11">
            <v>11918057692</v>
          </cell>
          <cell r="L11">
            <v>-24924967680</v>
          </cell>
          <cell r="M11">
            <v>110222424805</v>
          </cell>
        </row>
        <row r="12">
          <cell r="B12" t="str">
            <v>a. Ganancia bruta</v>
          </cell>
          <cell r="C12">
            <v>31284904852</v>
          </cell>
          <cell r="D12">
            <v>2694375140</v>
          </cell>
          <cell r="E12">
            <v>2953059864</v>
          </cell>
          <cell r="F12">
            <v>2335419241</v>
          </cell>
          <cell r="G12">
            <v>2233908759</v>
          </cell>
          <cell r="H12">
            <v>-849792056</v>
          </cell>
          <cell r="K12">
            <v>10304489390</v>
          </cell>
          <cell r="L12">
            <v>-10474276444</v>
          </cell>
          <cell r="M12">
            <v>40482088746</v>
          </cell>
        </row>
        <row r="13">
          <cell r="B13" t="str">
            <v>1. Ingresos de actividades ordinarias</v>
          </cell>
          <cell r="C13">
            <v>-20358613726</v>
          </cell>
          <cell r="D13">
            <v>-745783253</v>
          </cell>
          <cell r="E13">
            <v>-2228312088</v>
          </cell>
          <cell r="F13">
            <v>-5474091376</v>
          </cell>
          <cell r="G13">
            <v>-7133610991</v>
          </cell>
          <cell r="H13">
            <v>-890530857</v>
          </cell>
          <cell r="K13">
            <v>10304489390</v>
          </cell>
          <cell r="M13">
            <v>-26526452901</v>
          </cell>
        </row>
        <row r="14">
          <cell r="B14" t="str">
            <v>2. Costo de ventas</v>
          </cell>
          <cell r="C14">
            <v>51643518578</v>
          </cell>
          <cell r="D14">
            <v>3440158393</v>
          </cell>
          <cell r="E14">
            <v>5181371952</v>
          </cell>
          <cell r="F14">
            <v>7809510617</v>
          </cell>
          <cell r="G14">
            <v>9367519750</v>
          </cell>
          <cell r="H14">
            <v>40738801</v>
          </cell>
          <cell r="L14">
            <v>-10474276444</v>
          </cell>
          <cell r="M14">
            <v>67008541647</v>
          </cell>
        </row>
        <row r="15">
          <cell r="B15" t="str">
            <v>b. Ganancia (pérdida)</v>
          </cell>
          <cell r="C15">
            <v>78975827544</v>
          </cell>
          <cell r="D15">
            <v>884121320</v>
          </cell>
          <cell r="E15">
            <v>1258663241</v>
          </cell>
          <cell r="F15">
            <v>1064987791</v>
          </cell>
          <cell r="G15">
            <v>-79231883</v>
          </cell>
          <cell r="H15">
            <v>469179643</v>
          </cell>
          <cell r="I15">
            <v>1974939</v>
          </cell>
          <cell r="J15">
            <v>1936398</v>
          </cell>
          <cell r="K15">
            <v>1613568302</v>
          </cell>
          <cell r="L15">
            <v>-14450691236</v>
          </cell>
          <cell r="M15">
            <v>69740336059</v>
          </cell>
        </row>
        <row r="16">
          <cell r="B16" t="str">
            <v>1. Ganancias que surgen de la baja en cuentas de activos financieros medidos al costo amortizado</v>
          </cell>
          <cell r="C16">
            <v>-314537306</v>
          </cell>
          <cell r="M16">
            <v>-314537306</v>
          </cell>
        </row>
        <row r="17">
          <cell r="B17" t="str">
            <v>5. Gasto de administración</v>
          </cell>
          <cell r="C17">
            <v>11328834153</v>
          </cell>
          <cell r="D17">
            <v>862677224</v>
          </cell>
          <cell r="E17">
            <v>1310212242</v>
          </cell>
          <cell r="F17">
            <v>1068762533</v>
          </cell>
          <cell r="G17">
            <v>2508410836</v>
          </cell>
          <cell r="H17">
            <v>617463294</v>
          </cell>
          <cell r="I17">
            <v>1985659</v>
          </cell>
          <cell r="J17">
            <v>2025857</v>
          </cell>
          <cell r="K17">
            <v>349360950</v>
          </cell>
          <cell r="L17">
            <v>-349360950</v>
          </cell>
          <cell r="M17">
            <v>17700371798</v>
          </cell>
        </row>
        <row r="18">
          <cell r="B18" t="str">
            <v>6. Otros gastos, por función</v>
          </cell>
          <cell r="C18">
            <v>47710222</v>
          </cell>
          <cell r="D18">
            <v>0</v>
          </cell>
          <cell r="E18">
            <v>0</v>
          </cell>
          <cell r="K18">
            <v>169787054</v>
          </cell>
          <cell r="M18">
            <v>217497276</v>
          </cell>
        </row>
        <row r="19">
          <cell r="B19" t="str">
            <v>7. Otras ganancias (pérdidas)</v>
          </cell>
          <cell r="C19">
            <v>26799555821</v>
          </cell>
          <cell r="D19">
            <v>-14004346</v>
          </cell>
          <cell r="E19">
            <v>-52699677</v>
          </cell>
          <cell r="F19">
            <v>-4834243</v>
          </cell>
          <cell r="G19">
            <v>-81911604</v>
          </cell>
          <cell r="M19">
            <v>26646105951</v>
          </cell>
        </row>
        <row r="20">
          <cell r="B20" t="str">
            <v>8. Ingresos financieros</v>
          </cell>
          <cell r="C20">
            <v>-909553968</v>
          </cell>
          <cell r="E20">
            <v>-7729</v>
          </cell>
          <cell r="F20">
            <v>-154000</v>
          </cell>
          <cell r="G20">
            <v>-5373764</v>
          </cell>
          <cell r="H20">
            <v>-149087503</v>
          </cell>
          <cell r="K20">
            <v>752142076</v>
          </cell>
          <cell r="M20">
            <v>-312034888</v>
          </cell>
        </row>
        <row r="21">
          <cell r="B21" t="str">
            <v>9. Costos financieros</v>
          </cell>
          <cell r="C21">
            <v>41621977364</v>
          </cell>
          <cell r="D21">
            <v>35518787</v>
          </cell>
          <cell r="E21">
            <v>1264795</v>
          </cell>
          <cell r="F21">
            <v>1212870</v>
          </cell>
          <cell r="G21">
            <v>687130636</v>
          </cell>
          <cell r="H21">
            <v>1588527</v>
          </cell>
          <cell r="L21">
            <v>-752142076</v>
          </cell>
          <cell r="M21">
            <v>41596550903</v>
          </cell>
        </row>
        <row r="22">
          <cell r="B22" t="str">
            <v>10. Participación en las ganancias (pérdidas) de asociadas y negocios conjuntos que se contabilicen utilizando el método de la participación</v>
          </cell>
          <cell r="C22">
            <v>13744065495</v>
          </cell>
          <cell r="E22">
            <v>0</v>
          </cell>
          <cell r="K22">
            <v>342278222</v>
          </cell>
          <cell r="L22">
            <v>-13349188210</v>
          </cell>
          <cell r="M22">
            <v>737155507</v>
          </cell>
        </row>
        <row r="23">
          <cell r="B23" t="str">
            <v>11. Diferencias de cambio</v>
          </cell>
          <cell r="C23">
            <v>-27530596497</v>
          </cell>
          <cell r="D23">
            <v>-70345</v>
          </cell>
          <cell r="E23">
            <v>85108</v>
          </cell>
          <cell r="F23">
            <v>631</v>
          </cell>
          <cell r="G23">
            <v>-3186657730</v>
          </cell>
          <cell r="M23">
            <v>-30717238833</v>
          </cell>
        </row>
        <row r="24">
          <cell r="B24" t="str">
            <v>12. Resultados por unidades de reajuste</v>
          </cell>
          <cell r="C24">
            <v>14332194262</v>
          </cell>
          <cell r="D24">
            <v>0</v>
          </cell>
          <cell r="E24">
            <v>-191498</v>
          </cell>
          <cell r="F24">
            <v>0</v>
          </cell>
          <cell r="G24">
            <v>-830257</v>
          </cell>
          <cell r="H24">
            <v>-784675</v>
          </cell>
          <cell r="I24">
            <v>-10720</v>
          </cell>
          <cell r="J24">
            <v>-89459</v>
          </cell>
          <cell r="M24">
            <v>14330287653</v>
          </cell>
        </row>
        <row r="25">
          <cell r="B25" t="str">
            <v>13. Ganancias (pérdidas) que surgen de la diferencia entre el valor libro anterior y el valor justo de activos financieros reclasificados medidos a valor razonable</v>
          </cell>
          <cell r="C25">
            <v>-143822002</v>
          </cell>
          <cell r="M25">
            <v>-143822002</v>
          </cell>
        </row>
        <row r="26">
          <cell r="B26" t="str">
            <v>II. Gasto por impuestos</v>
          </cell>
          <cell r="D26">
            <v>0</v>
          </cell>
          <cell r="H26">
            <v>38332409</v>
          </cell>
          <cell r="M26">
            <v>38332409</v>
          </cell>
        </row>
        <row r="27">
          <cell r="B27" t="str">
            <v>c. Impuestos</v>
          </cell>
          <cell r="D27">
            <v>0</v>
          </cell>
          <cell r="H27">
            <v>38332409</v>
          </cell>
          <cell r="M27">
            <v>38332409</v>
          </cell>
        </row>
        <row r="28">
          <cell r="B28" t="str">
            <v>1. Gasto por impuestos a las ganancias</v>
          </cell>
          <cell r="D28">
            <v>0</v>
          </cell>
          <cell r="H28">
            <v>38332409</v>
          </cell>
          <cell r="M28">
            <v>38332409</v>
          </cell>
        </row>
        <row r="29">
          <cell r="B29" t="str">
            <v>III. Ganancia (pérdida), atribuible</v>
          </cell>
          <cell r="K29">
            <v>1782</v>
          </cell>
          <cell r="L29">
            <v>-26600</v>
          </cell>
          <cell r="M29">
            <v>-24818</v>
          </cell>
        </row>
        <row r="30">
          <cell r="B30" t="str">
            <v>d. Ganancia (pérdida), atribuible a</v>
          </cell>
          <cell r="K30">
            <v>1782</v>
          </cell>
          <cell r="L30">
            <v>-26600</v>
          </cell>
          <cell r="M30">
            <v>-24818</v>
          </cell>
        </row>
        <row r="31">
          <cell r="B31" t="str">
            <v>1. Ganancia (pérdida), atribuible a participaciones no controladoras</v>
          </cell>
          <cell r="K31">
            <v>1782</v>
          </cell>
          <cell r="L31">
            <v>-26600</v>
          </cell>
          <cell r="M31">
            <v>-24818</v>
          </cell>
        </row>
        <row r="32">
          <cell r="B32" t="str">
            <v>(Ganancia) pérdida</v>
          </cell>
          <cell r="C32">
            <v>110260732396</v>
          </cell>
          <cell r="D32">
            <v>3578496460</v>
          </cell>
          <cell r="E32">
            <v>4211723105</v>
          </cell>
          <cell r="F32">
            <v>3400407032</v>
          </cell>
          <cell r="G32">
            <v>2154676876</v>
          </cell>
          <cell r="H32">
            <v>-342280004</v>
          </cell>
          <cell r="I32">
            <v>1974939</v>
          </cell>
          <cell r="J32">
            <v>1936398</v>
          </cell>
          <cell r="K32">
            <v>11918059474</v>
          </cell>
          <cell r="L32">
            <v>-24924994280</v>
          </cell>
          <cell r="M32">
            <v>110260732396</v>
          </cell>
        </row>
      </sheetData>
      <sheetData sheetId="19" refreshError="1">
        <row r="1">
          <cell r="B1" t="str">
            <v>E.F.E.</v>
          </cell>
          <cell r="C1" t="str">
            <v>I   T</v>
          </cell>
          <cell r="D1" t="str">
            <v>II  T</v>
          </cell>
          <cell r="E1" t="str">
            <v>III T</v>
          </cell>
          <cell r="F1" t="str">
            <v>IV  T</v>
          </cell>
          <cell r="G1" t="str">
            <v>Aj Cons I   T</v>
          </cell>
          <cell r="H1" t="str">
            <v>Aj Cons II  T</v>
          </cell>
          <cell r="I1" t="str">
            <v>Aj Cons III T</v>
          </cell>
          <cell r="J1" t="str">
            <v>Aj Cons IV  T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</row>
        <row r="2"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</row>
        <row r="3">
          <cell r="B3" t="str">
            <v>FERROCARRILES DEL ESTADO y FILIALES</v>
          </cell>
        </row>
        <row r="6">
          <cell r="B6" t="str">
            <v>Año</v>
          </cell>
          <cell r="C6">
            <v>2010</v>
          </cell>
        </row>
        <row r="7">
          <cell r="B7" t="str">
            <v>Empresa</v>
          </cell>
          <cell r="C7" t="str">
            <v>(Varios elementos)</v>
          </cell>
        </row>
        <row r="9">
          <cell r="B9" t="str">
            <v>Conceptos</v>
          </cell>
          <cell r="C9" t="str">
            <v xml:space="preserve"> </v>
          </cell>
        </row>
        <row r="10">
          <cell r="C10" t="str">
            <v>I   T</v>
          </cell>
          <cell r="D10" t="str">
            <v>II  T</v>
          </cell>
          <cell r="E10" t="str">
            <v>III T</v>
          </cell>
          <cell r="F10" t="str">
            <v>IV  T</v>
          </cell>
          <cell r="G10" t="str">
            <v>Aj Cons I   T</v>
          </cell>
          <cell r="H10" t="str">
            <v>Aj Cons II  T</v>
          </cell>
          <cell r="I10" t="str">
            <v>Aj Cons III T</v>
          </cell>
          <cell r="J10" t="str">
            <v>Aj Cons IV  T</v>
          </cell>
        </row>
        <row r="11">
          <cell r="B11" t="str">
            <v>Conceptos</v>
          </cell>
        </row>
        <row r="12">
          <cell r="B12" t="str">
            <v>I. Ganancia (pérdida), antes de impuestos</v>
          </cell>
          <cell r="C12">
            <v>53474436828</v>
          </cell>
          <cell r="D12">
            <v>62984063380</v>
          </cell>
          <cell r="E12">
            <v>-14248882635</v>
          </cell>
          <cell r="F12">
            <v>21019717220</v>
          </cell>
          <cell r="G12">
            <v>-6633856300</v>
          </cell>
          <cell r="H12">
            <v>-11469871681</v>
          </cell>
          <cell r="I12">
            <v>-10309910977</v>
          </cell>
          <cell r="J12">
            <v>-13006909988</v>
          </cell>
        </row>
        <row r="13">
          <cell r="B13" t="str">
            <v>a. Ganancia bruta</v>
          </cell>
          <cell r="C13">
            <v>9569228081</v>
          </cell>
          <cell r="D13">
            <v>10303203397</v>
          </cell>
          <cell r="E13">
            <v>9636869312</v>
          </cell>
          <cell r="F13">
            <v>11142575010</v>
          </cell>
          <cell r="G13">
            <v>-25459899</v>
          </cell>
          <cell r="H13">
            <v>-173074882</v>
          </cell>
          <cell r="I13">
            <v>-95659914</v>
          </cell>
          <cell r="J13">
            <v>-169787054</v>
          </cell>
        </row>
        <row r="14">
          <cell r="B14" t="str">
            <v>1. Ingresos de actividades ordinarias</v>
          </cell>
          <cell r="C14">
            <v>-9002009999</v>
          </cell>
          <cell r="D14">
            <v>-8276592611</v>
          </cell>
          <cell r="E14">
            <v>-9172408251</v>
          </cell>
          <cell r="F14">
            <v>-10379931430</v>
          </cell>
          <cell r="G14">
            <v>2687257952</v>
          </cell>
          <cell r="H14">
            <v>4679671679</v>
          </cell>
          <cell r="I14">
            <v>7104320239</v>
          </cell>
          <cell r="J14">
            <v>10304489390</v>
          </cell>
        </row>
        <row r="15">
          <cell r="B15" t="str">
            <v>1. Pasajes Cercanias</v>
          </cell>
          <cell r="C15">
            <v>-2477431986</v>
          </cell>
          <cell r="D15">
            <v>-2554098278</v>
          </cell>
          <cell r="E15">
            <v>-2844233568</v>
          </cell>
          <cell r="F15">
            <v>-3020593202</v>
          </cell>
        </row>
        <row r="16">
          <cell r="B16" t="str">
            <v>2. Pasajes Largo Recorrido</v>
          </cell>
          <cell r="C16">
            <v>-1100551630</v>
          </cell>
          <cell r="D16">
            <v>-125025993</v>
          </cell>
          <cell r="E16">
            <v>-341182810</v>
          </cell>
          <cell r="F16">
            <v>-406114310</v>
          </cell>
        </row>
        <row r="17">
          <cell r="B17" t="str">
            <v>3. Pasajes Regionales</v>
          </cell>
          <cell r="C17">
            <v>-205356403</v>
          </cell>
          <cell r="D17">
            <v>-122280152</v>
          </cell>
          <cell r="E17">
            <v>-166210314</v>
          </cell>
          <cell r="F17">
            <v>-206269603</v>
          </cell>
        </row>
        <row r="18">
          <cell r="B18" t="str">
            <v>4. Ingresos Operadores</v>
          </cell>
          <cell r="C18">
            <v>-1792832240</v>
          </cell>
          <cell r="D18">
            <v>-1825649118</v>
          </cell>
          <cell r="E18">
            <v>-2302130067</v>
          </cell>
          <cell r="F18">
            <v>-2227534407</v>
          </cell>
          <cell r="G18">
            <v>233090935</v>
          </cell>
          <cell r="H18">
            <v>480920933</v>
          </cell>
          <cell r="I18">
            <v>733750847</v>
          </cell>
          <cell r="J18">
            <v>989527073</v>
          </cell>
        </row>
        <row r="19">
          <cell r="B19" t="str">
            <v>5. Ingresos Atraviesos</v>
          </cell>
          <cell r="C19">
            <v>-272138983</v>
          </cell>
          <cell r="D19">
            <v>-386526871</v>
          </cell>
          <cell r="E19">
            <v>-399804544</v>
          </cell>
          <cell r="F19">
            <v>419612918</v>
          </cell>
        </row>
        <row r="20">
          <cell r="B20" t="str">
            <v>6. Venta de Servicios y Otros</v>
          </cell>
          <cell r="C20">
            <v>-631618729</v>
          </cell>
          <cell r="D20">
            <v>-919557384</v>
          </cell>
          <cell r="E20">
            <v>-333911276</v>
          </cell>
          <cell r="F20">
            <v>-1311813283</v>
          </cell>
        </row>
        <row r="21">
          <cell r="B21" t="str">
            <v>7. Transferencias Sector Público</v>
          </cell>
          <cell r="C21">
            <v>-67913011</v>
          </cell>
          <cell r="D21">
            <v>-598871086</v>
          </cell>
          <cell r="E21">
            <v>-613117026</v>
          </cell>
          <cell r="F21">
            <v>-682826618</v>
          </cell>
        </row>
        <row r="22">
          <cell r="B22" t="str">
            <v>8. Ing Rec Filial Explotación</v>
          </cell>
          <cell r="C22">
            <v>-2454167017</v>
          </cell>
          <cell r="D22">
            <v>-1744583729</v>
          </cell>
          <cell r="E22">
            <v>-2171818646</v>
          </cell>
          <cell r="F22">
            <v>-2944392925</v>
          </cell>
          <cell r="G22">
            <v>2454167017</v>
          </cell>
          <cell r="H22">
            <v>4198750746</v>
          </cell>
          <cell r="I22">
            <v>6370569392</v>
          </cell>
          <cell r="J22">
            <v>9314962317</v>
          </cell>
        </row>
        <row r="23">
          <cell r="B23" t="str">
            <v>2. Costo de ventas</v>
          </cell>
          <cell r="C23">
            <v>18571238080</v>
          </cell>
          <cell r="D23">
            <v>18579796008</v>
          </cell>
          <cell r="E23">
            <v>18809277563</v>
          </cell>
          <cell r="F23">
            <v>21522506440</v>
          </cell>
          <cell r="G23">
            <v>-2712717851</v>
          </cell>
          <cell r="H23">
            <v>-4852746561</v>
          </cell>
          <cell r="I23">
            <v>-7199980153</v>
          </cell>
          <cell r="J23">
            <v>-10474276444</v>
          </cell>
        </row>
        <row r="24">
          <cell r="B24" t="str">
            <v>1. Energia y Combustibles</v>
          </cell>
          <cell r="C24">
            <v>2082873994</v>
          </cell>
          <cell r="D24">
            <v>1467548452</v>
          </cell>
          <cell r="E24">
            <v>1950215455</v>
          </cell>
          <cell r="F24">
            <v>1635545599</v>
          </cell>
          <cell r="G24">
            <v>-659674288</v>
          </cell>
          <cell r="H24">
            <v>-822709535</v>
          </cell>
          <cell r="I24">
            <v>-1290118472</v>
          </cell>
          <cell r="J24">
            <v>-2344294090</v>
          </cell>
        </row>
        <row r="25">
          <cell r="B25" t="str">
            <v>2. Mantenimiento Mat Rodante</v>
          </cell>
          <cell r="C25">
            <v>3056217126</v>
          </cell>
          <cell r="D25">
            <v>2971607049</v>
          </cell>
          <cell r="E25">
            <v>2782929326</v>
          </cell>
          <cell r="F25">
            <v>3952516200</v>
          </cell>
          <cell r="G25">
            <v>-1037614902</v>
          </cell>
          <cell r="H25">
            <v>-2039701265</v>
          </cell>
          <cell r="I25">
            <v>-2841529044</v>
          </cell>
          <cell r="J25">
            <v>-3887553028</v>
          </cell>
        </row>
        <row r="26">
          <cell r="B26" t="str">
            <v>3. Mantenimiento Infraestructura</v>
          </cell>
          <cell r="C26">
            <v>1330084189</v>
          </cell>
          <cell r="D26">
            <v>1873251615</v>
          </cell>
          <cell r="E26">
            <v>1013975109</v>
          </cell>
          <cell r="F26">
            <v>1754222108</v>
          </cell>
          <cell r="G26">
            <v>-215704349</v>
          </cell>
          <cell r="H26">
            <v>-366942077</v>
          </cell>
          <cell r="I26">
            <v>-566008484</v>
          </cell>
          <cell r="J26">
            <v>-1761282905</v>
          </cell>
        </row>
        <row r="27">
          <cell r="B27" t="str">
            <v>4. Mantenimiento SEC y Tráfico</v>
          </cell>
          <cell r="C27">
            <v>1519079712</v>
          </cell>
          <cell r="D27">
            <v>1754193005</v>
          </cell>
          <cell r="E27">
            <v>1946868352</v>
          </cell>
          <cell r="F27">
            <v>2319490903</v>
          </cell>
          <cell r="G27">
            <v>-466994598</v>
          </cell>
          <cell r="H27">
            <v>-918955808</v>
          </cell>
          <cell r="I27">
            <v>-1436377900</v>
          </cell>
          <cell r="J27">
            <v>-935548106</v>
          </cell>
        </row>
        <row r="28">
          <cell r="B28" t="str">
            <v>5. Serv Guardia y Guarda Cruce</v>
          </cell>
          <cell r="C28">
            <v>436552147</v>
          </cell>
          <cell r="D28">
            <v>1373248191</v>
          </cell>
          <cell r="E28">
            <v>1016870845</v>
          </cell>
          <cell r="F28">
            <v>1316965499</v>
          </cell>
          <cell r="G28">
            <v>-35848671</v>
          </cell>
          <cell r="H28">
            <v>-106366609</v>
          </cell>
          <cell r="I28">
            <v>-159843796</v>
          </cell>
          <cell r="J28">
            <v>-222720730</v>
          </cell>
        </row>
        <row r="29">
          <cell r="B29" t="str">
            <v>6. Serv Terceros y Ventas</v>
          </cell>
          <cell r="C29">
            <v>1066661926</v>
          </cell>
          <cell r="D29">
            <v>831521499</v>
          </cell>
          <cell r="E29">
            <v>989425812</v>
          </cell>
          <cell r="F29">
            <v>1223332146</v>
          </cell>
          <cell r="G29">
            <v>-296881043</v>
          </cell>
          <cell r="H29">
            <v>-598071267</v>
          </cell>
          <cell r="I29">
            <v>-906102457</v>
          </cell>
          <cell r="J29">
            <v>-1322877585</v>
          </cell>
        </row>
        <row r="30">
          <cell r="B30" t="str">
            <v>7. Remuneraciones Fijas</v>
          </cell>
          <cell r="C30">
            <v>1802917261</v>
          </cell>
          <cell r="D30">
            <v>1839816421</v>
          </cell>
          <cell r="E30">
            <v>1956922887</v>
          </cell>
          <cell r="F30">
            <v>1880506478</v>
          </cell>
        </row>
        <row r="31">
          <cell r="B31" t="str">
            <v>8. Remuneraciones Variables</v>
          </cell>
          <cell r="C31">
            <v>916286859</v>
          </cell>
          <cell r="D31">
            <v>806804202</v>
          </cell>
          <cell r="E31">
            <v>919620446</v>
          </cell>
          <cell r="F31">
            <v>1189475310</v>
          </cell>
        </row>
        <row r="32">
          <cell r="B32" t="str">
            <v>9. Provisiones e indemnizaciones</v>
          </cell>
          <cell r="C32">
            <v>-28478187</v>
          </cell>
          <cell r="D32">
            <v>148777943</v>
          </cell>
          <cell r="E32">
            <v>1280361</v>
          </cell>
          <cell r="F32">
            <v>26932408</v>
          </cell>
        </row>
        <row r="33">
          <cell r="B33" t="str">
            <v>10. Depreciación</v>
          </cell>
          <cell r="C33">
            <v>6389043053</v>
          </cell>
          <cell r="D33">
            <v>5513027631</v>
          </cell>
          <cell r="E33">
            <v>6231168970</v>
          </cell>
          <cell r="F33">
            <v>6223519789</v>
          </cell>
        </row>
        <row r="34">
          <cell r="B34" t="str">
            <v>b. Ganancia (pérdida)</v>
          </cell>
          <cell r="C34">
            <v>43905208747</v>
          </cell>
          <cell r="D34">
            <v>52680859983</v>
          </cell>
          <cell r="E34">
            <v>-23885751947</v>
          </cell>
          <cell r="F34">
            <v>9877142210</v>
          </cell>
          <cell r="G34">
            <v>-6608396401</v>
          </cell>
          <cell r="H34">
            <v>-11296796799</v>
          </cell>
          <cell r="I34">
            <v>-10214251063</v>
          </cell>
          <cell r="J34">
            <v>-12837122934</v>
          </cell>
        </row>
        <row r="35">
          <cell r="B35" t="str">
            <v>5. Gasto de administración</v>
          </cell>
          <cell r="C35">
            <v>3419253365</v>
          </cell>
          <cell r="D35">
            <v>3903084926</v>
          </cell>
          <cell r="E35">
            <v>4805629753</v>
          </cell>
          <cell r="F35">
            <v>5572403754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 t="str">
            <v>1. Remuneraciones Fijas</v>
          </cell>
          <cell r="C36">
            <v>1317323991</v>
          </cell>
          <cell r="D36">
            <v>1275168615</v>
          </cell>
          <cell r="E36">
            <v>1280273794</v>
          </cell>
          <cell r="F36">
            <v>1275306184</v>
          </cell>
        </row>
        <row r="37">
          <cell r="B37" t="str">
            <v>2. Remuneraciones Variables</v>
          </cell>
          <cell r="C37">
            <v>331087712</v>
          </cell>
          <cell r="D37">
            <v>356335743</v>
          </cell>
          <cell r="E37">
            <v>514727721</v>
          </cell>
          <cell r="F37">
            <v>234451488</v>
          </cell>
        </row>
        <row r="38">
          <cell r="B38" t="str">
            <v>3. Provisiones e indemnizaciones</v>
          </cell>
          <cell r="C38">
            <v>4691538</v>
          </cell>
          <cell r="D38">
            <v>-92530439</v>
          </cell>
          <cell r="E38">
            <v>271705759</v>
          </cell>
          <cell r="F38">
            <v>297781131</v>
          </cell>
        </row>
        <row r="39">
          <cell r="B39" t="str">
            <v>4. Otros Gastos en Personal</v>
          </cell>
          <cell r="C39">
            <v>230995916</v>
          </cell>
          <cell r="D39">
            <v>284734197</v>
          </cell>
          <cell r="E39">
            <v>324756067</v>
          </cell>
          <cell r="F39">
            <v>436931097</v>
          </cell>
        </row>
        <row r="40">
          <cell r="B40" t="str">
            <v>5. Honorarios</v>
          </cell>
          <cell r="C40">
            <v>23162992</v>
          </cell>
          <cell r="D40">
            <v>22225583</v>
          </cell>
          <cell r="E40">
            <v>33786290</v>
          </cell>
          <cell r="F40">
            <v>29716538</v>
          </cell>
        </row>
        <row r="41">
          <cell r="B41" t="str">
            <v>6. Directorio</v>
          </cell>
          <cell r="C41">
            <v>62453931</v>
          </cell>
          <cell r="D41">
            <v>50582598</v>
          </cell>
          <cell r="E41">
            <v>81015314</v>
          </cell>
          <cell r="F41">
            <v>81247306</v>
          </cell>
        </row>
        <row r="42">
          <cell r="B42" t="str">
            <v>7. Investigacion y Desarrollo</v>
          </cell>
          <cell r="C42">
            <v>231817231</v>
          </cell>
          <cell r="D42">
            <v>171569497</v>
          </cell>
          <cell r="E42">
            <v>386271157</v>
          </cell>
          <cell r="F42">
            <v>813283187</v>
          </cell>
        </row>
        <row r="43">
          <cell r="B43" t="str">
            <v>8. Costo Mercadotecnia</v>
          </cell>
          <cell r="C43">
            <v>71156860</v>
          </cell>
          <cell r="D43">
            <v>105364197</v>
          </cell>
          <cell r="E43">
            <v>108367714</v>
          </cell>
          <cell r="F43">
            <v>103951564</v>
          </cell>
        </row>
        <row r="44">
          <cell r="B44" t="str">
            <v>9. Informática y Comunicaciones</v>
          </cell>
          <cell r="C44">
            <v>161218980</v>
          </cell>
          <cell r="D44">
            <v>331410491</v>
          </cell>
          <cell r="E44">
            <v>508571798</v>
          </cell>
          <cell r="F44">
            <v>402937364</v>
          </cell>
          <cell r="G44">
            <v>-18772035</v>
          </cell>
          <cell r="H44">
            <v>-36620914</v>
          </cell>
          <cell r="I44">
            <v>-56346364</v>
          </cell>
          <cell r="J44">
            <v>-73833012</v>
          </cell>
        </row>
        <row r="45">
          <cell r="B45" t="str">
            <v>10. Consumos Basicos</v>
          </cell>
          <cell r="C45">
            <v>500368852</v>
          </cell>
          <cell r="D45">
            <v>662477955</v>
          </cell>
          <cell r="E45">
            <v>652756100</v>
          </cell>
          <cell r="F45">
            <v>675684629</v>
          </cell>
          <cell r="G45">
            <v>-38080186</v>
          </cell>
          <cell r="H45">
            <v>-94419427</v>
          </cell>
          <cell r="I45">
            <v>-152365098</v>
          </cell>
          <cell r="J45">
            <v>-208580591</v>
          </cell>
        </row>
        <row r="46">
          <cell r="B46" t="str">
            <v>11. Fletes y Seguros</v>
          </cell>
          <cell r="C46">
            <v>185217349</v>
          </cell>
          <cell r="D46">
            <v>407671336</v>
          </cell>
          <cell r="E46">
            <v>570411385</v>
          </cell>
          <cell r="F46">
            <v>359550752</v>
          </cell>
        </row>
        <row r="47">
          <cell r="B47" t="str">
            <v>12. Serv Administración</v>
          </cell>
          <cell r="C47">
            <v>49312860</v>
          </cell>
          <cell r="D47">
            <v>27781811</v>
          </cell>
          <cell r="E47">
            <v>28635393</v>
          </cell>
          <cell r="F47">
            <v>50652539</v>
          </cell>
        </row>
        <row r="48">
          <cell r="B48" t="str">
            <v>13. Patentes e Incobrables</v>
          </cell>
          <cell r="C48">
            <v>44499525</v>
          </cell>
          <cell r="D48">
            <v>59613266</v>
          </cell>
          <cell r="E48">
            <v>43263400</v>
          </cell>
          <cell r="F48">
            <v>-7826380</v>
          </cell>
        </row>
        <row r="49">
          <cell r="B49" t="str">
            <v>14. Gastos Generales</v>
          </cell>
          <cell r="C49">
            <v>220596444</v>
          </cell>
          <cell r="D49">
            <v>284661544</v>
          </cell>
          <cell r="E49">
            <v>36575225</v>
          </cell>
          <cell r="F49">
            <v>920849381</v>
          </cell>
          <cell r="G49">
            <v>-1614568</v>
          </cell>
          <cell r="H49">
            <v>-2832196</v>
          </cell>
          <cell r="I49">
            <v>-4202413</v>
          </cell>
          <cell r="J49">
            <v>-66947347</v>
          </cell>
        </row>
        <row r="50">
          <cell r="B50" t="str">
            <v>15. Ing Rec Filial Administración</v>
          </cell>
          <cell r="C50">
            <v>-58466789</v>
          </cell>
          <cell r="D50">
            <v>-75405748</v>
          </cell>
          <cell r="E50">
            <v>-79041338</v>
          </cell>
          <cell r="F50">
            <v>-136447075</v>
          </cell>
          <cell r="G50">
            <v>58466789</v>
          </cell>
          <cell r="H50">
            <v>133872537</v>
          </cell>
          <cell r="I50">
            <v>212913875</v>
          </cell>
          <cell r="J50">
            <v>349360950</v>
          </cell>
        </row>
        <row r="51">
          <cell r="B51" t="str">
            <v>16. Depreciación</v>
          </cell>
          <cell r="C51">
            <v>43815973</v>
          </cell>
          <cell r="D51">
            <v>31424280</v>
          </cell>
          <cell r="E51">
            <v>43553974</v>
          </cell>
          <cell r="F51">
            <v>34334049</v>
          </cell>
        </row>
        <row r="52">
          <cell r="B52" t="str">
            <v>6. Otros gastos, por función</v>
          </cell>
          <cell r="C52">
            <v>165339987</v>
          </cell>
          <cell r="D52">
            <v>120327470</v>
          </cell>
          <cell r="E52">
            <v>74976641</v>
          </cell>
          <cell r="F52">
            <v>-312933876</v>
          </cell>
          <cell r="G52">
            <v>25459899</v>
          </cell>
          <cell r="H52">
            <v>66042821</v>
          </cell>
          <cell r="I52">
            <v>95659914</v>
          </cell>
          <cell r="J52">
            <v>169787054</v>
          </cell>
        </row>
        <row r="53">
          <cell r="B53" t="str">
            <v>1. IVA Explotación</v>
          </cell>
          <cell r="C53">
            <v>165339987</v>
          </cell>
          <cell r="D53">
            <v>120327470</v>
          </cell>
          <cell r="E53">
            <v>74976641</v>
          </cell>
          <cell r="F53">
            <v>-312933876</v>
          </cell>
          <cell r="G53">
            <v>25459899</v>
          </cell>
          <cell r="H53">
            <v>66042821</v>
          </cell>
          <cell r="I53">
            <v>95659914</v>
          </cell>
          <cell r="J53">
            <v>169787054</v>
          </cell>
        </row>
        <row r="54">
          <cell r="B54" t="str">
            <v>2. IVA Administración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R54" t="str">
            <v>1. Energia y Combustibles</v>
          </cell>
        </row>
        <row r="55">
          <cell r="B55" t="str">
            <v>7. Otras ganancias (pérdidas)</v>
          </cell>
          <cell r="C55">
            <v>16656490585</v>
          </cell>
          <cell r="D55">
            <v>9477843367</v>
          </cell>
          <cell r="E55">
            <v>1064996353</v>
          </cell>
          <cell r="F55">
            <v>-553224354</v>
          </cell>
          <cell r="H55">
            <v>107032061</v>
          </cell>
          <cell r="R55" t="str">
            <v>3. Mantenimiento Infraestructura</v>
          </cell>
        </row>
        <row r="56">
          <cell r="B56" t="str">
            <v>1. Ingresos Fuera de Explotación</v>
          </cell>
          <cell r="C56">
            <v>-738462538</v>
          </cell>
          <cell r="D56">
            <v>-1573391</v>
          </cell>
          <cell r="E56">
            <v>-15973057</v>
          </cell>
          <cell r="F56">
            <v>-1685004327</v>
          </cell>
          <cell r="R56" t="str">
            <v>4. Mantenimiento SEC y Tráfico</v>
          </cell>
        </row>
        <row r="57">
          <cell r="B57" t="str">
            <v>1. Pérdida x Baja Activo Financiero</v>
          </cell>
          <cell r="E57">
            <v>5037817</v>
          </cell>
          <cell r="F57">
            <v>0</v>
          </cell>
          <cell r="R57" t="str">
            <v>2. Mantenimiento Mat Rodante</v>
          </cell>
        </row>
        <row r="58">
          <cell r="B58" t="str">
            <v>2. Ingresos Sector Público</v>
          </cell>
          <cell r="C58">
            <v>-9737858081</v>
          </cell>
          <cell r="D58">
            <v>9706547485</v>
          </cell>
          <cell r="E58">
            <v>-37068497</v>
          </cell>
          <cell r="F58">
            <v>15374548</v>
          </cell>
          <cell r="R58" t="str">
            <v>5. Serv Guardia y Guarda Cruce</v>
          </cell>
        </row>
        <row r="59">
          <cell r="B59" t="str">
            <v>3. Otros Gastos Fuera Explotación</v>
          </cell>
          <cell r="C59">
            <v>27132811204</v>
          </cell>
          <cell r="D59">
            <v>-227130727</v>
          </cell>
          <cell r="E59">
            <v>1113000090</v>
          </cell>
          <cell r="F59">
            <v>1116405425</v>
          </cell>
          <cell r="H59">
            <v>107032061</v>
          </cell>
          <cell r="R59" t="str">
            <v>6. Serv Terceros y Ventas</v>
          </cell>
        </row>
        <row r="60">
          <cell r="B60" t="str">
            <v>8. Ingresos financieros</v>
          </cell>
          <cell r="C60">
            <v>-787389266</v>
          </cell>
          <cell r="D60">
            <v>387532307</v>
          </cell>
          <cell r="E60">
            <v>-230073385</v>
          </cell>
          <cell r="F60">
            <v>-434246620</v>
          </cell>
          <cell r="G60">
            <v>162519117</v>
          </cell>
          <cell r="H60">
            <v>315620691</v>
          </cell>
          <cell r="I60">
            <v>464902933</v>
          </cell>
          <cell r="J60">
            <v>752142076</v>
          </cell>
          <cell r="R60" t="str">
            <v>7. Remuneraciones Fijas</v>
          </cell>
        </row>
        <row r="61">
          <cell r="B61" t="str">
            <v>1. Ingresos Financieros</v>
          </cell>
          <cell r="C61">
            <v>-787389266</v>
          </cell>
          <cell r="D61">
            <v>387532307</v>
          </cell>
          <cell r="E61">
            <v>-230073385</v>
          </cell>
          <cell r="F61">
            <v>-434246620</v>
          </cell>
          <cell r="G61">
            <v>162519117</v>
          </cell>
          <cell r="H61">
            <v>315620691</v>
          </cell>
          <cell r="I61">
            <v>464902933</v>
          </cell>
          <cell r="J61">
            <v>752142076</v>
          </cell>
          <cell r="R61" t="str">
            <v>8. Remuneraciones Variables</v>
          </cell>
        </row>
        <row r="62">
          <cell r="B62" t="str">
            <v>9. Costos financieros</v>
          </cell>
          <cell r="C62">
            <v>10685848961</v>
          </cell>
          <cell r="D62">
            <v>10629245146</v>
          </cell>
          <cell r="E62">
            <v>11409836237</v>
          </cell>
          <cell r="F62">
            <v>9623762635</v>
          </cell>
          <cell r="G62">
            <v>-162519117</v>
          </cell>
          <cell r="H62">
            <v>-315620691</v>
          </cell>
          <cell r="I62">
            <v>-464902933</v>
          </cell>
          <cell r="J62">
            <v>-752142076</v>
          </cell>
          <cell r="R62" t="str">
            <v>9. Provisiones e indemnizaciones</v>
          </cell>
        </row>
        <row r="63">
          <cell r="B63" t="str">
            <v>1. Costos Financieros</v>
          </cell>
          <cell r="C63">
            <v>10685848961</v>
          </cell>
          <cell r="D63">
            <v>10629245146</v>
          </cell>
          <cell r="E63">
            <v>11409836237</v>
          </cell>
          <cell r="F63">
            <v>9623762635</v>
          </cell>
          <cell r="G63">
            <v>-162519117</v>
          </cell>
          <cell r="H63">
            <v>-315620691</v>
          </cell>
          <cell r="I63">
            <v>-464902933</v>
          </cell>
          <cell r="J63">
            <v>-752142076</v>
          </cell>
          <cell r="R63" t="str">
            <v>10. Depreciación</v>
          </cell>
        </row>
        <row r="64">
          <cell r="B64" t="str">
            <v>11. Diferencias de cambio</v>
          </cell>
          <cell r="C64">
            <v>10109808132</v>
          </cell>
          <cell r="D64">
            <v>13595013683</v>
          </cell>
          <cell r="E64">
            <v>-43330821815</v>
          </cell>
          <cell r="F64">
            <v>-11091238833</v>
          </cell>
        </row>
        <row r="65">
          <cell r="B65" t="str">
            <v>1. Diferencia de Cambio</v>
          </cell>
          <cell r="C65">
            <v>10109808132</v>
          </cell>
          <cell r="D65">
            <v>13595013683</v>
          </cell>
          <cell r="E65">
            <v>-43330821815</v>
          </cell>
          <cell r="F65">
            <v>-11091238833</v>
          </cell>
        </row>
        <row r="66">
          <cell r="B66" t="str">
            <v>12. Resultados por unidades de reajuste</v>
          </cell>
          <cell r="C66">
            <v>-2793656364</v>
          </cell>
          <cell r="D66">
            <v>9899257808</v>
          </cell>
          <cell r="E66">
            <v>4040715563</v>
          </cell>
          <cell r="F66">
            <v>3183970646</v>
          </cell>
        </row>
        <row r="67">
          <cell r="B67" t="str">
            <v>1. Resultado Unidad de Reajuste</v>
          </cell>
          <cell r="C67">
            <v>-2793656364</v>
          </cell>
          <cell r="D67">
            <v>9899257808</v>
          </cell>
          <cell r="E67">
            <v>4040715563</v>
          </cell>
          <cell r="F67">
            <v>3183970646</v>
          </cell>
        </row>
        <row r="68">
          <cell r="B68" t="str">
            <v>1. Ganancias que surgen de la baja en cuentas de activos financieros medidos al costo amortizado</v>
          </cell>
          <cell r="D68">
            <v>-72637763</v>
          </cell>
          <cell r="E68">
            <v>-97128227</v>
          </cell>
          <cell r="F68">
            <v>-144771316</v>
          </cell>
        </row>
        <row r="69">
          <cell r="B69" t="str">
            <v>1. Ganancias x Baja Cta Activo Financiero</v>
          </cell>
          <cell r="D69">
            <v>-72637763</v>
          </cell>
          <cell r="E69">
            <v>-97128227</v>
          </cell>
          <cell r="F69">
            <v>-144771316</v>
          </cell>
        </row>
        <row r="70">
          <cell r="B70" t="str">
            <v>13. Ganancias (pérdidas) que surgen de la diferencia entre el valor libro anterior y el valor justo de activos financieros reclasificados medidos a valor razonable</v>
          </cell>
          <cell r="D70">
            <v>-29524189</v>
          </cell>
          <cell r="E70">
            <v>-51321742</v>
          </cell>
          <cell r="F70">
            <v>-62976071</v>
          </cell>
        </row>
        <row r="71">
          <cell r="B71" t="str">
            <v>1. Ganancias x Baja Cta Activo Financiero</v>
          </cell>
          <cell r="D71">
            <v>-29524189</v>
          </cell>
          <cell r="E71">
            <v>-51321742</v>
          </cell>
          <cell r="F71">
            <v>-62976071</v>
          </cell>
        </row>
        <row r="72">
          <cell r="B72" t="str">
            <v>10. Participación en las ganancias (pérdidas) de asociadas y negocios conjuntos que se contabilicen utilizando el método de la participación</v>
          </cell>
          <cell r="C72">
            <v>6449513347</v>
          </cell>
          <cell r="D72">
            <v>4770717228</v>
          </cell>
          <cell r="E72">
            <v>-1572561325</v>
          </cell>
          <cell r="F72">
            <v>4096396245</v>
          </cell>
          <cell r="G72">
            <v>-6633856300</v>
          </cell>
          <cell r="H72">
            <v>-11469871681</v>
          </cell>
          <cell r="I72">
            <v>-10309910977</v>
          </cell>
          <cell r="J72">
            <v>-13006909988</v>
          </cell>
        </row>
        <row r="73">
          <cell r="B73" t="str">
            <v>1. Utilidad Inv. Empresas Relacionadas</v>
          </cell>
          <cell r="D73">
            <v>-256412530</v>
          </cell>
          <cell r="E73">
            <v>-415642350</v>
          </cell>
          <cell r="F73">
            <v>-48235682</v>
          </cell>
          <cell r="J73">
            <v>342278222</v>
          </cell>
        </row>
        <row r="74">
          <cell r="B74" t="str">
            <v>2. Pérdida Inv. Empresas Relacionadas</v>
          </cell>
          <cell r="C74">
            <v>6449513347</v>
          </cell>
          <cell r="D74">
            <v>5027129758</v>
          </cell>
          <cell r="E74">
            <v>-1156918975</v>
          </cell>
          <cell r="F74">
            <v>4144631927</v>
          </cell>
          <cell r="G74">
            <v>-6633856300</v>
          </cell>
          <cell r="H74">
            <v>-11469871681</v>
          </cell>
          <cell r="I74">
            <v>-10309910977</v>
          </cell>
          <cell r="J74">
            <v>-13349188210</v>
          </cell>
        </row>
        <row r="75">
          <cell r="B75" t="str">
            <v>III. Ganancia (pérdida), atribuible</v>
          </cell>
          <cell r="G75">
            <v>-335477</v>
          </cell>
          <cell r="H75">
            <v>-663899</v>
          </cell>
          <cell r="I75">
            <v>-19297</v>
          </cell>
          <cell r="J75">
            <v>-24818</v>
          </cell>
        </row>
        <row r="76">
          <cell r="B76" t="str">
            <v>d. Ganancia (pérdida), atribuible a</v>
          </cell>
          <cell r="G76">
            <v>-335477</v>
          </cell>
          <cell r="H76">
            <v>-663899</v>
          </cell>
          <cell r="I76">
            <v>-19297</v>
          </cell>
          <cell r="J76">
            <v>-24818</v>
          </cell>
        </row>
        <row r="77">
          <cell r="B77" t="str">
            <v>1. Ganancia (pérdida), atribuible a participaciones no controladoras</v>
          </cell>
          <cell r="G77">
            <v>-335477</v>
          </cell>
          <cell r="H77">
            <v>-663899</v>
          </cell>
          <cell r="I77">
            <v>-19297</v>
          </cell>
          <cell r="J77">
            <v>-24818</v>
          </cell>
        </row>
        <row r="78">
          <cell r="B78" t="str">
            <v>1. Interés Minoritario</v>
          </cell>
          <cell r="G78">
            <v>-335477</v>
          </cell>
          <cell r="H78">
            <v>-663899</v>
          </cell>
          <cell r="I78">
            <v>-19297</v>
          </cell>
          <cell r="J78">
            <v>-24818</v>
          </cell>
        </row>
        <row r="79">
          <cell r="B79" t="str">
            <v>II. Gasto por impuestos</v>
          </cell>
          <cell r="C79">
            <v>2359819</v>
          </cell>
          <cell r="D79">
            <v>-349335</v>
          </cell>
          <cell r="E79">
            <v>-37454846</v>
          </cell>
          <cell r="F79">
            <v>73776771</v>
          </cell>
        </row>
        <row r="80">
          <cell r="B80" t="str">
            <v>c. Impuestos</v>
          </cell>
          <cell r="C80">
            <v>2359819</v>
          </cell>
          <cell r="D80">
            <v>-349335</v>
          </cell>
          <cell r="E80">
            <v>-37454846</v>
          </cell>
          <cell r="F80">
            <v>73776771</v>
          </cell>
        </row>
        <row r="81">
          <cell r="B81" t="str">
            <v>1. Gasto por impuestos a las ganancias</v>
          </cell>
          <cell r="C81">
            <v>2359819</v>
          </cell>
          <cell r="D81">
            <v>-349335</v>
          </cell>
          <cell r="E81">
            <v>-37454846</v>
          </cell>
          <cell r="F81">
            <v>73776771</v>
          </cell>
        </row>
        <row r="82">
          <cell r="B82" t="str">
            <v>1. Impuesto a la Renta</v>
          </cell>
          <cell r="C82">
            <v>2359819</v>
          </cell>
          <cell r="D82">
            <v>-349335</v>
          </cell>
          <cell r="E82">
            <v>-37454846</v>
          </cell>
          <cell r="F82">
            <v>73776771</v>
          </cell>
        </row>
        <row r="83">
          <cell r="B83" t="str">
            <v>(Ganancia) pérdida</v>
          </cell>
          <cell r="C83">
            <v>53476796647</v>
          </cell>
          <cell r="D83">
            <v>62983714045</v>
          </cell>
          <cell r="E83">
            <v>-14286337481</v>
          </cell>
          <cell r="F83">
            <v>21093493991</v>
          </cell>
          <cell r="G83">
            <v>-6634191777</v>
          </cell>
          <cell r="H83">
            <v>-11470535580</v>
          </cell>
          <cell r="I83">
            <v>-10309930274</v>
          </cell>
          <cell r="J83">
            <v>-13006934806</v>
          </cell>
        </row>
      </sheetData>
      <sheetData sheetId="20">
        <row r="12">
          <cell r="AK12" t="str">
            <v>Ingresos Ordinarios</v>
          </cell>
          <cell r="AL12" t="str">
            <v>(Ganancia) pérdida neta</v>
          </cell>
          <cell r="AM12" t="str">
            <v>Ingresos Ordinarios</v>
          </cell>
          <cell r="AN12" t="str">
            <v>(Ganancia) pérdida neta</v>
          </cell>
          <cell r="AO12" t="str">
            <v>Ingresos Ordinarios</v>
          </cell>
          <cell r="AP12" t="str">
            <v>(Ganancia) pérdida neta</v>
          </cell>
          <cell r="AQ12" t="str">
            <v>Ingresos Ordinarios</v>
          </cell>
          <cell r="AR12" t="str">
            <v>(Ganancia) pérdida neta</v>
          </cell>
          <cell r="AS12" t="str">
            <v>Ingresos Ordinarios</v>
          </cell>
          <cell r="AT12" t="str">
            <v>(Ganancia) pérdida neta</v>
          </cell>
          <cell r="AU12" t="str">
            <v>Ingresos Ordinarios</v>
          </cell>
          <cell r="AV12" t="str">
            <v>(Ganancia) pérdida neta</v>
          </cell>
          <cell r="AW12" t="str">
            <v>Ingresos Ordinarios</v>
          </cell>
          <cell r="AX12" t="str">
            <v>(Ganancia) pérdida neta</v>
          </cell>
          <cell r="AY12" t="str">
            <v>Ingresos Ordinarios</v>
          </cell>
          <cell r="AZ12" t="str">
            <v>(Ganancia) pérdida neta</v>
          </cell>
          <cell r="BA12" t="str">
            <v>Ingresos Ordinarios</v>
          </cell>
          <cell r="BB12" t="str">
            <v>(Ganancia) pérdida neta</v>
          </cell>
        </row>
        <row r="13">
          <cell r="AJ13" t="str">
            <v>Conceptos</v>
          </cell>
          <cell r="AK13" t="str">
            <v>I   T</v>
          </cell>
          <cell r="AL13" t="str">
            <v>I   T</v>
          </cell>
          <cell r="AM13" t="str">
            <v>II  T</v>
          </cell>
          <cell r="AN13" t="str">
            <v>II  T</v>
          </cell>
          <cell r="AO13" t="str">
            <v>III T</v>
          </cell>
          <cell r="AP13" t="str">
            <v>III T</v>
          </cell>
          <cell r="AQ13" t="str">
            <v>IV  T</v>
          </cell>
          <cell r="AR13" t="str">
            <v>IV  T</v>
          </cell>
          <cell r="AS13" t="str">
            <v>Total</v>
          </cell>
          <cell r="AT13" t="str">
            <v>Total</v>
          </cell>
          <cell r="AU13" t="str">
            <v>Aj Cons I   T</v>
          </cell>
          <cell r="AV13" t="str">
            <v>Aj Cons I   T</v>
          </cell>
          <cell r="AW13" t="str">
            <v>Aj Cons II  T</v>
          </cell>
          <cell r="AX13" t="str">
            <v>Aj Cons II  T</v>
          </cell>
          <cell r="AY13" t="str">
            <v>Aj Cons III T</v>
          </cell>
          <cell r="AZ13" t="str">
            <v>Aj Cons III T</v>
          </cell>
          <cell r="BA13" t="str">
            <v>Aj Cons IV  T</v>
          </cell>
          <cell r="BB13" t="str">
            <v>Aj Cons IV  T</v>
          </cell>
        </row>
        <row r="14">
          <cell r="AK14" t="str">
            <v>M$</v>
          </cell>
          <cell r="AL14" t="str">
            <v>M$</v>
          </cell>
          <cell r="AM14" t="str">
            <v>M$</v>
          </cell>
          <cell r="AN14" t="str">
            <v>M$</v>
          </cell>
          <cell r="AO14" t="str">
            <v>M$</v>
          </cell>
          <cell r="AP14" t="str">
            <v>M$</v>
          </cell>
          <cell r="AQ14" t="str">
            <v>M$</v>
          </cell>
          <cell r="AR14" t="str">
            <v>M$</v>
          </cell>
          <cell r="AS14" t="str">
            <v>M$</v>
          </cell>
          <cell r="AT14" t="str">
            <v>M$</v>
          </cell>
        </row>
        <row r="16">
          <cell r="AI16" t="str">
            <v>INVIA</v>
          </cell>
          <cell r="AJ16" t="str">
            <v>Sector Inmobiliario</v>
          </cell>
          <cell r="AK16">
            <v>-80415493</v>
          </cell>
          <cell r="AL16">
            <v>89608276</v>
          </cell>
          <cell r="AM16">
            <v>-61598126</v>
          </cell>
          <cell r="AN16">
            <v>4465192</v>
          </cell>
          <cell r="AO16">
            <v>-71057145</v>
          </cell>
          <cell r="AP16">
            <v>5647641</v>
          </cell>
          <cell r="AQ16">
            <v>-677460093</v>
          </cell>
          <cell r="AR16">
            <v>-443256875</v>
          </cell>
          <cell r="AS16">
            <v>-890530857</v>
          </cell>
          <cell r="AT16">
            <v>-343535766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</row>
        <row r="17">
          <cell r="AI17" t="str">
            <v>MERVAL</v>
          </cell>
          <cell r="AJ17" t="str">
            <v>V Región</v>
          </cell>
          <cell r="AK17">
            <v>-1235150309</v>
          </cell>
          <cell r="AL17">
            <v>3239236087</v>
          </cell>
          <cell r="AM17">
            <v>-1887665846</v>
          </cell>
          <cell r="AN17">
            <v>3260825601</v>
          </cell>
          <cell r="AO17">
            <v>-1930437193</v>
          </cell>
          <cell r="AP17">
            <v>-4206345202</v>
          </cell>
          <cell r="AQ17">
            <v>-2080357643</v>
          </cell>
          <cell r="AR17">
            <v>-203482532</v>
          </cell>
          <cell r="AS17">
            <v>-7133610991</v>
          </cell>
          <cell r="AT17">
            <v>2090233954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</row>
        <row r="18">
          <cell r="AI18" t="str">
            <v>FESUB</v>
          </cell>
          <cell r="AJ18" t="str">
            <v>VIII Región</v>
          </cell>
          <cell r="AK18">
            <v>-206689045</v>
          </cell>
          <cell r="AL18">
            <v>812728309</v>
          </cell>
          <cell r="AM18">
            <v>-124501822</v>
          </cell>
          <cell r="AN18">
            <v>554250787</v>
          </cell>
          <cell r="AO18">
            <v>-167214744</v>
          </cell>
          <cell r="AP18">
            <v>955984012</v>
          </cell>
          <cell r="AQ18">
            <v>-247377642</v>
          </cell>
          <cell r="AR18">
            <v>1255533352</v>
          </cell>
          <cell r="AS18">
            <v>-745783253</v>
          </cell>
          <cell r="AT18">
            <v>3578496460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</row>
        <row r="19">
          <cell r="AI19" t="str">
            <v>TMSA</v>
          </cell>
          <cell r="AJ19" t="str">
            <v>Santiago - San Fernando</v>
          </cell>
          <cell r="AK19">
            <v>-1263089780</v>
          </cell>
          <cell r="AL19">
            <v>1347371549</v>
          </cell>
          <cell r="AM19">
            <v>-1242951453</v>
          </cell>
          <cell r="AN19">
            <v>238014403</v>
          </cell>
          <cell r="AO19">
            <v>-1490003703</v>
          </cell>
          <cell r="AP19">
            <v>927684218</v>
          </cell>
          <cell r="AQ19">
            <v>-1478046440</v>
          </cell>
          <cell r="AR19">
            <v>887336862</v>
          </cell>
          <cell r="AS19">
            <v>-5474091376</v>
          </cell>
          <cell r="AT19">
            <v>3400407032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</row>
        <row r="20">
          <cell r="AI20" t="str">
            <v>FCALP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282947</v>
          </cell>
          <cell r="AO20">
            <v>0</v>
          </cell>
          <cell r="AP20">
            <v>897849</v>
          </cell>
          <cell r="AQ20">
            <v>0</v>
          </cell>
          <cell r="AR20">
            <v>794143</v>
          </cell>
          <cell r="AS20">
            <v>0</v>
          </cell>
          <cell r="AT20">
            <v>1974939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</row>
        <row r="21">
          <cell r="AI21" t="str">
            <v>TERRA</v>
          </cell>
          <cell r="AJ21" t="str">
            <v>Stgo. - Chillán - Concepción</v>
          </cell>
          <cell r="AK21">
            <v>-1161291100</v>
          </cell>
          <cell r="AL21">
            <v>1143762936</v>
          </cell>
          <cell r="AM21">
            <v>-148120279</v>
          </cell>
          <cell r="AN21">
            <v>777272870</v>
          </cell>
          <cell r="AO21">
            <v>-391930757</v>
          </cell>
          <cell r="AP21">
            <v>1153293818</v>
          </cell>
          <cell r="AQ21">
            <v>-526969952</v>
          </cell>
          <cell r="AR21">
            <v>1136643781</v>
          </cell>
          <cell r="AS21">
            <v>-2228312088</v>
          </cell>
          <cell r="AT21">
            <v>4210973405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</row>
        <row r="22">
          <cell r="AI22" t="str">
            <v>ITF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237860</v>
          </cell>
          <cell r="AO22">
            <v>0</v>
          </cell>
          <cell r="AP22">
            <v>922855</v>
          </cell>
          <cell r="AQ22">
            <v>0</v>
          </cell>
          <cell r="AR22">
            <v>775683</v>
          </cell>
          <cell r="AS22">
            <v>0</v>
          </cell>
          <cell r="AT22">
            <v>1936398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</row>
        <row r="24">
          <cell r="AJ24" t="str">
            <v>Totales</v>
          </cell>
          <cell r="AK24">
            <v>-3946635727</v>
          </cell>
          <cell r="AL24">
            <v>6632707157</v>
          </cell>
          <cell r="AM24">
            <v>-3464837526</v>
          </cell>
          <cell r="AN24">
            <v>4835349660</v>
          </cell>
          <cell r="AO24">
            <v>-4050643542</v>
          </cell>
          <cell r="AP24">
            <v>-1161914809</v>
          </cell>
          <cell r="AQ24">
            <v>-5010211770</v>
          </cell>
          <cell r="AR24">
            <v>2634344414</v>
          </cell>
          <cell r="AS24">
            <v>-16472328565</v>
          </cell>
          <cell r="AT24">
            <v>12940486422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</row>
      </sheetData>
      <sheetData sheetId="21" refreshError="1"/>
      <sheetData sheetId="22">
        <row r="8">
          <cell r="F8" t="str">
            <v xml:space="preserve">  </v>
          </cell>
        </row>
        <row r="9">
          <cell r="D9" t="str">
            <v>Cód. cuenta</v>
          </cell>
          <cell r="E9" t="str">
            <v>Nombre cuenta</v>
          </cell>
          <cell r="F9" t="str">
            <v>FESUB</v>
          </cell>
          <cell r="G9" t="str">
            <v>TERRA</v>
          </cell>
          <cell r="H9" t="str">
            <v>TMSA</v>
          </cell>
          <cell r="I9" t="str">
            <v>MERVAL</v>
          </cell>
          <cell r="J9" t="str">
            <v>INVIA</v>
          </cell>
          <cell r="K9" t="str">
            <v>FCALP</v>
          </cell>
          <cell r="L9" t="str">
            <v>ITF</v>
          </cell>
          <cell r="M9" t="str">
            <v>Ajuste Cons D</v>
          </cell>
          <cell r="N9" t="str">
            <v>Auste Cons H</v>
          </cell>
          <cell r="O9" t="str">
            <v>TOTAL</v>
          </cell>
          <cell r="P9">
            <v>13</v>
          </cell>
        </row>
        <row r="10">
          <cell r="D10" t="str">
            <v>2031100010</v>
          </cell>
          <cell r="E10" t="str">
            <v>Capital</v>
          </cell>
          <cell r="F10">
            <v>-16130577197</v>
          </cell>
          <cell r="G10">
            <v>-21731166465</v>
          </cell>
          <cell r="H10">
            <v>-12755523881</v>
          </cell>
          <cell r="M10">
            <v>50617267543</v>
          </cell>
          <cell r="O10">
            <v>0</v>
          </cell>
          <cell r="P10">
            <v>50617267543</v>
          </cell>
        </row>
        <row r="11">
          <cell r="D11" t="str">
            <v>2-3-01-01-01</v>
          </cell>
          <cell r="E11" t="str">
            <v>Capital</v>
          </cell>
          <cell r="I11">
            <v>-66334655099</v>
          </cell>
          <cell r="M11">
            <v>66334655099</v>
          </cell>
          <cell r="O11">
            <v>0</v>
          </cell>
          <cell r="P11">
            <v>66334655099</v>
          </cell>
        </row>
        <row r="12">
          <cell r="D12" t="str">
            <v>2401101</v>
          </cell>
          <cell r="E12" t="str">
            <v>Capital</v>
          </cell>
          <cell r="J12">
            <v>-16071926309</v>
          </cell>
          <cell r="M12">
            <v>16071926309</v>
          </cell>
          <cell r="O12">
            <v>0</v>
          </cell>
          <cell r="P12">
            <v>16071926309</v>
          </cell>
        </row>
        <row r="13">
          <cell r="D13" t="str">
            <v>3101000000</v>
          </cell>
          <cell r="E13" t="str">
            <v>Capital</v>
          </cell>
          <cell r="K13">
            <v>-25233512</v>
          </cell>
          <cell r="L13">
            <v>-20641263</v>
          </cell>
          <cell r="M13">
            <v>45874775</v>
          </cell>
          <cell r="O13">
            <v>0</v>
          </cell>
          <cell r="P13">
            <v>45874775</v>
          </cell>
        </row>
        <row r="14">
          <cell r="D14" t="str">
            <v>2034100010</v>
          </cell>
          <cell r="E14" t="str">
            <v>Pérdidas acumuladas</v>
          </cell>
          <cell r="F14">
            <v>12010146159</v>
          </cell>
          <cell r="G14">
            <v>5315138947</v>
          </cell>
          <cell r="H14">
            <v>1101957776</v>
          </cell>
          <cell r="N14">
            <v>-18427242882</v>
          </cell>
          <cell r="O14">
            <v>0</v>
          </cell>
          <cell r="P14">
            <v>-18427242882</v>
          </cell>
        </row>
        <row r="15">
          <cell r="D15" t="str">
            <v>2035100010</v>
          </cell>
          <cell r="E15" t="str">
            <v>Utilidad (Pérdida) del Ejercicio</v>
          </cell>
          <cell r="F15">
            <v>3578496460</v>
          </cell>
          <cell r="G15">
            <v>4211723105</v>
          </cell>
          <cell r="H15">
            <v>7604480815</v>
          </cell>
          <cell r="N15">
            <v>-15394700380</v>
          </cell>
          <cell r="O15">
            <v>0</v>
          </cell>
          <cell r="P15">
            <v>-15394700380</v>
          </cell>
        </row>
        <row r="16">
          <cell r="D16" t="str">
            <v>2-3-01-01-07</v>
          </cell>
          <cell r="E16" t="str">
            <v>Perdidas Acumuladas ( Menos )</v>
          </cell>
          <cell r="I16">
            <v>26889015210</v>
          </cell>
          <cell r="N16">
            <v>-26889015210</v>
          </cell>
          <cell r="O16">
            <v>0</v>
          </cell>
          <cell r="P16">
            <v>-26889015210</v>
          </cell>
        </row>
        <row r="17">
          <cell r="D17" t="str">
            <v>2405101</v>
          </cell>
          <cell r="E17" t="str">
            <v>Utilidad(Pérdida)Ejercicio</v>
          </cell>
          <cell r="J17">
            <v>-1164160019</v>
          </cell>
          <cell r="M17">
            <v>1164160019</v>
          </cell>
          <cell r="O17">
            <v>0</v>
          </cell>
          <cell r="P17">
            <v>1164160019</v>
          </cell>
        </row>
        <row r="18">
          <cell r="D18" t="str">
            <v>2405102</v>
          </cell>
          <cell r="E18" t="str">
            <v>Pérdidas acumuladas</v>
          </cell>
          <cell r="J18">
            <v>2713361145</v>
          </cell>
          <cell r="N18">
            <v>-2713361145</v>
          </cell>
          <cell r="O18">
            <v>0</v>
          </cell>
          <cell r="P18">
            <v>-2713361145</v>
          </cell>
        </row>
        <row r="19">
          <cell r="D19" t="str">
            <v>2405103</v>
          </cell>
          <cell r="E19" t="str">
            <v>Utilidad (Pérdida) del Ejercicio</v>
          </cell>
          <cell r="J19">
            <v>-342280004</v>
          </cell>
          <cell r="M19">
            <v>342280004</v>
          </cell>
          <cell r="O19">
            <v>0</v>
          </cell>
          <cell r="P19">
            <v>342280004</v>
          </cell>
        </row>
        <row r="20">
          <cell r="D20" t="str">
            <v>2-3-01-01-99</v>
          </cell>
          <cell r="E20" t="str">
            <v>Utilidad (Pérdida) del Ejercicio</v>
          </cell>
          <cell r="I20">
            <v>2154676876</v>
          </cell>
          <cell r="N20">
            <v>-2154676876</v>
          </cell>
          <cell r="O20">
            <v>0</v>
          </cell>
          <cell r="P20">
            <v>-2154676876</v>
          </cell>
        </row>
        <row r="21">
          <cell r="D21" t="str">
            <v>3202000000</v>
          </cell>
          <cell r="E21" t="str">
            <v>Resultado acumulado</v>
          </cell>
          <cell r="P21">
            <v>0</v>
          </cell>
        </row>
        <row r="22">
          <cell r="D22" t="str">
            <v>3204000000</v>
          </cell>
          <cell r="E22" t="str">
            <v>Pérdidas acumuladas</v>
          </cell>
          <cell r="K22">
            <v>64387712</v>
          </cell>
          <cell r="N22">
            <v>-64387712</v>
          </cell>
          <cell r="O22">
            <v>0</v>
          </cell>
          <cell r="P22">
            <v>-64387712</v>
          </cell>
        </row>
        <row r="23">
          <cell r="D23" t="str">
            <v>3207000000</v>
          </cell>
          <cell r="E23" t="str">
            <v>Pérdidas acumuladas</v>
          </cell>
          <cell r="L23">
            <v>69714751</v>
          </cell>
          <cell r="N23">
            <v>-69714751</v>
          </cell>
          <cell r="O23">
            <v>0</v>
          </cell>
          <cell r="P23">
            <v>-69714751</v>
          </cell>
        </row>
        <row r="24">
          <cell r="D24" t="str">
            <v>3104009900</v>
          </cell>
          <cell r="E24" t="str">
            <v>Utilidad (Pérdida) del Ejercicio</v>
          </cell>
          <cell r="K24">
            <v>1974939</v>
          </cell>
          <cell r="L24">
            <v>1936398</v>
          </cell>
          <cell r="N24">
            <v>-3911337</v>
          </cell>
          <cell r="O24">
            <v>0</v>
          </cell>
          <cell r="P24">
            <v>-3911337</v>
          </cell>
        </row>
        <row r="25">
          <cell r="D25" t="str">
            <v>2033100010</v>
          </cell>
          <cell r="E25" t="str">
            <v>Reservas Acumuladas</v>
          </cell>
          <cell r="H25">
            <v>0</v>
          </cell>
          <cell r="O25">
            <v>0</v>
          </cell>
          <cell r="P25">
            <v>0</v>
          </cell>
        </row>
        <row r="26">
          <cell r="D26" t="str">
            <v>2033100080</v>
          </cell>
          <cell r="E26" t="str">
            <v>Sobreprecio Venta De Acciones</v>
          </cell>
          <cell r="F26">
            <v>0</v>
          </cell>
          <cell r="G26">
            <v>-1370394</v>
          </cell>
          <cell r="H26">
            <v>-154497</v>
          </cell>
          <cell r="M26">
            <v>1524891</v>
          </cell>
          <cell r="O26">
            <v>0</v>
          </cell>
          <cell r="P26">
            <v>1524891</v>
          </cell>
        </row>
        <row r="27">
          <cell r="D27" t="str">
            <v>2033100100</v>
          </cell>
          <cell r="E27" t="str">
            <v>Otras Reservas IFRS</v>
          </cell>
          <cell r="F27">
            <v>324689427</v>
          </cell>
          <cell r="G27">
            <v>15354972387</v>
          </cell>
          <cell r="H27">
            <v>2392401531</v>
          </cell>
          <cell r="N27">
            <v>-18072063345</v>
          </cell>
          <cell r="O27">
            <v>0</v>
          </cell>
          <cell r="P27">
            <v>-18072063345</v>
          </cell>
        </row>
        <row r="28">
          <cell r="D28" t="str">
            <v>2402101</v>
          </cell>
          <cell r="E28" t="str">
            <v>Reserva Revalorización Capital</v>
          </cell>
          <cell r="J28">
            <v>-378356505</v>
          </cell>
          <cell r="M28">
            <v>378356505</v>
          </cell>
          <cell r="O28">
            <v>0</v>
          </cell>
          <cell r="P28">
            <v>378356505</v>
          </cell>
        </row>
        <row r="29">
          <cell r="D29" t="str">
            <v>2404191</v>
          </cell>
          <cell r="E29" t="str">
            <v>Otras Reservas IFRS (1)</v>
          </cell>
          <cell r="J29">
            <v>159669771</v>
          </cell>
          <cell r="N29">
            <v>-159669771</v>
          </cell>
          <cell r="O29">
            <v>0</v>
          </cell>
          <cell r="P29">
            <v>-159669771</v>
          </cell>
        </row>
        <row r="30">
          <cell r="D30" t="str">
            <v>2404192</v>
          </cell>
          <cell r="E30" t="str">
            <v>Otras Reservas IFRS (2)</v>
          </cell>
          <cell r="J30">
            <v>-8894959439</v>
          </cell>
          <cell r="M30">
            <v>8894959439</v>
          </cell>
          <cell r="O30">
            <v>0</v>
          </cell>
          <cell r="P30">
            <v>8894959439</v>
          </cell>
        </row>
        <row r="31">
          <cell r="D31" t="str">
            <v>3203000000</v>
          </cell>
          <cell r="E31" t="str">
            <v>Sobreprecio Venta De Acciones</v>
          </cell>
          <cell r="K31">
            <v>-889233</v>
          </cell>
          <cell r="L31">
            <v>-339279</v>
          </cell>
          <cell r="M31">
            <v>1228512</v>
          </cell>
          <cell r="O31">
            <v>0</v>
          </cell>
          <cell r="P31">
            <v>1228512</v>
          </cell>
        </row>
        <row r="32">
          <cell r="D32" t="str">
            <v>2032100010</v>
          </cell>
          <cell r="E32" t="str">
            <v>Reserva Revalorización Capital</v>
          </cell>
          <cell r="P32">
            <v>0</v>
          </cell>
        </row>
        <row r="33">
          <cell r="D33" t="str">
            <v>1011100015</v>
          </cell>
          <cell r="E33" t="str">
            <v>Acciones Suscritas Por Cobrar</v>
          </cell>
          <cell r="F33">
            <v>0</v>
          </cell>
          <cell r="H33">
            <v>0</v>
          </cell>
          <cell r="O33">
            <v>0</v>
          </cell>
          <cell r="P33">
            <v>0</v>
          </cell>
        </row>
        <row r="34">
          <cell r="D34" t="str">
            <v>2403101</v>
          </cell>
          <cell r="E34" t="str">
            <v>Sobreprecio Venta De Acciones</v>
          </cell>
          <cell r="J34">
            <v>0</v>
          </cell>
          <cell r="O34">
            <v>0</v>
          </cell>
          <cell r="P34">
            <v>0</v>
          </cell>
        </row>
        <row r="35">
          <cell r="D35" t="str">
            <v>2404101</v>
          </cell>
          <cell r="E35" t="str">
            <v>Reservas Acumuladas</v>
          </cell>
          <cell r="J35">
            <v>0</v>
          </cell>
          <cell r="O35">
            <v>0</v>
          </cell>
          <cell r="P35">
            <v>0</v>
          </cell>
        </row>
        <row r="36">
          <cell r="D36" t="str">
            <v>2033100400</v>
          </cell>
          <cell r="E36" t="str">
            <v>Corrección Monetaria Capital años anteriores</v>
          </cell>
          <cell r="G36">
            <v>486873698</v>
          </cell>
          <cell r="N36">
            <v>-486873698</v>
          </cell>
          <cell r="O36">
            <v>0</v>
          </cell>
          <cell r="P36">
            <v>-486873698</v>
          </cell>
        </row>
        <row r="37">
          <cell r="D37" t="str">
            <v>3102000000</v>
          </cell>
          <cell r="E37" t="str">
            <v>Reserva Revalorización Capital</v>
          </cell>
          <cell r="K37">
            <v>580371</v>
          </cell>
          <cell r="L37">
            <v>474749</v>
          </cell>
          <cell r="N37">
            <v>-1055120</v>
          </cell>
          <cell r="O37">
            <v>0</v>
          </cell>
          <cell r="P37">
            <v>-1055120</v>
          </cell>
        </row>
        <row r="38">
          <cell r="F38">
            <v>-217245151</v>
          </cell>
          <cell r="G38">
            <v>3636171278</v>
          </cell>
          <cell r="H38">
            <v>-1656838256</v>
          </cell>
          <cell r="I38">
            <v>-37290963013</v>
          </cell>
          <cell r="J38">
            <v>-23978651360</v>
          </cell>
          <cell r="K38">
            <v>40820277</v>
          </cell>
          <cell r="L38">
            <v>51145356</v>
          </cell>
          <cell r="M38">
            <v>143852233096</v>
          </cell>
          <cell r="N38">
            <v>-84436672227</v>
          </cell>
          <cell r="O38">
            <v>0</v>
          </cell>
          <cell r="P38">
            <v>8798293326</v>
          </cell>
        </row>
      </sheetData>
      <sheetData sheetId="23">
        <row r="1">
          <cell r="B1" t="str">
            <v>E.F.E.</v>
          </cell>
        </row>
      </sheetData>
      <sheetData sheetId="24">
        <row r="1">
          <cell r="B1" t="str">
            <v>E.F.E.</v>
          </cell>
          <cell r="D1" t="str">
            <v>Código cuenta</v>
          </cell>
          <cell r="F1" t="str">
            <v>EFE-FESUB</v>
          </cell>
          <cell r="G1" t="str">
            <v>EFE-TERRA</v>
          </cell>
          <cell r="H1" t="str">
            <v>EFE-TMSA</v>
          </cell>
          <cell r="I1" t="str">
            <v>EFE-MERVAL</v>
          </cell>
          <cell r="J1" t="str">
            <v>EFE-INVIA</v>
          </cell>
          <cell r="K1" t="str">
            <v>EFE-FCALP</v>
          </cell>
          <cell r="L1" t="str">
            <v>EFE-ITF</v>
          </cell>
          <cell r="M1" t="str">
            <v>ITF-INVIA</v>
          </cell>
          <cell r="N1" t="str">
            <v>Total EE.RR.</v>
          </cell>
        </row>
        <row r="2"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  <cell r="L2">
            <v>9</v>
          </cell>
          <cell r="M2">
            <v>10</v>
          </cell>
          <cell r="N2">
            <v>11</v>
          </cell>
        </row>
        <row r="3">
          <cell r="B3" t="str">
            <v>FERROCARRILES DEL ESTADO - CUENTAS EE.RR.</v>
          </cell>
        </row>
        <row r="5">
          <cell r="B5" t="str">
            <v>Año</v>
          </cell>
          <cell r="C5">
            <v>2010</v>
          </cell>
        </row>
        <row r="6">
          <cell r="B6" t="str">
            <v>Mes</v>
          </cell>
          <cell r="C6" t="str">
            <v>dic.</v>
          </cell>
        </row>
        <row r="7">
          <cell r="B7" t="str">
            <v>Cuentas EE.RR.</v>
          </cell>
          <cell r="C7" t="str">
            <v>(Todas)</v>
          </cell>
        </row>
        <row r="9">
          <cell r="B9" t="str">
            <v xml:space="preserve"> </v>
          </cell>
          <cell r="F9" t="str">
            <v xml:space="preserve">  </v>
          </cell>
        </row>
        <row r="10">
          <cell r="B10" t="str">
            <v>Cuentas EE.RR. 3</v>
          </cell>
          <cell r="C10" t="str">
            <v>Cuentas EE.RR. 1</v>
          </cell>
          <cell r="D10" t="str">
            <v>Código cuenta</v>
          </cell>
          <cell r="E10" t="str">
            <v>Nombre cuenta</v>
          </cell>
          <cell r="F10" t="str">
            <v>EFE-FESUB</v>
          </cell>
          <cell r="G10" t="str">
            <v>EFE-TERRA</v>
          </cell>
          <cell r="H10" t="str">
            <v>EFE-TMSA</v>
          </cell>
          <cell r="I10" t="str">
            <v>EFE-MERVAL</v>
          </cell>
          <cell r="J10" t="str">
            <v>EFE-INVIA</v>
          </cell>
          <cell r="K10" t="str">
            <v>EFE-FCALP</v>
          </cell>
          <cell r="L10" t="str">
            <v>EFE-ITF</v>
          </cell>
          <cell r="M10" t="str">
            <v>ITF-INVIA</v>
          </cell>
          <cell r="N10" t="str">
            <v>Total EE.RR.</v>
          </cell>
        </row>
        <row r="11">
          <cell r="B11" t="str">
            <v>Cobrar o Pagar</v>
          </cell>
          <cell r="C11" t="str">
            <v>EFE por cobrar a FCALP - L.P.</v>
          </cell>
          <cell r="D11" t="str">
            <v>1036100070</v>
          </cell>
          <cell r="E11" t="str">
            <v>Ferrocarriles de Arica a La Paz S.A.</v>
          </cell>
          <cell r="K11">
            <v>43037988</v>
          </cell>
          <cell r="N11">
            <v>43037988</v>
          </cell>
        </row>
        <row r="12">
          <cell r="C12" t="str">
            <v>EFE por cobrar a FECALP - C.P.</v>
          </cell>
          <cell r="D12" t="str">
            <v>1007100070</v>
          </cell>
          <cell r="E12" t="str">
            <v>Ferrocarril De Arica A La Paz S.A De Corto Plazo</v>
          </cell>
          <cell r="K12">
            <v>1391531</v>
          </cell>
          <cell r="N12">
            <v>1391531</v>
          </cell>
        </row>
        <row r="13">
          <cell r="C13" t="str">
            <v>EFE por cobrar a FESUB - C.P.</v>
          </cell>
          <cell r="D13" t="str">
            <v>1007100040</v>
          </cell>
          <cell r="E13" t="str">
            <v>Ferrocarriles Suburbanos S.A De Corto Plazo</v>
          </cell>
          <cell r="F13">
            <v>1103496924</v>
          </cell>
          <cell r="N13">
            <v>1103496924</v>
          </cell>
        </row>
        <row r="14">
          <cell r="D14" t="str">
            <v>1007100171</v>
          </cell>
          <cell r="E14" t="str">
            <v>Cta. Cte. Mercantil FESUB</v>
          </cell>
          <cell r="F14">
            <v>1550000000</v>
          </cell>
          <cell r="N14">
            <v>1550000000</v>
          </cell>
        </row>
        <row r="15">
          <cell r="D15" t="str">
            <v>1007100172</v>
          </cell>
          <cell r="E15" t="str">
            <v>Cta. Cte. Mercantil Intereses FESUB</v>
          </cell>
          <cell r="F15">
            <v>26129205</v>
          </cell>
          <cell r="N15">
            <v>26129205</v>
          </cell>
        </row>
        <row r="16">
          <cell r="D16" t="str">
            <v>1036100040</v>
          </cell>
          <cell r="E16" t="str">
            <v>Ferrocarriles Suburbanos S.A De Largo Plazo</v>
          </cell>
          <cell r="F16">
            <v>3671825955</v>
          </cell>
          <cell r="N16">
            <v>3671825955</v>
          </cell>
        </row>
        <row r="17">
          <cell r="C17" t="str">
            <v>EFE por cobrar a INVIA - C.P.</v>
          </cell>
          <cell r="D17" t="str">
            <v>1007100010</v>
          </cell>
          <cell r="E17" t="str">
            <v>Cuenta por cobrar INVIA CORTO PLAZO</v>
          </cell>
          <cell r="J17">
            <v>8557611</v>
          </cell>
          <cell r="N17">
            <v>8557611</v>
          </cell>
        </row>
        <row r="18">
          <cell r="C18" t="str">
            <v>EFE por cobrar a ITF - C.P.</v>
          </cell>
          <cell r="D18" t="str">
            <v>1007100080</v>
          </cell>
          <cell r="E18" t="str">
            <v>Infraestructura Y Tráfico Ferroviario S.A De Cp</v>
          </cell>
          <cell r="L18">
            <v>1391531</v>
          </cell>
          <cell r="N18">
            <v>1391531</v>
          </cell>
        </row>
        <row r="19">
          <cell r="C19" t="str">
            <v>EFE por cobrar a ITF - L.P.</v>
          </cell>
          <cell r="D19" t="str">
            <v>1036100080</v>
          </cell>
          <cell r="E19" t="str">
            <v>Infraestrctura y Tráfico Ferroviario S.A.</v>
          </cell>
          <cell r="L19">
            <v>52379125</v>
          </cell>
          <cell r="N19">
            <v>52379125</v>
          </cell>
        </row>
        <row r="20">
          <cell r="C20" t="str">
            <v>EFE por cobrar a MERVAL - C.P.</v>
          </cell>
          <cell r="D20" t="str">
            <v>1007100020</v>
          </cell>
          <cell r="E20" t="str">
            <v>Metro Regional Valparaíso S.A De Corto Plazo</v>
          </cell>
          <cell r="I20">
            <v>387047526</v>
          </cell>
          <cell r="N20">
            <v>387047526</v>
          </cell>
        </row>
        <row r="21">
          <cell r="D21" t="str">
            <v>1007100161</v>
          </cell>
          <cell r="E21" t="str">
            <v>Cta. Cte. Mercantil MERVAL</v>
          </cell>
          <cell r="I21">
            <v>2741523877</v>
          </cell>
          <cell r="N21">
            <v>2741523877</v>
          </cell>
        </row>
        <row r="22">
          <cell r="D22" t="str">
            <v>1007100162</v>
          </cell>
          <cell r="E22" t="str">
            <v>Cta. Cte. Mercantil Intereses MERVAL</v>
          </cell>
          <cell r="I22">
            <v>23863914</v>
          </cell>
          <cell r="N22">
            <v>23863914</v>
          </cell>
        </row>
        <row r="23">
          <cell r="C23" t="str">
            <v>EFE por cobrar a MERVAL - L.P.</v>
          </cell>
          <cell r="D23" t="str">
            <v>1036100020</v>
          </cell>
          <cell r="E23" t="str">
            <v>Metro Regional Valparáiso S.A De Largo Plazo</v>
          </cell>
          <cell r="I23">
            <v>35318596349</v>
          </cell>
          <cell r="N23">
            <v>35318596349</v>
          </cell>
        </row>
        <row r="24">
          <cell r="C24" t="str">
            <v>EFE por cobrar a TERRA - C.P.</v>
          </cell>
          <cell r="D24" t="str">
            <v>1007100050</v>
          </cell>
          <cell r="E24" t="str">
            <v>Ferrocarriles Del Sur S.A De Corto Plazo</v>
          </cell>
          <cell r="G24">
            <v>7963634191</v>
          </cell>
          <cell r="N24">
            <v>7963634191</v>
          </cell>
        </row>
        <row r="25">
          <cell r="D25" t="str">
            <v>1007100181</v>
          </cell>
          <cell r="E25" t="str">
            <v>Cta. Cte. Mercantil TERRA</v>
          </cell>
          <cell r="G25">
            <v>40000000</v>
          </cell>
          <cell r="N25">
            <v>40000000</v>
          </cell>
        </row>
        <row r="26">
          <cell r="D26" t="str">
            <v>1007100182</v>
          </cell>
          <cell r="E26" t="str">
            <v>Cta. Cte. Mercantil Intereses TERRA</v>
          </cell>
          <cell r="G26">
            <v>0</v>
          </cell>
          <cell r="N26">
            <v>0</v>
          </cell>
        </row>
        <row r="27">
          <cell r="C27" t="str">
            <v>EFE por cobrar a TERRA - L.P.</v>
          </cell>
          <cell r="D27" t="str">
            <v>1036100050</v>
          </cell>
          <cell r="E27" t="str">
            <v>Ferrocarriles Del Sur S.A De Largo Plazo</v>
          </cell>
          <cell r="G27">
            <v>4078063798</v>
          </cell>
          <cell r="N27">
            <v>4078063798</v>
          </cell>
        </row>
        <row r="28">
          <cell r="C28" t="str">
            <v>EFE por cobrar a TMSA - C.P.</v>
          </cell>
          <cell r="D28" t="str">
            <v>1007100060</v>
          </cell>
          <cell r="E28" t="str">
            <v>Ferrocarriles De Pasajeros S.A De Corto Plazo</v>
          </cell>
          <cell r="H28">
            <v>5449864853</v>
          </cell>
          <cell r="N28">
            <v>5449864853</v>
          </cell>
        </row>
        <row r="29">
          <cell r="C29" t="str">
            <v>EFE por cobrar a TMSA - L.P.</v>
          </cell>
          <cell r="D29" t="str">
            <v>1036100060</v>
          </cell>
          <cell r="E29" t="str">
            <v>Ferrocarriles De Pasajeros S.A De Largo</v>
          </cell>
          <cell r="H29">
            <v>52944081</v>
          </cell>
          <cell r="N29">
            <v>52944081</v>
          </cell>
        </row>
        <row r="30">
          <cell r="C30" t="str">
            <v>EFE por pagar a INVIA - C.P.</v>
          </cell>
          <cell r="D30" t="str">
            <v>2008100010</v>
          </cell>
          <cell r="E30" t="str">
            <v>Inmobiliaria Nueva Vía S.A De Corto Plazo</v>
          </cell>
          <cell r="J30">
            <v>-1927150155</v>
          </cell>
          <cell r="N30">
            <v>-1927150155</v>
          </cell>
        </row>
        <row r="31">
          <cell r="C31" t="str">
            <v>EFE por pagar a INVIA - L.P.</v>
          </cell>
          <cell r="D31" t="str">
            <v>2025100010</v>
          </cell>
          <cell r="E31" t="str">
            <v>Inmobiliaria Nueva Vía S.A De Largo Plazo</v>
          </cell>
          <cell r="J31">
            <v>-5025044596</v>
          </cell>
          <cell r="N31">
            <v>-5025044596</v>
          </cell>
        </row>
        <row r="32">
          <cell r="C32" t="str">
            <v>EFE por pagar a MERVAL - C.P.</v>
          </cell>
          <cell r="D32" t="str">
            <v>2008100020</v>
          </cell>
          <cell r="E32" t="str">
            <v>Metro Regional Valparaíso S.A De Corto Plazo</v>
          </cell>
          <cell r="I32">
            <v>-671379457</v>
          </cell>
          <cell r="N32">
            <v>-671379457</v>
          </cell>
        </row>
        <row r="33">
          <cell r="C33" t="str">
            <v>EFE por pagar a MERVAL - L.P.</v>
          </cell>
          <cell r="D33" t="str">
            <v>2025100020</v>
          </cell>
          <cell r="E33" t="str">
            <v>Metro Regional Valparaiso S.A De Largo Plazo</v>
          </cell>
          <cell r="I33">
            <v>-72432265</v>
          </cell>
          <cell r="N33">
            <v>-72432265</v>
          </cell>
        </row>
        <row r="34">
          <cell r="C34" t="str">
            <v>EFE por pagar a TERRA - C.P.</v>
          </cell>
          <cell r="D34" t="str">
            <v>2008100070</v>
          </cell>
          <cell r="E34" t="str">
            <v>Ferrocarriles Del Sur S.A De Corto Plazo</v>
          </cell>
          <cell r="G34">
            <v>-1806056440</v>
          </cell>
          <cell r="N34">
            <v>-1806056440</v>
          </cell>
        </row>
        <row r="35">
          <cell r="C35" t="str">
            <v>EFE por pagar a TMSA - C.P.</v>
          </cell>
          <cell r="D35" t="str">
            <v>2008100080</v>
          </cell>
          <cell r="E35" t="str">
            <v>Trenes Metropolitanos S.A  De Corto Plazo</v>
          </cell>
          <cell r="H35">
            <v>-11750</v>
          </cell>
          <cell r="N35">
            <v>-11750</v>
          </cell>
        </row>
        <row r="36">
          <cell r="C36" t="str">
            <v>ITF por cobrar a INVIA - C.P.</v>
          </cell>
          <cell r="D36" t="str">
            <v>1103000000</v>
          </cell>
          <cell r="E36" t="str">
            <v>INVIA S.A.</v>
          </cell>
        </row>
        <row r="37">
          <cell r="B37" t="str">
            <v>Total Cobrar o Pagar</v>
          </cell>
          <cell r="F37">
            <v>6351452084</v>
          </cell>
          <cell r="G37">
            <v>10275641549</v>
          </cell>
          <cell r="H37">
            <v>5502797184</v>
          </cell>
          <cell r="I37">
            <v>37727219944</v>
          </cell>
          <cell r="J37">
            <v>-6943637140</v>
          </cell>
          <cell r="K37">
            <v>44429519</v>
          </cell>
          <cell r="L37">
            <v>53770656</v>
          </cell>
          <cell r="N37">
            <v>53011673796</v>
          </cell>
        </row>
        <row r="38">
          <cell r="B38" t="str">
            <v>Pagar o Cobrar</v>
          </cell>
          <cell r="C38" t="str">
            <v>FCALP por pagar a EFE - C.P.</v>
          </cell>
          <cell r="D38" t="str">
            <v>2105000000</v>
          </cell>
          <cell r="E38" t="str">
            <v>EFE</v>
          </cell>
          <cell r="K38">
            <v>-44429519</v>
          </cell>
          <cell r="N38">
            <v>-44429519</v>
          </cell>
        </row>
        <row r="39">
          <cell r="C39" t="str">
            <v>FESUB por pagar a EFE - C.P.</v>
          </cell>
          <cell r="D39" t="str">
            <v>2008100040</v>
          </cell>
          <cell r="E39" t="str">
            <v>Ctas por Pagar EFE</v>
          </cell>
          <cell r="F39">
            <v>-6348135909</v>
          </cell>
          <cell r="N39">
            <v>-6348135909</v>
          </cell>
        </row>
        <row r="40">
          <cell r="C40" t="str">
            <v>INVIA por cobrar a EFE - C.P.</v>
          </cell>
          <cell r="D40" t="str">
            <v>1104114</v>
          </cell>
          <cell r="E40" t="str">
            <v>Deudores cta cte mercantil EFE</v>
          </cell>
          <cell r="J40">
            <v>50463674</v>
          </cell>
          <cell r="N40">
            <v>50463674</v>
          </cell>
        </row>
        <row r="41">
          <cell r="D41" t="str">
            <v>1106107</v>
          </cell>
          <cell r="E41" t="str">
            <v>Deudas por Recuperar de Gastos</v>
          </cell>
          <cell r="J41">
            <v>0</v>
          </cell>
          <cell r="N41">
            <v>0</v>
          </cell>
        </row>
        <row r="42">
          <cell r="D42" t="str">
            <v>1106110</v>
          </cell>
          <cell r="E42" t="str">
            <v>Deudas por Recup. EFE Cta 2</v>
          </cell>
          <cell r="J42">
            <v>143226849</v>
          </cell>
          <cell r="N42">
            <v>143226849</v>
          </cell>
        </row>
        <row r="43">
          <cell r="C43" t="str">
            <v>INVIA por cobrar a EFE - L.P.</v>
          </cell>
          <cell r="D43" t="str">
            <v>1306002</v>
          </cell>
          <cell r="E43" t="str">
            <v>Cuentas por cobrar a EFE L/P</v>
          </cell>
          <cell r="J43">
            <v>1693253435</v>
          </cell>
          <cell r="N43">
            <v>1693253435</v>
          </cell>
        </row>
        <row r="44">
          <cell r="D44" t="str">
            <v>1306005</v>
          </cell>
          <cell r="E44" t="str">
            <v>Cte Cte Mercantil EFE</v>
          </cell>
          <cell r="J44">
            <v>5086211225</v>
          </cell>
          <cell r="N44">
            <v>5086211225</v>
          </cell>
        </row>
        <row r="45">
          <cell r="C45" t="str">
            <v>INVIA por pagar a EFE - C.P.</v>
          </cell>
          <cell r="D45" t="str">
            <v>2109003</v>
          </cell>
          <cell r="E45" t="str">
            <v>Cta . Cte. EFE</v>
          </cell>
          <cell r="J45">
            <v>-1752057</v>
          </cell>
          <cell r="N45">
            <v>-1752057</v>
          </cell>
        </row>
        <row r="46">
          <cell r="D46" t="str">
            <v>2109005</v>
          </cell>
          <cell r="E46" t="str">
            <v>Cta. Cte. Ferrosalud</v>
          </cell>
          <cell r="J46">
            <v>0</v>
          </cell>
          <cell r="N46">
            <v>0</v>
          </cell>
        </row>
        <row r="47">
          <cell r="C47" t="str">
            <v>ITF por pagar a EFE - C.P.</v>
          </cell>
          <cell r="D47" t="str">
            <v>2105000000</v>
          </cell>
          <cell r="E47" t="str">
            <v>EFE</v>
          </cell>
          <cell r="L47">
            <v>-53770656</v>
          </cell>
          <cell r="N47">
            <v>-53770656</v>
          </cell>
        </row>
        <row r="48">
          <cell r="C48" t="str">
            <v>MERVAL por cobrar a EFE - C.P.</v>
          </cell>
          <cell r="D48" t="str">
            <v>1-1-07-01-01</v>
          </cell>
          <cell r="E48" t="str">
            <v>Docs Y Ctas Por Cobrar Emp Rel Efe</v>
          </cell>
          <cell r="I48">
            <v>649744111</v>
          </cell>
          <cell r="N48">
            <v>649744111</v>
          </cell>
        </row>
        <row r="49">
          <cell r="D49" t="str">
            <v>1-1-07-01-02</v>
          </cell>
          <cell r="E49" t="str">
            <v>Iv Etapa Doctos.Y Ctas.Por Cobrar A Efe</v>
          </cell>
          <cell r="I49">
            <v>21635366</v>
          </cell>
          <cell r="N49">
            <v>21635366</v>
          </cell>
        </row>
        <row r="50">
          <cell r="C50" t="str">
            <v>MERVAL por cobrar a EFE - L.P.</v>
          </cell>
          <cell r="D50" t="str">
            <v>1-3-06-01-01</v>
          </cell>
          <cell r="E50" t="str">
            <v>Docs Y Ctas Por Cobrar Empresas Relacion</v>
          </cell>
          <cell r="I50">
            <v>72432265</v>
          </cell>
          <cell r="N50">
            <v>72432265</v>
          </cell>
        </row>
        <row r="51">
          <cell r="C51" t="str">
            <v>MERVAL por pagar a EFE - C.P.</v>
          </cell>
          <cell r="D51" t="str">
            <v>2-1-10-01-01</v>
          </cell>
          <cell r="E51" t="str">
            <v>Docs Y Ctas Por Pagar Emp Relac Cp A Efe</v>
          </cell>
          <cell r="I51">
            <v>-258386504</v>
          </cell>
          <cell r="N51">
            <v>-258386504</v>
          </cell>
        </row>
        <row r="52">
          <cell r="D52" t="str">
            <v>2-1-10-01-02</v>
          </cell>
          <cell r="E52" t="str">
            <v>Iv Etapa Docs. Y Ctas. Por Pagar Emp Rel</v>
          </cell>
          <cell r="I52">
            <v>-152524936</v>
          </cell>
          <cell r="N52">
            <v>-152524936</v>
          </cell>
        </row>
        <row r="53">
          <cell r="D53" t="str">
            <v>2-1-10-01-03</v>
          </cell>
          <cell r="E53" t="str">
            <v>Cuenta Corriente Mercantil Por Pagar A E</v>
          </cell>
          <cell r="I53">
            <v>-2741523877</v>
          </cell>
          <cell r="N53">
            <v>-2741523877</v>
          </cell>
        </row>
        <row r="54">
          <cell r="C54" t="str">
            <v>MERVAL por pagar a EFE - L.P.</v>
          </cell>
          <cell r="D54" t="str">
            <v>2-2-05-01-02</v>
          </cell>
          <cell r="E54" t="str">
            <v>Deuda Automotores Dólares</v>
          </cell>
          <cell r="I54">
            <v>-35318596354</v>
          </cell>
          <cell r="N54">
            <v>-35318596354</v>
          </cell>
        </row>
        <row r="55">
          <cell r="D55" t="str">
            <v>2-2-05-01-03</v>
          </cell>
          <cell r="E55" t="str">
            <v>Deuda Automotores Uf</v>
          </cell>
          <cell r="I55">
            <v>0</v>
          </cell>
          <cell r="N55">
            <v>0</v>
          </cell>
        </row>
        <row r="56">
          <cell r="D56" t="str">
            <v>2-2-05-01-04</v>
          </cell>
          <cell r="E56" t="str">
            <v>Deuda Automotores Pesos</v>
          </cell>
          <cell r="I56">
            <v>0</v>
          </cell>
          <cell r="N56">
            <v>0</v>
          </cell>
        </row>
        <row r="57">
          <cell r="C57" t="str">
            <v>TERRA por cobrar a EFE - C.P.</v>
          </cell>
          <cell r="D57" t="str">
            <v>1007100015</v>
          </cell>
          <cell r="E57" t="str">
            <v>Cuenta Por Cobrar Efe Corto Plazo</v>
          </cell>
          <cell r="G57">
            <v>1816086914</v>
          </cell>
          <cell r="N57">
            <v>1816086914</v>
          </cell>
        </row>
        <row r="58">
          <cell r="C58" t="str">
            <v>TERRA por pagar a EFE - C.P.</v>
          </cell>
          <cell r="D58" t="str">
            <v>2008100040</v>
          </cell>
          <cell r="E58" t="str">
            <v>Ctas por Pagar EFE</v>
          </cell>
          <cell r="G58">
            <v>-2265612308</v>
          </cell>
          <cell r="N58">
            <v>-2265612308</v>
          </cell>
        </row>
        <row r="59">
          <cell r="C59" t="str">
            <v>TERRA por pagar a EFE - L.P.</v>
          </cell>
          <cell r="D59" t="str">
            <v>2025100060</v>
          </cell>
          <cell r="E59" t="str">
            <v>Cuenta Por Pagar Efe Largo Plazo</v>
          </cell>
          <cell r="G59">
            <v>-9805983820</v>
          </cell>
          <cell r="N59">
            <v>-9805983820</v>
          </cell>
        </row>
        <row r="60">
          <cell r="C60" t="str">
            <v>TMSA por cobrar a EFE - C.P.</v>
          </cell>
          <cell r="D60" t="str">
            <v>1007100015</v>
          </cell>
          <cell r="E60" t="str">
            <v>Cuenta Por Cobrar Efe Corto Plazo</v>
          </cell>
          <cell r="H60">
            <v>11750</v>
          </cell>
          <cell r="N60">
            <v>11750</v>
          </cell>
        </row>
        <row r="61">
          <cell r="D61" t="str">
            <v>1007100061</v>
          </cell>
          <cell r="E61" t="str">
            <v>Ferrocarriles del Estado de Corto Plazo</v>
          </cell>
          <cell r="H61">
            <v>9591602</v>
          </cell>
          <cell r="N61">
            <v>9591602</v>
          </cell>
        </row>
        <row r="62">
          <cell r="C62" t="str">
            <v>TMSA por pagar a EFE - C.P.</v>
          </cell>
          <cell r="D62" t="str">
            <v>2008100040</v>
          </cell>
          <cell r="E62" t="str">
            <v>Ctas por Pagar EFE</v>
          </cell>
          <cell r="H62">
            <v>-3395780855</v>
          </cell>
          <cell r="N62">
            <v>-3395780855</v>
          </cell>
        </row>
        <row r="63">
          <cell r="D63" t="str">
            <v>2008100400</v>
          </cell>
          <cell r="E63" t="str">
            <v>Provisiones varias EFE</v>
          </cell>
          <cell r="H63">
            <v>-854851570</v>
          </cell>
          <cell r="N63">
            <v>-854851570</v>
          </cell>
        </row>
        <row r="64">
          <cell r="C64" t="str">
            <v>TMSA por pagar a EFE - L.P.</v>
          </cell>
          <cell r="D64" t="str">
            <v>2025100060</v>
          </cell>
          <cell r="E64" t="str">
            <v>Cuenta Por Pagar Efe Largo Plazo</v>
          </cell>
          <cell r="H64">
            <v>-1252176427</v>
          </cell>
          <cell r="N64">
            <v>-1252176427</v>
          </cell>
        </row>
        <row r="65">
          <cell r="B65" t="str">
            <v>Total Pagar o Cobrar</v>
          </cell>
          <cell r="F65">
            <v>-6348135909</v>
          </cell>
          <cell r="G65">
            <v>-10255509214</v>
          </cell>
          <cell r="H65">
            <v>-5493205500</v>
          </cell>
          <cell r="I65">
            <v>-37727219929</v>
          </cell>
          <cell r="J65">
            <v>6971403126</v>
          </cell>
          <cell r="K65">
            <v>-44429519</v>
          </cell>
          <cell r="L65">
            <v>-53770656</v>
          </cell>
          <cell r="N65">
            <v>-52950867601</v>
          </cell>
        </row>
        <row r="66">
          <cell r="B66" t="str">
            <v>Total EE.RR.</v>
          </cell>
          <cell r="F66">
            <v>3316175</v>
          </cell>
          <cell r="G66">
            <v>20132335</v>
          </cell>
          <cell r="H66">
            <v>9591684</v>
          </cell>
          <cell r="I66">
            <v>15</v>
          </cell>
          <cell r="J66">
            <v>27765986</v>
          </cell>
          <cell r="K66">
            <v>0</v>
          </cell>
          <cell r="L66">
            <v>0</v>
          </cell>
          <cell r="N66">
            <v>60806195</v>
          </cell>
        </row>
      </sheetData>
      <sheetData sheetId="25">
        <row r="7">
          <cell r="B7" t="str">
            <v>Tipo</v>
          </cell>
        </row>
      </sheetData>
      <sheetData sheetId="26" refreshError="1"/>
      <sheetData sheetId="27"/>
      <sheetData sheetId="28">
        <row r="3">
          <cell r="G3" t="str">
            <v>trimestres</v>
          </cell>
        </row>
      </sheetData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untes"/>
      <sheetName val="Ingr_Inf"/>
      <sheetName val="base"/>
      <sheetName val="Gestión"/>
      <sheetName val="Gestión CONS N (Neto) X Trim"/>
      <sheetName val="Gestión CONS N (Neto)"/>
      <sheetName val="Gestión cons N"/>
      <sheetName val="bce cons"/>
      <sheetName val="estres cons"/>
      <sheetName val="IAS 1-Est Sit Fin Clas"/>
      <sheetName val="Est Res Integral"/>
      <sheetName val="IAS 1-Est Res Funcion"/>
      <sheetName val="estres cons X Trim comp"/>
      <sheetName val="estres cons X Trim bruto"/>
      <sheetName val="estres cons X Trim neto"/>
      <sheetName val="estres cons X Trim 2"/>
      <sheetName val="ELIM resultado"/>
      <sheetName val="ctas EERR"/>
      <sheetName val="Análisis razonado"/>
      <sheetName val="Nota Segmentos"/>
      <sheetName val="Nota Particip"/>
      <sheetName val="Menú"/>
      <sheetName val="BT"/>
      <sheetName val="bce"/>
      <sheetName val="estres"/>
      <sheetName val="Patrimonio"/>
      <sheetName val="Inversiones"/>
      <sheetName val="Resultado EERR"/>
      <sheetName val="reclasificaciones MERVAL"/>
      <sheetName val="separa"/>
      <sheetName val="Ajustes EBITDA"/>
      <sheetName val="Baco Central"/>
      <sheetName val="CGR"/>
      <sheetName val="Notas EERR"/>
      <sheetName val="Notas 2011"/>
      <sheetName val="Notas"/>
    </sheetNames>
    <sheetDataSet>
      <sheetData sheetId="0"/>
      <sheetData sheetId="1">
        <row r="6">
          <cell r="D6">
            <v>1</v>
          </cell>
        </row>
        <row r="3484">
          <cell r="D3484" t="str">
            <v>empresas 1</v>
          </cell>
        </row>
        <row r="3485">
          <cell r="D3485" t="str">
            <v>Código</v>
          </cell>
          <cell r="E3485" t="str">
            <v>RUT</v>
          </cell>
          <cell r="F3485" t="str">
            <v>Sociedad</v>
          </cell>
          <cell r="G3485" t="str">
            <v>R.U.T.</v>
          </cell>
          <cell r="H3485" t="str">
            <v>Segmento</v>
          </cell>
        </row>
        <row r="3486">
          <cell r="D3486">
            <v>1</v>
          </cell>
          <cell r="E3486">
            <v>2</v>
          </cell>
          <cell r="F3486">
            <v>3</v>
          </cell>
          <cell r="G3486">
            <v>4</v>
          </cell>
          <cell r="H3486">
            <v>5</v>
          </cell>
          <cell r="I3486">
            <v>6</v>
          </cell>
          <cell r="J3486">
            <v>7</v>
          </cell>
          <cell r="K3486">
            <v>8</v>
          </cell>
        </row>
        <row r="3487">
          <cell r="D3487">
            <v>2</v>
          </cell>
          <cell r="E3487">
            <v>3</v>
          </cell>
          <cell r="F3487">
            <v>4</v>
          </cell>
          <cell r="G3487">
            <v>5</v>
          </cell>
          <cell r="H3487">
            <v>6</v>
          </cell>
          <cell r="I3487">
            <v>7</v>
          </cell>
        </row>
        <row r="3489">
          <cell r="D3489">
            <v>1000</v>
          </cell>
          <cell r="E3489" t="str">
            <v>61.216.000-7</v>
          </cell>
          <cell r="F3489" t="str">
            <v>Empresa de los Ferrocarriles del Estado</v>
          </cell>
          <cell r="G3489" t="str">
            <v>61.216.000-7</v>
          </cell>
          <cell r="H3489" t="str">
            <v>Infraestructura ferroviaria</v>
          </cell>
          <cell r="K3489" t="str">
            <v>EFE</v>
          </cell>
        </row>
        <row r="3490">
          <cell r="D3490">
            <v>1070</v>
          </cell>
          <cell r="E3490" t="str">
            <v>96.756.310-2</v>
          </cell>
          <cell r="F3490" t="str">
            <v>Ferrocarriles Suburbanos de Concepción S.A.</v>
          </cell>
          <cell r="G3490" t="str">
            <v>96.756.310-2</v>
          </cell>
          <cell r="H3490" t="str">
            <v>FESUB</v>
          </cell>
          <cell r="I3490" t="str">
            <v>VIII Región</v>
          </cell>
          <cell r="K3490" t="str">
            <v>FESUB</v>
          </cell>
        </row>
        <row r="3491">
          <cell r="D3491">
            <v>1080</v>
          </cell>
          <cell r="E3491" t="str">
            <v>96.756.300-5</v>
          </cell>
          <cell r="F3491" t="str">
            <v>Ferrocarriles del Sur S.A.</v>
          </cell>
          <cell r="G3491" t="str">
            <v>96.756.300-5</v>
          </cell>
          <cell r="H3491" t="str">
            <v>TERRA</v>
          </cell>
          <cell r="I3491" t="str">
            <v>Stgo. - Chillán - Concepción</v>
          </cell>
          <cell r="K3491" t="str">
            <v>TERRA</v>
          </cell>
        </row>
        <row r="3492">
          <cell r="D3492">
            <v>1090</v>
          </cell>
          <cell r="E3492" t="str">
            <v>96.756.320-K</v>
          </cell>
          <cell r="F3492" t="str">
            <v>Trenes Metropolitanos S.A.</v>
          </cell>
          <cell r="G3492" t="str">
            <v>96.756.320-K</v>
          </cell>
          <cell r="H3492" t="str">
            <v>TMSA</v>
          </cell>
          <cell r="I3492" t="str">
            <v>Santiago - San Fernando</v>
          </cell>
          <cell r="K3492" t="str">
            <v>TMSA</v>
          </cell>
        </row>
        <row r="3493">
          <cell r="E3493" t="str">
            <v>96.766.340-9</v>
          </cell>
          <cell r="F3493" t="str">
            <v>Metro Regional de Valparaíso S.A.</v>
          </cell>
          <cell r="G3493" t="str">
            <v>96.766.340-9</v>
          </cell>
          <cell r="H3493" t="str">
            <v>MERVAL</v>
          </cell>
          <cell r="I3493" t="str">
            <v>V Región</v>
          </cell>
          <cell r="K3493" t="str">
            <v>MERVAL</v>
          </cell>
        </row>
        <row r="3494">
          <cell r="E3494" t="str">
            <v>96.766.340-9</v>
          </cell>
          <cell r="F3494" t="str">
            <v>Metro Regional de Valparaíso S.A.</v>
          </cell>
          <cell r="G3494" t="str">
            <v>96.766.340-9</v>
          </cell>
          <cell r="H3494" t="str">
            <v>MERVAL.sa</v>
          </cell>
          <cell r="I3494" t="str">
            <v>V Región</v>
          </cell>
          <cell r="K3494" t="str">
            <v>MERVAL.sa</v>
          </cell>
        </row>
        <row r="3495">
          <cell r="D3495">
            <v>1030</v>
          </cell>
          <cell r="E3495" t="str">
            <v>96.756.340-4</v>
          </cell>
          <cell r="F3495" t="str">
            <v>Inmobiliaria Nueva Vía S.A.</v>
          </cell>
          <cell r="G3495" t="str">
            <v>96.756.340-4</v>
          </cell>
          <cell r="H3495" t="str">
            <v>INVIA</v>
          </cell>
          <cell r="I3495" t="str">
            <v>Sector Inmobiliario</v>
          </cell>
          <cell r="K3495" t="str">
            <v>INVIA</v>
          </cell>
        </row>
        <row r="3496">
          <cell r="E3496" t="str">
            <v>96.769.070-8</v>
          </cell>
          <cell r="F3496" t="str">
            <v>Ferrocarril de Arica a La Paz S.A.</v>
          </cell>
          <cell r="G3496" t="str">
            <v>96.769.070-8</v>
          </cell>
          <cell r="H3496" t="str">
            <v>Otros</v>
          </cell>
          <cell r="J3496" t="str">
            <v>FECALP</v>
          </cell>
          <cell r="K3496" t="str">
            <v>FCALP</v>
          </cell>
        </row>
        <row r="3497">
          <cell r="E3497" t="str">
            <v>96.756.330-7</v>
          </cell>
          <cell r="F3497" t="str">
            <v>Infraestructura y Tráfico Ferroviario S.A.</v>
          </cell>
          <cell r="G3497" t="str">
            <v>96.756.330-7</v>
          </cell>
          <cell r="H3497" t="str">
            <v>Otros</v>
          </cell>
          <cell r="J3497" t="str">
            <v>ITF</v>
          </cell>
          <cell r="K3497" t="str">
            <v>ITF</v>
          </cell>
        </row>
        <row r="3498">
          <cell r="E3498" t="str">
            <v>96.794.010-0</v>
          </cell>
          <cell r="F3498" t="str">
            <v>Inmobiliaria San Bernardo S.A.</v>
          </cell>
          <cell r="G3498" t="str">
            <v>96.794.010-0</v>
          </cell>
          <cell r="H3498" t="str">
            <v>AJUSTE CONS D</v>
          </cell>
        </row>
        <row r="3499">
          <cell r="E3499" t="str">
            <v>96.547.010-7</v>
          </cell>
          <cell r="F3499" t="str">
            <v>Inmobiliaria Paseo Estación S.A.</v>
          </cell>
          <cell r="G3499" t="str">
            <v>96.547.010-7</v>
          </cell>
          <cell r="H3499" t="str">
            <v>AJUSTE CONS H</v>
          </cell>
        </row>
        <row r="3500">
          <cell r="E3500" t="str">
            <v>96.504.160-5</v>
          </cell>
          <cell r="F3500" t="str">
            <v>Isapre Ferrosalud S.A.</v>
          </cell>
          <cell r="G3500" t="str">
            <v>96.504.160-5</v>
          </cell>
        </row>
        <row r="3501">
          <cell r="H3501" t="str">
            <v>Eliminaciones</v>
          </cell>
          <cell r="J3501" t="str">
            <v>Eliminaciones D</v>
          </cell>
        </row>
        <row r="3502">
          <cell r="H3502" t="str">
            <v>Eliminaciones</v>
          </cell>
          <cell r="J3502" t="str">
            <v>Eliminaciones H</v>
          </cell>
        </row>
        <row r="3503">
          <cell r="H3503" t="str">
            <v>Eliminaciones mes</v>
          </cell>
          <cell r="J3503" t="str">
            <v>Eliminaciones mes D</v>
          </cell>
        </row>
        <row r="3504">
          <cell r="H3504" t="str">
            <v>Eliminaciones mes</v>
          </cell>
          <cell r="J3504" t="str">
            <v>Eliminaciones mes H</v>
          </cell>
        </row>
        <row r="3670">
          <cell r="D3670">
            <v>1000000</v>
          </cell>
        </row>
        <row r="3705">
          <cell r="C3705" t="str">
            <v>dirección de columna</v>
          </cell>
          <cell r="D3705">
            <v>2</v>
          </cell>
          <cell r="E3705">
            <v>3</v>
          </cell>
        </row>
        <row r="3706">
          <cell r="C3706" t="str">
            <v>Nº columna</v>
          </cell>
          <cell r="D3706" t="str">
            <v>letra columna</v>
          </cell>
        </row>
        <row r="3707">
          <cell r="C3707">
            <v>1</v>
          </cell>
          <cell r="D3707" t="str">
            <v>A</v>
          </cell>
          <cell r="E3707" t="str">
            <v>A:A</v>
          </cell>
        </row>
        <row r="3708">
          <cell r="C3708">
            <v>2</v>
          </cell>
          <cell r="D3708" t="str">
            <v>B</v>
          </cell>
          <cell r="E3708" t="str">
            <v>B:B</v>
          </cell>
        </row>
        <row r="3709">
          <cell r="C3709">
            <v>3</v>
          </cell>
          <cell r="D3709" t="str">
            <v>C</v>
          </cell>
          <cell r="E3709" t="str">
            <v>C:C</v>
          </cell>
        </row>
        <row r="3710">
          <cell r="C3710">
            <v>4</v>
          </cell>
          <cell r="D3710" t="str">
            <v>D</v>
          </cell>
          <cell r="E3710" t="str">
            <v>D:D</v>
          </cell>
        </row>
        <row r="3711">
          <cell r="C3711">
            <v>5</v>
          </cell>
          <cell r="D3711" t="str">
            <v>E</v>
          </cell>
          <cell r="E3711" t="str">
            <v>E:E</v>
          </cell>
        </row>
        <row r="3712">
          <cell r="C3712">
            <v>6</v>
          </cell>
          <cell r="D3712" t="str">
            <v>F</v>
          </cell>
          <cell r="E3712" t="str">
            <v>F:F</v>
          </cell>
        </row>
        <row r="3713">
          <cell r="C3713">
            <v>7</v>
          </cell>
          <cell r="D3713" t="str">
            <v>G</v>
          </cell>
          <cell r="E3713" t="str">
            <v>G:G</v>
          </cell>
        </row>
        <row r="3714">
          <cell r="C3714">
            <v>8</v>
          </cell>
          <cell r="D3714" t="str">
            <v>H</v>
          </cell>
          <cell r="E3714" t="str">
            <v>H:H</v>
          </cell>
        </row>
        <row r="3715">
          <cell r="C3715">
            <v>9</v>
          </cell>
          <cell r="D3715" t="str">
            <v>I</v>
          </cell>
          <cell r="E3715" t="str">
            <v>I:I</v>
          </cell>
        </row>
        <row r="3716">
          <cell r="C3716">
            <v>10</v>
          </cell>
          <cell r="D3716" t="str">
            <v>J</v>
          </cell>
          <cell r="E3716" t="str">
            <v>J:J</v>
          </cell>
        </row>
        <row r="3717">
          <cell r="C3717">
            <v>11</v>
          </cell>
          <cell r="D3717" t="str">
            <v>K</v>
          </cell>
          <cell r="E3717" t="str">
            <v>K:K</v>
          </cell>
        </row>
        <row r="3718">
          <cell r="C3718">
            <v>12</v>
          </cell>
          <cell r="D3718" t="str">
            <v>L</v>
          </cell>
          <cell r="E3718" t="str">
            <v>L:L</v>
          </cell>
        </row>
        <row r="3719">
          <cell r="C3719">
            <v>13</v>
          </cell>
          <cell r="D3719" t="str">
            <v>M</v>
          </cell>
          <cell r="E3719" t="str">
            <v>M:M</v>
          </cell>
        </row>
        <row r="3720">
          <cell r="C3720">
            <v>14</v>
          </cell>
          <cell r="D3720" t="str">
            <v>N</v>
          </cell>
          <cell r="E3720" t="str">
            <v>N:N</v>
          </cell>
        </row>
        <row r="3721">
          <cell r="C3721">
            <v>15</v>
          </cell>
          <cell r="D3721" t="str">
            <v>O</v>
          </cell>
          <cell r="E3721" t="str">
            <v>O:O</v>
          </cell>
        </row>
        <row r="3722">
          <cell r="C3722">
            <v>16</v>
          </cell>
          <cell r="D3722" t="str">
            <v>P</v>
          </cell>
          <cell r="E3722" t="str">
            <v>P:P</v>
          </cell>
        </row>
        <row r="3723">
          <cell r="C3723">
            <v>17</v>
          </cell>
          <cell r="D3723" t="str">
            <v>Q</v>
          </cell>
          <cell r="E3723" t="str">
            <v>Q:Q</v>
          </cell>
        </row>
        <row r="3724">
          <cell r="C3724">
            <v>18</v>
          </cell>
          <cell r="D3724" t="str">
            <v>R</v>
          </cell>
          <cell r="E3724" t="str">
            <v>R:R</v>
          </cell>
        </row>
        <row r="3725">
          <cell r="C3725">
            <v>19</v>
          </cell>
          <cell r="D3725" t="str">
            <v>S</v>
          </cell>
          <cell r="E3725" t="str">
            <v>S:S</v>
          </cell>
        </row>
        <row r="3726">
          <cell r="C3726">
            <v>20</v>
          </cell>
          <cell r="D3726" t="str">
            <v>T</v>
          </cell>
          <cell r="E3726" t="str">
            <v>T:T</v>
          </cell>
        </row>
        <row r="3727">
          <cell r="C3727">
            <v>21</v>
          </cell>
          <cell r="D3727" t="str">
            <v>U</v>
          </cell>
          <cell r="E3727" t="str">
            <v>U:U</v>
          </cell>
        </row>
        <row r="3728">
          <cell r="C3728">
            <v>22</v>
          </cell>
          <cell r="D3728" t="str">
            <v>V</v>
          </cell>
          <cell r="E3728" t="str">
            <v>V:V</v>
          </cell>
        </row>
        <row r="3729">
          <cell r="C3729">
            <v>23</v>
          </cell>
          <cell r="D3729" t="str">
            <v>W</v>
          </cell>
          <cell r="E3729" t="str">
            <v>W:W</v>
          </cell>
        </row>
        <row r="3730">
          <cell r="C3730">
            <v>24</v>
          </cell>
          <cell r="D3730" t="str">
            <v>X</v>
          </cell>
          <cell r="E3730" t="str">
            <v>X:X</v>
          </cell>
        </row>
        <row r="3731">
          <cell r="C3731">
            <v>25</v>
          </cell>
          <cell r="D3731" t="str">
            <v>Y</v>
          </cell>
          <cell r="E3731" t="str">
            <v>Y:Y</v>
          </cell>
        </row>
        <row r="3732">
          <cell r="C3732">
            <v>26</v>
          </cell>
          <cell r="D3732" t="str">
            <v>Z</v>
          </cell>
          <cell r="E3732" t="str">
            <v>Z:Z</v>
          </cell>
        </row>
        <row r="3733">
          <cell r="C3733">
            <v>27</v>
          </cell>
          <cell r="D3733" t="str">
            <v>A</v>
          </cell>
          <cell r="E3733" t="str">
            <v>A:A</v>
          </cell>
        </row>
        <row r="3734">
          <cell r="C3734">
            <v>28</v>
          </cell>
          <cell r="D3734" t="str">
            <v>B</v>
          </cell>
          <cell r="E3734" t="str">
            <v>B:B</v>
          </cell>
        </row>
        <row r="3735">
          <cell r="C3735">
            <v>29</v>
          </cell>
          <cell r="D3735" t="str">
            <v>C</v>
          </cell>
          <cell r="E3735" t="str">
            <v>C:C</v>
          </cell>
        </row>
        <row r="3736">
          <cell r="C3736">
            <v>30</v>
          </cell>
          <cell r="D3736" t="str">
            <v>D</v>
          </cell>
          <cell r="E3736" t="str">
            <v>D:D</v>
          </cell>
        </row>
        <row r="3737">
          <cell r="C3737">
            <v>31</v>
          </cell>
          <cell r="D3737" t="str">
            <v>E</v>
          </cell>
          <cell r="E3737" t="str">
            <v>E:E</v>
          </cell>
        </row>
        <row r="3738">
          <cell r="C3738">
            <v>32</v>
          </cell>
          <cell r="D3738" t="str">
            <v>F</v>
          </cell>
          <cell r="E3738" t="str">
            <v>F:F</v>
          </cell>
        </row>
        <row r="3739">
          <cell r="C3739">
            <v>33</v>
          </cell>
          <cell r="D3739" t="str">
            <v>G</v>
          </cell>
          <cell r="E3739" t="str">
            <v>G:G</v>
          </cell>
        </row>
        <row r="3740">
          <cell r="C3740">
            <v>34</v>
          </cell>
          <cell r="D3740" t="str">
            <v>H</v>
          </cell>
          <cell r="E3740" t="str">
            <v>H:H</v>
          </cell>
        </row>
        <row r="3741">
          <cell r="C3741">
            <v>35</v>
          </cell>
          <cell r="D3741" t="str">
            <v>I</v>
          </cell>
          <cell r="E3741" t="str">
            <v>I:I</v>
          </cell>
        </row>
        <row r="3742">
          <cell r="C3742">
            <v>36</v>
          </cell>
          <cell r="D3742" t="str">
            <v>J</v>
          </cell>
          <cell r="E3742" t="str">
            <v>J:J</v>
          </cell>
        </row>
        <row r="3743">
          <cell r="C3743">
            <v>37</v>
          </cell>
          <cell r="D3743" t="str">
            <v>K</v>
          </cell>
          <cell r="E3743" t="str">
            <v>K:K</v>
          </cell>
        </row>
        <row r="3744">
          <cell r="C3744">
            <v>38</v>
          </cell>
          <cell r="D3744" t="str">
            <v>L</v>
          </cell>
          <cell r="E3744" t="str">
            <v>L:L</v>
          </cell>
        </row>
        <row r="3745">
          <cell r="C3745">
            <v>39</v>
          </cell>
          <cell r="D3745" t="str">
            <v>M</v>
          </cell>
          <cell r="E3745" t="str">
            <v>M:M</v>
          </cell>
        </row>
        <row r="3746">
          <cell r="C3746">
            <v>40</v>
          </cell>
          <cell r="D3746" t="str">
            <v>N</v>
          </cell>
          <cell r="E3746" t="str">
            <v>N:N</v>
          </cell>
        </row>
        <row r="3747">
          <cell r="C3747">
            <v>41</v>
          </cell>
          <cell r="D3747" t="str">
            <v>O</v>
          </cell>
          <cell r="E3747" t="str">
            <v>O:O</v>
          </cell>
        </row>
        <row r="3748">
          <cell r="C3748">
            <v>42</v>
          </cell>
          <cell r="D3748" t="str">
            <v>P</v>
          </cell>
          <cell r="E3748" t="str">
            <v>P:P</v>
          </cell>
        </row>
        <row r="3749">
          <cell r="C3749">
            <v>43</v>
          </cell>
          <cell r="D3749" t="str">
            <v>Q</v>
          </cell>
          <cell r="E3749" t="str">
            <v>Q:Q</v>
          </cell>
        </row>
        <row r="3750">
          <cell r="C3750">
            <v>44</v>
          </cell>
          <cell r="D3750" t="str">
            <v>R</v>
          </cell>
          <cell r="E3750" t="str">
            <v>R:R</v>
          </cell>
        </row>
        <row r="3751">
          <cell r="C3751">
            <v>45</v>
          </cell>
          <cell r="D3751" t="str">
            <v>S</v>
          </cell>
          <cell r="E3751" t="str">
            <v>S:S</v>
          </cell>
        </row>
        <row r="3752">
          <cell r="C3752">
            <v>46</v>
          </cell>
          <cell r="D3752" t="str">
            <v>T</v>
          </cell>
          <cell r="E3752" t="str">
            <v>T:T</v>
          </cell>
        </row>
        <row r="3753">
          <cell r="C3753">
            <v>47</v>
          </cell>
          <cell r="D3753" t="str">
            <v>U</v>
          </cell>
          <cell r="E3753" t="str">
            <v>U:U</v>
          </cell>
        </row>
        <row r="3754">
          <cell r="C3754">
            <v>48</v>
          </cell>
          <cell r="D3754" t="str">
            <v>V</v>
          </cell>
          <cell r="E3754" t="str">
            <v>V:V</v>
          </cell>
        </row>
        <row r="3755">
          <cell r="C3755">
            <v>49</v>
          </cell>
          <cell r="D3755" t="str">
            <v>W</v>
          </cell>
          <cell r="E3755" t="str">
            <v>W:W</v>
          </cell>
        </row>
        <row r="3756">
          <cell r="C3756">
            <v>50</v>
          </cell>
          <cell r="D3756" t="str">
            <v>X</v>
          </cell>
          <cell r="E3756" t="str">
            <v>X:X</v>
          </cell>
        </row>
        <row r="3757">
          <cell r="C3757">
            <v>51</v>
          </cell>
          <cell r="D3757" t="str">
            <v>Y</v>
          </cell>
          <cell r="E3757" t="str">
            <v>Y:Y</v>
          </cell>
        </row>
        <row r="3758">
          <cell r="C3758">
            <v>52</v>
          </cell>
          <cell r="D3758" t="str">
            <v>Z</v>
          </cell>
          <cell r="E3758" t="str">
            <v>Z:Z</v>
          </cell>
        </row>
        <row r="3759">
          <cell r="C3759">
            <v>53</v>
          </cell>
          <cell r="D3759" t="str">
            <v>A</v>
          </cell>
          <cell r="E3759" t="str">
            <v>A:A</v>
          </cell>
        </row>
        <row r="3760">
          <cell r="C3760">
            <v>54</v>
          </cell>
          <cell r="D3760" t="str">
            <v>B</v>
          </cell>
          <cell r="E3760" t="str">
            <v>B:B</v>
          </cell>
        </row>
        <row r="3761">
          <cell r="C3761">
            <v>55</v>
          </cell>
          <cell r="D3761" t="str">
            <v>C</v>
          </cell>
          <cell r="E3761" t="str">
            <v>C:C</v>
          </cell>
        </row>
        <row r="3762">
          <cell r="C3762">
            <v>56</v>
          </cell>
          <cell r="D3762" t="str">
            <v>D</v>
          </cell>
          <cell r="E3762" t="str">
            <v>D:D</v>
          </cell>
        </row>
        <row r="3763">
          <cell r="C3763">
            <v>57</v>
          </cell>
          <cell r="D3763" t="str">
            <v>E</v>
          </cell>
          <cell r="E3763" t="str">
            <v>E:E</v>
          </cell>
        </row>
        <row r="3764">
          <cell r="C3764">
            <v>58</v>
          </cell>
          <cell r="D3764" t="str">
            <v>F</v>
          </cell>
          <cell r="E3764" t="str">
            <v>F:F</v>
          </cell>
        </row>
        <row r="3765">
          <cell r="C3765">
            <v>59</v>
          </cell>
          <cell r="D3765" t="str">
            <v>G</v>
          </cell>
          <cell r="E3765" t="str">
            <v>G:G</v>
          </cell>
        </row>
        <row r="3766">
          <cell r="C3766">
            <v>60</v>
          </cell>
          <cell r="D3766" t="str">
            <v>H</v>
          </cell>
          <cell r="E3766" t="str">
            <v>H:H</v>
          </cell>
        </row>
        <row r="3767">
          <cell r="C3767">
            <v>61</v>
          </cell>
          <cell r="D3767" t="str">
            <v>I</v>
          </cell>
          <cell r="E3767" t="str">
            <v>I:I</v>
          </cell>
        </row>
        <row r="3768">
          <cell r="C3768">
            <v>62</v>
          </cell>
          <cell r="D3768" t="str">
            <v>J</v>
          </cell>
          <cell r="E3768" t="str">
            <v>J:J</v>
          </cell>
        </row>
        <row r="3769">
          <cell r="C3769">
            <v>63</v>
          </cell>
          <cell r="D3769" t="str">
            <v>K</v>
          </cell>
          <cell r="E3769" t="str">
            <v>K:K</v>
          </cell>
        </row>
        <row r="3770">
          <cell r="C3770">
            <v>64</v>
          </cell>
          <cell r="D3770" t="str">
            <v>L</v>
          </cell>
          <cell r="E3770" t="str">
            <v>L:L</v>
          </cell>
        </row>
        <row r="3771">
          <cell r="C3771">
            <v>65</v>
          </cell>
          <cell r="D3771" t="str">
            <v>M</v>
          </cell>
          <cell r="E3771" t="str">
            <v>M:M</v>
          </cell>
        </row>
        <row r="3772">
          <cell r="C3772">
            <v>66</v>
          </cell>
          <cell r="D3772" t="str">
            <v>N</v>
          </cell>
          <cell r="E3772" t="str">
            <v>N:N</v>
          </cell>
        </row>
        <row r="3773">
          <cell r="C3773">
            <v>67</v>
          </cell>
          <cell r="D3773" t="str">
            <v>O</v>
          </cell>
          <cell r="E3773" t="str">
            <v>O:O</v>
          </cell>
        </row>
        <row r="3774">
          <cell r="C3774">
            <v>68</v>
          </cell>
          <cell r="D3774" t="str">
            <v>P</v>
          </cell>
          <cell r="E3774" t="str">
            <v>P:P</v>
          </cell>
        </row>
        <row r="3775">
          <cell r="C3775">
            <v>69</v>
          </cell>
          <cell r="D3775" t="str">
            <v>Q</v>
          </cell>
          <cell r="E3775" t="str">
            <v>Q:Q</v>
          </cell>
        </row>
        <row r="3776">
          <cell r="C3776">
            <v>70</v>
          </cell>
          <cell r="D3776" t="str">
            <v>R</v>
          </cell>
          <cell r="E3776" t="str">
            <v>R:R</v>
          </cell>
        </row>
        <row r="3777">
          <cell r="C3777">
            <v>71</v>
          </cell>
          <cell r="D3777" t="str">
            <v>S</v>
          </cell>
          <cell r="E3777" t="str">
            <v>S:S</v>
          </cell>
        </row>
        <row r="3778">
          <cell r="C3778">
            <v>72</v>
          </cell>
          <cell r="D3778" t="str">
            <v>T</v>
          </cell>
          <cell r="E3778" t="str">
            <v>T:T</v>
          </cell>
        </row>
        <row r="3779">
          <cell r="C3779">
            <v>73</v>
          </cell>
          <cell r="D3779" t="str">
            <v>U</v>
          </cell>
          <cell r="E3779" t="str">
            <v>U:U</v>
          </cell>
        </row>
        <row r="3780">
          <cell r="C3780">
            <v>74</v>
          </cell>
          <cell r="D3780" t="str">
            <v>V</v>
          </cell>
          <cell r="E3780" t="str">
            <v>V:V</v>
          </cell>
        </row>
        <row r="3781">
          <cell r="C3781">
            <v>75</v>
          </cell>
          <cell r="D3781" t="str">
            <v>W</v>
          </cell>
          <cell r="E3781" t="str">
            <v>W:W</v>
          </cell>
        </row>
        <row r="3782">
          <cell r="C3782">
            <v>76</v>
          </cell>
          <cell r="D3782" t="str">
            <v>X</v>
          </cell>
          <cell r="E3782" t="str">
            <v>X:X</v>
          </cell>
        </row>
        <row r="3783">
          <cell r="C3783">
            <v>77</v>
          </cell>
          <cell r="D3783" t="str">
            <v>Y</v>
          </cell>
          <cell r="E3783" t="str">
            <v>Y:Y</v>
          </cell>
        </row>
        <row r="3784">
          <cell r="C3784">
            <v>78</v>
          </cell>
          <cell r="D3784" t="str">
            <v>Z</v>
          </cell>
          <cell r="E3784" t="str">
            <v>Z:Z</v>
          </cell>
        </row>
        <row r="3785">
          <cell r="C3785">
            <v>79</v>
          </cell>
          <cell r="D3785" t="str">
            <v>A</v>
          </cell>
          <cell r="E3785" t="str">
            <v>A:A</v>
          </cell>
        </row>
        <row r="3786">
          <cell r="C3786">
            <v>80</v>
          </cell>
          <cell r="D3786" t="str">
            <v>B</v>
          </cell>
          <cell r="E3786" t="str">
            <v>B:B</v>
          </cell>
        </row>
        <row r="3787">
          <cell r="C3787">
            <v>81</v>
          </cell>
          <cell r="D3787" t="str">
            <v>C</v>
          </cell>
          <cell r="E3787" t="str">
            <v>C:C</v>
          </cell>
        </row>
        <row r="3788">
          <cell r="C3788">
            <v>82</v>
          </cell>
          <cell r="D3788" t="str">
            <v>D</v>
          </cell>
          <cell r="E3788" t="str">
            <v>D:D</v>
          </cell>
        </row>
        <row r="3789">
          <cell r="C3789">
            <v>83</v>
          </cell>
          <cell r="D3789" t="str">
            <v>E</v>
          </cell>
          <cell r="E3789" t="str">
            <v>E:E</v>
          </cell>
        </row>
        <row r="3790">
          <cell r="C3790">
            <v>84</v>
          </cell>
          <cell r="D3790" t="str">
            <v>F</v>
          </cell>
          <cell r="E3790" t="str">
            <v>F:F</v>
          </cell>
        </row>
        <row r="3791">
          <cell r="C3791">
            <v>85</v>
          </cell>
          <cell r="D3791" t="str">
            <v>G</v>
          </cell>
          <cell r="E3791" t="str">
            <v>G:G</v>
          </cell>
        </row>
        <row r="3792">
          <cell r="C3792">
            <v>86</v>
          </cell>
          <cell r="D3792" t="str">
            <v>H</v>
          </cell>
          <cell r="E3792" t="str">
            <v>H:H</v>
          </cell>
        </row>
        <row r="3793">
          <cell r="C3793">
            <v>87</v>
          </cell>
          <cell r="D3793" t="str">
            <v>I</v>
          </cell>
          <cell r="E3793" t="str">
            <v>I:I</v>
          </cell>
        </row>
        <row r="3794">
          <cell r="C3794">
            <v>88</v>
          </cell>
          <cell r="D3794" t="str">
            <v>J</v>
          </cell>
          <cell r="E3794" t="str">
            <v>J:J</v>
          </cell>
        </row>
        <row r="3795">
          <cell r="C3795">
            <v>89</v>
          </cell>
          <cell r="D3795" t="str">
            <v>K</v>
          </cell>
          <cell r="E3795" t="str">
            <v>K:K</v>
          </cell>
        </row>
        <row r="3796">
          <cell r="C3796">
            <v>90</v>
          </cell>
          <cell r="D3796" t="str">
            <v>L</v>
          </cell>
          <cell r="E3796" t="str">
            <v>L:L</v>
          </cell>
        </row>
        <row r="3797">
          <cell r="C3797">
            <v>91</v>
          </cell>
          <cell r="D3797" t="str">
            <v>M</v>
          </cell>
          <cell r="E3797" t="str">
            <v>M:M</v>
          </cell>
        </row>
        <row r="3798">
          <cell r="C3798">
            <v>92</v>
          </cell>
          <cell r="D3798" t="str">
            <v>N</v>
          </cell>
          <cell r="E3798" t="str">
            <v>N:N</v>
          </cell>
        </row>
        <row r="3799">
          <cell r="C3799">
            <v>93</v>
          </cell>
          <cell r="D3799" t="str">
            <v>O</v>
          </cell>
          <cell r="E3799" t="str">
            <v>O:O</v>
          </cell>
        </row>
        <row r="3800">
          <cell r="C3800">
            <v>94</v>
          </cell>
          <cell r="D3800" t="str">
            <v>P</v>
          </cell>
          <cell r="E3800" t="str">
            <v>P:P</v>
          </cell>
        </row>
        <row r="3801">
          <cell r="C3801">
            <v>95</v>
          </cell>
          <cell r="D3801" t="str">
            <v>Q</v>
          </cell>
          <cell r="E3801" t="str">
            <v>Q:Q</v>
          </cell>
        </row>
        <row r="3802">
          <cell r="C3802">
            <v>96</v>
          </cell>
          <cell r="D3802" t="str">
            <v>R</v>
          </cell>
          <cell r="E3802" t="str">
            <v>R:R</v>
          </cell>
        </row>
        <row r="3803">
          <cell r="C3803">
            <v>97</v>
          </cell>
          <cell r="D3803" t="str">
            <v>S</v>
          </cell>
          <cell r="E3803" t="str">
            <v>S:S</v>
          </cell>
        </row>
        <row r="3804">
          <cell r="C3804">
            <v>98</v>
          </cell>
          <cell r="D3804" t="str">
            <v>T</v>
          </cell>
          <cell r="E3804" t="str">
            <v>T:T</v>
          </cell>
        </row>
        <row r="3805">
          <cell r="C3805">
            <v>99</v>
          </cell>
          <cell r="D3805" t="str">
            <v>U</v>
          </cell>
          <cell r="E3805" t="str">
            <v>U:U</v>
          </cell>
        </row>
        <row r="3806">
          <cell r="C3806">
            <v>100</v>
          </cell>
          <cell r="D3806" t="str">
            <v>V</v>
          </cell>
          <cell r="E3806" t="str">
            <v>V:V</v>
          </cell>
        </row>
        <row r="3807">
          <cell r="C3807">
            <v>101</v>
          </cell>
          <cell r="D3807" t="str">
            <v>W</v>
          </cell>
          <cell r="E3807" t="str">
            <v>W:W</v>
          </cell>
        </row>
        <row r="3808">
          <cell r="C3808">
            <v>102</v>
          </cell>
          <cell r="D3808" t="str">
            <v>X</v>
          </cell>
          <cell r="E3808" t="str">
            <v>X:X</v>
          </cell>
        </row>
        <row r="3809">
          <cell r="C3809">
            <v>103</v>
          </cell>
          <cell r="D3809" t="str">
            <v>Y</v>
          </cell>
          <cell r="E3809" t="str">
            <v>Y:Y</v>
          </cell>
        </row>
        <row r="3810">
          <cell r="C3810">
            <v>104</v>
          </cell>
          <cell r="D3810" t="str">
            <v>Z</v>
          </cell>
          <cell r="E3810" t="str">
            <v>Z:Z</v>
          </cell>
        </row>
      </sheetData>
      <sheetData sheetId="2"/>
      <sheetData sheetId="3"/>
      <sheetData sheetId="4"/>
      <sheetData sheetId="5"/>
      <sheetData sheetId="6">
        <row r="1">
          <cell r="B1" t="str">
            <v>E.F.E.</v>
          </cell>
        </row>
      </sheetData>
      <sheetData sheetId="7">
        <row r="1">
          <cell r="B1" t="str">
            <v>E.F.E.</v>
          </cell>
          <cell r="BC1" t="str">
            <v>EFE</v>
          </cell>
          <cell r="BD1" t="str">
            <v>FESUB</v>
          </cell>
          <cell r="BE1" t="str">
            <v>TERRA</v>
          </cell>
          <cell r="BF1" t="str">
            <v>TMSA</v>
          </cell>
          <cell r="BG1" t="str">
            <v>MERVAL</v>
          </cell>
          <cell r="BH1" t="str">
            <v>INVIA</v>
          </cell>
          <cell r="BI1" t="str">
            <v>FCALP</v>
          </cell>
          <cell r="BJ1" t="str">
            <v>ITF</v>
          </cell>
          <cell r="BK1" t="str">
            <v>Ajustes Cons D</v>
          </cell>
          <cell r="BL1" t="str">
            <v>Ajustes Cons H</v>
          </cell>
          <cell r="BM1" t="str">
            <v>BALANCE CONS</v>
          </cell>
        </row>
        <row r="2">
          <cell r="BC2">
            <v>2</v>
          </cell>
          <cell r="BD2">
            <v>3</v>
          </cell>
          <cell r="BE2">
            <v>4</v>
          </cell>
          <cell r="BF2">
            <v>5</v>
          </cell>
          <cell r="BG2">
            <v>6</v>
          </cell>
          <cell r="BH2">
            <v>7</v>
          </cell>
          <cell r="BI2">
            <v>8</v>
          </cell>
          <cell r="BJ2">
            <v>9</v>
          </cell>
          <cell r="BK2">
            <v>10</v>
          </cell>
          <cell r="BL2">
            <v>11</v>
          </cell>
          <cell r="BM2">
            <v>12</v>
          </cell>
        </row>
        <row r="5">
          <cell r="BB5" t="str">
            <v>Año</v>
          </cell>
          <cell r="BC5">
            <v>2010</v>
          </cell>
        </row>
        <row r="6">
          <cell r="BB6" t="str">
            <v>Mes</v>
          </cell>
          <cell r="BC6" t="str">
            <v>dic.</v>
          </cell>
        </row>
        <row r="7">
          <cell r="BB7" t="str">
            <v>Clasificación estados</v>
          </cell>
          <cell r="BC7" t="str">
            <v>Balance</v>
          </cell>
        </row>
        <row r="8"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B9" t="str">
            <v xml:space="preserve"> </v>
          </cell>
          <cell r="BC9" t="str">
            <v xml:space="preserve"> </v>
          </cell>
        </row>
        <row r="10">
          <cell r="BB10" t="str">
            <v>Conceptos</v>
          </cell>
          <cell r="BC10" t="str">
            <v>EFE</v>
          </cell>
          <cell r="BD10" t="str">
            <v>FESUB</v>
          </cell>
          <cell r="BE10" t="str">
            <v>TERRA</v>
          </cell>
          <cell r="BF10" t="str">
            <v>TMSA</v>
          </cell>
          <cell r="BG10" t="str">
            <v>MERVAL</v>
          </cell>
          <cell r="BH10" t="str">
            <v>INVIA</v>
          </cell>
          <cell r="BI10" t="str">
            <v>FCALP</v>
          </cell>
          <cell r="BJ10" t="str">
            <v>ITF</v>
          </cell>
          <cell r="BK10" t="str">
            <v>Ajustes Cons D</v>
          </cell>
          <cell r="BL10" t="str">
            <v>Ajustes Cons H</v>
          </cell>
          <cell r="BM10" t="str">
            <v>BALANCE CONS</v>
          </cell>
        </row>
        <row r="11">
          <cell r="BB11" t="str">
            <v>I. Activos</v>
          </cell>
          <cell r="BC11">
            <v>899492721750</v>
          </cell>
          <cell r="BD11">
            <v>6933034600</v>
          </cell>
          <cell r="BE11">
            <v>8481892043</v>
          </cell>
          <cell r="BF11">
            <v>7457369680</v>
          </cell>
          <cell r="BG11">
            <v>79044142634</v>
          </cell>
          <cell r="BH11">
            <v>25926285400</v>
          </cell>
          <cell r="BI11">
            <v>4065048</v>
          </cell>
          <cell r="BJ11">
            <v>3570796</v>
          </cell>
          <cell r="BK11">
            <v>55994137</v>
          </cell>
          <cell r="BL11">
            <v>-134896876759</v>
          </cell>
          <cell r="BM11">
            <v>892502199329</v>
          </cell>
        </row>
        <row r="12">
          <cell r="BB12" t="str">
            <v>1. Activos corrientes</v>
          </cell>
          <cell r="BC12">
            <v>58789402928</v>
          </cell>
          <cell r="BD12">
            <v>22360010</v>
          </cell>
          <cell r="BE12">
            <v>2094720462</v>
          </cell>
          <cell r="BF12">
            <v>494211638</v>
          </cell>
          <cell r="BG12">
            <v>2411323909</v>
          </cell>
          <cell r="BH12">
            <v>549982269</v>
          </cell>
          <cell r="BI12">
            <v>4065048</v>
          </cell>
          <cell r="BJ12">
            <v>3493270</v>
          </cell>
          <cell r="BK12">
            <v>51712785</v>
          </cell>
          <cell r="BL12">
            <v>-22019170628</v>
          </cell>
          <cell r="BM12">
            <v>42402101691</v>
          </cell>
        </row>
        <row r="13">
          <cell r="BB13" t="str">
            <v>1. Efectivo y Equivalentes al Efectivo</v>
          </cell>
          <cell r="BC13">
            <v>21618820418</v>
          </cell>
          <cell r="BD13">
            <v>10791938</v>
          </cell>
          <cell r="BE13">
            <v>161886339</v>
          </cell>
          <cell r="BF13">
            <v>476477186</v>
          </cell>
          <cell r="BG13">
            <v>1641101866</v>
          </cell>
          <cell r="BH13">
            <v>80415462</v>
          </cell>
          <cell r="BI13">
            <v>3646458</v>
          </cell>
          <cell r="BM13">
            <v>23993139667</v>
          </cell>
        </row>
        <row r="14">
          <cell r="BB14" t="str">
            <v>3. Otros Activos No Financieros, corrientes</v>
          </cell>
          <cell r="BC14">
            <v>308980919</v>
          </cell>
          <cell r="BG14">
            <v>23109992</v>
          </cell>
          <cell r="BH14">
            <v>452839</v>
          </cell>
          <cell r="BL14">
            <v>-42121101</v>
          </cell>
          <cell r="BM14">
            <v>290422649</v>
          </cell>
        </row>
        <row r="15">
          <cell r="BB15" t="str">
            <v>4. Deudores Comerciales y otras cuentas por cobrar, corrientes</v>
          </cell>
          <cell r="BC15">
            <v>17482418972</v>
          </cell>
          <cell r="BD15">
            <v>7133822</v>
          </cell>
          <cell r="BE15">
            <v>96495187</v>
          </cell>
          <cell r="BF15">
            <v>8131100</v>
          </cell>
          <cell r="BG15">
            <v>35906794</v>
          </cell>
          <cell r="BH15">
            <v>27471280</v>
          </cell>
          <cell r="BI15">
            <v>418590</v>
          </cell>
          <cell r="BJ15">
            <v>3493270</v>
          </cell>
          <cell r="BK15">
            <v>42121101</v>
          </cell>
          <cell r="BM15">
            <v>17703590116</v>
          </cell>
        </row>
        <row r="16">
          <cell r="BB16" t="str">
            <v>5. Cuentas por Cobrar a Entidades Relacionadas, corrientes</v>
          </cell>
          <cell r="BC16">
            <v>19285620554</v>
          </cell>
          <cell r="BE16">
            <v>1816086914</v>
          </cell>
          <cell r="BF16">
            <v>9603352</v>
          </cell>
          <cell r="BG16">
            <v>671379477</v>
          </cell>
          <cell r="BH16">
            <v>193767110</v>
          </cell>
          <cell r="BK16">
            <v>9591684</v>
          </cell>
          <cell r="BL16">
            <v>-21977049527</v>
          </cell>
          <cell r="BM16">
            <v>8999564</v>
          </cell>
        </row>
        <row r="17">
          <cell r="BB17" t="str">
            <v>1. Entidades relacionadas</v>
          </cell>
          <cell r="BC17">
            <v>19276697577</v>
          </cell>
          <cell r="BE17">
            <v>1816086914</v>
          </cell>
          <cell r="BF17">
            <v>9603352</v>
          </cell>
          <cell r="BG17">
            <v>671379477</v>
          </cell>
          <cell r="BH17">
            <v>193767110</v>
          </cell>
          <cell r="BK17">
            <v>9591684</v>
          </cell>
          <cell r="BL17">
            <v>-21977049527</v>
          </cell>
          <cell r="BM17">
            <v>76587</v>
          </cell>
        </row>
        <row r="18">
          <cell r="BB18" t="str">
            <v>2. Otras Entidades relacionadas</v>
          </cell>
          <cell r="BC18">
            <v>8922977</v>
          </cell>
          <cell r="BM18">
            <v>8922977</v>
          </cell>
        </row>
        <row r="19">
          <cell r="BB19" t="str">
            <v>1007200030  Inmobiliaria San Bernardo S.A. Corto Plazo</v>
          </cell>
          <cell r="BC19">
            <v>8922977</v>
          </cell>
          <cell r="BM19">
            <v>8922977</v>
          </cell>
        </row>
        <row r="20">
          <cell r="BB20" t="str">
            <v>6. Inventarios</v>
          </cell>
          <cell r="BG20">
            <v>23825780</v>
          </cell>
          <cell r="BH20">
            <v>230572231</v>
          </cell>
          <cell r="BM20">
            <v>254398011</v>
          </cell>
        </row>
        <row r="21">
          <cell r="BB21" t="str">
            <v>8. Activos por Impuestos, corrientes</v>
          </cell>
          <cell r="BC21">
            <v>93562065</v>
          </cell>
          <cell r="BD21">
            <v>4434250</v>
          </cell>
          <cell r="BE21">
            <v>20252022</v>
          </cell>
          <cell r="BG21">
            <v>16000000</v>
          </cell>
          <cell r="BH21">
            <v>17303347</v>
          </cell>
          <cell r="BM21">
            <v>151551684</v>
          </cell>
        </row>
        <row r="22">
          <cell r="BB22" t="str">
            <v>2. Activos no corrientes</v>
          </cell>
          <cell r="BC22">
            <v>840703318822</v>
          </cell>
          <cell r="BD22">
            <v>6910674590</v>
          </cell>
          <cell r="BE22">
            <v>6387171581</v>
          </cell>
          <cell r="BF22">
            <v>6963158042</v>
          </cell>
          <cell r="BG22">
            <v>76632818725</v>
          </cell>
          <cell r="BH22">
            <v>25376303131</v>
          </cell>
          <cell r="BJ22">
            <v>77526</v>
          </cell>
          <cell r="BK22">
            <v>4281352</v>
          </cell>
          <cell r="BL22">
            <v>-112877706131</v>
          </cell>
          <cell r="BM22">
            <v>850100097638</v>
          </cell>
        </row>
        <row r="23">
          <cell r="BB23" t="str">
            <v>2. Otros Activos No Financieros, no corrientes</v>
          </cell>
          <cell r="BC23">
            <v>7146688630</v>
          </cell>
          <cell r="BG23">
            <v>180847073</v>
          </cell>
          <cell r="BK23">
            <v>4281352</v>
          </cell>
          <cell r="BM23">
            <v>7331817055</v>
          </cell>
        </row>
        <row r="24">
          <cell r="BB24" t="str">
            <v>3. Derechos por Cobrar, no corrientes</v>
          </cell>
          <cell r="BC24">
            <v>904616475</v>
          </cell>
          <cell r="BH24">
            <v>1303304</v>
          </cell>
          <cell r="BM24">
            <v>905919779</v>
          </cell>
        </row>
        <row r="25">
          <cell r="BB25" t="str">
            <v>4. Cuentas por Cobrar a Entidades Relacionadas, no corrientes</v>
          </cell>
          <cell r="BC25">
            <v>43216847296</v>
          </cell>
          <cell r="BG25">
            <v>72432265</v>
          </cell>
          <cell r="BH25">
            <v>6779464660</v>
          </cell>
          <cell r="BL25">
            <v>-50068744221</v>
          </cell>
          <cell r="BM25">
            <v>0</v>
          </cell>
        </row>
        <row r="26">
          <cell r="BB26" t="str">
            <v>5. Inversiones contabilizadas utilizando el método de la participación</v>
          </cell>
          <cell r="BC26">
            <v>73358260755</v>
          </cell>
          <cell r="BE26">
            <v>24822</v>
          </cell>
          <cell r="BJ26">
            <v>77526</v>
          </cell>
          <cell r="BL26">
            <v>-62804680558</v>
          </cell>
          <cell r="BM26">
            <v>10553682545</v>
          </cell>
        </row>
        <row r="27">
          <cell r="BB27" t="str">
            <v>6. Activos intangibles distintos de la plusvalía</v>
          </cell>
          <cell r="BC27">
            <v>183004112</v>
          </cell>
          <cell r="BD27">
            <v>349994</v>
          </cell>
          <cell r="BE27">
            <v>5081811</v>
          </cell>
          <cell r="BF27">
            <v>943476</v>
          </cell>
          <cell r="BG27">
            <v>30721464</v>
          </cell>
          <cell r="BH27">
            <v>1088731</v>
          </cell>
          <cell r="BL27">
            <v>-4281352</v>
          </cell>
          <cell r="BM27">
            <v>216908236</v>
          </cell>
        </row>
        <row r="28">
          <cell r="BB28" t="str">
            <v>1. Intangibles</v>
          </cell>
          <cell r="BC28">
            <v>6710794761</v>
          </cell>
          <cell r="BD28">
            <v>9373872</v>
          </cell>
          <cell r="BE28">
            <v>5270843</v>
          </cell>
          <cell r="BF28">
            <v>1132172</v>
          </cell>
          <cell r="BG28">
            <v>45766172</v>
          </cell>
          <cell r="BL28">
            <v>-4281352</v>
          </cell>
          <cell r="BM28">
            <v>6768056468</v>
          </cell>
        </row>
        <row r="29">
          <cell r="BB29" t="str">
            <v>2. Amortización</v>
          </cell>
          <cell r="BC29">
            <v>-6527790649</v>
          </cell>
          <cell r="BD29">
            <v>-9023878</v>
          </cell>
          <cell r="BE29">
            <v>-189032</v>
          </cell>
          <cell r="BF29">
            <v>-188696</v>
          </cell>
          <cell r="BG29">
            <v>-15044708</v>
          </cell>
          <cell r="BH29">
            <v>1088731</v>
          </cell>
          <cell r="BM29">
            <v>-6551148232</v>
          </cell>
        </row>
        <row r="30">
          <cell r="BB30" t="str">
            <v>8. Propiedades, Planta y Equipo</v>
          </cell>
          <cell r="BC30">
            <v>715893901554</v>
          </cell>
          <cell r="BD30">
            <v>6910324596</v>
          </cell>
          <cell r="BE30">
            <v>6382064948</v>
          </cell>
          <cell r="BF30">
            <v>6962214566</v>
          </cell>
          <cell r="BG30">
            <v>75064325482</v>
          </cell>
          <cell r="BH30">
            <v>22975792</v>
          </cell>
          <cell r="BM30">
            <v>811235806938</v>
          </cell>
        </row>
        <row r="31">
          <cell r="BB31" t="str">
            <v>1. Terrenos</v>
          </cell>
          <cell r="BC31">
            <v>110539338645</v>
          </cell>
          <cell r="BG31">
            <v>4234630053</v>
          </cell>
          <cell r="BM31">
            <v>114773968698</v>
          </cell>
        </row>
        <row r="32">
          <cell r="BB32" t="str">
            <v>2. Const. y Obras de Infra.</v>
          </cell>
          <cell r="BC32">
            <v>553539371286</v>
          </cell>
          <cell r="BE32">
            <v>3195294</v>
          </cell>
          <cell r="BF32">
            <v>16416349</v>
          </cell>
          <cell r="BG32">
            <v>2874929431</v>
          </cell>
          <cell r="BH32">
            <v>138569</v>
          </cell>
          <cell r="BM32">
            <v>556434050929</v>
          </cell>
        </row>
        <row r="33">
          <cell r="BB33" t="str">
            <v>3. Equipo Tractor y Rodante</v>
          </cell>
          <cell r="BC33">
            <v>21218057556</v>
          </cell>
          <cell r="BE33">
            <v>6891897622</v>
          </cell>
          <cell r="BF33">
            <v>8853893875</v>
          </cell>
          <cell r="BM33">
            <v>36963849053</v>
          </cell>
        </row>
        <row r="34">
          <cell r="BB34" t="str">
            <v>4. Maquinas y Equipos</v>
          </cell>
          <cell r="BC34">
            <v>-8200040254</v>
          </cell>
          <cell r="BD34">
            <v>7990833694</v>
          </cell>
          <cell r="BE34">
            <v>8803024</v>
          </cell>
          <cell r="BG34">
            <v>73675237545</v>
          </cell>
          <cell r="BH34">
            <v>50108158</v>
          </cell>
          <cell r="BM34">
            <v>73524942167</v>
          </cell>
        </row>
        <row r="35">
          <cell r="BB35" t="str">
            <v>5. Muebles y Útiles</v>
          </cell>
          <cell r="BC35">
            <v>1469529105</v>
          </cell>
          <cell r="BE35">
            <v>58831308</v>
          </cell>
          <cell r="BF35">
            <v>26661193</v>
          </cell>
          <cell r="BM35">
            <v>1555021606</v>
          </cell>
        </row>
        <row r="36">
          <cell r="BB36" t="str">
            <v>6. Otros Activos Fijos</v>
          </cell>
          <cell r="BC36">
            <v>31157147853</v>
          </cell>
          <cell r="BE36">
            <v>-580662300</v>
          </cell>
          <cell r="BF36">
            <v>-1898175793</v>
          </cell>
          <cell r="BG36">
            <v>113510046</v>
          </cell>
          <cell r="BH36">
            <v>39720116</v>
          </cell>
          <cell r="BM36">
            <v>28831539922</v>
          </cell>
        </row>
        <row r="37">
          <cell r="BB37" t="str">
            <v>10. Depreciación Acumulada</v>
          </cell>
          <cell r="BC37">
            <v>6170497363</v>
          </cell>
          <cell r="BD37">
            <v>-1080509098</v>
          </cell>
          <cell r="BF37">
            <v>-36581058</v>
          </cell>
          <cell r="BG37">
            <v>-5833981593</v>
          </cell>
          <cell r="BH37">
            <v>-66991051</v>
          </cell>
          <cell r="BM37">
            <v>-847565437</v>
          </cell>
        </row>
        <row r="38">
          <cell r="BB38" t="str">
            <v>10. Propiedad de inversión</v>
          </cell>
          <cell r="BG38">
            <v>1284492441</v>
          </cell>
          <cell r="BH38">
            <v>18415079830</v>
          </cell>
          <cell r="BM38">
            <v>19699572271</v>
          </cell>
        </row>
        <row r="39">
          <cell r="BB39" t="str">
            <v>1. Terrenos</v>
          </cell>
          <cell r="BG39">
            <v>968752469</v>
          </cell>
          <cell r="BH39">
            <v>18468637063</v>
          </cell>
          <cell r="BM39">
            <v>19437389532</v>
          </cell>
        </row>
        <row r="40">
          <cell r="BB40" t="str">
            <v>2. Const. y Obras de Infra.</v>
          </cell>
          <cell r="BG40">
            <v>359796712</v>
          </cell>
          <cell r="BM40">
            <v>359796712</v>
          </cell>
        </row>
        <row r="41">
          <cell r="BB41" t="str">
            <v>6. Otros Activos Fijos</v>
          </cell>
          <cell r="BH41">
            <v>-53557233</v>
          </cell>
          <cell r="BM41">
            <v>-53557233</v>
          </cell>
        </row>
        <row r="42">
          <cell r="BB42" t="str">
            <v>10. Depreciación Acumulada</v>
          </cell>
          <cell r="BG42">
            <v>-44056740</v>
          </cell>
          <cell r="BM42">
            <v>-44056740</v>
          </cell>
        </row>
        <row r="43">
          <cell r="BB43" t="str">
            <v>11. Activos por impuestos diferidos</v>
          </cell>
          <cell r="BH43">
            <v>156390814</v>
          </cell>
          <cell r="BM43">
            <v>156390814</v>
          </cell>
        </row>
        <row r="44">
          <cell r="BB44" t="str">
            <v>II. Pasivos</v>
          </cell>
          <cell r="BC44">
            <v>-899492721750</v>
          </cell>
          <cell r="BD44">
            <v>-6933034600</v>
          </cell>
          <cell r="BE44">
            <v>-8481892043</v>
          </cell>
          <cell r="BF44">
            <v>-7457369680</v>
          </cell>
          <cell r="BG44">
            <v>-79044142634</v>
          </cell>
          <cell r="BH44">
            <v>-25926285400</v>
          </cell>
          <cell r="BI44">
            <v>-4065048</v>
          </cell>
          <cell r="BJ44">
            <v>-3570796</v>
          </cell>
          <cell r="BK44">
            <v>231483103715</v>
          </cell>
          <cell r="BL44">
            <v>-96642221093</v>
          </cell>
          <cell r="BM44">
            <v>-892502199329</v>
          </cell>
        </row>
        <row r="45">
          <cell r="BB45" t="str">
            <v>1. Pasivos corrientes</v>
          </cell>
          <cell r="BC45">
            <v>-71509916936</v>
          </cell>
          <cell r="BD45">
            <v>-6715789449</v>
          </cell>
          <cell r="BE45">
            <v>-2183822908</v>
          </cell>
          <cell r="BF45">
            <v>-4548354997</v>
          </cell>
          <cell r="BG45">
            <v>-6301685802</v>
          </cell>
          <cell r="BH45">
            <v>-525932788</v>
          </cell>
          <cell r="BI45">
            <v>-455806</v>
          </cell>
          <cell r="BJ45">
            <v>-945496</v>
          </cell>
          <cell r="BK45">
            <v>30744276910</v>
          </cell>
          <cell r="BL45">
            <v>-10790221583</v>
          </cell>
          <cell r="BM45">
            <v>-71832848855</v>
          </cell>
        </row>
        <row r="46">
          <cell r="BB46" t="str">
            <v>1. Otros Pasivos Financieros, corrientes</v>
          </cell>
          <cell r="BC46">
            <v>-31736021473</v>
          </cell>
          <cell r="BJ46">
            <v>-489690</v>
          </cell>
          <cell r="BM46">
            <v>-31736511163</v>
          </cell>
        </row>
        <row r="47">
          <cell r="BB47" t="str">
            <v>2. Cuentas comerciales y otras cuentas por pagar, corrientes</v>
          </cell>
          <cell r="BC47">
            <v>-24066223332</v>
          </cell>
          <cell r="BD47">
            <v>-57295741</v>
          </cell>
          <cell r="BE47">
            <v>-90105201</v>
          </cell>
          <cell r="BF47">
            <v>-36279780</v>
          </cell>
          <cell r="BG47">
            <v>-1870400132</v>
          </cell>
          <cell r="BH47">
            <v>-108000207</v>
          </cell>
          <cell r="BI47">
            <v>-455806</v>
          </cell>
          <cell r="BJ47">
            <v>-455806</v>
          </cell>
          <cell r="BK47">
            <v>649316</v>
          </cell>
          <cell r="BL47">
            <v>-10789552267</v>
          </cell>
          <cell r="BM47">
            <v>-37018118956</v>
          </cell>
        </row>
        <row r="48">
          <cell r="BB48" t="str">
            <v>3. Cuentas por Pagar a Entidades Relacionadas, corrientes</v>
          </cell>
          <cell r="BC48">
            <v>-4435588728</v>
          </cell>
          <cell r="BD48">
            <v>-6348135909</v>
          </cell>
          <cell r="BE48">
            <v>-1765510891</v>
          </cell>
          <cell r="BF48">
            <v>-4250632425</v>
          </cell>
          <cell r="BG48">
            <v>-3152435317</v>
          </cell>
          <cell r="BH48">
            <v>-1752057</v>
          </cell>
          <cell r="BK48">
            <v>19954075327</v>
          </cell>
          <cell r="BL48">
            <v>-20000</v>
          </cell>
          <cell r="BM48">
            <v>0</v>
          </cell>
        </row>
        <row r="49">
          <cell r="BB49" t="str">
            <v>4. Otras Provisiones, corrientes</v>
          </cell>
          <cell r="BC49">
            <v>-9176651563</v>
          </cell>
          <cell r="BD49">
            <v>-262899200</v>
          </cell>
          <cell r="BE49">
            <v>-244728947</v>
          </cell>
          <cell r="BF49">
            <v>-196277211</v>
          </cell>
          <cell r="BG49">
            <v>-496774252</v>
          </cell>
          <cell r="BH49">
            <v>-412221094</v>
          </cell>
          <cell r="BK49">
            <v>10789552267</v>
          </cell>
          <cell r="BM49">
            <v>0</v>
          </cell>
        </row>
        <row r="50">
          <cell r="BB50" t="str">
            <v>5. Pasivos por Impuestos, corrientes</v>
          </cell>
          <cell r="BH50">
            <v>649316</v>
          </cell>
          <cell r="BL50">
            <v>-649316</v>
          </cell>
          <cell r="BM50">
            <v>0</v>
          </cell>
        </row>
        <row r="51">
          <cell r="BB51" t="str">
            <v>6. Provisiones por beneficios a los empleados, corrientes</v>
          </cell>
          <cell r="BC51">
            <v>-1289740287</v>
          </cell>
          <cell r="BD51">
            <v>-27092097</v>
          </cell>
          <cell r="BE51">
            <v>-42739089</v>
          </cell>
          <cell r="BF51">
            <v>-40629324</v>
          </cell>
          <cell r="BH51">
            <v>-4608749</v>
          </cell>
          <cell r="BM51">
            <v>-1404809546</v>
          </cell>
        </row>
        <row r="52">
          <cell r="BB52" t="str">
            <v>7. Otros Pasivos No Financieros, corrientes</v>
          </cell>
          <cell r="BC52">
            <v>-805691553</v>
          </cell>
          <cell r="BD52">
            <v>-20366502</v>
          </cell>
          <cell r="BE52">
            <v>-40738780</v>
          </cell>
          <cell r="BF52">
            <v>-24536257</v>
          </cell>
          <cell r="BG52">
            <v>-782076101</v>
          </cell>
          <cell r="BH52">
            <v>3</v>
          </cell>
          <cell r="BM52">
            <v>-1673409190</v>
          </cell>
        </row>
        <row r="53">
          <cell r="BB53">
            <v>0</v>
          </cell>
          <cell r="BC53">
            <v>-805691553</v>
          </cell>
          <cell r="BD53">
            <v>-20366502</v>
          </cell>
          <cell r="BE53">
            <v>-40738780</v>
          </cell>
          <cell r="BF53">
            <v>-24536257</v>
          </cell>
          <cell r="BG53">
            <v>-782076101</v>
          </cell>
          <cell r="BH53">
            <v>3</v>
          </cell>
          <cell r="BM53">
            <v>-1673409190</v>
          </cell>
        </row>
        <row r="54">
          <cell r="BB54" t="str">
            <v>1-1-99-01-05  Intereses No Devengados Iva Diferido C/P</v>
          </cell>
          <cell r="BG54">
            <v>26803580</v>
          </cell>
          <cell r="BM54">
            <v>26803580</v>
          </cell>
        </row>
        <row r="55">
          <cell r="BB55" t="str">
            <v>2008200030  Paseo Estacion Arriendos Percibidos Anticip. C.P</v>
          </cell>
          <cell r="BC55">
            <v>-373988259</v>
          </cell>
          <cell r="BM55">
            <v>-373988259</v>
          </cell>
        </row>
        <row r="56">
          <cell r="BB56" t="str">
            <v>2010100010  Cajas De Compensación</v>
          </cell>
          <cell r="BC56">
            <v>778435</v>
          </cell>
          <cell r="BF56">
            <v>-721330</v>
          </cell>
          <cell r="BM56">
            <v>57105</v>
          </cell>
        </row>
        <row r="57">
          <cell r="BB57" t="str">
            <v>2010100020  I.N.P.</v>
          </cell>
          <cell r="BC57">
            <v>-225397</v>
          </cell>
          <cell r="BM57">
            <v>-225397</v>
          </cell>
        </row>
        <row r="58">
          <cell r="BB58" t="str">
            <v>2010100030  Administradora De Fondos De Pensiones(Afps)</v>
          </cell>
          <cell r="BC58">
            <v>178591499</v>
          </cell>
          <cell r="BD58">
            <v>-10442983</v>
          </cell>
          <cell r="BE58">
            <v>-14834337</v>
          </cell>
          <cell r="BF58">
            <v>-10273070</v>
          </cell>
          <cell r="BM58">
            <v>143041109</v>
          </cell>
        </row>
        <row r="59">
          <cell r="BB59" t="str">
            <v>2010200010  Embargos Judiciales</v>
          </cell>
          <cell r="BC59">
            <v>2929796</v>
          </cell>
          <cell r="BM59">
            <v>2929796</v>
          </cell>
        </row>
        <row r="60">
          <cell r="BB60" t="str">
            <v>2010300010  Fondos De Salud(Inp)</v>
          </cell>
          <cell r="BC60">
            <v>-56015327</v>
          </cell>
          <cell r="BD60">
            <v>-6352750</v>
          </cell>
          <cell r="BE60">
            <v>-8593198</v>
          </cell>
          <cell r="BF60">
            <v>-6149473</v>
          </cell>
          <cell r="BM60">
            <v>-77110748</v>
          </cell>
        </row>
        <row r="61">
          <cell r="BB61" t="str">
            <v>2010300020  Fondos De Terceros (Mutual)</v>
          </cell>
          <cell r="BC61">
            <v>-236633424</v>
          </cell>
          <cell r="BD61">
            <v>-984250</v>
          </cell>
          <cell r="BE61">
            <v>-3475049</v>
          </cell>
          <cell r="BF61">
            <v>-4270842</v>
          </cell>
          <cell r="BM61">
            <v>-245363565</v>
          </cell>
        </row>
        <row r="62">
          <cell r="BB62" t="str">
            <v>2010300040  Seguros Por Pagar Ley Nº16744</v>
          </cell>
          <cell r="BC62">
            <v>25857309</v>
          </cell>
          <cell r="BD62">
            <v>-2705667</v>
          </cell>
          <cell r="BE62">
            <v>-1476753</v>
          </cell>
          <cell r="BF62">
            <v>-1257552</v>
          </cell>
          <cell r="BM62">
            <v>20417337</v>
          </cell>
        </row>
        <row r="63">
          <cell r="BB63" t="str">
            <v>2010300050  Servicio Bienestar Del Personal</v>
          </cell>
          <cell r="BC63">
            <v>-2113597</v>
          </cell>
          <cell r="BD63">
            <v>-5540</v>
          </cell>
          <cell r="BM63">
            <v>-2119137</v>
          </cell>
        </row>
        <row r="64">
          <cell r="BB64" t="str">
            <v>2010300060  Descuentos Otras Instituciones</v>
          </cell>
          <cell r="BC64">
            <v>-23477097</v>
          </cell>
          <cell r="BE64">
            <v>-66174</v>
          </cell>
          <cell r="BF64">
            <v>-339780</v>
          </cell>
          <cell r="BM64">
            <v>-23883051</v>
          </cell>
        </row>
        <row r="65">
          <cell r="BB65" t="str">
            <v>2010400010  Haberes Por Pagar</v>
          </cell>
          <cell r="BC65">
            <v>233313925</v>
          </cell>
          <cell r="BD65">
            <v>124688</v>
          </cell>
          <cell r="BE65">
            <v>-133269</v>
          </cell>
          <cell r="BF65">
            <v>-1524210</v>
          </cell>
          <cell r="BM65">
            <v>231781134</v>
          </cell>
        </row>
        <row r="66">
          <cell r="BB66" t="str">
            <v>2010400020  Haberes Insolutos</v>
          </cell>
          <cell r="BC66">
            <v>-112471069</v>
          </cell>
          <cell r="BM66">
            <v>-112471069</v>
          </cell>
        </row>
        <row r="67">
          <cell r="BB67" t="str">
            <v>2013100010  Garantías En Efectivo</v>
          </cell>
          <cell r="BC67">
            <v>-141993739</v>
          </cell>
          <cell r="BE67">
            <v>-12160000</v>
          </cell>
          <cell r="BM67">
            <v>-154153739</v>
          </cell>
        </row>
        <row r="68">
          <cell r="BB68" t="str">
            <v>2013100020  Transferencias De Ministerio Hacienda Ley Nº19170</v>
          </cell>
          <cell r="BC68">
            <v>111574</v>
          </cell>
          <cell r="BM68">
            <v>111574</v>
          </cell>
        </row>
        <row r="69">
          <cell r="BB69" t="str">
            <v>2013100030  Ret.Previsional Indemnización Ley Nº19170</v>
          </cell>
          <cell r="BC69">
            <v>-146015698</v>
          </cell>
          <cell r="BM69">
            <v>-146015698</v>
          </cell>
        </row>
        <row r="70">
          <cell r="BB70" t="str">
            <v>2013100040  Haberes Por Pagar Indemnización Ley Nº19170</v>
          </cell>
          <cell r="BC70">
            <v>18077525</v>
          </cell>
          <cell r="BM70">
            <v>18077525</v>
          </cell>
        </row>
        <row r="71">
          <cell r="BB71" t="str">
            <v>2013100070  Venta De Activo Fijo Pendiente De Formalizar</v>
          </cell>
          <cell r="BC71">
            <v>-11626163</v>
          </cell>
          <cell r="BM71">
            <v>-11626163</v>
          </cell>
        </row>
        <row r="72">
          <cell r="BB72" t="str">
            <v>2013100080  Garantías En Efectivo Antiguas</v>
          </cell>
          <cell r="BC72">
            <v>-76603411</v>
          </cell>
          <cell r="BM72">
            <v>-76603411</v>
          </cell>
        </row>
        <row r="73">
          <cell r="BB73" t="str">
            <v>2013100091  Dif. Moneda Acreedores C.Plazo</v>
          </cell>
          <cell r="BC73">
            <v>-27601010</v>
          </cell>
          <cell r="BM73">
            <v>-27601010</v>
          </cell>
        </row>
        <row r="74">
          <cell r="BB74" t="str">
            <v>2-1-07-01-10  Garantías En Efectivo Uf</v>
          </cell>
          <cell r="BG74">
            <v>-73554455</v>
          </cell>
          <cell r="BM74">
            <v>-73554455</v>
          </cell>
        </row>
        <row r="75">
          <cell r="BB75" t="str">
            <v>2-1-12-01-01  Afp Por Pagar</v>
          </cell>
          <cell r="BG75">
            <v>-25480781</v>
          </cell>
          <cell r="BM75">
            <v>-25480781</v>
          </cell>
        </row>
        <row r="76">
          <cell r="BB76" t="str">
            <v>2-1-12-01-02  Isapres Por Pagar</v>
          </cell>
          <cell r="BG76">
            <v>-7682663</v>
          </cell>
          <cell r="BM76">
            <v>-7682663</v>
          </cell>
        </row>
        <row r="77">
          <cell r="BB77" t="str">
            <v>2-1-12-01-03  Cotizaciones Fonasa Por Pagar</v>
          </cell>
          <cell r="BG77">
            <v>-4270491</v>
          </cell>
          <cell r="BM77">
            <v>-4270491</v>
          </cell>
        </row>
        <row r="78">
          <cell r="BB78" t="str">
            <v>2-1-12-01-04  Retenciones Fondos De Terceros</v>
          </cell>
          <cell r="BG78">
            <v>-2899989</v>
          </cell>
          <cell r="BM78">
            <v>-2899989</v>
          </cell>
        </row>
        <row r="79">
          <cell r="BB79" t="str">
            <v>2-1-12-01-05  Créditos Sociales (La Araucana)</v>
          </cell>
          <cell r="BG79">
            <v>-11915625</v>
          </cell>
          <cell r="BM79">
            <v>-11915625</v>
          </cell>
        </row>
        <row r="80">
          <cell r="BB80" t="str">
            <v>2-1-12-01-06  Retenciones Judiciales Trabajadores</v>
          </cell>
          <cell r="BG80">
            <v>-530318</v>
          </cell>
          <cell r="BM80">
            <v>-530318</v>
          </cell>
        </row>
        <row r="81">
          <cell r="BB81" t="str">
            <v>2-1-12-02-01  Mutual De Seguridad Por Pagar</v>
          </cell>
          <cell r="BG81">
            <v>-1450944</v>
          </cell>
          <cell r="BM81">
            <v>-1450944</v>
          </cell>
        </row>
        <row r="82">
          <cell r="BB82" t="str">
            <v>2-1-12-02-02  Caja De Compensacion Por  Compensar</v>
          </cell>
          <cell r="BG82">
            <v>-333662</v>
          </cell>
          <cell r="BM82">
            <v>-333662</v>
          </cell>
        </row>
        <row r="83">
          <cell r="BB83" t="str">
            <v>2-1-14-01-01  Ingresos Anticipados Por Pasajes</v>
          </cell>
          <cell r="BG83">
            <v>-459586212</v>
          </cell>
          <cell r="BM83">
            <v>-459586212</v>
          </cell>
        </row>
        <row r="84">
          <cell r="BB84" t="str">
            <v>2-1-14-01-02  Ingresos Anticipados Por Arriendos</v>
          </cell>
          <cell r="BG84">
            <v>-46772753</v>
          </cell>
          <cell r="BM84">
            <v>-46772753</v>
          </cell>
        </row>
        <row r="85">
          <cell r="BB85" t="str">
            <v>2-1-99-01-02  Iva Diferido Por Pagar Cp</v>
          </cell>
          <cell r="BG85">
            <v>-156890106</v>
          </cell>
          <cell r="BM85">
            <v>-156890106</v>
          </cell>
        </row>
        <row r="86">
          <cell r="BB86" t="str">
            <v>2-1-99-01-03  Otros Por Pagar</v>
          </cell>
          <cell r="BG86">
            <v>-1511682</v>
          </cell>
          <cell r="BM86">
            <v>-1511682</v>
          </cell>
        </row>
        <row r="87">
          <cell r="BB87" t="str">
            <v>2111012  Otras Previsiones</v>
          </cell>
          <cell r="BH87">
            <v>3</v>
          </cell>
          <cell r="BM87">
            <v>3</v>
          </cell>
        </row>
        <row r="88">
          <cell r="BB88" t="str">
            <v>2-1-08-01-02  Otros documento por pagar C.P.</v>
          </cell>
          <cell r="BG88">
            <v>-16000000</v>
          </cell>
          <cell r="BM88">
            <v>-16000000</v>
          </cell>
        </row>
        <row r="89">
          <cell r="BB89" t="str">
            <v>2011200020  Ingresos antiipados por Arriendos</v>
          </cell>
          <cell r="BC89">
            <v>-56587425</v>
          </cell>
          <cell r="BM89">
            <v>-56587425</v>
          </cell>
        </row>
        <row r="90">
          <cell r="BB90" t="str">
            <v>2. Pasivos no corrientes</v>
          </cell>
          <cell r="BC90">
            <v>-887586306045</v>
          </cell>
          <cell r="BE90">
            <v>-10306085237</v>
          </cell>
          <cell r="BF90">
            <v>-1252176427</v>
          </cell>
          <cell r="BG90">
            <v>-35451493819</v>
          </cell>
          <cell r="BH90">
            <v>-1760673500</v>
          </cell>
          <cell r="BI90">
            <v>-44429519</v>
          </cell>
          <cell r="BJ90">
            <v>-53770656</v>
          </cell>
          <cell r="BK90">
            <v>56182027819</v>
          </cell>
          <cell r="BL90">
            <v>-1</v>
          </cell>
          <cell r="BM90">
            <v>-880272907385</v>
          </cell>
        </row>
        <row r="91">
          <cell r="BB91" t="str">
            <v>1. Otros Pasivos Financieros, no corrientes</v>
          </cell>
          <cell r="BC91">
            <v>-822946222891</v>
          </cell>
          <cell r="BM91">
            <v>-822946222891</v>
          </cell>
        </row>
        <row r="92">
          <cell r="BB92" t="str">
            <v>2. Otras cuentas por pagar, no corrientes</v>
          </cell>
          <cell r="BC92">
            <v>-44096584793</v>
          </cell>
          <cell r="BH92">
            <v>-8356</v>
          </cell>
          <cell r="BK92">
            <v>4099881081</v>
          </cell>
          <cell r="BM92">
            <v>-39996712068</v>
          </cell>
        </row>
        <row r="93">
          <cell r="BB93" t="str">
            <v>3. Cuentas por Pagar a Entidades Relacionadas, no corrientes</v>
          </cell>
          <cell r="BC93">
            <v>-5097476861</v>
          </cell>
          <cell r="BE93">
            <v>-10306085237</v>
          </cell>
          <cell r="BF93">
            <v>-1252176427</v>
          </cell>
          <cell r="BG93">
            <v>-35318596354</v>
          </cell>
          <cell r="BI93">
            <v>-44429519</v>
          </cell>
          <cell r="BJ93">
            <v>-53770656</v>
          </cell>
          <cell r="BK93">
            <v>52072535055</v>
          </cell>
          <cell r="BL93">
            <v>-1</v>
          </cell>
          <cell r="BM93">
            <v>0</v>
          </cell>
        </row>
        <row r="94">
          <cell r="BB94" t="str">
            <v>4. Otras Provisiones, no corrientes</v>
          </cell>
          <cell r="BC94">
            <v>-733457607</v>
          </cell>
          <cell r="BK94">
            <v>9611683</v>
          </cell>
          <cell r="BM94">
            <v>-723845924</v>
          </cell>
        </row>
        <row r="95">
          <cell r="BB95" t="str">
            <v>5. Pasivo Por Impuestos Diferidos</v>
          </cell>
          <cell r="BH95">
            <v>-1713444349</v>
          </cell>
          <cell r="BM95">
            <v>-1713444349</v>
          </cell>
        </row>
        <row r="96">
          <cell r="BB96" t="str">
            <v>6. Provisiones por Beneficios a los Empleados, no corrientes</v>
          </cell>
          <cell r="BC96">
            <v>-4345890052</v>
          </cell>
          <cell r="BM96">
            <v>-4345890052</v>
          </cell>
        </row>
        <row r="97">
          <cell r="BB97" t="str">
            <v>7. Otros pasivos no financieros, no corrientes</v>
          </cell>
          <cell r="BC97">
            <v>-10366673841</v>
          </cell>
          <cell r="BE97">
            <v>0</v>
          </cell>
          <cell r="BG97">
            <v>-132897465</v>
          </cell>
          <cell r="BH97">
            <v>-47220795</v>
          </cell>
          <cell r="BM97">
            <v>-10546792101</v>
          </cell>
        </row>
        <row r="98">
          <cell r="BB98" t="str">
            <v>3. Patrimonio</v>
          </cell>
          <cell r="BC98">
            <v>59603501231</v>
          </cell>
          <cell r="BD98">
            <v>-217245151</v>
          </cell>
          <cell r="BE98">
            <v>4008016102</v>
          </cell>
          <cell r="BF98">
            <v>-1656838256</v>
          </cell>
          <cell r="BG98">
            <v>-37290963013</v>
          </cell>
          <cell r="BH98">
            <v>-23639679112</v>
          </cell>
          <cell r="BI98">
            <v>40820277</v>
          </cell>
          <cell r="BJ98">
            <v>51145356</v>
          </cell>
          <cell r="BK98">
            <v>144556593649</v>
          </cell>
          <cell r="BL98">
            <v>-85851849852</v>
          </cell>
          <cell r="BM98">
            <v>59603501231</v>
          </cell>
        </row>
        <row r="99">
          <cell r="BB99" t="str">
            <v>1. Capital Emitido</v>
          </cell>
          <cell r="BC99">
            <v>-410777044090</v>
          </cell>
          <cell r="BD99">
            <v>-16130577197</v>
          </cell>
          <cell r="BE99">
            <v>-21731166465</v>
          </cell>
          <cell r="BF99">
            <v>-12755523881</v>
          </cell>
          <cell r="BG99">
            <v>-66360091407</v>
          </cell>
          <cell r="BH99">
            <v>-16071926309</v>
          </cell>
          <cell r="BI99">
            <v>-25233512</v>
          </cell>
          <cell r="BJ99">
            <v>-20641263</v>
          </cell>
          <cell r="BK99">
            <v>133095160034</v>
          </cell>
          <cell r="BM99">
            <v>-410777044090</v>
          </cell>
        </row>
        <row r="100">
          <cell r="BB100" t="str">
            <v>2. Ganancias (Pérdidas) Acumuladas</v>
          </cell>
          <cell r="BC100">
            <v>1378870021490</v>
          </cell>
          <cell r="BD100">
            <v>15588642619</v>
          </cell>
          <cell r="BE100">
            <v>9460473403</v>
          </cell>
          <cell r="BF100">
            <v>8706438591</v>
          </cell>
          <cell r="BG100">
            <v>29876137019</v>
          </cell>
          <cell r="BH100">
            <v>1545893370</v>
          </cell>
          <cell r="BI100">
            <v>66362651</v>
          </cell>
          <cell r="BJ100">
            <v>71651149</v>
          </cell>
          <cell r="BK100">
            <v>1378355643</v>
          </cell>
          <cell r="BL100">
            <v>-66693954445</v>
          </cell>
          <cell r="BM100">
            <v>1378870021490</v>
          </cell>
        </row>
        <row r="101">
          <cell r="BB101" t="str">
            <v>1. Ejercicio</v>
          </cell>
          <cell r="BC101">
            <v>115686567311</v>
          </cell>
          <cell r="BD101">
            <v>3578496460</v>
          </cell>
          <cell r="BE101">
            <v>4183545730</v>
          </cell>
          <cell r="BF101">
            <v>7604480815</v>
          </cell>
          <cell r="BG101">
            <v>2154676876</v>
          </cell>
          <cell r="BH101">
            <v>-214195624</v>
          </cell>
          <cell r="BI101">
            <v>1974939</v>
          </cell>
          <cell r="BJ101">
            <v>1936398</v>
          </cell>
          <cell r="BK101">
            <v>214195624</v>
          </cell>
          <cell r="BL101">
            <v>-17525111218</v>
          </cell>
          <cell r="BM101">
            <v>115686567311</v>
          </cell>
        </row>
        <row r="102">
          <cell r="BB102" t="str">
            <v>2. Acumuladas</v>
          </cell>
          <cell r="BC102">
            <v>1263183454179</v>
          </cell>
          <cell r="BD102">
            <v>12010146159</v>
          </cell>
          <cell r="BE102">
            <v>5276927673</v>
          </cell>
          <cell r="BF102">
            <v>1101957776</v>
          </cell>
          <cell r="BG102">
            <v>27721460143</v>
          </cell>
          <cell r="BH102">
            <v>1760088994</v>
          </cell>
          <cell r="BI102">
            <v>64387712</v>
          </cell>
          <cell r="BJ102">
            <v>69714751</v>
          </cell>
          <cell r="BK102">
            <v>1164160019</v>
          </cell>
          <cell r="BL102">
            <v>-49168843227</v>
          </cell>
          <cell r="BM102">
            <v>1263183454179</v>
          </cell>
        </row>
        <row r="103">
          <cell r="BB103" t="str">
            <v>6. Otras Reservas</v>
          </cell>
          <cell r="BC103">
            <v>-908489476169</v>
          </cell>
          <cell r="BD103">
            <v>324689427</v>
          </cell>
          <cell r="BE103">
            <v>16278709164</v>
          </cell>
          <cell r="BF103">
            <v>2392247034</v>
          </cell>
          <cell r="BG103">
            <v>-807008625</v>
          </cell>
          <cell r="BH103">
            <v>-9113646173</v>
          </cell>
          <cell r="BI103">
            <v>-308862</v>
          </cell>
          <cell r="BJ103">
            <v>135470</v>
          </cell>
          <cell r="BK103">
            <v>10083077972</v>
          </cell>
          <cell r="BL103">
            <v>-19157895407</v>
          </cell>
          <cell r="BM103">
            <v>-908489476169</v>
          </cell>
        </row>
        <row r="104">
          <cell r="BB104">
            <v>0</v>
          </cell>
          <cell r="BC104">
            <v>-908489476169</v>
          </cell>
          <cell r="BD104">
            <v>324689427</v>
          </cell>
          <cell r="BE104">
            <v>16278709164</v>
          </cell>
          <cell r="BF104">
            <v>2392247034</v>
          </cell>
          <cell r="BG104">
            <v>-807008625</v>
          </cell>
          <cell r="BH104">
            <v>-9113646173</v>
          </cell>
          <cell r="BI104">
            <v>-308862</v>
          </cell>
          <cell r="BJ104">
            <v>135470</v>
          </cell>
          <cell r="BK104">
            <v>10083077972</v>
          </cell>
          <cell r="BL104">
            <v>-19157895407</v>
          </cell>
          <cell r="BM104">
            <v>-908489476169</v>
          </cell>
        </row>
        <row r="105">
          <cell r="BB105" t="str">
            <v>2033100010  Reservas Acumuladas</v>
          </cell>
          <cell r="BC105">
            <v>-23241368444</v>
          </cell>
          <cell r="BM105">
            <v>-23241368444</v>
          </cell>
        </row>
        <row r="106">
          <cell r="BB106" t="str">
            <v>2033100020  Reserva Por  Bienes Del Activo Fijo</v>
          </cell>
          <cell r="BC106">
            <v>4495195040</v>
          </cell>
          <cell r="BM106">
            <v>4495195040</v>
          </cell>
        </row>
        <row r="107">
          <cell r="BB107" t="str">
            <v>2033100030  Reserva De Retasación Técnicas  Año 1987</v>
          </cell>
          <cell r="BC107">
            <v>-208288601579</v>
          </cell>
          <cell r="BM107">
            <v>-208288601579</v>
          </cell>
        </row>
        <row r="108">
          <cell r="BB108" t="str">
            <v>2033100040  Reserva De Retasación Técnica Año 1993</v>
          </cell>
          <cell r="BC108">
            <v>616125484701</v>
          </cell>
          <cell r="BM108">
            <v>616125484701</v>
          </cell>
        </row>
        <row r="109">
          <cell r="BB109" t="str">
            <v>2033100050  Reserva Por Diferencia De Material</v>
          </cell>
          <cell r="BC109">
            <v>-16966042422</v>
          </cell>
          <cell r="BM109">
            <v>-16966042422</v>
          </cell>
        </row>
        <row r="110">
          <cell r="BB110" t="str">
            <v>2033100060  Reserva Futuras Capitalizaciones</v>
          </cell>
          <cell r="BC110">
            <v>-1201550328069</v>
          </cell>
          <cell r="BM110">
            <v>-1201550328069</v>
          </cell>
        </row>
        <row r="111">
          <cell r="BB111" t="str">
            <v>2033100080  Sobreprecio Venta De Acciones</v>
          </cell>
          <cell r="BE111">
            <v>-1370394</v>
          </cell>
          <cell r="BF111">
            <v>-154497</v>
          </cell>
          <cell r="BK111">
            <v>1524891</v>
          </cell>
          <cell r="BM111">
            <v>0</v>
          </cell>
        </row>
        <row r="112">
          <cell r="BB112" t="str">
            <v>2033100090  Reserva Futuras Capitalizac.Emp.Portuaria Arica</v>
          </cell>
          <cell r="BC112">
            <v>-3233052775</v>
          </cell>
          <cell r="BM112">
            <v>-3233052775</v>
          </cell>
        </row>
        <row r="113">
          <cell r="BB113" t="str">
            <v>2033100100  Otras Reservas IFRS</v>
          </cell>
          <cell r="BC113">
            <v>-53466523528</v>
          </cell>
          <cell r="BD113">
            <v>324689427</v>
          </cell>
          <cell r="BE113">
            <v>15793205860</v>
          </cell>
          <cell r="BF113">
            <v>2392401531</v>
          </cell>
          <cell r="BL113">
            <v>-18510296818</v>
          </cell>
          <cell r="BM113">
            <v>-53466523528</v>
          </cell>
        </row>
        <row r="114">
          <cell r="BB114" t="str">
            <v>2-3-01-01-04  Otras Reservas ( Niif Otros)</v>
          </cell>
          <cell r="BG114">
            <v>-807008625</v>
          </cell>
          <cell r="BK114">
            <v>807008625</v>
          </cell>
          <cell r="BM114">
            <v>0</v>
          </cell>
        </row>
        <row r="115">
          <cell r="BB115" t="str">
            <v>2033100300  Coberturas de flujos de caja</v>
          </cell>
          <cell r="BC115">
            <v>78686372</v>
          </cell>
          <cell r="BM115">
            <v>78686372</v>
          </cell>
        </row>
        <row r="116">
          <cell r="BB116" t="str">
            <v>2402101  Reserva Revalorización Capital</v>
          </cell>
          <cell r="BH116">
            <v>-378356505</v>
          </cell>
          <cell r="BK116">
            <v>378356505</v>
          </cell>
          <cell r="BM116">
            <v>0</v>
          </cell>
        </row>
        <row r="117">
          <cell r="BB117" t="str">
            <v>2404191  Otras Reservas IFRS (1)</v>
          </cell>
          <cell r="BH117">
            <v>159669771</v>
          </cell>
          <cell r="BL117">
            <v>-159669771</v>
          </cell>
          <cell r="BM117">
            <v>0</v>
          </cell>
        </row>
        <row r="118">
          <cell r="BB118" t="str">
            <v>2404192  Otras Reservas IFRS (2)</v>
          </cell>
          <cell r="BH118">
            <v>-8894959439</v>
          </cell>
          <cell r="BK118">
            <v>8894959439</v>
          </cell>
          <cell r="BM118">
            <v>0</v>
          </cell>
        </row>
        <row r="119">
          <cell r="BB119" t="str">
            <v>3203000000  Sobreprecio Venta De Acciones</v>
          </cell>
          <cell r="BI119">
            <v>-889233</v>
          </cell>
          <cell r="BJ119">
            <v>-339279</v>
          </cell>
          <cell r="BK119">
            <v>1228512</v>
          </cell>
          <cell r="BM119">
            <v>0</v>
          </cell>
        </row>
        <row r="120">
          <cell r="BB120" t="str">
            <v>2033100400  Corrección Monetaria Capital años anteriores</v>
          </cell>
          <cell r="BE120">
            <v>486873698</v>
          </cell>
          <cell r="BL120">
            <v>-486873698</v>
          </cell>
          <cell r="BM120">
            <v>0</v>
          </cell>
        </row>
        <row r="121">
          <cell r="BB121" t="str">
            <v>3102000000  Reserva Revalorización Capital</v>
          </cell>
          <cell r="BI121">
            <v>580371</v>
          </cell>
          <cell r="BJ121">
            <v>474749</v>
          </cell>
          <cell r="BL121">
            <v>-1055120</v>
          </cell>
          <cell r="BM121">
            <v>0</v>
          </cell>
        </row>
        <row r="122">
          <cell r="BB122" t="str">
            <v>2033100110  Reservas Aportes del Estado - Pago Deuda Interna (Bonos)</v>
          </cell>
          <cell r="BC122">
            <v>-14370285349</v>
          </cell>
          <cell r="BM122">
            <v>-14370285349</v>
          </cell>
        </row>
        <row r="123">
          <cell r="BB123" t="str">
            <v>2033100130  Reservas Aportes del Estado Pago Impuestos</v>
          </cell>
          <cell r="BC123">
            <v>-2412640116</v>
          </cell>
          <cell r="BM123">
            <v>-2412640116</v>
          </cell>
        </row>
        <row r="124">
          <cell r="BB124" t="str">
            <v>2033100900  Reservas Aportes del Estado Otros</v>
          </cell>
          <cell r="BC124">
            <v>-5660000000</v>
          </cell>
          <cell r="BM124">
            <v>-5660000000</v>
          </cell>
        </row>
        <row r="125">
          <cell r="BB125" t="str">
            <v>4. Interés Minoritario</v>
          </cell>
          <cell r="BK125">
            <v>205337</v>
          </cell>
          <cell r="BL125">
            <v>-149657</v>
          </cell>
          <cell r="BM125">
            <v>55680</v>
          </cell>
        </row>
        <row r="126">
          <cell r="BB126" t="str">
            <v>1. Participaciones no controladoras</v>
          </cell>
          <cell r="BK126">
            <v>205337</v>
          </cell>
          <cell r="BL126">
            <v>-149657</v>
          </cell>
          <cell r="BM126">
            <v>55680</v>
          </cell>
        </row>
        <row r="127">
          <cell r="BB127" t="str">
            <v>BALANCE CONS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231539097852</v>
          </cell>
          <cell r="BL127">
            <v>-231539097852</v>
          </cell>
          <cell r="BM127">
            <v>0</v>
          </cell>
        </row>
      </sheetData>
      <sheetData sheetId="8">
        <row r="1">
          <cell r="B1" t="str">
            <v>E.F.E.</v>
          </cell>
        </row>
      </sheetData>
      <sheetData sheetId="9"/>
      <sheetData sheetId="10"/>
      <sheetData sheetId="11"/>
      <sheetData sheetId="12">
        <row r="1">
          <cell r="C1" t="str">
            <v>I   T</v>
          </cell>
        </row>
      </sheetData>
      <sheetData sheetId="13">
        <row r="1">
          <cell r="B1" t="str">
            <v>E.F.E.</v>
          </cell>
        </row>
      </sheetData>
      <sheetData sheetId="14">
        <row r="1">
          <cell r="B1" t="str">
            <v>E.F.E.</v>
          </cell>
        </row>
      </sheetData>
      <sheetData sheetId="15">
        <row r="1">
          <cell r="C1" t="str">
            <v>filial concepto</v>
          </cell>
        </row>
        <row r="36">
          <cell r="AS36" t="str">
            <v>Conceptos</v>
          </cell>
          <cell r="AT36" t="str">
            <v>I   T 2011</v>
          </cell>
          <cell r="AU36" t="str">
            <v>II  T 2011</v>
          </cell>
          <cell r="AV36" t="str">
            <v>III T 2011</v>
          </cell>
          <cell r="AW36" t="str">
            <v>IV  T 2011</v>
          </cell>
          <cell r="AX36" t="str">
            <v>Total</v>
          </cell>
          <cell r="AY36" t="str">
            <v>I   T 2010</v>
          </cell>
          <cell r="AZ36" t="str">
            <v>II  T 2010</v>
          </cell>
          <cell r="BA36" t="str">
            <v>III T 2010</v>
          </cell>
          <cell r="BB36" t="str">
            <v>IV  T 2010</v>
          </cell>
          <cell r="BC36" t="str">
            <v>Total</v>
          </cell>
        </row>
        <row r="37">
          <cell r="AT37" t="str">
            <v>M$</v>
          </cell>
          <cell r="AU37" t="str">
            <v>M$</v>
          </cell>
          <cell r="AV37" t="str">
            <v>M$</v>
          </cell>
          <cell r="AW37" t="str">
            <v>M$</v>
          </cell>
          <cell r="AX37" t="str">
            <v>M$</v>
          </cell>
          <cell r="AY37" t="str">
            <v>M$</v>
          </cell>
          <cell r="AZ37" t="str">
            <v>M$</v>
          </cell>
          <cell r="BA37" t="str">
            <v>M$</v>
          </cell>
          <cell r="BB37" t="str">
            <v>M$</v>
          </cell>
          <cell r="BC37" t="str">
            <v>M$</v>
          </cell>
        </row>
        <row r="39">
          <cell r="AS39" t="str">
            <v>Inmobiliaria Nueva Vía S.A.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0">
          <cell r="AS40" t="str">
            <v>Metro Regional de Valparaíso S.A.</v>
          </cell>
          <cell r="AT40">
            <v>-473218977</v>
          </cell>
          <cell r="AU40">
            <v>-577694422</v>
          </cell>
          <cell r="AV40">
            <v>-530117831</v>
          </cell>
          <cell r="AW40">
            <v>-581549420</v>
          </cell>
          <cell r="AX40">
            <v>-2162580650</v>
          </cell>
          <cell r="AY40">
            <v>0</v>
          </cell>
          <cell r="AZ40">
            <v>-476618370</v>
          </cell>
          <cell r="BA40">
            <v>-449402529</v>
          </cell>
          <cell r="BB40">
            <v>-482555987</v>
          </cell>
          <cell r="BC40">
            <v>-1408576886</v>
          </cell>
        </row>
        <row r="41">
          <cell r="AS41" t="str">
            <v>Ferrocarriles Suburbanos de Concepción S.A.</v>
          </cell>
          <cell r="AT41">
            <v>-16648967</v>
          </cell>
          <cell r="AU41">
            <v>-17662247</v>
          </cell>
          <cell r="AV41">
            <v>-275858264</v>
          </cell>
          <cell r="AW41">
            <v>-416990364</v>
          </cell>
          <cell r="AX41">
            <v>-727159842</v>
          </cell>
          <cell r="AY41">
            <v>0</v>
          </cell>
          <cell r="AZ41">
            <v>0</v>
          </cell>
          <cell r="BA41">
            <v>0</v>
          </cell>
          <cell r="BB41">
            <v>-40101431</v>
          </cell>
          <cell r="BC41">
            <v>-40101431</v>
          </cell>
        </row>
        <row r="42">
          <cell r="AS42" t="str">
            <v>Ferrocarriles del Sur S.A.</v>
          </cell>
          <cell r="AT42">
            <v>-88080000</v>
          </cell>
          <cell r="AU42">
            <v>-86980000</v>
          </cell>
          <cell r="AV42">
            <v>-91021000</v>
          </cell>
          <cell r="AW42">
            <v>-90000000</v>
          </cell>
          <cell r="AX42">
            <v>-356081000</v>
          </cell>
          <cell r="AY42">
            <v>-59386667</v>
          </cell>
          <cell r="AZ42">
            <v>-22981795</v>
          </cell>
          <cell r="BA42">
            <v>-45670618</v>
          </cell>
          <cell r="BB42">
            <v>-115030793</v>
          </cell>
          <cell r="BC42">
            <v>-243069873</v>
          </cell>
        </row>
        <row r="43">
          <cell r="AS43" t="str">
            <v>Trenes Metropolitanos S.A.</v>
          </cell>
          <cell r="AT43">
            <v>-114619335</v>
          </cell>
          <cell r="AU43">
            <v>-97958691</v>
          </cell>
          <cell r="AV43">
            <v>-112045025</v>
          </cell>
          <cell r="AW43">
            <v>-115709064</v>
          </cell>
          <cell r="AX43">
            <v>-440332115</v>
          </cell>
          <cell r="AY43">
            <v>-8526344</v>
          </cell>
          <cell r="AZ43">
            <v>-99270921</v>
          </cell>
          <cell r="BA43">
            <v>-118043879</v>
          </cell>
          <cell r="BB43">
            <v>-45138407</v>
          </cell>
          <cell r="BC43">
            <v>-270979551</v>
          </cell>
        </row>
        <row r="44">
          <cell r="AS44" t="str">
            <v>Ferrocarril de Arica a La Paz S.A.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</row>
        <row r="45">
          <cell r="AS45" t="str">
            <v>Infraestructura y Tráfico Ferroviario S.A.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</row>
        <row r="47">
          <cell r="AS47" t="str">
            <v>Totales</v>
          </cell>
          <cell r="AT47">
            <v>-692567279</v>
          </cell>
          <cell r="AU47">
            <v>-780295360</v>
          </cell>
          <cell r="AV47">
            <v>-1009042120</v>
          </cell>
          <cell r="AW47">
            <v>-1204248848</v>
          </cell>
          <cell r="AX47">
            <v>-3686153607</v>
          </cell>
          <cell r="AY47">
            <v>-67913011</v>
          </cell>
          <cell r="AZ47">
            <v>-598871086</v>
          </cell>
          <cell r="BA47">
            <v>-613117026</v>
          </cell>
          <cell r="BB47">
            <v>-682826618</v>
          </cell>
          <cell r="BC47">
            <v>-1962727741</v>
          </cell>
        </row>
      </sheetData>
      <sheetData sheetId="16"/>
      <sheetData sheetId="17">
        <row r="1">
          <cell r="B1" t="str">
            <v>E.F.E.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>
        <row r="8">
          <cell r="F8" t="str">
            <v xml:space="preserve">  </v>
          </cell>
        </row>
      </sheetData>
      <sheetData sheetId="26">
        <row r="4">
          <cell r="T4" t="str">
            <v>Otras asociadas</v>
          </cell>
        </row>
      </sheetData>
      <sheetData sheetId="27">
        <row r="5">
          <cell r="M5" t="str">
            <v>Total</v>
          </cell>
        </row>
      </sheetData>
      <sheetData sheetId="28">
        <row r="5">
          <cell r="K5" t="str">
            <v>ene.</v>
          </cell>
          <cell r="L5" t="str">
            <v>feb.</v>
          </cell>
          <cell r="M5" t="str">
            <v>mar.</v>
          </cell>
          <cell r="N5" t="str">
            <v>abr.</v>
          </cell>
          <cell r="O5" t="str">
            <v>may.</v>
          </cell>
          <cell r="P5" t="str">
            <v>jun.</v>
          </cell>
          <cell r="Q5" t="str">
            <v>jul.</v>
          </cell>
          <cell r="R5" t="str">
            <v>ago.</v>
          </cell>
          <cell r="S5" t="str">
            <v>sep.</v>
          </cell>
          <cell r="T5" t="str">
            <v>oct.</v>
          </cell>
          <cell r="U5" t="str">
            <v>nov.</v>
          </cell>
          <cell r="V5" t="str">
            <v>dic.</v>
          </cell>
        </row>
        <row r="6">
          <cell r="K6" t="str">
            <v>$</v>
          </cell>
          <cell r="L6" t="str">
            <v>$</v>
          </cell>
          <cell r="M6" t="str">
            <v>$</v>
          </cell>
          <cell r="N6" t="str">
            <v>$</v>
          </cell>
          <cell r="O6" t="str">
            <v>$</v>
          </cell>
          <cell r="P6" t="str">
            <v>$</v>
          </cell>
          <cell r="Q6" t="str">
            <v>$</v>
          </cell>
          <cell r="R6" t="str">
            <v>$</v>
          </cell>
          <cell r="S6" t="str">
            <v>$</v>
          </cell>
          <cell r="T6" t="str">
            <v>$</v>
          </cell>
          <cell r="U6" t="str">
            <v>$</v>
          </cell>
          <cell r="V6" t="str">
            <v>$</v>
          </cell>
        </row>
        <row r="7">
          <cell r="K7" t="str">
            <v>K</v>
          </cell>
          <cell r="L7" t="str">
            <v>L</v>
          </cell>
          <cell r="M7" t="str">
            <v>M</v>
          </cell>
          <cell r="N7" t="str">
            <v>N</v>
          </cell>
          <cell r="O7" t="str">
            <v>O</v>
          </cell>
          <cell r="P7" t="str">
            <v>P</v>
          </cell>
          <cell r="Q7" t="str">
            <v>Q</v>
          </cell>
          <cell r="R7" t="str">
            <v>R</v>
          </cell>
          <cell r="S7" t="str">
            <v>S</v>
          </cell>
          <cell r="T7" t="str">
            <v>T</v>
          </cell>
          <cell r="U7" t="str">
            <v>U</v>
          </cell>
          <cell r="V7" t="str">
            <v>V</v>
          </cell>
        </row>
      </sheetData>
      <sheetData sheetId="29"/>
      <sheetData sheetId="30">
        <row r="7">
          <cell r="B7" t="str">
            <v>Tipo</v>
          </cell>
        </row>
      </sheetData>
      <sheetData sheetId="31"/>
      <sheetData sheetId="32"/>
      <sheetData sheetId="33"/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e."/>
      <sheetName val="estres"/>
      <sheetName val="Patrimonio"/>
      <sheetName val="Hoja3"/>
      <sheetName val="B&amp;R 2009 (2)"/>
      <sheetName val="B&amp;R 2009"/>
      <sheetName val="BT 2009"/>
      <sheetName val="Base 2009"/>
      <sheetName val="Ingr_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 t="str">
            <v>Código</v>
          </cell>
          <cell r="C2" t="str">
            <v>Estado</v>
          </cell>
          <cell r="D2" t="str">
            <v>Rubro</v>
          </cell>
          <cell r="E2" t="str">
            <v>Columna</v>
          </cell>
          <cell r="L2" t="str">
            <v>Centro Costo</v>
          </cell>
          <cell r="M2" t="str">
            <v>Colegio</v>
          </cell>
        </row>
        <row r="3">
          <cell r="B3" t="str">
            <v>1</v>
          </cell>
          <cell r="C3" t="str">
            <v>Balance</v>
          </cell>
          <cell r="D3" t="str">
            <v>1. Activo</v>
          </cell>
          <cell r="E3">
            <v>3</v>
          </cell>
          <cell r="F3">
            <v>6</v>
          </cell>
          <cell r="L3" t="str">
            <v>001</v>
          </cell>
          <cell r="M3" t="str">
            <v>01 La Granja</v>
          </cell>
        </row>
        <row r="4">
          <cell r="B4" t="str">
            <v>2</v>
          </cell>
          <cell r="C4" t="str">
            <v>Balance</v>
          </cell>
          <cell r="D4" t="str">
            <v>2. Pasivo</v>
          </cell>
          <cell r="E4">
            <v>3</v>
          </cell>
          <cell r="F4">
            <v>6</v>
          </cell>
          <cell r="L4" t="str">
            <v>002</v>
          </cell>
          <cell r="M4" t="str">
            <v>02 El Bosque</v>
          </cell>
        </row>
        <row r="5">
          <cell r="B5" t="str">
            <v>3</v>
          </cell>
          <cell r="C5" t="str">
            <v>Balance</v>
          </cell>
          <cell r="D5" t="str">
            <v>3. Patrimonio</v>
          </cell>
          <cell r="E5">
            <v>3</v>
          </cell>
          <cell r="F5">
            <v>13</v>
          </cell>
          <cell r="G5">
            <v>6</v>
          </cell>
          <cell r="L5" t="str">
            <v>003</v>
          </cell>
          <cell r="M5" t="str">
            <v>03 Lo Prado</v>
          </cell>
        </row>
        <row r="6">
          <cell r="B6" t="str">
            <v>4</v>
          </cell>
          <cell r="C6" t="str">
            <v>Resulado</v>
          </cell>
          <cell r="D6" t="str">
            <v>4. Operacional</v>
          </cell>
          <cell r="E6">
            <v>13</v>
          </cell>
          <cell r="F6">
            <v>13</v>
          </cell>
          <cell r="L6" t="str">
            <v>004</v>
          </cell>
          <cell r="M6" t="str">
            <v>04 La Florida</v>
          </cell>
        </row>
        <row r="7">
          <cell r="B7" t="str">
            <v>5</v>
          </cell>
          <cell r="C7" t="str">
            <v>Resulado</v>
          </cell>
          <cell r="D7" t="str">
            <v>4. Operacional</v>
          </cell>
          <cell r="E7">
            <v>13</v>
          </cell>
          <cell r="F7">
            <v>13</v>
          </cell>
          <cell r="L7" t="str">
            <v>005</v>
          </cell>
          <cell r="M7" t="str">
            <v>05 Pudahuel</v>
          </cell>
        </row>
        <row r="8">
          <cell r="B8" t="str">
            <v>4-1-02</v>
          </cell>
          <cell r="C8" t="str">
            <v>Resulado</v>
          </cell>
          <cell r="D8" t="str">
            <v>5. No Operacional</v>
          </cell>
          <cell r="E8">
            <v>13</v>
          </cell>
          <cell r="F8">
            <v>13</v>
          </cell>
          <cell r="L8" t="str">
            <v>006</v>
          </cell>
          <cell r="M8" t="str">
            <v>06 Quilicura</v>
          </cell>
        </row>
        <row r="9">
          <cell r="B9" t="str">
            <v>5-2</v>
          </cell>
          <cell r="C9" t="str">
            <v>Resulado</v>
          </cell>
          <cell r="D9" t="str">
            <v>5. No Operacional</v>
          </cell>
          <cell r="E9">
            <v>13</v>
          </cell>
          <cell r="F9">
            <v>13</v>
          </cell>
          <cell r="L9" t="str">
            <v>007</v>
          </cell>
          <cell r="M9" t="str">
            <v>07 Lampa</v>
          </cell>
        </row>
        <row r="10">
          <cell r="B10" t="str">
            <v>6</v>
          </cell>
          <cell r="C10" t="str">
            <v>Resulado</v>
          </cell>
          <cell r="D10" t="str">
            <v>6. Orden</v>
          </cell>
          <cell r="E10">
            <v>13</v>
          </cell>
          <cell r="F10">
            <v>13</v>
          </cell>
          <cell r="L10" t="str">
            <v>008</v>
          </cell>
          <cell r="M10" t="str">
            <v>08 Quilicura</v>
          </cell>
        </row>
        <row r="11">
          <cell r="L11" t="str">
            <v>010</v>
          </cell>
          <cell r="M11" t="str">
            <v>10 San Bernardo</v>
          </cell>
        </row>
        <row r="12">
          <cell r="B12" t="str">
            <v>1-1</v>
          </cell>
          <cell r="E12" t="str">
            <v>1. Activo Circulante</v>
          </cell>
          <cell r="L12" t="str">
            <v>021</v>
          </cell>
          <cell r="M12" t="str">
            <v>21 Central</v>
          </cell>
        </row>
        <row r="13">
          <cell r="B13" t="str">
            <v>1-2</v>
          </cell>
          <cell r="E13" t="str">
            <v>2. Activo Fijo</v>
          </cell>
        </row>
        <row r="14">
          <cell r="B14" t="str">
            <v>1-3</v>
          </cell>
          <cell r="E14" t="str">
            <v>3. Otros Activos</v>
          </cell>
        </row>
        <row r="15">
          <cell r="B15" t="str">
            <v>2-1</v>
          </cell>
          <cell r="E15" t="str">
            <v>1. Pasivo Crculante</v>
          </cell>
        </row>
        <row r="16">
          <cell r="B16" t="str">
            <v>2-2</v>
          </cell>
          <cell r="E16" t="str">
            <v>2. Pasivo Largo Plazo</v>
          </cell>
        </row>
        <row r="17">
          <cell r="B17" t="str">
            <v>2-3</v>
          </cell>
          <cell r="E17" t="str">
            <v>3. Interés Minoritario</v>
          </cell>
          <cell r="L17" t="str">
            <v>D_C</v>
          </cell>
        </row>
        <row r="18">
          <cell r="B18" t="str">
            <v>3-3</v>
          </cell>
          <cell r="E18" t="str">
            <v>1. Patrimonio</v>
          </cell>
          <cell r="L18" t="str">
            <v>1</v>
          </cell>
          <cell r="M18" t="str">
            <v>Débitos</v>
          </cell>
        </row>
        <row r="19">
          <cell r="L19" t="str">
            <v>2</v>
          </cell>
          <cell r="M19" t="str">
            <v>Créditos</v>
          </cell>
        </row>
        <row r="20">
          <cell r="B20" t="str">
            <v>1-1-01</v>
          </cell>
          <cell r="F20" t="str">
            <v>1. Disponible</v>
          </cell>
          <cell r="L20" t="str">
            <v>3</v>
          </cell>
          <cell r="M20" t="str">
            <v>Créditos</v>
          </cell>
        </row>
        <row r="21">
          <cell r="B21" t="str">
            <v>1-1-02</v>
          </cell>
          <cell r="F21" t="str">
            <v>2. Depósitos a Plazo</v>
          </cell>
          <cell r="L21" t="str">
            <v>4</v>
          </cell>
          <cell r="M21" t="str">
            <v>Ingresos</v>
          </cell>
        </row>
        <row r="22">
          <cell r="B22" t="str">
            <v>1-1-03</v>
          </cell>
          <cell r="F22" t="str">
            <v>3. Valores Negociables</v>
          </cell>
          <cell r="L22" t="str">
            <v>5</v>
          </cell>
          <cell r="M22" t="str">
            <v>Gastos</v>
          </cell>
        </row>
        <row r="23">
          <cell r="B23" t="str">
            <v>1-1-04</v>
          </cell>
          <cell r="F23" t="str">
            <v>4. Deudores por Venta</v>
          </cell>
          <cell r="L23" t="str">
            <v>6</v>
          </cell>
          <cell r="M23" t="str">
            <v>Orden</v>
          </cell>
        </row>
        <row r="24">
          <cell r="B24" t="str">
            <v>1-1-05</v>
          </cell>
          <cell r="F24" t="str">
            <v>5. Documentos por Cobrar</v>
          </cell>
        </row>
        <row r="25">
          <cell r="B25" t="str">
            <v>1-1-06</v>
          </cell>
          <cell r="F25" t="str">
            <v>6. Deudores Varios</v>
          </cell>
        </row>
        <row r="26">
          <cell r="B26" t="str">
            <v>1-1-07</v>
          </cell>
          <cell r="F26" t="str">
            <v>7. Doctos. y Ctas. por cobrar Emp. Relacionadas</v>
          </cell>
        </row>
        <row r="27">
          <cell r="B27" t="str">
            <v>1-1-08</v>
          </cell>
          <cell r="F27" t="str">
            <v>8. Existencias</v>
          </cell>
        </row>
        <row r="28">
          <cell r="B28" t="str">
            <v>1-1-09</v>
          </cell>
          <cell r="F28" t="str">
            <v>9. Impuestos por Recuperar</v>
          </cell>
        </row>
        <row r="29">
          <cell r="B29" t="str">
            <v>1-1-10</v>
          </cell>
          <cell r="F29" t="str">
            <v>10. Gastos Pagados por Anticipado</v>
          </cell>
        </row>
        <row r="30">
          <cell r="B30" t="str">
            <v>1-1-11</v>
          </cell>
          <cell r="F30" t="str">
            <v>11. Impuestos Diferidos</v>
          </cell>
        </row>
        <row r="31">
          <cell r="B31" t="str">
            <v>1-1-12</v>
          </cell>
          <cell r="F31" t="str">
            <v>12. Otros Activos Circulante</v>
          </cell>
        </row>
        <row r="32">
          <cell r="B32" t="str">
            <v>1-1-13</v>
          </cell>
          <cell r="F32" t="str">
            <v>13. Contratos de Leasing</v>
          </cell>
        </row>
        <row r="33">
          <cell r="B33" t="str">
            <v>1-1-14</v>
          </cell>
          <cell r="F33" t="str">
            <v>14. Activos para Leasing</v>
          </cell>
        </row>
        <row r="34">
          <cell r="B34" t="str">
            <v>1-1-90</v>
          </cell>
          <cell r="F34" t="str">
            <v>90. Otros Activos Circulantes</v>
          </cell>
        </row>
        <row r="35">
          <cell r="B35" t="str">
            <v>1-2-01</v>
          </cell>
          <cell r="F35" t="str">
            <v>1. Terrenos</v>
          </cell>
        </row>
        <row r="36">
          <cell r="B36" t="str">
            <v>1-2-02</v>
          </cell>
          <cell r="F36" t="str">
            <v>2. Const. y Obras de Infraestructura</v>
          </cell>
        </row>
        <row r="37">
          <cell r="B37" t="str">
            <v>1-2-03</v>
          </cell>
          <cell r="F37" t="str">
            <v>3. Maquinarias y Equipos</v>
          </cell>
        </row>
        <row r="38">
          <cell r="B38" t="str">
            <v>1-2-04</v>
          </cell>
          <cell r="F38" t="str">
            <v>4. Activos Agicolas</v>
          </cell>
        </row>
        <row r="39">
          <cell r="B39" t="str">
            <v>1-2-05</v>
          </cell>
          <cell r="F39" t="str">
            <v>5. Otros Activos Fijos</v>
          </cell>
        </row>
        <row r="40">
          <cell r="B40" t="str">
            <v>1-2-06</v>
          </cell>
          <cell r="F40" t="str">
            <v>6. Mayor Valor Ret. Técnica</v>
          </cell>
        </row>
        <row r="41">
          <cell r="B41" t="str">
            <v>1-2-07</v>
          </cell>
          <cell r="F41" t="str">
            <v>7. Depreciación</v>
          </cell>
        </row>
        <row r="42">
          <cell r="B42" t="str">
            <v>1-3-01</v>
          </cell>
          <cell r="F42" t="str">
            <v>1. Inversiones en Emp. Relacionadas</v>
          </cell>
        </row>
        <row r="43">
          <cell r="B43" t="str">
            <v>1-3-02</v>
          </cell>
          <cell r="F43" t="str">
            <v>2. Inversiones en Otras Sociedades</v>
          </cell>
        </row>
        <row r="44">
          <cell r="B44" t="str">
            <v>1-3-03</v>
          </cell>
          <cell r="F44" t="str">
            <v>3. Menor Valor Inversiones</v>
          </cell>
        </row>
        <row r="45">
          <cell r="B45" t="str">
            <v>1-3-04</v>
          </cell>
          <cell r="F45" t="str">
            <v>4. Mayor Valor Inversiones</v>
          </cell>
        </row>
        <row r="46">
          <cell r="B46" t="str">
            <v>1-3-05</v>
          </cell>
          <cell r="F46" t="str">
            <v>5. Deudores a Largo Plazo</v>
          </cell>
        </row>
        <row r="47">
          <cell r="B47" t="str">
            <v>1-3-06</v>
          </cell>
          <cell r="F47" t="str">
            <v>6. Doctos. y Ctas. por Cobrar Emp. Relacionadas</v>
          </cell>
        </row>
        <row r="48">
          <cell r="B48" t="str">
            <v>1-3-07</v>
          </cell>
          <cell r="F48" t="str">
            <v>7. Impuestos Diferidos Largo Plazo</v>
          </cell>
        </row>
        <row r="49">
          <cell r="B49" t="str">
            <v>1-3-08</v>
          </cell>
          <cell r="F49" t="str">
            <v>8. Intangibles</v>
          </cell>
        </row>
        <row r="50">
          <cell r="B50" t="str">
            <v>1-3-09</v>
          </cell>
          <cell r="F50" t="str">
            <v>9. Amortización Intagibles</v>
          </cell>
        </row>
        <row r="51">
          <cell r="B51" t="str">
            <v>1-3-10</v>
          </cell>
          <cell r="F51" t="str">
            <v>10. Otros</v>
          </cell>
        </row>
        <row r="52">
          <cell r="B52" t="str">
            <v>2-1-01</v>
          </cell>
          <cell r="F52" t="str">
            <v>1. Oblig. con Bancos e Instit. Financieras</v>
          </cell>
        </row>
        <row r="53">
          <cell r="B53" t="str">
            <v>2-1-02</v>
          </cell>
          <cell r="F53" t="str">
            <v>2. Oblig. con Bancos e Instit. Financ. Porción C.P.</v>
          </cell>
        </row>
        <row r="54">
          <cell r="B54" t="str">
            <v>2-1-03</v>
          </cell>
          <cell r="F54" t="str">
            <v>3. Oblig. con el Público</v>
          </cell>
        </row>
        <row r="55">
          <cell r="B55" t="str">
            <v>2-1-04</v>
          </cell>
          <cell r="F55" t="str">
            <v>4. Oblig. con el Público Porción C.P.</v>
          </cell>
        </row>
        <row r="56">
          <cell r="B56" t="str">
            <v>2-1-05</v>
          </cell>
          <cell r="F56" t="str">
            <v>5. Oblig. L.P. con venc. Dentro de un año</v>
          </cell>
        </row>
        <row r="57">
          <cell r="B57" t="str">
            <v>2-1-06</v>
          </cell>
          <cell r="F57" t="str">
            <v>6. Dividendos por Pagar</v>
          </cell>
        </row>
        <row r="58">
          <cell r="B58" t="str">
            <v>2-1-07</v>
          </cell>
          <cell r="F58" t="str">
            <v>7. Cuentas por Pagar</v>
          </cell>
        </row>
        <row r="59">
          <cell r="B59" t="str">
            <v>2-1-08</v>
          </cell>
          <cell r="F59" t="str">
            <v>8. Documentos por Pagar</v>
          </cell>
        </row>
        <row r="60">
          <cell r="B60" t="str">
            <v>2-1-09</v>
          </cell>
          <cell r="F60" t="str">
            <v>9. Acreedores Varios</v>
          </cell>
        </row>
        <row r="61">
          <cell r="B61" t="str">
            <v>2-1-10</v>
          </cell>
          <cell r="F61" t="str">
            <v>10. Doctos. y Ctas. por Pagar Emp. Relacionadas</v>
          </cell>
        </row>
        <row r="62">
          <cell r="B62" t="str">
            <v>2-1-11</v>
          </cell>
          <cell r="F62" t="str">
            <v>11. Provisiones</v>
          </cell>
        </row>
        <row r="63">
          <cell r="B63" t="str">
            <v>2-1-12</v>
          </cell>
          <cell r="F63" t="str">
            <v>12. Retenciones</v>
          </cell>
        </row>
        <row r="64">
          <cell r="B64" t="str">
            <v>2-1-13</v>
          </cell>
          <cell r="F64" t="str">
            <v>13. Im pto. a la renta</v>
          </cell>
        </row>
        <row r="65">
          <cell r="B65" t="str">
            <v>2-1-14</v>
          </cell>
          <cell r="F65" t="str">
            <v>14. Ingresos Percibidos por Adelantado</v>
          </cell>
        </row>
        <row r="66">
          <cell r="B66" t="str">
            <v>2-1-15</v>
          </cell>
          <cell r="F66" t="str">
            <v>15. Ingresos Diferidos</v>
          </cell>
        </row>
        <row r="67">
          <cell r="B67" t="str">
            <v>2-1-16</v>
          </cell>
          <cell r="F67" t="str">
            <v>16. Otros Pasivos Circulantes</v>
          </cell>
        </row>
        <row r="68">
          <cell r="B68" t="str">
            <v>2-2-01</v>
          </cell>
          <cell r="F68" t="str">
            <v>1. Oblig. con Bcos. e Inst. Financieras Largo Plazo</v>
          </cell>
        </row>
        <row r="69">
          <cell r="B69" t="str">
            <v>2-2-02</v>
          </cell>
          <cell r="F69" t="str">
            <v>2. Oblig. con el Público L.P.</v>
          </cell>
        </row>
        <row r="70">
          <cell r="B70" t="str">
            <v>2-2-03</v>
          </cell>
          <cell r="F70" t="str">
            <v>3. Doctos . por Pagar L.P.</v>
          </cell>
        </row>
        <row r="71">
          <cell r="B71" t="str">
            <v>2-2-04</v>
          </cell>
          <cell r="F71" t="str">
            <v>4. Acreedores Varios L.P.</v>
          </cell>
        </row>
        <row r="72">
          <cell r="B72" t="str">
            <v>2-2-05</v>
          </cell>
          <cell r="F72" t="str">
            <v>5. Doctos. y Ctas. por Pagar Emp. Relacionadas L.P.</v>
          </cell>
        </row>
        <row r="73">
          <cell r="B73" t="str">
            <v>2-2-06</v>
          </cell>
          <cell r="F73" t="str">
            <v>6. Provisiones L.P.</v>
          </cell>
        </row>
        <row r="74">
          <cell r="B74" t="str">
            <v>2-2-07</v>
          </cell>
          <cell r="F74" t="str">
            <v>7. Impuestos Diferidos L.P.</v>
          </cell>
        </row>
        <row r="75">
          <cell r="B75" t="str">
            <v>2-2-08</v>
          </cell>
          <cell r="F75" t="str">
            <v>8. Otros Pasivos L.P.</v>
          </cell>
        </row>
        <row r="76">
          <cell r="B76" t="str">
            <v>2-2-09</v>
          </cell>
          <cell r="F76" t="str">
            <v xml:space="preserve">9. </v>
          </cell>
        </row>
        <row r="77">
          <cell r="B77" t="str">
            <v>2-2-10</v>
          </cell>
          <cell r="F77" t="str">
            <v xml:space="preserve">10. </v>
          </cell>
        </row>
        <row r="78">
          <cell r="B78" t="str">
            <v>2-2-11</v>
          </cell>
          <cell r="F78" t="str">
            <v xml:space="preserve">11. </v>
          </cell>
        </row>
        <row r="79">
          <cell r="B79" t="str">
            <v>2-2-12</v>
          </cell>
          <cell r="F79" t="str">
            <v xml:space="preserve">12. </v>
          </cell>
        </row>
        <row r="80">
          <cell r="B80" t="str">
            <v>2-2-13</v>
          </cell>
          <cell r="F80" t="str">
            <v xml:space="preserve">13. </v>
          </cell>
        </row>
        <row r="81">
          <cell r="B81" t="str">
            <v>2-2-14</v>
          </cell>
          <cell r="F81" t="str">
            <v xml:space="preserve">14. </v>
          </cell>
        </row>
        <row r="82">
          <cell r="B82" t="str">
            <v>2-2-15</v>
          </cell>
          <cell r="F82" t="str">
            <v xml:space="preserve">15. </v>
          </cell>
        </row>
        <row r="83">
          <cell r="B83" t="str">
            <v>2-2-16</v>
          </cell>
          <cell r="F83" t="str">
            <v xml:space="preserve">16. </v>
          </cell>
        </row>
        <row r="84">
          <cell r="B84" t="str">
            <v>2-3-0</v>
          </cell>
          <cell r="F84" t="str">
            <v>1. Interés Minoritario</v>
          </cell>
        </row>
        <row r="85">
          <cell r="B85" t="str">
            <v>3-3-01-01-001</v>
          </cell>
          <cell r="F85" t="str">
            <v>1. Capital Pagado</v>
          </cell>
        </row>
        <row r="86">
          <cell r="B86" t="str">
            <v>3-3-02-01-001</v>
          </cell>
          <cell r="F86" t="str">
            <v>2. Reserva revalorización capital</v>
          </cell>
        </row>
        <row r="87">
          <cell r="B87" t="str">
            <v>3-3-03-01-001</v>
          </cell>
          <cell r="F87" t="str">
            <v>3. Sobreprecio Venta de Acciones Propias</v>
          </cell>
        </row>
        <row r="88">
          <cell r="B88" t="str">
            <v>3-3-04-01-001</v>
          </cell>
          <cell r="F88" t="str">
            <v>4. Otras Reservas</v>
          </cell>
        </row>
        <row r="89">
          <cell r="B89" t="str">
            <v>3-3-05-01-002</v>
          </cell>
          <cell r="F89" t="str">
            <v>5. Utilidad (Pérdida) Acumulada</v>
          </cell>
        </row>
        <row r="90">
          <cell r="B90" t="str">
            <v>3-3-05-01-003</v>
          </cell>
          <cell r="F90" t="str">
            <v>5. Utilidad (Pérdida) Acumulada</v>
          </cell>
        </row>
        <row r="91">
          <cell r="B91" t="str">
            <v>3-3-05-01-004</v>
          </cell>
          <cell r="F91" t="str">
            <v>6. Utilidad (Pérdida) del Ejercicio</v>
          </cell>
        </row>
        <row r="92">
          <cell r="B92" t="str">
            <v>3-3-05-01-005</v>
          </cell>
          <cell r="F92" t="str">
            <v>7. Dividendos provisorios</v>
          </cell>
        </row>
        <row r="94">
          <cell r="B94" t="str">
            <v>4-1-01-01-001</v>
          </cell>
          <cell r="E94" t="str">
            <v>1. Ingresos de Explotación</v>
          </cell>
          <cell r="F94" t="str">
            <v>1. Financiamieto Mineduc</v>
          </cell>
        </row>
        <row r="95">
          <cell r="B95" t="str">
            <v>4-1-01-01-002</v>
          </cell>
          <cell r="E95" t="str">
            <v>1. Ingresos de Explotación</v>
          </cell>
          <cell r="F95" t="str">
            <v>1. Financiamieto Mineduc</v>
          </cell>
        </row>
        <row r="96">
          <cell r="B96" t="str">
            <v>4-1-01-01-003</v>
          </cell>
          <cell r="E96" t="str">
            <v>1. Ingresos de Explotación</v>
          </cell>
          <cell r="F96" t="str">
            <v>1. Financiamieto Mineduc</v>
          </cell>
        </row>
        <row r="97">
          <cell r="B97" t="str">
            <v>4-1-01-01-004</v>
          </cell>
          <cell r="E97" t="str">
            <v>1. Ingresos de Explotación</v>
          </cell>
          <cell r="F97" t="str">
            <v>1. Financiamieto Mineduc</v>
          </cell>
        </row>
        <row r="98">
          <cell r="B98" t="str">
            <v>4-1-01-01-006</v>
          </cell>
          <cell r="E98" t="str">
            <v>1. Ingresos de Explotación</v>
          </cell>
          <cell r="F98" t="str">
            <v>1. Financiamieto Mineduc</v>
          </cell>
        </row>
        <row r="99">
          <cell r="B99" t="str">
            <v>4-1-01-01-007</v>
          </cell>
          <cell r="E99" t="str">
            <v>1. Ingresos de Explotación</v>
          </cell>
          <cell r="F99" t="str">
            <v>1. Financiamieto Mineduc</v>
          </cell>
        </row>
        <row r="100">
          <cell r="B100" t="str">
            <v>4-1-01-01-008</v>
          </cell>
          <cell r="E100" t="str">
            <v>1. Ingresos de Explotación</v>
          </cell>
          <cell r="F100" t="str">
            <v>1. Financiamieto Mineduc</v>
          </cell>
        </row>
        <row r="101">
          <cell r="B101" t="str">
            <v>4-1-01-01-009</v>
          </cell>
          <cell r="E101" t="str">
            <v>1. Ingresos de Explotación</v>
          </cell>
          <cell r="F101" t="str">
            <v>1. Financiamieto Mineduc</v>
          </cell>
        </row>
        <row r="102">
          <cell r="B102" t="str">
            <v>4-1-01-01-010</v>
          </cell>
          <cell r="E102" t="str">
            <v>1. Ingresos de Explotación</v>
          </cell>
          <cell r="F102" t="str">
            <v>1. Financiamieto Mineduc</v>
          </cell>
        </row>
        <row r="103">
          <cell r="B103" t="str">
            <v>4-1-01-02-001</v>
          </cell>
          <cell r="E103" t="str">
            <v>1. Ingresos de Explotación</v>
          </cell>
          <cell r="F103" t="str">
            <v>2. Financiamiento Compartido</v>
          </cell>
        </row>
        <row r="104">
          <cell r="B104" t="str">
            <v>4-1-01-02-002</v>
          </cell>
          <cell r="E104" t="str">
            <v>1. Ingresos de Explotación</v>
          </cell>
          <cell r="F104" t="str">
            <v>2. Financiamiento Compartido</v>
          </cell>
        </row>
        <row r="105">
          <cell r="B105" t="str">
            <v>4-1-01-02-003</v>
          </cell>
          <cell r="E105" t="str">
            <v>1. Ingresos de Explotación</v>
          </cell>
          <cell r="F105" t="str">
            <v>2. Financiamiento Compartido</v>
          </cell>
        </row>
        <row r="106">
          <cell r="B106" t="str">
            <v>4-1-01-03-001</v>
          </cell>
          <cell r="E106" t="str">
            <v>1. Ingresos de Explotación</v>
          </cell>
          <cell r="F106" t="str">
            <v>3. Otros Ingresos</v>
          </cell>
        </row>
        <row r="107">
          <cell r="B107" t="str">
            <v>4-1-01-03-002</v>
          </cell>
          <cell r="E107" t="str">
            <v>1. Ingresos de Explotación</v>
          </cell>
          <cell r="F107" t="str">
            <v>3. Otros Ingresos</v>
          </cell>
        </row>
        <row r="109">
          <cell r="B109" t="str">
            <v>4-1-01-09-001</v>
          </cell>
          <cell r="E109" t="str">
            <v>1. Ingresos de Explotación</v>
          </cell>
          <cell r="F109" t="str">
            <v>3. Otros Ingresos</v>
          </cell>
        </row>
        <row r="110">
          <cell r="B110" t="str">
            <v>4-1-01-09-002</v>
          </cell>
          <cell r="E110" t="str">
            <v>1. Ingresos de Explotación</v>
          </cell>
          <cell r="F110" t="str">
            <v>3. Otros Ingresos</v>
          </cell>
        </row>
        <row r="112">
          <cell r="B112" t="str">
            <v>4-1-10-11-011</v>
          </cell>
          <cell r="E112" t="str">
            <v>1. Ingresos de Explotación</v>
          </cell>
          <cell r="F112" t="str">
            <v>1. Financiamieto Mineduc</v>
          </cell>
          <cell r="G112" t="str">
            <v>1. Subvención Base</v>
          </cell>
        </row>
        <row r="113">
          <cell r="B113" t="str">
            <v>4-1-10-11-012</v>
          </cell>
          <cell r="E113" t="str">
            <v>1. Ingresos de Explotación</v>
          </cell>
          <cell r="F113" t="str">
            <v>1. Financiamieto Mineduc</v>
          </cell>
          <cell r="G113" t="str">
            <v>1. Subvención Base</v>
          </cell>
        </row>
        <row r="114">
          <cell r="B114" t="str">
            <v>4-1-10-11-013</v>
          </cell>
          <cell r="E114" t="str">
            <v>1. Ingresos de Explotación</v>
          </cell>
          <cell r="F114" t="str">
            <v>1. Financiamieto Mineduc</v>
          </cell>
          <cell r="G114" t="str">
            <v>1. Subvención Base</v>
          </cell>
        </row>
        <row r="115">
          <cell r="B115" t="str">
            <v>4-1-10-11-014</v>
          </cell>
          <cell r="E115" t="str">
            <v>1. Ingresos de Explotación</v>
          </cell>
          <cell r="F115" t="str">
            <v>1. Financiamieto Mineduc</v>
          </cell>
          <cell r="G115" t="str">
            <v>1. Subvención Base</v>
          </cell>
        </row>
        <row r="116">
          <cell r="B116" t="str">
            <v>4-1-10-11-015</v>
          </cell>
          <cell r="E116" t="str">
            <v>1. Ingresos de Explotación</v>
          </cell>
          <cell r="F116" t="str">
            <v>1. Financiamieto Mineduc</v>
          </cell>
          <cell r="G116" t="str">
            <v>1. Subvención Base</v>
          </cell>
        </row>
        <row r="117">
          <cell r="B117" t="str">
            <v>4-1-10-11-016</v>
          </cell>
          <cell r="E117" t="str">
            <v>1. Ingresos de Explotación</v>
          </cell>
          <cell r="F117" t="str">
            <v>1. Financiamieto Mineduc</v>
          </cell>
          <cell r="G117" t="str">
            <v>1. Subvención Base</v>
          </cell>
        </row>
        <row r="118">
          <cell r="B118" t="str">
            <v>4-1-10-11-017</v>
          </cell>
          <cell r="E118" t="str">
            <v>1. Ingresos de Explotación</v>
          </cell>
          <cell r="F118" t="str">
            <v>1. Financiamieto Mineduc</v>
          </cell>
          <cell r="G118" t="str">
            <v>1. Subvención Base</v>
          </cell>
        </row>
        <row r="119">
          <cell r="B119" t="str">
            <v>4-1-10-11-018</v>
          </cell>
          <cell r="E119" t="str">
            <v>1. Ingresos de Explotación</v>
          </cell>
          <cell r="F119" t="str">
            <v>1. Financiamieto Mineduc</v>
          </cell>
          <cell r="G119" t="str">
            <v>1. Subvención Base</v>
          </cell>
        </row>
        <row r="120">
          <cell r="B120" t="str">
            <v>4-1-10-11-019</v>
          </cell>
          <cell r="E120" t="str">
            <v>1. Ingresos de Explotación</v>
          </cell>
          <cell r="F120" t="str">
            <v>1. Financiamieto Mineduc</v>
          </cell>
          <cell r="G120" t="str">
            <v>1. Subvención Base</v>
          </cell>
        </row>
        <row r="121">
          <cell r="B121" t="str">
            <v>4-1-10-11-020</v>
          </cell>
          <cell r="E121" t="str">
            <v>1. Ingresos de Explotación</v>
          </cell>
          <cell r="F121" t="str">
            <v>1. Financiamieto Mineduc</v>
          </cell>
          <cell r="G121" t="str">
            <v>1. Subvención Base</v>
          </cell>
        </row>
        <row r="122">
          <cell r="B122" t="str">
            <v>4-1-10-11-021</v>
          </cell>
          <cell r="E122" t="str">
            <v>1. Ingresos de Explotación</v>
          </cell>
          <cell r="F122" t="str">
            <v>1. Financiamieto Mineduc</v>
          </cell>
          <cell r="G122" t="str">
            <v>1. Subvención Base</v>
          </cell>
        </row>
        <row r="123">
          <cell r="B123" t="str">
            <v>4-1-10-11-022</v>
          </cell>
          <cell r="E123" t="str">
            <v>1. Ingresos de Explotación</v>
          </cell>
          <cell r="F123" t="str">
            <v>1. Financiamieto Mineduc</v>
          </cell>
          <cell r="G123" t="str">
            <v>1. Subvención Base</v>
          </cell>
        </row>
        <row r="124">
          <cell r="B124" t="str">
            <v>4-1-10-11-023</v>
          </cell>
          <cell r="E124" t="str">
            <v>1. Ingresos de Explotación</v>
          </cell>
          <cell r="F124" t="str">
            <v>1. Financiamieto Mineduc</v>
          </cell>
          <cell r="G124" t="str">
            <v>1. Subvención Base</v>
          </cell>
        </row>
        <row r="125">
          <cell r="B125" t="str">
            <v>4-1-10-11-024</v>
          </cell>
          <cell r="E125" t="str">
            <v>1. Ingresos de Explotación</v>
          </cell>
          <cell r="F125" t="str">
            <v>1. Financiamieto Mineduc</v>
          </cell>
          <cell r="G125" t="str">
            <v>1. Subvención Base</v>
          </cell>
        </row>
        <row r="126">
          <cell r="B126" t="str">
            <v>4-1-10-11-025</v>
          </cell>
          <cell r="E126" t="str">
            <v>1. Ingresos de Explotación</v>
          </cell>
          <cell r="F126" t="str">
            <v>1. Financiamieto Mineduc</v>
          </cell>
          <cell r="G126" t="str">
            <v>1. Subvención Base</v>
          </cell>
        </row>
        <row r="127">
          <cell r="B127" t="str">
            <v>4-1-10-11-026</v>
          </cell>
          <cell r="E127" t="str">
            <v>1. Ingresos de Explotación</v>
          </cell>
          <cell r="F127" t="str">
            <v>1. Financiamieto Mineduc</v>
          </cell>
          <cell r="G127" t="str">
            <v>1. Subvención Base</v>
          </cell>
        </row>
        <row r="128">
          <cell r="B128" t="str">
            <v>4-1-10-11-027</v>
          </cell>
          <cell r="E128" t="str">
            <v>1. Ingresos de Explotación</v>
          </cell>
          <cell r="F128" t="str">
            <v>1. Financiamieto Mineduc</v>
          </cell>
          <cell r="G128" t="str">
            <v>1. Subvención Base</v>
          </cell>
        </row>
        <row r="129">
          <cell r="B129" t="str">
            <v>4-1-10-11-028</v>
          </cell>
          <cell r="E129" t="str">
            <v>1. Ingresos de Explotación</v>
          </cell>
          <cell r="F129" t="str">
            <v>1. Financiamieto Mineduc</v>
          </cell>
          <cell r="G129" t="str">
            <v>1. Subvención Base</v>
          </cell>
        </row>
        <row r="130">
          <cell r="B130" t="str">
            <v>4-1-10-11-029</v>
          </cell>
          <cell r="E130" t="str">
            <v>1. Ingresos de Explotación</v>
          </cell>
          <cell r="F130" t="str">
            <v>1. Financiamieto Mineduc</v>
          </cell>
          <cell r="G130" t="str">
            <v>1. Subvención Base</v>
          </cell>
        </row>
        <row r="131">
          <cell r="B131" t="str">
            <v>4-1-10-11-030</v>
          </cell>
          <cell r="E131" t="str">
            <v>1. Ingresos de Explotación</v>
          </cell>
          <cell r="F131" t="str">
            <v>1. Financiamieto Mineduc</v>
          </cell>
          <cell r="G131" t="str">
            <v>1. Subvención Base</v>
          </cell>
        </row>
        <row r="132">
          <cell r="B132" t="str">
            <v>4-1-10-11-031</v>
          </cell>
          <cell r="E132" t="str">
            <v>1. Ingresos de Explotación</v>
          </cell>
          <cell r="F132" t="str">
            <v>1. Financiamieto Mineduc</v>
          </cell>
          <cell r="G132" t="str">
            <v>1. Subvención Base</v>
          </cell>
        </row>
        <row r="133">
          <cell r="B133" t="str">
            <v>4-1-10-11-032</v>
          </cell>
          <cell r="E133" t="str">
            <v>1. Ingresos de Explotación</v>
          </cell>
          <cell r="F133" t="str">
            <v>1. Financiamieto Mineduc</v>
          </cell>
          <cell r="G133" t="str">
            <v>1. Subvención Base</v>
          </cell>
        </row>
        <row r="134">
          <cell r="B134" t="str">
            <v>4-1-10-11-033</v>
          </cell>
          <cell r="E134" t="str">
            <v>1. Ingresos de Explotación</v>
          </cell>
          <cell r="F134" t="str">
            <v>1. Financiamieto Mineduc</v>
          </cell>
          <cell r="G134" t="str">
            <v>1. Subvención Base</v>
          </cell>
        </row>
        <row r="135">
          <cell r="B135" t="str">
            <v>4-1-10-11-034</v>
          </cell>
          <cell r="E135" t="str">
            <v>1. Ingresos de Explotación</v>
          </cell>
          <cell r="F135" t="str">
            <v>1. Financiamieto Mineduc</v>
          </cell>
          <cell r="G135" t="str">
            <v>1. Subvención Base</v>
          </cell>
        </row>
        <row r="136">
          <cell r="B136" t="str">
            <v>4-1-10-11-035</v>
          </cell>
          <cell r="E136" t="str">
            <v>1. Ingresos de Explotación</v>
          </cell>
          <cell r="F136" t="str">
            <v>1. Financiamieto Mineduc</v>
          </cell>
          <cell r="G136" t="str">
            <v>1. Subvención Base</v>
          </cell>
        </row>
        <row r="137">
          <cell r="B137" t="str">
            <v>4-1-10-11-036</v>
          </cell>
          <cell r="E137" t="str">
            <v>1. Ingresos de Explotación</v>
          </cell>
          <cell r="F137" t="str">
            <v>1. Financiamieto Mineduc</v>
          </cell>
          <cell r="G137" t="str">
            <v>1. Subvención Base</v>
          </cell>
        </row>
        <row r="138">
          <cell r="B138" t="str">
            <v>4-1-10-11-037</v>
          </cell>
          <cell r="E138" t="str">
            <v>1. Ingresos de Explotación</v>
          </cell>
          <cell r="F138" t="str">
            <v>1. Financiamieto Mineduc</v>
          </cell>
          <cell r="G138" t="str">
            <v>1. Subvención Base</v>
          </cell>
        </row>
        <row r="139">
          <cell r="B139" t="str">
            <v>4-1-10-11-038</v>
          </cell>
          <cell r="E139" t="str">
            <v>1. Ingresos de Explotación</v>
          </cell>
          <cell r="F139" t="str">
            <v>1. Financiamieto Mineduc</v>
          </cell>
          <cell r="G139" t="str">
            <v>1. Subvención Base</v>
          </cell>
        </row>
        <row r="140">
          <cell r="B140" t="str">
            <v>4-1-10-11-039</v>
          </cell>
          <cell r="E140" t="str">
            <v>1. Ingresos de Explotación</v>
          </cell>
          <cell r="F140" t="str">
            <v>1. Financiamieto Mineduc</v>
          </cell>
          <cell r="G140" t="str">
            <v>1. Subvención Base</v>
          </cell>
        </row>
        <row r="141">
          <cell r="B141" t="str">
            <v>4-1-10-11-040</v>
          </cell>
          <cell r="E141" t="str">
            <v>1. Ingresos de Explotación</v>
          </cell>
          <cell r="F141" t="str">
            <v>1. Financiamieto Mineduc</v>
          </cell>
          <cell r="G141" t="str">
            <v>1. Subvención Base</v>
          </cell>
        </row>
        <row r="142">
          <cell r="B142" t="str">
            <v>4-1-10-11-041</v>
          </cell>
          <cell r="E142" t="str">
            <v>1. Ingresos de Explotación</v>
          </cell>
          <cell r="F142" t="str">
            <v>1. Financiamieto Mineduc</v>
          </cell>
          <cell r="G142" t="str">
            <v>1. Subvención Base</v>
          </cell>
        </row>
        <row r="143">
          <cell r="B143" t="str">
            <v>4-1-10-11-042</v>
          </cell>
          <cell r="E143" t="str">
            <v>1. Ingresos de Explotación</v>
          </cell>
          <cell r="F143" t="str">
            <v>1. Financiamieto Mineduc</v>
          </cell>
          <cell r="G143" t="str">
            <v>1. Subvención Base</v>
          </cell>
        </row>
        <row r="144">
          <cell r="B144" t="str">
            <v>4-1-10-11-043</v>
          </cell>
          <cell r="E144" t="str">
            <v>1. Ingresos de Explotación</v>
          </cell>
          <cell r="F144" t="str">
            <v>1. Financiamieto Mineduc</v>
          </cell>
          <cell r="G144" t="str">
            <v>1. Subvención Base</v>
          </cell>
        </row>
        <row r="145">
          <cell r="B145" t="str">
            <v>4-1-10-11-044</v>
          </cell>
          <cell r="E145" t="str">
            <v>1. Ingresos de Explotación</v>
          </cell>
          <cell r="F145" t="str">
            <v>1. Financiamieto Mineduc</v>
          </cell>
          <cell r="G145" t="str">
            <v>1. Subvención Base</v>
          </cell>
        </row>
        <row r="146">
          <cell r="B146" t="str">
            <v>4-1-10-11-045</v>
          </cell>
          <cell r="E146" t="str">
            <v>1. Ingresos de Explotación</v>
          </cell>
          <cell r="F146" t="str">
            <v>1. Financiamieto Mineduc</v>
          </cell>
          <cell r="G146" t="str">
            <v>1. Subvención Base</v>
          </cell>
        </row>
        <row r="147">
          <cell r="B147" t="str">
            <v>4-1-10-11-046</v>
          </cell>
          <cell r="E147" t="str">
            <v>1. Ingresos de Explotación</v>
          </cell>
          <cell r="F147" t="str">
            <v>1. Financiamieto Mineduc</v>
          </cell>
          <cell r="G147" t="str">
            <v>1. Subvención Base</v>
          </cell>
        </row>
        <row r="148">
          <cell r="B148" t="str">
            <v>4-1-10-11-991</v>
          </cell>
          <cell r="E148" t="str">
            <v>1. Ingresos de Explotación</v>
          </cell>
          <cell r="F148" t="str">
            <v>1. Financiamieto Mineduc</v>
          </cell>
          <cell r="G148" t="str">
            <v>1. Subvención Base</v>
          </cell>
        </row>
        <row r="149">
          <cell r="B149" t="str">
            <v>4-1-10-11-992</v>
          </cell>
          <cell r="E149" t="str">
            <v>1. Ingresos de Explotación</v>
          </cell>
          <cell r="F149" t="str">
            <v>1. Financiamieto Mineduc</v>
          </cell>
          <cell r="G149" t="str">
            <v>1. Subvención Base</v>
          </cell>
        </row>
        <row r="150">
          <cell r="B150" t="str">
            <v>4-1-10-11-993</v>
          </cell>
          <cell r="E150" t="str">
            <v>1. Ingresos de Explotación</v>
          </cell>
          <cell r="F150" t="str">
            <v>1. Financiamieto Mineduc</v>
          </cell>
          <cell r="G150" t="str">
            <v>1. Subvención Base</v>
          </cell>
        </row>
        <row r="152">
          <cell r="B152" t="str">
            <v>4-1-10-12-011</v>
          </cell>
          <cell r="E152" t="str">
            <v>1. Ingresos de Explotación</v>
          </cell>
          <cell r="F152" t="str">
            <v>1. Financiamieto Mineduc</v>
          </cell>
          <cell r="G152" t="str">
            <v>2. Aportes Adicionales</v>
          </cell>
        </row>
        <row r="153">
          <cell r="B153" t="str">
            <v>4-1-10-12-012</v>
          </cell>
          <cell r="E153" t="str">
            <v>1. Ingresos de Explotación</v>
          </cell>
          <cell r="F153" t="str">
            <v>1. Financiamieto Mineduc</v>
          </cell>
          <cell r="G153" t="str">
            <v>2. Aportes Adicionales</v>
          </cell>
        </row>
        <row r="154">
          <cell r="B154" t="str">
            <v>4-1-10-12-013</v>
          </cell>
          <cell r="E154" t="str">
            <v>1. Ingresos de Explotación</v>
          </cell>
          <cell r="F154" t="str">
            <v>1. Financiamieto Mineduc</v>
          </cell>
          <cell r="G154" t="str">
            <v>2. Aportes Adicionales</v>
          </cell>
        </row>
        <row r="155">
          <cell r="B155" t="str">
            <v>4-1-10-12-014</v>
          </cell>
          <cell r="E155" t="str">
            <v>1. Ingresos de Explotación</v>
          </cell>
          <cell r="F155" t="str">
            <v>1. Financiamieto Mineduc</v>
          </cell>
          <cell r="G155" t="str">
            <v>2. Aportes Adicionales</v>
          </cell>
        </row>
        <row r="156">
          <cell r="B156" t="str">
            <v>4-1-10-12-015</v>
          </cell>
          <cell r="E156" t="str">
            <v>1. Ingresos de Explotación</v>
          </cell>
          <cell r="F156" t="str">
            <v>1. Financiamieto Mineduc</v>
          </cell>
          <cell r="G156" t="str">
            <v>2. Aportes Adicionales</v>
          </cell>
        </row>
        <row r="157">
          <cell r="B157" t="str">
            <v>4-1-10-12-016</v>
          </cell>
          <cell r="E157" t="str">
            <v>1. Ingresos de Explotación</v>
          </cell>
          <cell r="F157" t="str">
            <v>1. Financiamieto Mineduc</v>
          </cell>
          <cell r="G157" t="str">
            <v>2. Aportes Adicionales</v>
          </cell>
        </row>
        <row r="158">
          <cell r="B158" t="str">
            <v>4-1-10-12-017</v>
          </cell>
          <cell r="E158" t="str">
            <v>1. Ingresos de Explotación</v>
          </cell>
          <cell r="F158" t="str">
            <v>1. Financiamieto Mineduc</v>
          </cell>
          <cell r="G158" t="str">
            <v>2. Aportes Adicionales</v>
          </cell>
        </row>
        <row r="159">
          <cell r="B159" t="str">
            <v>4-1-10-12-018</v>
          </cell>
          <cell r="E159" t="str">
            <v>1. Ingresos de Explotación</v>
          </cell>
          <cell r="F159" t="str">
            <v>1. Financiamieto Mineduc</v>
          </cell>
          <cell r="G159" t="str">
            <v>2. Aportes Adicionales</v>
          </cell>
        </row>
        <row r="160">
          <cell r="B160" t="str">
            <v>4-1-10-12-019</v>
          </cell>
          <cell r="E160" t="str">
            <v>1. Ingresos de Explotación</v>
          </cell>
          <cell r="F160" t="str">
            <v>1. Financiamieto Mineduc</v>
          </cell>
          <cell r="G160" t="str">
            <v>2. Aportes Adicionales</v>
          </cell>
        </row>
        <row r="161">
          <cell r="B161" t="str">
            <v>4-1-10-12-020</v>
          </cell>
          <cell r="E161" t="str">
            <v>1. Ingresos de Explotación</v>
          </cell>
          <cell r="F161" t="str">
            <v>1. Financiamieto Mineduc</v>
          </cell>
          <cell r="G161" t="str">
            <v>2. Aportes Adicionales</v>
          </cell>
        </row>
        <row r="162">
          <cell r="B162" t="str">
            <v>4-1-10-12-021</v>
          </cell>
          <cell r="E162" t="str">
            <v>1. Ingresos de Explotación</v>
          </cell>
          <cell r="F162" t="str">
            <v>1. Financiamieto Mineduc</v>
          </cell>
          <cell r="G162" t="str">
            <v>2. Aportes Adicionales</v>
          </cell>
        </row>
        <row r="163">
          <cell r="B163" t="str">
            <v>4-1-10-12-022</v>
          </cell>
          <cell r="E163" t="str">
            <v>1. Ingresos de Explotación</v>
          </cell>
          <cell r="F163" t="str">
            <v>1. Financiamieto Mineduc</v>
          </cell>
          <cell r="G163" t="str">
            <v>2. Aportes Adicionales</v>
          </cell>
        </row>
        <row r="164">
          <cell r="B164" t="str">
            <v>4-1-10-12-023</v>
          </cell>
          <cell r="E164" t="str">
            <v>1. Ingresos de Explotación</v>
          </cell>
          <cell r="F164" t="str">
            <v>1. Financiamieto Mineduc</v>
          </cell>
          <cell r="G164" t="str">
            <v>2. Aportes Adicionales</v>
          </cell>
        </row>
        <row r="165">
          <cell r="B165" t="str">
            <v>4-1-10-12-024</v>
          </cell>
          <cell r="E165" t="str">
            <v>1. Ingresos de Explotación</v>
          </cell>
          <cell r="F165" t="str">
            <v>1. Financiamieto Mineduc</v>
          </cell>
          <cell r="G165" t="str">
            <v>2. Aportes Adicionales</v>
          </cell>
        </row>
        <row r="166">
          <cell r="B166" t="str">
            <v>4-1-10-12-025</v>
          </cell>
          <cell r="E166" t="str">
            <v>1. Ingresos de Explotación</v>
          </cell>
          <cell r="F166" t="str">
            <v>1. Financiamieto Mineduc</v>
          </cell>
          <cell r="G166" t="str">
            <v>2. Aportes Adicionales</v>
          </cell>
        </row>
        <row r="167">
          <cell r="B167" t="str">
            <v>4-1-10-12-026</v>
          </cell>
          <cell r="E167" t="str">
            <v>1. Ingresos de Explotación</v>
          </cell>
          <cell r="F167" t="str">
            <v>1. Financiamieto Mineduc</v>
          </cell>
          <cell r="G167" t="str">
            <v>2. Aportes Adicionales</v>
          </cell>
        </row>
        <row r="168">
          <cell r="B168" t="str">
            <v>4-1-10-12-027</v>
          </cell>
          <cell r="E168" t="str">
            <v>1. Ingresos de Explotación</v>
          </cell>
          <cell r="F168" t="str">
            <v>1. Financiamieto Mineduc</v>
          </cell>
          <cell r="G168" t="str">
            <v>2. Aportes Adicionales</v>
          </cell>
        </row>
        <row r="169">
          <cell r="B169" t="str">
            <v>4-1-10-12-028</v>
          </cell>
          <cell r="E169" t="str">
            <v>1. Ingresos de Explotación</v>
          </cell>
          <cell r="F169" t="str">
            <v>1. Financiamieto Mineduc</v>
          </cell>
          <cell r="G169" t="str">
            <v>2. Aportes Adicionales</v>
          </cell>
        </row>
        <row r="170">
          <cell r="B170" t="str">
            <v>4-1-10-12-029</v>
          </cell>
          <cell r="E170" t="str">
            <v>1. Ingresos de Explotación</v>
          </cell>
          <cell r="F170" t="str">
            <v>1. Financiamieto Mineduc</v>
          </cell>
          <cell r="G170" t="str">
            <v>2. Aportes Adicionales</v>
          </cell>
        </row>
        <row r="171">
          <cell r="B171" t="str">
            <v>4-1-10-12-030</v>
          </cell>
          <cell r="E171" t="str">
            <v>1. Ingresos de Explotación</v>
          </cell>
          <cell r="F171" t="str">
            <v>1. Financiamieto Mineduc</v>
          </cell>
          <cell r="G171" t="str">
            <v>2. Aportes Adicionales</v>
          </cell>
        </row>
        <row r="172">
          <cell r="B172" t="str">
            <v>4-1-10-12-031</v>
          </cell>
          <cell r="E172" t="str">
            <v>1. Ingresos de Explotación</v>
          </cell>
          <cell r="F172" t="str">
            <v>1. Financiamieto Mineduc</v>
          </cell>
          <cell r="G172" t="str">
            <v>2. Aportes Adicionales</v>
          </cell>
        </row>
        <row r="173">
          <cell r="B173" t="str">
            <v>4-1-10-12-032</v>
          </cell>
          <cell r="E173" t="str">
            <v>1. Ingresos de Explotación</v>
          </cell>
          <cell r="F173" t="str">
            <v>1. Financiamieto Mineduc</v>
          </cell>
          <cell r="G173" t="str">
            <v>2. Aportes Adicionales</v>
          </cell>
        </row>
        <row r="174">
          <cell r="B174" t="str">
            <v>4-1-10-12-033</v>
          </cell>
          <cell r="E174" t="str">
            <v>1. Ingresos de Explotación</v>
          </cell>
          <cell r="F174" t="str">
            <v>1. Financiamieto Mineduc</v>
          </cell>
          <cell r="G174" t="str">
            <v>2. Aportes Adicionales</v>
          </cell>
        </row>
        <row r="175">
          <cell r="B175" t="str">
            <v>4-1-10-12-034</v>
          </cell>
          <cell r="E175" t="str">
            <v>1. Ingresos de Explotación</v>
          </cell>
          <cell r="F175" t="str">
            <v>1. Financiamieto Mineduc</v>
          </cell>
          <cell r="G175" t="str">
            <v>2. Aportes Adicionales</v>
          </cell>
        </row>
        <row r="176">
          <cell r="B176" t="str">
            <v>4-1-10-12-035</v>
          </cell>
          <cell r="E176" t="str">
            <v>1. Ingresos de Explotación</v>
          </cell>
          <cell r="F176" t="str">
            <v>1. Financiamieto Mineduc</v>
          </cell>
          <cell r="G176" t="str">
            <v>2. Aportes Adicionales</v>
          </cell>
        </row>
        <row r="177">
          <cell r="B177" t="str">
            <v>4-1-10-12-036</v>
          </cell>
          <cell r="E177" t="str">
            <v>1. Ingresos de Explotación</v>
          </cell>
          <cell r="F177" t="str">
            <v>1. Financiamieto Mineduc</v>
          </cell>
          <cell r="G177" t="str">
            <v>2. Aportes Adicionales</v>
          </cell>
        </row>
        <row r="178">
          <cell r="B178" t="str">
            <v>4-1-10-12-037</v>
          </cell>
          <cell r="E178" t="str">
            <v>1. Ingresos de Explotación</v>
          </cell>
          <cell r="F178" t="str">
            <v>1. Financiamieto Mineduc</v>
          </cell>
          <cell r="G178" t="str">
            <v>2. Aportes Adicionales</v>
          </cell>
        </row>
        <row r="179">
          <cell r="B179" t="str">
            <v>4-1-10-12-038</v>
          </cell>
          <cell r="E179" t="str">
            <v>1. Ingresos de Explotación</v>
          </cell>
          <cell r="F179" t="str">
            <v>1. Financiamieto Mineduc</v>
          </cell>
          <cell r="G179" t="str">
            <v>2. Aportes Adicionales</v>
          </cell>
        </row>
        <row r="180">
          <cell r="B180" t="str">
            <v>4-1-10-12-039</v>
          </cell>
          <cell r="E180" t="str">
            <v>1. Ingresos de Explotación</v>
          </cell>
          <cell r="F180" t="str">
            <v>1. Financiamieto Mineduc</v>
          </cell>
          <cell r="G180" t="str">
            <v>2. Aportes Adicionales</v>
          </cell>
        </row>
        <row r="181">
          <cell r="B181" t="str">
            <v>4-1-10-12-040</v>
          </cell>
          <cell r="E181" t="str">
            <v>1. Ingresos de Explotación</v>
          </cell>
          <cell r="F181" t="str">
            <v>1. Financiamieto Mineduc</v>
          </cell>
          <cell r="G181" t="str">
            <v>2. Aportes Adicionales</v>
          </cell>
        </row>
        <row r="182">
          <cell r="B182" t="str">
            <v>4-1-10-12-041</v>
          </cell>
          <cell r="E182" t="str">
            <v>1. Ingresos de Explotación</v>
          </cell>
          <cell r="F182" t="str">
            <v>1. Financiamieto Mineduc</v>
          </cell>
          <cell r="G182" t="str">
            <v>2. Aportes Adicionales</v>
          </cell>
        </row>
        <row r="183">
          <cell r="B183" t="str">
            <v>4-1-10-12-042</v>
          </cell>
          <cell r="E183" t="str">
            <v>1. Ingresos de Explotación</v>
          </cell>
          <cell r="F183" t="str">
            <v>1. Financiamieto Mineduc</v>
          </cell>
          <cell r="G183" t="str">
            <v>2. Aportes Adicionales</v>
          </cell>
        </row>
        <row r="184">
          <cell r="B184" t="str">
            <v>4-1-10-12-043</v>
          </cell>
          <cell r="E184" t="str">
            <v>1. Ingresos de Explotación</v>
          </cell>
          <cell r="F184" t="str">
            <v>1. Financiamieto Mineduc</v>
          </cell>
          <cell r="G184" t="str">
            <v>2. Aportes Adicionales</v>
          </cell>
        </row>
        <row r="185">
          <cell r="B185" t="str">
            <v>4-1-10-12-044</v>
          </cell>
          <cell r="E185" t="str">
            <v>1. Ingresos de Explotación</v>
          </cell>
          <cell r="F185" t="str">
            <v>1. Financiamieto Mineduc</v>
          </cell>
          <cell r="G185" t="str">
            <v>2. Aportes Adicionales</v>
          </cell>
        </row>
        <row r="186">
          <cell r="B186" t="str">
            <v>4-1-10-12-045</v>
          </cell>
          <cell r="E186" t="str">
            <v>1. Ingresos de Explotación</v>
          </cell>
          <cell r="F186" t="str">
            <v>1. Financiamieto Mineduc</v>
          </cell>
          <cell r="G186" t="str">
            <v>2. Aportes Adicionales</v>
          </cell>
        </row>
        <row r="187">
          <cell r="B187" t="str">
            <v>4-1-10-12-046</v>
          </cell>
          <cell r="E187" t="str">
            <v>1. Ingresos de Explotación</v>
          </cell>
          <cell r="F187" t="str">
            <v>1. Financiamieto Mineduc</v>
          </cell>
          <cell r="G187" t="str">
            <v>2. Aportes Adicionales</v>
          </cell>
        </row>
        <row r="188">
          <cell r="B188" t="str">
            <v>4-1-10-12-047</v>
          </cell>
          <cell r="E188" t="str">
            <v>1. Ingresos de Explotación</v>
          </cell>
          <cell r="F188" t="str">
            <v>1. Financiamieto Mineduc</v>
          </cell>
          <cell r="G188" t="str">
            <v>2. Aportes Adicionales</v>
          </cell>
        </row>
        <row r="189">
          <cell r="B189" t="str">
            <v>4-1-10-12-048</v>
          </cell>
          <cell r="E189" t="str">
            <v>1. Ingresos de Explotación</v>
          </cell>
          <cell r="F189" t="str">
            <v>1. Financiamieto Mineduc</v>
          </cell>
          <cell r="G189" t="str">
            <v>2. Aportes Adicionales</v>
          </cell>
        </row>
        <row r="190">
          <cell r="B190" t="str">
            <v>4-1-10-12-049</v>
          </cell>
          <cell r="E190" t="str">
            <v>1. Ingresos de Explotación</v>
          </cell>
          <cell r="F190" t="str">
            <v>1. Financiamieto Mineduc</v>
          </cell>
          <cell r="G190" t="str">
            <v>2. Aportes Adicionales</v>
          </cell>
        </row>
        <row r="191">
          <cell r="B191" t="str">
            <v>4-1-10-12-050</v>
          </cell>
          <cell r="E191" t="str">
            <v>1. Ingresos de Explotación</v>
          </cell>
          <cell r="F191" t="str">
            <v>1. Financiamieto Mineduc</v>
          </cell>
          <cell r="G191" t="str">
            <v>2. Aportes Adicionales</v>
          </cell>
        </row>
        <row r="192">
          <cell r="B192" t="str">
            <v>4-1-10-12-051</v>
          </cell>
          <cell r="E192" t="str">
            <v>1. Ingresos de Explotación</v>
          </cell>
          <cell r="F192" t="str">
            <v>1. Financiamieto Mineduc</v>
          </cell>
          <cell r="G192" t="str">
            <v>2. Aportes Adicionales</v>
          </cell>
        </row>
        <row r="193">
          <cell r="B193" t="str">
            <v>4-1-10-12-052</v>
          </cell>
          <cell r="E193" t="str">
            <v>1. Ingresos de Explotación</v>
          </cell>
          <cell r="F193" t="str">
            <v>1. Financiamieto Mineduc</v>
          </cell>
          <cell r="G193" t="str">
            <v>2. Aportes Adicionales</v>
          </cell>
        </row>
        <row r="194">
          <cell r="B194" t="str">
            <v>4-1-10-12-053</v>
          </cell>
          <cell r="E194" t="str">
            <v>1. Ingresos de Explotación</v>
          </cell>
          <cell r="F194" t="str">
            <v>1. Financiamieto Mineduc</v>
          </cell>
          <cell r="G194" t="str">
            <v>2. Aportes Adicionales</v>
          </cell>
        </row>
        <row r="195">
          <cell r="B195" t="str">
            <v>4-1-10-12-054</v>
          </cell>
          <cell r="E195" t="str">
            <v>1. Ingresos de Explotación</v>
          </cell>
          <cell r="F195" t="str">
            <v>1. Financiamieto Mineduc</v>
          </cell>
          <cell r="G195" t="str">
            <v>2. Aportes Adicionales</v>
          </cell>
        </row>
        <row r="196">
          <cell r="B196" t="str">
            <v>4-1-10-12-055</v>
          </cell>
          <cell r="E196" t="str">
            <v>1. Ingresos de Explotación</v>
          </cell>
          <cell r="F196" t="str">
            <v>1. Financiamieto Mineduc</v>
          </cell>
          <cell r="G196" t="str">
            <v>2. Aportes Adicionales</v>
          </cell>
        </row>
        <row r="197">
          <cell r="B197" t="str">
            <v>4-1-10-12-056</v>
          </cell>
          <cell r="E197" t="str">
            <v>1. Ingresos de Explotación</v>
          </cell>
          <cell r="F197" t="str">
            <v>1. Financiamieto Mineduc</v>
          </cell>
          <cell r="G197" t="str">
            <v>2. Aportes Adicionales</v>
          </cell>
        </row>
        <row r="198">
          <cell r="B198" t="str">
            <v>4-1-10-12-057</v>
          </cell>
          <cell r="E198" t="str">
            <v>1. Ingresos de Explotación</v>
          </cell>
          <cell r="F198" t="str">
            <v>1. Financiamieto Mineduc</v>
          </cell>
          <cell r="G198" t="str">
            <v>2. Aportes Adicionales</v>
          </cell>
        </row>
        <row r="199">
          <cell r="B199" t="str">
            <v>4-1-10-12-058</v>
          </cell>
          <cell r="E199" t="str">
            <v>1. Ingresos de Explotación</v>
          </cell>
          <cell r="F199" t="str">
            <v>1. Financiamieto Mineduc</v>
          </cell>
          <cell r="G199" t="str">
            <v>2. Aportes Adicionales</v>
          </cell>
        </row>
        <row r="201">
          <cell r="B201" t="str">
            <v>4-1-10-13-011</v>
          </cell>
          <cell r="E201" t="str">
            <v>1. Ingresos de Explotación</v>
          </cell>
          <cell r="F201" t="str">
            <v>1. Financiamieto Mineduc</v>
          </cell>
          <cell r="G201" t="str">
            <v>3. Bonos y/o Aguinaldos</v>
          </cell>
        </row>
        <row r="202">
          <cell r="B202" t="str">
            <v>4-1-10-13-012</v>
          </cell>
          <cell r="E202" t="str">
            <v>1. Ingresos de Explotación</v>
          </cell>
          <cell r="F202" t="str">
            <v>1. Financiamieto Mineduc</v>
          </cell>
          <cell r="G202" t="str">
            <v>3. Bonos y/o Aguinaldos</v>
          </cell>
        </row>
        <row r="203">
          <cell r="B203" t="str">
            <v>4-1-10-13-013</v>
          </cell>
          <cell r="E203" t="str">
            <v>1. Ingresos de Explotación</v>
          </cell>
          <cell r="F203" t="str">
            <v>1. Financiamieto Mineduc</v>
          </cell>
          <cell r="G203" t="str">
            <v>3. Bonos y/o Aguinaldos</v>
          </cell>
        </row>
        <row r="204">
          <cell r="B204" t="str">
            <v>4-1-10-13-021</v>
          </cell>
          <cell r="E204" t="str">
            <v>1. Ingresos de Explotación</v>
          </cell>
          <cell r="F204" t="str">
            <v>1. Financiamieto Mineduc</v>
          </cell>
          <cell r="G204" t="str">
            <v>3. Bonos y/o Aguinaldos</v>
          </cell>
        </row>
        <row r="205">
          <cell r="B205" t="str">
            <v>4-1-10-13-022</v>
          </cell>
          <cell r="E205" t="str">
            <v>1. Ingresos de Explotación</v>
          </cell>
          <cell r="F205" t="str">
            <v>1. Financiamieto Mineduc</v>
          </cell>
          <cell r="G205" t="str">
            <v>3. Bonos y/o Aguinaldos</v>
          </cell>
        </row>
        <row r="206">
          <cell r="B206" t="str">
            <v>4-1-10-13-023</v>
          </cell>
          <cell r="E206" t="str">
            <v>1. Ingresos de Explotación</v>
          </cell>
          <cell r="F206" t="str">
            <v>1. Financiamieto Mineduc</v>
          </cell>
          <cell r="G206" t="str">
            <v>3. Bonos y/o Aguinaldos</v>
          </cell>
        </row>
        <row r="207">
          <cell r="B207" t="str">
            <v>4-1-10-13-031</v>
          </cell>
          <cell r="E207" t="str">
            <v>1. Ingresos de Explotación</v>
          </cell>
          <cell r="F207" t="str">
            <v>1. Financiamieto Mineduc</v>
          </cell>
          <cell r="G207" t="str">
            <v>3. Bonos y/o Aguinaldos</v>
          </cell>
        </row>
        <row r="208">
          <cell r="B208" t="str">
            <v>4-1-10-13-032</v>
          </cell>
          <cell r="E208" t="str">
            <v>1. Ingresos de Explotación</v>
          </cell>
          <cell r="F208" t="str">
            <v>1. Financiamieto Mineduc</v>
          </cell>
          <cell r="G208" t="str">
            <v>3. Bonos y/o Aguinaldos</v>
          </cell>
        </row>
        <row r="209">
          <cell r="B209" t="str">
            <v>4-1-10-13-033</v>
          </cell>
          <cell r="E209" t="str">
            <v>1. Ingresos de Explotación</v>
          </cell>
          <cell r="F209" t="str">
            <v>1. Financiamieto Mineduc</v>
          </cell>
          <cell r="G209" t="str">
            <v>3. Bonos y/o Aguinaldos</v>
          </cell>
        </row>
        <row r="210">
          <cell r="B210" t="str">
            <v>4-1-10-13-041</v>
          </cell>
          <cell r="E210" t="str">
            <v>1. Ingresos de Explotación</v>
          </cell>
          <cell r="F210" t="str">
            <v>1. Financiamieto Mineduc</v>
          </cell>
          <cell r="G210" t="str">
            <v>3. Bonos y/o Aguinaldos</v>
          </cell>
        </row>
        <row r="211">
          <cell r="B211" t="str">
            <v>4-1-10-13-042</v>
          </cell>
          <cell r="E211" t="str">
            <v>1. Ingresos de Explotación</v>
          </cell>
          <cell r="F211" t="str">
            <v>1. Financiamieto Mineduc</v>
          </cell>
          <cell r="G211" t="str">
            <v>3. Bonos y/o Aguinaldos</v>
          </cell>
        </row>
        <row r="212">
          <cell r="B212" t="str">
            <v>4-1-10-13-043</v>
          </cell>
          <cell r="E212" t="str">
            <v>1. Ingresos de Explotación</v>
          </cell>
          <cell r="F212" t="str">
            <v>1. Financiamieto Mineduc</v>
          </cell>
          <cell r="G212" t="str">
            <v>3. Bonos y/o Aguinaldos</v>
          </cell>
        </row>
        <row r="213">
          <cell r="B213" t="str">
            <v>4-1-10-13-051</v>
          </cell>
          <cell r="E213" t="str">
            <v>1. Ingresos de Explotación</v>
          </cell>
          <cell r="F213" t="str">
            <v>1. Financiamieto Mineduc</v>
          </cell>
          <cell r="G213" t="str">
            <v>3. Bonos y/o Aguinaldos</v>
          </cell>
        </row>
        <row r="214">
          <cell r="B214" t="str">
            <v>4-1-10-13-052</v>
          </cell>
          <cell r="E214" t="str">
            <v>1. Ingresos de Explotación</v>
          </cell>
          <cell r="F214" t="str">
            <v>1. Financiamieto Mineduc</v>
          </cell>
          <cell r="G214" t="str">
            <v>3. Bonos y/o Aguinaldos</v>
          </cell>
        </row>
        <row r="215">
          <cell r="B215" t="str">
            <v>4-1-10-13-053</v>
          </cell>
          <cell r="E215" t="str">
            <v>1. Ingresos de Explotación</v>
          </cell>
          <cell r="F215" t="str">
            <v>1. Financiamieto Mineduc</v>
          </cell>
          <cell r="G215" t="str">
            <v>3. Bonos y/o Aguinaldos</v>
          </cell>
        </row>
        <row r="216">
          <cell r="B216" t="str">
            <v>4-1-10-13-061</v>
          </cell>
          <cell r="E216" t="str">
            <v>1. Ingresos de Explotación</v>
          </cell>
          <cell r="F216" t="str">
            <v>1. Financiamieto Mineduc</v>
          </cell>
          <cell r="G216" t="str">
            <v>3. Bonos y/o Aguinaldos</v>
          </cell>
        </row>
        <row r="217">
          <cell r="B217" t="str">
            <v>4-1-10-13-062</v>
          </cell>
          <cell r="E217" t="str">
            <v>1. Ingresos de Explotación</v>
          </cell>
          <cell r="F217" t="str">
            <v>1. Financiamieto Mineduc</v>
          </cell>
          <cell r="G217" t="str">
            <v>3. Bonos y/o Aguinaldos</v>
          </cell>
        </row>
        <row r="218">
          <cell r="B218" t="str">
            <v>4-1-10-13-063</v>
          </cell>
          <cell r="E218" t="str">
            <v>1. Ingresos de Explotación</v>
          </cell>
          <cell r="F218" t="str">
            <v>1. Financiamieto Mineduc</v>
          </cell>
          <cell r="G218" t="str">
            <v>3. Bonos y/o Aguinaldos</v>
          </cell>
        </row>
        <row r="219">
          <cell r="B219" t="str">
            <v>4-1-10-13-066</v>
          </cell>
          <cell r="E219" t="str">
            <v>1. Ingresos de Explotación</v>
          </cell>
          <cell r="F219" t="str">
            <v>1. Financiamieto Mineduc</v>
          </cell>
          <cell r="G219" t="str">
            <v>3. Bonos y/o Aguinaldos</v>
          </cell>
        </row>
        <row r="220">
          <cell r="B220" t="str">
            <v>4-1-10-13-071</v>
          </cell>
          <cell r="E220" t="str">
            <v>1. Ingresos de Explotación</v>
          </cell>
          <cell r="F220" t="str">
            <v>1. Financiamieto Mineduc</v>
          </cell>
          <cell r="G220" t="str">
            <v>3. Bonos y/o Aguinaldos</v>
          </cell>
        </row>
        <row r="221">
          <cell r="B221" t="str">
            <v>4-1-10-13-072</v>
          </cell>
          <cell r="E221" t="str">
            <v>1. Ingresos de Explotación</v>
          </cell>
          <cell r="F221" t="str">
            <v>1. Financiamieto Mineduc</v>
          </cell>
          <cell r="G221" t="str">
            <v>3. Bonos y/o Aguinaldos</v>
          </cell>
        </row>
        <row r="222">
          <cell r="B222" t="str">
            <v>4-1-10-13-073</v>
          </cell>
          <cell r="E222" t="str">
            <v>1. Ingresos de Explotación</v>
          </cell>
          <cell r="F222" t="str">
            <v>1. Financiamieto Mineduc</v>
          </cell>
          <cell r="G222" t="str">
            <v>3. Bonos y/o Aguinaldos</v>
          </cell>
        </row>
        <row r="223">
          <cell r="B223" t="str">
            <v>4-1-10-13-083</v>
          </cell>
          <cell r="E223" t="str">
            <v>1. Ingresos de Explotación</v>
          </cell>
          <cell r="F223" t="str">
            <v>1. Financiamieto Mineduc</v>
          </cell>
          <cell r="G223" t="str">
            <v>3. Bonos y/o Aguinaldos</v>
          </cell>
        </row>
        <row r="224">
          <cell r="B224" t="str">
            <v>4-1-10-13-093</v>
          </cell>
          <cell r="E224" t="str">
            <v>1. Ingresos de Explotación</v>
          </cell>
          <cell r="F224" t="str">
            <v>1. Financiamieto Mineduc</v>
          </cell>
          <cell r="G224" t="str">
            <v>3. Bonos y/o Aguinaldos</v>
          </cell>
        </row>
        <row r="225">
          <cell r="B225" t="str">
            <v>4-1-10-13-103</v>
          </cell>
          <cell r="E225" t="str">
            <v>1. Ingresos de Explotación</v>
          </cell>
          <cell r="F225" t="str">
            <v>1. Financiamieto Mineduc</v>
          </cell>
          <cell r="G225" t="str">
            <v>3. Bonos y/o Aguinaldos</v>
          </cell>
        </row>
        <row r="227">
          <cell r="B227" t="str">
            <v>4-1-10-80-003</v>
          </cell>
          <cell r="E227" t="str">
            <v>1. Ingresos de Explotación</v>
          </cell>
          <cell r="F227" t="str">
            <v>1. Financiamieto Mineduc</v>
          </cell>
          <cell r="G227" t="str">
            <v>4. Descuentos</v>
          </cell>
        </row>
        <row r="228">
          <cell r="B228" t="str">
            <v>4-1-10-80-011</v>
          </cell>
          <cell r="E228" t="str">
            <v>1. Ingresos de Explotación</v>
          </cell>
          <cell r="F228" t="str">
            <v>1. Financiamieto Mineduc</v>
          </cell>
          <cell r="G228" t="str">
            <v>4. Descuentos</v>
          </cell>
        </row>
        <row r="229">
          <cell r="B229" t="str">
            <v>4-1-10-80-012</v>
          </cell>
          <cell r="E229" t="str">
            <v>1. Ingresos de Explotación</v>
          </cell>
          <cell r="F229" t="str">
            <v>1. Financiamieto Mineduc</v>
          </cell>
          <cell r="G229" t="str">
            <v>4. Descuentos</v>
          </cell>
        </row>
        <row r="230">
          <cell r="B230" t="str">
            <v>4-1-10-80-013</v>
          </cell>
          <cell r="E230" t="str">
            <v>1. Ingresos de Explotación</v>
          </cell>
          <cell r="F230" t="str">
            <v>1. Financiamieto Mineduc</v>
          </cell>
          <cell r="G230" t="str">
            <v>4. Descuentos</v>
          </cell>
        </row>
        <row r="231">
          <cell r="B231" t="str">
            <v>4-1-10-80-023</v>
          </cell>
          <cell r="E231" t="str">
            <v>1. Ingresos de Explotación</v>
          </cell>
          <cell r="F231" t="str">
            <v>1. Financiamieto Mineduc</v>
          </cell>
          <cell r="G231" t="str">
            <v>4. Descuentos</v>
          </cell>
        </row>
        <row r="232">
          <cell r="B232" t="str">
            <v>4-1-10-80-033</v>
          </cell>
          <cell r="E232" t="str">
            <v>1. Ingresos de Explotación</v>
          </cell>
          <cell r="F232" t="str">
            <v>1. Financiamieto Mineduc</v>
          </cell>
          <cell r="G232" t="str">
            <v>4. Descuentos</v>
          </cell>
        </row>
        <row r="234">
          <cell r="B234" t="str">
            <v>4-1-10-90-003</v>
          </cell>
          <cell r="E234" t="str">
            <v>1. Ingresos de Explotación</v>
          </cell>
          <cell r="F234" t="str">
            <v>1. Financiamieto Mineduc</v>
          </cell>
          <cell r="G234" t="str">
            <v>5. Retenciones</v>
          </cell>
        </row>
        <row r="236">
          <cell r="B236" t="str">
            <v>4-1-10-99-011</v>
          </cell>
          <cell r="E236" t="str">
            <v>1. Ingresos de Explotación</v>
          </cell>
          <cell r="F236" t="str">
            <v>2. Financiamiento Compartido</v>
          </cell>
          <cell r="G236" t="str">
            <v>6. Otras Subvenciones</v>
          </cell>
        </row>
        <row r="237">
          <cell r="B237" t="str">
            <v>4-1-10-99-012</v>
          </cell>
          <cell r="E237" t="str">
            <v>1. Ingresos de Explotación</v>
          </cell>
          <cell r="F237" t="str">
            <v>2. Financiamiento Compartido</v>
          </cell>
          <cell r="G237" t="str">
            <v>6. Otras Subvenciones</v>
          </cell>
        </row>
        <row r="238">
          <cell r="B238" t="str">
            <v>4-1-10-99-013</v>
          </cell>
          <cell r="E238" t="str">
            <v>1. Ingresos de Explotación</v>
          </cell>
          <cell r="F238" t="str">
            <v>2. Financiamiento Compartido</v>
          </cell>
          <cell r="G238" t="str">
            <v>6. Otras Subvenciones</v>
          </cell>
        </row>
        <row r="240">
          <cell r="B240" t="str">
            <v>4-1-60-11-011</v>
          </cell>
          <cell r="E240" t="str">
            <v>1. Ingresos de Explotación</v>
          </cell>
          <cell r="F240" t="str">
            <v>2. Financiamiento Compartido</v>
          </cell>
          <cell r="G240" t="str">
            <v>1. Mensualidad</v>
          </cell>
        </row>
        <row r="241">
          <cell r="B241" t="str">
            <v>4-1-60-11-012</v>
          </cell>
          <cell r="E241" t="str">
            <v>1. Ingresos de Explotación</v>
          </cell>
          <cell r="F241" t="str">
            <v>2. Financiamiento Compartido</v>
          </cell>
          <cell r="G241" t="str">
            <v>1. Mensualidad</v>
          </cell>
        </row>
        <row r="242">
          <cell r="B242" t="str">
            <v>4-1-60-11-013</v>
          </cell>
          <cell r="E242" t="str">
            <v>1. Ingresos de Explotación</v>
          </cell>
          <cell r="F242" t="str">
            <v>2. Financiamiento Compartido</v>
          </cell>
          <cell r="G242" t="str">
            <v>1. Mensualidad</v>
          </cell>
        </row>
        <row r="243">
          <cell r="B243" t="str">
            <v>4-1-60-12-013</v>
          </cell>
          <cell r="E243" t="str">
            <v>1. Ingresos de Explotación</v>
          </cell>
          <cell r="F243" t="str">
            <v>2. Financiamiento Compartido</v>
          </cell>
          <cell r="G243" t="str">
            <v>2. F.C. Años Anteriores</v>
          </cell>
        </row>
        <row r="244">
          <cell r="B244" t="str">
            <v>4-1-60-13-011</v>
          </cell>
          <cell r="E244" t="str">
            <v>1. Ingresos de Explotación</v>
          </cell>
          <cell r="F244" t="str">
            <v>2. Financiamiento Compartido</v>
          </cell>
          <cell r="G244" t="str">
            <v>3. Matrícula</v>
          </cell>
        </row>
        <row r="245">
          <cell r="B245" t="str">
            <v>4-1-60-13-012</v>
          </cell>
          <cell r="E245" t="str">
            <v>1. Ingresos de Explotación</v>
          </cell>
          <cell r="F245" t="str">
            <v>2. Financiamiento Compartido</v>
          </cell>
          <cell r="G245" t="str">
            <v>3. Matrícula</v>
          </cell>
        </row>
        <row r="246">
          <cell r="B246" t="str">
            <v>4-1-60-13-013</v>
          </cell>
          <cell r="E246" t="str">
            <v>1. Ingresos de Explotación</v>
          </cell>
          <cell r="F246" t="str">
            <v>2. Financiamiento Compartido</v>
          </cell>
          <cell r="G246" t="str">
            <v>3. Matrícula</v>
          </cell>
        </row>
        <row r="248">
          <cell r="B248" t="str">
            <v>4-1-02-03-001</v>
          </cell>
          <cell r="E248" t="str">
            <v>1. Ingresos Fuera de Explotación</v>
          </cell>
          <cell r="F248" t="str">
            <v>1. Otros Ingresos No Operacionales</v>
          </cell>
        </row>
        <row r="249">
          <cell r="B249" t="str">
            <v>4-1-02-03-002</v>
          </cell>
          <cell r="E249" t="str">
            <v>1. Ingresos Fuera de Explotación</v>
          </cell>
          <cell r="F249" t="str">
            <v>1. Otros Ingresos No Operacionales</v>
          </cell>
        </row>
        <row r="250">
          <cell r="B250" t="str">
            <v>4-1-60-11-013</v>
          </cell>
          <cell r="E250" t="str">
            <v>1. Ingresos Fuera de Explotación</v>
          </cell>
          <cell r="F250" t="str">
            <v>1. Otros Ingresos No Operacionales</v>
          </cell>
        </row>
        <row r="252">
          <cell r="B252" t="str">
            <v>5-1-01-01-001</v>
          </cell>
          <cell r="E252" t="str">
            <v>2. Costos de Explotación</v>
          </cell>
          <cell r="F252" t="str">
            <v>1. Remuneraciones</v>
          </cell>
        </row>
        <row r="253">
          <cell r="B253" t="str">
            <v>5-1-01-01-002</v>
          </cell>
          <cell r="E253" t="str">
            <v>2. Costos de Explotación</v>
          </cell>
          <cell r="F253" t="str">
            <v>1. Remuneraciones</v>
          </cell>
        </row>
        <row r="254">
          <cell r="B254" t="str">
            <v>5-1-01-01-003</v>
          </cell>
          <cell r="E254" t="str">
            <v>2. Costos de Explotación</v>
          </cell>
          <cell r="F254" t="str">
            <v>1. Remuneraciones</v>
          </cell>
        </row>
        <row r="255">
          <cell r="B255" t="str">
            <v>5-1-01-01-004</v>
          </cell>
          <cell r="E255" t="str">
            <v>2. Costos de Explotación</v>
          </cell>
          <cell r="F255" t="str">
            <v>1. Remuneraciones</v>
          </cell>
        </row>
        <row r="256">
          <cell r="B256" t="str">
            <v>5-1-01-01-005</v>
          </cell>
          <cell r="E256" t="str">
            <v>2. Costos de Explotación</v>
          </cell>
          <cell r="F256" t="str">
            <v>1. Remuneraciones</v>
          </cell>
        </row>
        <row r="257">
          <cell r="B257" t="str">
            <v>5-1-01-01-006</v>
          </cell>
          <cell r="E257" t="str">
            <v>2. Costos de Explotación</v>
          </cell>
          <cell r="F257" t="str">
            <v>1. Remuneraciones</v>
          </cell>
        </row>
        <row r="258">
          <cell r="B258" t="str">
            <v>5-1-01-01-007</v>
          </cell>
          <cell r="E258" t="str">
            <v>2. Costos de Explotación</v>
          </cell>
          <cell r="F258" t="str">
            <v>1. Remuneraciones</v>
          </cell>
        </row>
        <row r="259">
          <cell r="B259" t="str">
            <v>5-1-01-01-008</v>
          </cell>
          <cell r="E259" t="str">
            <v>2. Costos de Explotación</v>
          </cell>
          <cell r="F259" t="str">
            <v>1. Remuneraciones</v>
          </cell>
        </row>
        <row r="260">
          <cell r="B260" t="str">
            <v>5-1-01-01-009</v>
          </cell>
          <cell r="E260" t="str">
            <v>2. Costos de Explotación</v>
          </cell>
          <cell r="F260" t="str">
            <v>1. Remuneraciones</v>
          </cell>
        </row>
        <row r="261">
          <cell r="B261" t="str">
            <v>5-1-01-01-010</v>
          </cell>
          <cell r="E261" t="str">
            <v>2. Costos de Explotación</v>
          </cell>
          <cell r="F261" t="str">
            <v>1. Remuneraciones</v>
          </cell>
        </row>
        <row r="262">
          <cell r="B262" t="str">
            <v>5-1-01-01-011</v>
          </cell>
          <cell r="E262" t="str">
            <v>2. Costos de Explotación</v>
          </cell>
          <cell r="F262" t="str">
            <v>1. Remuneraciones</v>
          </cell>
        </row>
        <row r="263">
          <cell r="B263" t="str">
            <v>5-1-01-01-012</v>
          </cell>
          <cell r="E263" t="str">
            <v>2. Costos de Explotación</v>
          </cell>
          <cell r="F263" t="str">
            <v>1. Remuneraciones</v>
          </cell>
        </row>
        <row r="264">
          <cell r="B264" t="str">
            <v>5-1-01-01-013</v>
          </cell>
          <cell r="E264" t="str">
            <v>2. Costos de Explotación</v>
          </cell>
          <cell r="F264" t="str">
            <v>1. Remuneraciones</v>
          </cell>
        </row>
        <row r="265">
          <cell r="B265" t="str">
            <v>5-1-01-01-014</v>
          </cell>
          <cell r="E265" t="str">
            <v>2. Costos de Explotación</v>
          </cell>
          <cell r="F265" t="str">
            <v>1. Remuneraciones</v>
          </cell>
        </row>
        <row r="266">
          <cell r="B266" t="str">
            <v>5-1-01-01-015</v>
          </cell>
          <cell r="E266" t="str">
            <v>2. Costos de Explotación</v>
          </cell>
          <cell r="F266" t="str">
            <v>1. Remuneraciones</v>
          </cell>
        </row>
        <row r="267">
          <cell r="B267" t="str">
            <v>5-1-01-01-016</v>
          </cell>
          <cell r="E267" t="str">
            <v>2. Costos de Explotación</v>
          </cell>
          <cell r="F267" t="str">
            <v>1. Remuneraciones</v>
          </cell>
        </row>
        <row r="268">
          <cell r="B268" t="str">
            <v>5-1-01-01-017</v>
          </cell>
          <cell r="E268" t="str">
            <v>2. Costos de Explotación</v>
          </cell>
          <cell r="F268" t="str">
            <v>1. Remuneraciones</v>
          </cell>
        </row>
        <row r="269">
          <cell r="B269" t="str">
            <v>5-1-01-01-018</v>
          </cell>
          <cell r="E269" t="str">
            <v>2. Costos de Explotación</v>
          </cell>
          <cell r="F269" t="str">
            <v>1. Remuneraciones</v>
          </cell>
        </row>
        <row r="270">
          <cell r="B270" t="str">
            <v>5-1-01-01-019</v>
          </cell>
          <cell r="E270" t="str">
            <v>2. Costos de Explotación</v>
          </cell>
          <cell r="F270" t="str">
            <v>1. Remuneraciones</v>
          </cell>
        </row>
        <row r="271">
          <cell r="B271" t="str">
            <v>5-1-01-01-020</v>
          </cell>
          <cell r="E271" t="str">
            <v>2. Costos de Explotación</v>
          </cell>
          <cell r="F271" t="str">
            <v>1. Remuneraciones</v>
          </cell>
        </row>
        <row r="272">
          <cell r="B272" t="str">
            <v>5-1-01-01-021</v>
          </cell>
          <cell r="E272" t="str">
            <v>2. Costos de Explotación</v>
          </cell>
          <cell r="F272" t="str">
            <v>1. Remuneraciones</v>
          </cell>
        </row>
        <row r="273">
          <cell r="B273" t="str">
            <v>5-1-01-01-022</v>
          </cell>
          <cell r="E273" t="str">
            <v>2. Costos de Explotación</v>
          </cell>
          <cell r="F273" t="str">
            <v>1. Remuneraciones</v>
          </cell>
        </row>
        <row r="274">
          <cell r="B274" t="str">
            <v>5-1-01-01-023</v>
          </cell>
          <cell r="E274" t="str">
            <v>2. Costos de Explotación</v>
          </cell>
          <cell r="F274" t="str">
            <v>1. Remuneraciones</v>
          </cell>
        </row>
        <row r="275">
          <cell r="B275" t="str">
            <v>5-1-01-01-024</v>
          </cell>
          <cell r="E275" t="str">
            <v>2. Costos de Explotación</v>
          </cell>
          <cell r="F275" t="str">
            <v>1. Remuneraciones</v>
          </cell>
        </row>
        <row r="276">
          <cell r="B276" t="str">
            <v>5-1-01-01-025</v>
          </cell>
          <cell r="E276" t="str">
            <v>2. Costos de Explotación</v>
          </cell>
          <cell r="F276" t="str">
            <v>1. Remuneraciones</v>
          </cell>
        </row>
        <row r="277">
          <cell r="B277" t="str">
            <v>5-1-01-01-026</v>
          </cell>
          <cell r="E277" t="str">
            <v>2. Costos de Explotación</v>
          </cell>
          <cell r="F277" t="str">
            <v>1. Remuneraciones</v>
          </cell>
        </row>
        <row r="278">
          <cell r="B278" t="str">
            <v>5-1-01-01-027</v>
          </cell>
          <cell r="E278" t="str">
            <v>2. Costos de Explotación</v>
          </cell>
          <cell r="F278" t="str">
            <v>1. Remuneraciones</v>
          </cell>
        </row>
        <row r="279">
          <cell r="B279" t="str">
            <v>5-1-01-01-028</v>
          </cell>
          <cell r="E279" t="str">
            <v>2. Costos de Explotación</v>
          </cell>
          <cell r="F279" t="str">
            <v>1. Remuneraciones</v>
          </cell>
        </row>
        <row r="280">
          <cell r="B280" t="str">
            <v>5-1-01-01-901</v>
          </cell>
          <cell r="E280" t="str">
            <v>2. Costos de Explotación</v>
          </cell>
          <cell r="F280" t="str">
            <v>1. Remuneraciones</v>
          </cell>
        </row>
        <row r="281">
          <cell r="B281" t="str">
            <v>5-1-01-01-999</v>
          </cell>
          <cell r="E281" t="str">
            <v>2. Costos de Explotación</v>
          </cell>
          <cell r="F281" t="str">
            <v>1. Remuneraciones</v>
          </cell>
        </row>
        <row r="282">
          <cell r="B282" t="str">
            <v>5-1-01-02-001</v>
          </cell>
          <cell r="E282" t="str">
            <v>2. Costos de Explotación</v>
          </cell>
          <cell r="F282" t="str">
            <v>2. Leyes Sociales</v>
          </cell>
        </row>
        <row r="283">
          <cell r="B283" t="str">
            <v>5-1-01-02-002</v>
          </cell>
          <cell r="E283" t="str">
            <v>2. Costos de Explotación</v>
          </cell>
          <cell r="F283" t="str">
            <v>2. Leyes Sociales</v>
          </cell>
        </row>
        <row r="284">
          <cell r="B284" t="str">
            <v>5-1-01-02-003</v>
          </cell>
          <cell r="E284" t="str">
            <v>2. Costos de Explotación</v>
          </cell>
          <cell r="F284" t="str">
            <v>2. Leyes Sociales</v>
          </cell>
        </row>
        <row r="285">
          <cell r="B285" t="str">
            <v>5-1-01-03-001</v>
          </cell>
          <cell r="E285" t="str">
            <v>2. Costos de Explotación</v>
          </cell>
          <cell r="F285" t="str">
            <v>4. Indemnizaciones</v>
          </cell>
        </row>
        <row r="286">
          <cell r="B286" t="str">
            <v>5-1-01-03-002</v>
          </cell>
          <cell r="E286" t="str">
            <v>2. Costos de Explotación</v>
          </cell>
          <cell r="F286" t="str">
            <v>4. Indemnizaciones</v>
          </cell>
        </row>
        <row r="287">
          <cell r="B287" t="str">
            <v>5-1-01-04-001</v>
          </cell>
          <cell r="E287" t="str">
            <v>2. Costos de Explotación</v>
          </cell>
          <cell r="F287" t="str">
            <v>3. Pagos por cuenta del Mineduc</v>
          </cell>
        </row>
        <row r="288">
          <cell r="B288" t="str">
            <v>5-1-01-04-002</v>
          </cell>
          <cell r="E288" t="str">
            <v>2. Costos de Explotación</v>
          </cell>
          <cell r="F288" t="str">
            <v>3. Pagos por cuenta del Mineduc</v>
          </cell>
        </row>
        <row r="289">
          <cell r="B289" t="str">
            <v>5-1-01-04-011</v>
          </cell>
          <cell r="E289" t="str">
            <v>2. Costos de Explotación</v>
          </cell>
          <cell r="F289" t="str">
            <v>3. Pagos por cuenta del Mineduc</v>
          </cell>
        </row>
        <row r="290">
          <cell r="B290" t="str">
            <v>5-1-01-04-012</v>
          </cell>
          <cell r="E290" t="str">
            <v>2. Costos de Explotación</v>
          </cell>
          <cell r="F290" t="str">
            <v>3. Pagos por cuenta del Mineduc</v>
          </cell>
        </row>
        <row r="291">
          <cell r="B291" t="str">
            <v>5-1-01-05-001</v>
          </cell>
          <cell r="E291" t="str">
            <v>2. Costos de Explotación</v>
          </cell>
          <cell r="F291" t="str">
            <v>5. Honorarios</v>
          </cell>
        </row>
        <row r="292">
          <cell r="B292" t="str">
            <v>5-1-01-05-002</v>
          </cell>
          <cell r="E292" t="str">
            <v>2. Costos de Explotación</v>
          </cell>
          <cell r="F292" t="str">
            <v>5. Honorarios</v>
          </cell>
        </row>
        <row r="293">
          <cell r="B293" t="str">
            <v>5-1-01-05-003</v>
          </cell>
          <cell r="E293" t="str">
            <v>2. Costos de Explotación</v>
          </cell>
          <cell r="F293" t="str">
            <v>5. Honorarios</v>
          </cell>
        </row>
        <row r="294">
          <cell r="B294" t="str">
            <v>5-1-01-06-001</v>
          </cell>
          <cell r="E294" t="str">
            <v>2. Costos de Explotación</v>
          </cell>
          <cell r="F294" t="str">
            <v>5. Honorarios</v>
          </cell>
        </row>
        <row r="295">
          <cell r="B295" t="str">
            <v>5-1-01-06-003</v>
          </cell>
          <cell r="E295" t="str">
            <v>2. Costos de Explotación</v>
          </cell>
          <cell r="F295" t="str">
            <v>5. Honorarios</v>
          </cell>
        </row>
        <row r="296">
          <cell r="B296" t="str">
            <v>5-1-01-06-004</v>
          </cell>
          <cell r="E296" t="str">
            <v>2. Costos de Explotación</v>
          </cell>
          <cell r="F296" t="str">
            <v>5. Honorarios</v>
          </cell>
        </row>
        <row r="297">
          <cell r="B297" t="str">
            <v>5-1-01-07-001</v>
          </cell>
          <cell r="E297" t="str">
            <v>2. Costos de Explotación</v>
          </cell>
          <cell r="F297" t="str">
            <v>8. Gastos en Plantaciones</v>
          </cell>
        </row>
        <row r="298">
          <cell r="B298" t="str">
            <v>5-1-01-07-002</v>
          </cell>
          <cell r="E298" t="str">
            <v>2. Costos de Explotación</v>
          </cell>
          <cell r="F298" t="str">
            <v>8. Gastos en Plantaciones</v>
          </cell>
        </row>
        <row r="299">
          <cell r="B299" t="str">
            <v>5-1-01-07-003</v>
          </cell>
          <cell r="E299" t="str">
            <v>2. Costos de Explotación</v>
          </cell>
          <cell r="F299" t="str">
            <v>8. Gastos en Plantaciones</v>
          </cell>
        </row>
        <row r="300">
          <cell r="B300" t="str">
            <v>5-1-01-07-004</v>
          </cell>
          <cell r="E300" t="str">
            <v>2. Costos de Explotación</v>
          </cell>
          <cell r="F300" t="str">
            <v>8. Gastos en Plantaciones</v>
          </cell>
        </row>
        <row r="301">
          <cell r="B301" t="str">
            <v>5-1-01-07-005</v>
          </cell>
          <cell r="E301" t="str">
            <v>2. Costos de Explotación</v>
          </cell>
          <cell r="F301" t="str">
            <v>8. Gastos en Plantaciones</v>
          </cell>
        </row>
        <row r="302">
          <cell r="B302" t="str">
            <v>5-1-01-08-001</v>
          </cell>
          <cell r="E302" t="str">
            <v>2. Costos de Explotación</v>
          </cell>
          <cell r="F302" t="str">
            <v>9. Otros Gastos Operacionales</v>
          </cell>
        </row>
        <row r="303">
          <cell r="B303" t="str">
            <v>5-1-01-08-002</v>
          </cell>
          <cell r="E303" t="str">
            <v>2. Costos de Explotación</v>
          </cell>
          <cell r="F303" t="str">
            <v>9. Otros Gastos Operacionales</v>
          </cell>
        </row>
        <row r="304">
          <cell r="B304" t="str">
            <v>5-1-01-08-003</v>
          </cell>
          <cell r="E304" t="str">
            <v>2. Costos de Explotación</v>
          </cell>
          <cell r="F304" t="str">
            <v>9. Otros Gastos Operacionales</v>
          </cell>
        </row>
        <row r="305">
          <cell r="B305" t="str">
            <v>5-1-01-09-001</v>
          </cell>
          <cell r="E305" t="str">
            <v>2. Costos de Explotación</v>
          </cell>
          <cell r="F305" t="str">
            <v>6. Arriendos</v>
          </cell>
        </row>
        <row r="306">
          <cell r="B306" t="str">
            <v>5-1-02-01-001</v>
          </cell>
          <cell r="E306" t="str">
            <v>3. Gastos de Adm. y Ventas</v>
          </cell>
          <cell r="F306" t="str">
            <v>1. Consumos Básicos</v>
          </cell>
        </row>
        <row r="307">
          <cell r="B307" t="str">
            <v>5-1-02-01-002</v>
          </cell>
          <cell r="E307" t="str">
            <v>3. Gastos de Adm. y Ventas</v>
          </cell>
          <cell r="F307" t="str">
            <v>1. Consumos Básicos</v>
          </cell>
        </row>
        <row r="308">
          <cell r="B308" t="str">
            <v>5-1-02-01-003</v>
          </cell>
          <cell r="E308" t="str">
            <v>3. Gastos de Adm. y Ventas</v>
          </cell>
          <cell r="F308" t="str">
            <v>1. Consumos Básicos</v>
          </cell>
        </row>
        <row r="309">
          <cell r="B309" t="str">
            <v>5-1-02-01-004</v>
          </cell>
          <cell r="E309" t="str">
            <v>3. Gastos de Adm. y Ventas</v>
          </cell>
          <cell r="F309" t="str">
            <v>1. Consumos Básicos</v>
          </cell>
        </row>
        <row r="310">
          <cell r="B310" t="str">
            <v>5-1-02-01-005</v>
          </cell>
          <cell r="E310" t="str">
            <v>3. Gastos de Adm. y Ventas</v>
          </cell>
          <cell r="F310" t="str">
            <v>1. Consumos Básicos</v>
          </cell>
        </row>
        <row r="311">
          <cell r="B311" t="str">
            <v>5-1-02-02-001</v>
          </cell>
          <cell r="E311" t="str">
            <v>3. Gastos de Adm. y Ventas</v>
          </cell>
          <cell r="F311" t="str">
            <v>9. Gastos Generales</v>
          </cell>
        </row>
        <row r="312">
          <cell r="B312" t="str">
            <v>5-1-02-02-002</v>
          </cell>
          <cell r="E312" t="str">
            <v>3. Gastos de Adm. y Ventas</v>
          </cell>
          <cell r="F312" t="str">
            <v>9. Gastos Generales</v>
          </cell>
        </row>
        <row r="313">
          <cell r="B313" t="str">
            <v>5-1-02-02-003</v>
          </cell>
          <cell r="E313" t="str">
            <v>3. Gastos de Adm. y Ventas</v>
          </cell>
          <cell r="F313" t="str">
            <v>9. Gastos Generales</v>
          </cell>
        </row>
        <row r="314">
          <cell r="B314" t="str">
            <v>5-1-02-02-004</v>
          </cell>
          <cell r="E314" t="str">
            <v>3. Gastos de Adm. y Ventas</v>
          </cell>
          <cell r="F314" t="str">
            <v>9. Gastos Generales</v>
          </cell>
        </row>
        <row r="315">
          <cell r="B315" t="str">
            <v>5-1-02-02-005</v>
          </cell>
          <cell r="E315" t="str">
            <v>3. Gastos de Adm. y Ventas</v>
          </cell>
          <cell r="F315" t="str">
            <v>9. Gastos Generales</v>
          </cell>
        </row>
        <row r="316">
          <cell r="B316" t="str">
            <v>5-1-02-02-006</v>
          </cell>
          <cell r="E316" t="str">
            <v>3. Gastos de Adm. y Ventas</v>
          </cell>
          <cell r="F316" t="str">
            <v>9. Gastos Generales</v>
          </cell>
        </row>
        <row r="317">
          <cell r="B317" t="str">
            <v>5-1-02-02-007</v>
          </cell>
          <cell r="E317" t="str">
            <v>3. Gastos de Adm. y Ventas</v>
          </cell>
          <cell r="F317" t="str">
            <v>9. Gastos Generales</v>
          </cell>
        </row>
        <row r="318">
          <cell r="B318" t="str">
            <v>5-1-02-02-008</v>
          </cell>
          <cell r="E318" t="str">
            <v>3. Gastos de Adm. y Ventas</v>
          </cell>
          <cell r="F318" t="str">
            <v>9. Gastos Generales</v>
          </cell>
        </row>
        <row r="319">
          <cell r="B319" t="str">
            <v>5-1-02-02-009</v>
          </cell>
          <cell r="E319" t="str">
            <v>3. Gastos de Adm. y Ventas</v>
          </cell>
          <cell r="F319" t="str">
            <v>9. Gastos Generales</v>
          </cell>
        </row>
        <row r="320">
          <cell r="B320" t="str">
            <v>5-1-02-02-010</v>
          </cell>
          <cell r="E320" t="str">
            <v>3. Gastos de Adm. y Ventas</v>
          </cell>
          <cell r="F320" t="str">
            <v>9. Gastos Generales</v>
          </cell>
        </row>
        <row r="321">
          <cell r="B321" t="str">
            <v>5-1-02-02-011</v>
          </cell>
          <cell r="E321" t="str">
            <v>3. Gastos de Adm. y Ventas</v>
          </cell>
          <cell r="F321" t="str">
            <v>9. Gastos Generales</v>
          </cell>
        </row>
        <row r="322">
          <cell r="B322" t="str">
            <v>5-1-02-02-012</v>
          </cell>
          <cell r="E322" t="str">
            <v>3. Gastos de Adm. y Ventas</v>
          </cell>
          <cell r="F322" t="str">
            <v>9. Gastos Generales</v>
          </cell>
        </row>
        <row r="323">
          <cell r="B323" t="str">
            <v>5-1-02-02-013</v>
          </cell>
          <cell r="E323" t="str">
            <v>3. Gastos de Adm. y Ventas</v>
          </cell>
          <cell r="F323" t="str">
            <v>9. Gastos Generales</v>
          </cell>
        </row>
        <row r="324">
          <cell r="B324" t="str">
            <v>5-1-02-02-015</v>
          </cell>
          <cell r="E324" t="str">
            <v>3. Gastos de Adm. y Ventas</v>
          </cell>
          <cell r="F324" t="str">
            <v>9. Gastos Generales</v>
          </cell>
        </row>
        <row r="325">
          <cell r="B325" t="str">
            <v>5-1-02-02-016</v>
          </cell>
          <cell r="E325" t="str">
            <v>3. Gastos de Adm. y Ventas</v>
          </cell>
          <cell r="F325" t="str">
            <v>9. Gastos Generales</v>
          </cell>
        </row>
        <row r="326">
          <cell r="B326" t="str">
            <v>5-1-02-02-017</v>
          </cell>
          <cell r="E326" t="str">
            <v>3. Gastos de Adm. y Ventas</v>
          </cell>
          <cell r="F326" t="str">
            <v>9. Gastos Generales</v>
          </cell>
        </row>
        <row r="327">
          <cell r="B327" t="str">
            <v>5-1-02-02-018</v>
          </cell>
          <cell r="E327" t="str">
            <v>3. Gastos de Adm. y Ventas</v>
          </cell>
          <cell r="F327" t="str">
            <v>9. Gastos Generales</v>
          </cell>
        </row>
        <row r="328">
          <cell r="B328" t="str">
            <v>5-1-02-02-019</v>
          </cell>
          <cell r="E328" t="str">
            <v>3. Gastos de Adm. y Ventas</v>
          </cell>
          <cell r="F328" t="str">
            <v>9. Gastos Generales</v>
          </cell>
        </row>
        <row r="329">
          <cell r="B329" t="str">
            <v>5-1-02-02-020</v>
          </cell>
          <cell r="E329" t="str">
            <v>3. Gastos de Adm. y Ventas</v>
          </cell>
          <cell r="F329" t="str">
            <v>9. Gastos Generales</v>
          </cell>
        </row>
        <row r="330">
          <cell r="B330" t="str">
            <v>5-1-02-02-021</v>
          </cell>
          <cell r="E330" t="str">
            <v>3. Gastos de Adm. y Ventas</v>
          </cell>
          <cell r="F330" t="str">
            <v>9. Gastos Generales</v>
          </cell>
        </row>
        <row r="331">
          <cell r="B331" t="str">
            <v>5-1-02-02-022</v>
          </cell>
          <cell r="E331" t="str">
            <v>3. Gastos de Adm. y Ventas</v>
          </cell>
          <cell r="F331" t="str">
            <v>9. Gastos Generales</v>
          </cell>
        </row>
        <row r="332">
          <cell r="B332" t="str">
            <v>5-1-02-02-023</v>
          </cell>
          <cell r="E332" t="str">
            <v>3. Gastos de Adm. y Ventas</v>
          </cell>
          <cell r="F332" t="str">
            <v>9. Gastos Generales</v>
          </cell>
        </row>
        <row r="333">
          <cell r="B333" t="str">
            <v>5-1-02-02-024</v>
          </cell>
          <cell r="E333" t="str">
            <v>3. Gastos de Adm. y Ventas</v>
          </cell>
          <cell r="F333" t="str">
            <v>9. Gastos Generales</v>
          </cell>
        </row>
        <row r="334">
          <cell r="B334" t="str">
            <v>5-1-02-02-025</v>
          </cell>
          <cell r="E334" t="str">
            <v>3. Gastos de Adm. y Ventas</v>
          </cell>
          <cell r="F334" t="str">
            <v>10. Comisiones</v>
          </cell>
        </row>
        <row r="335">
          <cell r="B335" t="str">
            <v>5-1-02-03-001</v>
          </cell>
          <cell r="E335" t="str">
            <v>3. Gastos de Adm. y Ventas</v>
          </cell>
          <cell r="F335" t="str">
            <v>2. Mant. y Reparación</v>
          </cell>
        </row>
        <row r="336">
          <cell r="B336" t="str">
            <v>5-1-02-03-002</v>
          </cell>
          <cell r="E336" t="str">
            <v>3. Gastos de Adm. y Ventas</v>
          </cell>
          <cell r="F336" t="str">
            <v>2. Mant. y Reparación</v>
          </cell>
        </row>
        <row r="337">
          <cell r="B337" t="str">
            <v>5-1-02-03-004</v>
          </cell>
          <cell r="E337" t="str">
            <v>3. Gastos de Adm. y Ventas</v>
          </cell>
          <cell r="F337" t="str">
            <v>2. Mant. y Reparación</v>
          </cell>
        </row>
        <row r="338">
          <cell r="B338" t="str">
            <v>5-1-02-03-005</v>
          </cell>
          <cell r="E338" t="str">
            <v>3. Gastos de Adm. y Ventas</v>
          </cell>
          <cell r="F338" t="str">
            <v>2. Mant. y Reparación</v>
          </cell>
        </row>
        <row r="339">
          <cell r="B339" t="str">
            <v>5-1-02-03-007</v>
          </cell>
          <cell r="E339" t="str">
            <v>3. Gastos de Adm. y Ventas</v>
          </cell>
          <cell r="F339" t="str">
            <v>2. Mant. y Reparación</v>
          </cell>
        </row>
        <row r="340">
          <cell r="B340" t="str">
            <v>5-1-02-03-009</v>
          </cell>
          <cell r="E340" t="str">
            <v>3. Gastos de Adm. y Ventas</v>
          </cell>
          <cell r="F340" t="str">
            <v>2. Mant. y Reparación</v>
          </cell>
        </row>
        <row r="341">
          <cell r="B341" t="str">
            <v>5-1-02-04-001</v>
          </cell>
          <cell r="E341" t="str">
            <v>3. Gastos de Adm. y Ventas</v>
          </cell>
          <cell r="F341" t="str">
            <v>5. Publicidad y Publicaciones</v>
          </cell>
        </row>
        <row r="342">
          <cell r="B342" t="str">
            <v>5-1-02-04-002</v>
          </cell>
          <cell r="E342" t="str">
            <v>3. Gastos de Adm. y Ventas</v>
          </cell>
          <cell r="F342" t="str">
            <v>5. Publicidad y Publicaciones</v>
          </cell>
        </row>
        <row r="343">
          <cell r="B343" t="str">
            <v>5-1-02-04-003</v>
          </cell>
          <cell r="E343" t="str">
            <v>3. Gastos de Adm. y Ventas</v>
          </cell>
          <cell r="F343" t="str">
            <v>5. Publicidad y Publicaciones</v>
          </cell>
        </row>
        <row r="344">
          <cell r="B344" t="str">
            <v>5-1-02-05-001</v>
          </cell>
          <cell r="E344" t="str">
            <v>3. Gastos de Adm. y Ventas</v>
          </cell>
          <cell r="F344" t="str">
            <v>9. Gastos Generales</v>
          </cell>
        </row>
        <row r="345">
          <cell r="B345" t="str">
            <v>5-1-02-05-002</v>
          </cell>
          <cell r="E345" t="str">
            <v>3. Gastos de Adm. y Ventas</v>
          </cell>
          <cell r="F345" t="str">
            <v>9. Gastos Generales</v>
          </cell>
        </row>
        <row r="346">
          <cell r="B346" t="str">
            <v>5-1-02-05-003</v>
          </cell>
          <cell r="E346" t="str">
            <v>3. Gastos de Adm. y Ventas</v>
          </cell>
          <cell r="F346" t="str">
            <v>9. Gastos Generales</v>
          </cell>
        </row>
        <row r="347">
          <cell r="B347" t="str">
            <v>5-1-02-05-004</v>
          </cell>
          <cell r="E347" t="str">
            <v>3. Gastos de Adm. y Ventas</v>
          </cell>
          <cell r="F347" t="str">
            <v>9. Gastos Generales</v>
          </cell>
        </row>
        <row r="348">
          <cell r="B348" t="str">
            <v>5-1-02-05-005</v>
          </cell>
          <cell r="E348" t="str">
            <v>3. Gastos de Adm. y Ventas</v>
          </cell>
          <cell r="F348" t="str">
            <v>9. Gastos Generales</v>
          </cell>
        </row>
        <row r="349">
          <cell r="B349" t="str">
            <v>5-1-02-05-006</v>
          </cell>
          <cell r="E349" t="str">
            <v>3. Gastos de Adm. y Ventas</v>
          </cell>
          <cell r="F349" t="str">
            <v>9. Gastos Generales</v>
          </cell>
        </row>
        <row r="350">
          <cell r="B350" t="str">
            <v>5-1-02-06-001</v>
          </cell>
          <cell r="E350" t="str">
            <v>3. Gastos de Adm. y Ventas</v>
          </cell>
          <cell r="F350" t="str">
            <v>4. Seguros</v>
          </cell>
        </row>
        <row r="351">
          <cell r="B351" t="str">
            <v>5-1-02-07-001</v>
          </cell>
          <cell r="E351" t="str">
            <v>3. Gastos de Adm. y Ventas</v>
          </cell>
          <cell r="F351" t="str">
            <v>6. Gastos Directos Colegios</v>
          </cell>
        </row>
        <row r="352">
          <cell r="B352" t="str">
            <v>5-1-02-07-002</v>
          </cell>
          <cell r="E352" t="str">
            <v>3. Gastos de Adm. y Ventas</v>
          </cell>
          <cell r="F352" t="str">
            <v>6. Gastos Directos Colegios</v>
          </cell>
        </row>
        <row r="353">
          <cell r="B353" t="str">
            <v>5-1-02-07-003</v>
          </cell>
          <cell r="E353" t="str">
            <v>3. Gastos de Adm. y Ventas</v>
          </cell>
          <cell r="F353" t="str">
            <v>6. Gastos Directos Colegios</v>
          </cell>
        </row>
        <row r="354">
          <cell r="B354" t="str">
            <v>5-1-02-07-004</v>
          </cell>
          <cell r="E354" t="str">
            <v>3. Gastos de Adm. y Ventas</v>
          </cell>
          <cell r="F354" t="str">
            <v>6. Gastos Directos Colegios</v>
          </cell>
        </row>
        <row r="355">
          <cell r="B355" t="str">
            <v>5-1-02-08-001</v>
          </cell>
          <cell r="E355" t="str">
            <v>3. Gastos de Adm. y Ventas</v>
          </cell>
          <cell r="F355" t="str">
            <v>3. Asesorias</v>
          </cell>
        </row>
        <row r="356">
          <cell r="B356" t="str">
            <v>5-1-02-08-002</v>
          </cell>
          <cell r="E356" t="str">
            <v>3. Gastos de Adm. y Ventas</v>
          </cell>
          <cell r="F356" t="str">
            <v>3. Asesorias</v>
          </cell>
        </row>
        <row r="357">
          <cell r="B357" t="str">
            <v>5-1-02-08-003</v>
          </cell>
          <cell r="E357" t="str">
            <v>3. Gastos de Adm. y Ventas</v>
          </cell>
          <cell r="F357" t="str">
            <v>3. Asesorias</v>
          </cell>
        </row>
        <row r="358">
          <cell r="B358" t="str">
            <v>5-1-02-08-004</v>
          </cell>
          <cell r="E358" t="str">
            <v>3. Gastos de Adm. y Ventas</v>
          </cell>
          <cell r="F358" t="str">
            <v>3. Asesorias</v>
          </cell>
        </row>
        <row r="359">
          <cell r="B359" t="str">
            <v>5-1-02-09-001</v>
          </cell>
          <cell r="E359" t="str">
            <v>3. Gastos de Adm. y Ventas</v>
          </cell>
          <cell r="F359" t="str">
            <v>7. Gastos de Proyectos</v>
          </cell>
        </row>
        <row r="360">
          <cell r="B360" t="str">
            <v>5-1-02-09-002</v>
          </cell>
          <cell r="E360" t="str">
            <v>3. Gastos de Adm. y Ventas</v>
          </cell>
          <cell r="F360" t="str">
            <v>7. Gastos de Proyectos</v>
          </cell>
        </row>
        <row r="361">
          <cell r="B361" t="str">
            <v>5-1-02-09-003</v>
          </cell>
          <cell r="E361" t="str">
            <v>3. Gastos de Adm. y Ventas</v>
          </cell>
          <cell r="F361" t="str">
            <v>7. Gastos de Proyectos</v>
          </cell>
        </row>
        <row r="362">
          <cell r="B362" t="str">
            <v>5-1-02-09-004</v>
          </cell>
          <cell r="E362" t="str">
            <v>3. Gastos de Adm. y Ventas</v>
          </cell>
          <cell r="F362" t="str">
            <v>7. Gastos de Proyectos</v>
          </cell>
        </row>
        <row r="363">
          <cell r="B363" t="str">
            <v>5-1-02-09-005</v>
          </cell>
          <cell r="E363" t="str">
            <v>3. Gastos de Adm. y Ventas</v>
          </cell>
          <cell r="F363" t="str">
            <v>7. Gastos de Proyectos</v>
          </cell>
        </row>
        <row r="364">
          <cell r="B364" t="str">
            <v>5-1-02-09-006</v>
          </cell>
          <cell r="E364" t="str">
            <v>3. Gastos de Adm. y Ventas</v>
          </cell>
          <cell r="F364" t="str">
            <v>7. Gastos de Proyectos</v>
          </cell>
        </row>
        <row r="365">
          <cell r="B365" t="str">
            <v>5-1-02-09-007</v>
          </cell>
          <cell r="E365" t="str">
            <v>3. Gastos de Adm. y Ventas</v>
          </cell>
          <cell r="F365" t="str">
            <v>7. Gastos de Proyectos</v>
          </cell>
        </row>
        <row r="366">
          <cell r="B366" t="str">
            <v>5-1-02-09-008</v>
          </cell>
          <cell r="E366" t="str">
            <v>3. Gastos de Adm. y Ventas</v>
          </cell>
          <cell r="F366" t="str">
            <v>7. Gastos de Proyectos</v>
          </cell>
        </row>
        <row r="367">
          <cell r="B367" t="str">
            <v>5-1-02-09-009</v>
          </cell>
          <cell r="E367" t="str">
            <v>3. Gastos de Adm. y Ventas</v>
          </cell>
          <cell r="F367" t="str">
            <v>7. Gastos de Proyectos</v>
          </cell>
        </row>
        <row r="368">
          <cell r="B368" t="str">
            <v>5-1-02-09-010</v>
          </cell>
          <cell r="E368" t="str">
            <v>3. Gastos de Adm. y Ventas</v>
          </cell>
          <cell r="F368" t="str">
            <v>7. Gastos de Proyectos</v>
          </cell>
        </row>
        <row r="369">
          <cell r="B369" t="str">
            <v>5-1-02-09-011</v>
          </cell>
          <cell r="E369" t="str">
            <v>3. Gastos de Adm. y Ventas</v>
          </cell>
          <cell r="F369" t="str">
            <v>7. Gastos de Proyectos</v>
          </cell>
        </row>
        <row r="370">
          <cell r="B370" t="str">
            <v>5-1-02-09-013</v>
          </cell>
          <cell r="E370" t="str">
            <v>3. Gastos de Adm. y Ventas</v>
          </cell>
          <cell r="F370" t="str">
            <v>7. Gastos de Proyectos</v>
          </cell>
        </row>
        <row r="371">
          <cell r="B371" t="str">
            <v>5-1-02-10-001</v>
          </cell>
          <cell r="E371" t="str">
            <v>3. Gastos de Adm. y Ventas</v>
          </cell>
          <cell r="F371" t="str">
            <v>2. Mant. y Reparación</v>
          </cell>
        </row>
        <row r="372">
          <cell r="B372" t="str">
            <v>5-1-02-10-002</v>
          </cell>
          <cell r="E372" t="str">
            <v>3. Gastos de Adm. y Ventas</v>
          </cell>
          <cell r="F372" t="str">
            <v>2. Mant. y Reparación</v>
          </cell>
        </row>
        <row r="373">
          <cell r="B373" t="str">
            <v>5-1-02-20-001</v>
          </cell>
          <cell r="E373" t="str">
            <v>3. Gastos de Adm. y Ventas</v>
          </cell>
          <cell r="F373" t="str">
            <v>90. Otros Gastos Adm. y Vtas.</v>
          </cell>
        </row>
        <row r="374">
          <cell r="B374" t="str">
            <v>5-1-02-30-001</v>
          </cell>
          <cell r="E374" t="str">
            <v>3. Gastos de Adm. y Ventas</v>
          </cell>
          <cell r="F374" t="str">
            <v>90. Otros Gastos Adm. y Vtas.</v>
          </cell>
        </row>
        <row r="375">
          <cell r="B375" t="str">
            <v>5-1-02-40-001</v>
          </cell>
          <cell r="E375" t="str">
            <v>3. Gastos de Adm. y Ventas</v>
          </cell>
          <cell r="F375" t="str">
            <v>90. Otros Gastos Adm. y Vtas.</v>
          </cell>
        </row>
        <row r="376">
          <cell r="B376" t="str">
            <v>5-1-02-99-001</v>
          </cell>
          <cell r="E376" t="str">
            <v>3. Gastos de Adm. y Ventas</v>
          </cell>
          <cell r="F376" t="str">
            <v>90. Otros Gastos Adm. y Vtas.</v>
          </cell>
        </row>
        <row r="378">
          <cell r="B378" t="str">
            <v>5-2-01-01-001</v>
          </cell>
          <cell r="E378" t="str">
            <v>2. Egresos Fuera de Explotación</v>
          </cell>
          <cell r="F378" t="str">
            <v>1. Gastos Financieros</v>
          </cell>
        </row>
        <row r="379">
          <cell r="B379" t="str">
            <v>5-2-01-01-002</v>
          </cell>
          <cell r="E379" t="str">
            <v>2. Egresos Fuera de Explotación</v>
          </cell>
          <cell r="F379" t="str">
            <v>1. Gastos Financieros</v>
          </cell>
        </row>
        <row r="380">
          <cell r="B380" t="str">
            <v>5-2-01-01-003</v>
          </cell>
          <cell r="E380" t="str">
            <v>2. Egresos Fuera de Explotación</v>
          </cell>
          <cell r="F380" t="str">
            <v>1. Gastos Financieros</v>
          </cell>
        </row>
        <row r="381">
          <cell r="B381" t="str">
            <v>5-2-01-01-004</v>
          </cell>
          <cell r="E381" t="str">
            <v>2. Egresos Fuera de Explotación</v>
          </cell>
          <cell r="F381" t="str">
            <v>1. Gastos Financieros</v>
          </cell>
        </row>
        <row r="382">
          <cell r="B382" t="str">
            <v>5-2-01-01-005</v>
          </cell>
          <cell r="E382" t="str">
            <v>2. Egresos Fuera de Explotación</v>
          </cell>
          <cell r="F382" t="str">
            <v>1. Gastos Financieros</v>
          </cell>
        </row>
        <row r="383">
          <cell r="B383" t="str">
            <v>5-2-01-01-006</v>
          </cell>
          <cell r="E383" t="str">
            <v>2. Egresos Fuera de Explotación</v>
          </cell>
          <cell r="F383" t="str">
            <v>1. Gastos Financieros</v>
          </cell>
        </row>
        <row r="384">
          <cell r="B384" t="str">
            <v>5-2-01-01-007</v>
          </cell>
          <cell r="E384" t="str">
            <v>2. Egresos Fuera de Explotación</v>
          </cell>
          <cell r="F384" t="str">
            <v>1. Gastos Financieros</v>
          </cell>
        </row>
        <row r="385">
          <cell r="B385" t="str">
            <v>5-2-01-02-001</v>
          </cell>
          <cell r="E385" t="str">
            <v>2. Egresos Fuera de Explotación</v>
          </cell>
          <cell r="F385" t="str">
            <v>3. Corrección Monetaria</v>
          </cell>
        </row>
        <row r="386">
          <cell r="B386" t="str">
            <v>5-2-01-02-002</v>
          </cell>
          <cell r="E386" t="str">
            <v>2. Egresos Fuera de Explotación</v>
          </cell>
          <cell r="F386" t="str">
            <v>4. Diferencia de Cambio</v>
          </cell>
        </row>
        <row r="387">
          <cell r="B387" t="str">
            <v>5-2-01-02-003</v>
          </cell>
          <cell r="E387" t="str">
            <v>2. Egresos Fuera de Explotación</v>
          </cell>
          <cell r="F387" t="str">
            <v>3. Corrección Monetaria</v>
          </cell>
        </row>
        <row r="388">
          <cell r="B388" t="str">
            <v>5-2-01-02-004</v>
          </cell>
          <cell r="E388" t="str">
            <v>2. Egresos Fuera de Explotación</v>
          </cell>
          <cell r="F388" t="str">
            <v>3. Corrección Monetaria</v>
          </cell>
        </row>
        <row r="389">
          <cell r="B389" t="str">
            <v>5-2-01-03-001</v>
          </cell>
          <cell r="E389" t="str">
            <v>2. Egresos Fuera de Explotación</v>
          </cell>
          <cell r="F389" t="str">
            <v>2. Otros Gastos Fuera de Explotación</v>
          </cell>
        </row>
        <row r="390">
          <cell r="B390" t="str">
            <v>5-2-01-04-001</v>
          </cell>
          <cell r="E390" t="str">
            <v>2. Egresos Fuera de Explotación</v>
          </cell>
          <cell r="F390" t="str">
            <v>2. Otros Gastos Fuera de Explotación</v>
          </cell>
        </row>
        <row r="391">
          <cell r="B391" t="str">
            <v>5-2-01-05-001</v>
          </cell>
          <cell r="E391" t="str">
            <v>2. Egresos Fuera de Explotación</v>
          </cell>
          <cell r="F391" t="str">
            <v>2. Otros Gastos Fuera de Explotación</v>
          </cell>
        </row>
        <row r="392">
          <cell r="B392" t="str">
            <v>5-2-03-01-001</v>
          </cell>
          <cell r="E392" t="str">
            <v>2. Egresos Fuera de Explotación</v>
          </cell>
          <cell r="F392" t="str">
            <v>2. Otros Gastos Fuera de Explotación</v>
          </cell>
        </row>
        <row r="393">
          <cell r="B393" t="str">
            <v>5-2-05-01-001</v>
          </cell>
          <cell r="E393" t="str">
            <v>2. Egresos Fuera de Explotación</v>
          </cell>
          <cell r="F393" t="str">
            <v>2. Otros Gastos Fuera de Explotación</v>
          </cell>
        </row>
        <row r="394">
          <cell r="B394" t="str">
            <v>5-2-05-01-002</v>
          </cell>
          <cell r="E394" t="str">
            <v>2. Egresos Fuera de Explotación</v>
          </cell>
          <cell r="F394" t="str">
            <v>2. Otros Gastos Fuera de Explotación</v>
          </cell>
        </row>
        <row r="395">
          <cell r="B395" t="str">
            <v>5-2-05-02-001</v>
          </cell>
          <cell r="E395" t="str">
            <v>2. Egresos Fuera de Explotación</v>
          </cell>
          <cell r="F395" t="str">
            <v>2. Otros Gastos Fuera de Explotación</v>
          </cell>
        </row>
        <row r="397">
          <cell r="B397" t="str">
            <v>5-2-04-01-001</v>
          </cell>
          <cell r="E397" t="str">
            <v>3. Impuestos</v>
          </cell>
          <cell r="F397" t="str">
            <v>Impuesto a la Renta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CION PRIVADA"/>
      <sheetName val="GastoPersonal"/>
      <sheetName val="Demanda-2014"/>
      <sheetName val="TrenKm-TKBC"/>
      <sheetName val="EVS"/>
    </sheetNames>
    <sheetDataSet>
      <sheetData sheetId="0">
        <row r="11">
          <cell r="P11">
            <v>30.8</v>
          </cell>
        </row>
        <row r="12">
          <cell r="K12">
            <v>1.36542686132341</v>
          </cell>
          <cell r="P12">
            <v>205.88</v>
          </cell>
        </row>
        <row r="13">
          <cell r="P13">
            <v>0.5</v>
          </cell>
        </row>
        <row r="14">
          <cell r="G14">
            <v>5474</v>
          </cell>
        </row>
        <row r="15">
          <cell r="G15">
            <v>6</v>
          </cell>
        </row>
        <row r="16">
          <cell r="K16">
            <v>1.34E-4</v>
          </cell>
        </row>
        <row r="18">
          <cell r="G18">
            <v>3.1705115913880776E-2</v>
          </cell>
        </row>
        <row r="30">
          <cell r="A30">
            <v>0.4</v>
          </cell>
        </row>
        <row r="31">
          <cell r="A31">
            <v>0.6</v>
          </cell>
        </row>
      </sheetData>
      <sheetData sheetId="1"/>
      <sheetData sheetId="2"/>
      <sheetData sheetId="3">
        <row r="31">
          <cell r="B31">
            <v>80</v>
          </cell>
        </row>
        <row r="33">
          <cell r="B33">
            <v>70</v>
          </cell>
        </row>
        <row r="34">
          <cell r="B34">
            <v>70</v>
          </cell>
        </row>
        <row r="46">
          <cell r="K46">
            <v>2001792</v>
          </cell>
        </row>
        <row r="49">
          <cell r="J49">
            <v>0.03</v>
          </cell>
        </row>
        <row r="65">
          <cell r="B65">
            <v>160</v>
          </cell>
        </row>
      </sheetData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to sin cargar"/>
      <sheetName val="Base Tabla"/>
      <sheetName val="Tabla"/>
      <sheetName val="Resumen"/>
      <sheetName val="PER"/>
      <sheetName val="MAN"/>
      <sheetName val="GG"/>
      <sheetName val="Tapa"/>
      <sheetName val="Tapa (2)"/>
      <sheetName val="ResIng"/>
      <sheetName val="TablaIng"/>
      <sheetName val="Base Ing"/>
      <sheetName val="Ing sin cargar"/>
      <sheetName val="Graf"/>
    </sheetNames>
    <sheetDataSet>
      <sheetData sheetId="0"/>
      <sheetData sheetId="1" refreshError="1"/>
      <sheetData sheetId="2">
        <row r="1">
          <cell r="A1" t="str">
            <v>Suma de Ppto</v>
          </cell>
        </row>
        <row r="2">
          <cell r="C2" t="str">
            <v>Real</v>
          </cell>
        </row>
        <row r="3">
          <cell r="C3">
            <v>397109942</v>
          </cell>
        </row>
        <row r="4">
          <cell r="C4">
            <v>517235254</v>
          </cell>
        </row>
        <row r="5">
          <cell r="C5">
            <v>376073</v>
          </cell>
        </row>
        <row r="6">
          <cell r="C6">
            <v>76890732</v>
          </cell>
        </row>
        <row r="7">
          <cell r="C7">
            <v>1995706948</v>
          </cell>
        </row>
        <row r="8">
          <cell r="C8">
            <v>-79421408</v>
          </cell>
        </row>
        <row r="9">
          <cell r="C9">
            <v>68908035</v>
          </cell>
        </row>
        <row r="10">
          <cell r="C10">
            <v>2487726</v>
          </cell>
        </row>
        <row r="11">
          <cell r="C11">
            <v>101396994</v>
          </cell>
        </row>
        <row r="12">
          <cell r="C12">
            <v>35949466</v>
          </cell>
        </row>
        <row r="13">
          <cell r="C13">
            <v>1736836360</v>
          </cell>
        </row>
        <row r="14">
          <cell r="C14">
            <v>-126822423</v>
          </cell>
        </row>
        <row r="15">
          <cell r="C15">
            <v>660337878</v>
          </cell>
        </row>
        <row r="16">
          <cell r="C16">
            <v>8184340</v>
          </cell>
        </row>
        <row r="17">
          <cell r="C17">
            <v>7830420</v>
          </cell>
        </row>
        <row r="18">
          <cell r="C18">
            <v>10271781</v>
          </cell>
        </row>
        <row r="19">
          <cell r="C19">
            <v>21394587</v>
          </cell>
        </row>
        <row r="20">
          <cell r="C20">
            <v>10695795</v>
          </cell>
        </row>
        <row r="21">
          <cell r="C21">
            <v>10279539</v>
          </cell>
        </row>
        <row r="22">
          <cell r="C22">
            <v>8200210</v>
          </cell>
        </row>
        <row r="23">
          <cell r="C23">
            <v>19641073</v>
          </cell>
        </row>
        <row r="24">
          <cell r="C24">
            <v>368532708</v>
          </cell>
        </row>
        <row r="25">
          <cell r="C25">
            <v>130713452</v>
          </cell>
        </row>
        <row r="26">
          <cell r="C26">
            <v>9139356</v>
          </cell>
        </row>
        <row r="27">
          <cell r="C27">
            <v>974568</v>
          </cell>
        </row>
        <row r="28">
          <cell r="C28">
            <v>-42487193</v>
          </cell>
        </row>
        <row r="29">
          <cell r="C29">
            <v>80530865</v>
          </cell>
        </row>
        <row r="30">
          <cell r="C30">
            <v>42328019</v>
          </cell>
        </row>
        <row r="31">
          <cell r="C31">
            <v>53753553</v>
          </cell>
        </row>
        <row r="32">
          <cell r="C32">
            <v>24045044</v>
          </cell>
        </row>
        <row r="33">
          <cell r="C33">
            <v>2913281</v>
          </cell>
        </row>
        <row r="34">
          <cell r="C34">
            <v>820961</v>
          </cell>
        </row>
        <row r="35">
          <cell r="C35">
            <v>40588498</v>
          </cell>
        </row>
        <row r="36">
          <cell r="C36">
            <v>44727072</v>
          </cell>
        </row>
        <row r="37">
          <cell r="C37">
            <v>78270</v>
          </cell>
        </row>
        <row r="38">
          <cell r="C38">
            <v>5130615</v>
          </cell>
        </row>
        <row r="39">
          <cell r="C39">
            <v>0</v>
          </cell>
        </row>
        <row r="40">
          <cell r="C40">
            <v>12197246</v>
          </cell>
        </row>
        <row r="41">
          <cell r="C41">
            <v>1516853</v>
          </cell>
        </row>
        <row r="42">
          <cell r="C42">
            <v>7145975</v>
          </cell>
        </row>
        <row r="43">
          <cell r="C43">
            <v>889035</v>
          </cell>
        </row>
        <row r="44">
          <cell r="C44">
            <v>12113109</v>
          </cell>
        </row>
        <row r="45">
          <cell r="C45">
            <v>578422</v>
          </cell>
        </row>
        <row r="46">
          <cell r="C46">
            <v>6388669</v>
          </cell>
        </row>
        <row r="47">
          <cell r="C47">
            <v>41449678</v>
          </cell>
        </row>
        <row r="48">
          <cell r="C48">
            <v>192981820</v>
          </cell>
        </row>
        <row r="49">
          <cell r="C49">
            <v>5100689</v>
          </cell>
        </row>
        <row r="50">
          <cell r="C50">
            <v>21354938</v>
          </cell>
        </row>
        <row r="51">
          <cell r="C51">
            <v>759868366</v>
          </cell>
        </row>
        <row r="52">
          <cell r="C52">
            <v>5185365</v>
          </cell>
        </row>
        <row r="53">
          <cell r="C53">
            <v>2873818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10434773</v>
          </cell>
        </row>
        <row r="57">
          <cell r="C57">
            <v>312779870</v>
          </cell>
        </row>
        <row r="58">
          <cell r="C58">
            <v>228188425</v>
          </cell>
        </row>
        <row r="59">
          <cell r="C59">
            <v>-34933277</v>
          </cell>
        </row>
        <row r="60">
          <cell r="C60">
            <v>2271487</v>
          </cell>
        </row>
        <row r="61">
          <cell r="C61">
            <v>26181189</v>
          </cell>
        </row>
        <row r="62">
          <cell r="C62">
            <v>16559111</v>
          </cell>
        </row>
        <row r="63">
          <cell r="C63">
            <v>5844262</v>
          </cell>
        </row>
        <row r="64">
          <cell r="C64">
            <v>133632828</v>
          </cell>
        </row>
        <row r="65">
          <cell r="C65">
            <v>-1143315</v>
          </cell>
        </row>
        <row r="66">
          <cell r="C66">
            <v>19395984</v>
          </cell>
        </row>
        <row r="67">
          <cell r="C67">
            <v>8647168</v>
          </cell>
        </row>
        <row r="68">
          <cell r="C68">
            <v>19846299</v>
          </cell>
        </row>
        <row r="69">
          <cell r="C69">
            <v>45517306</v>
          </cell>
        </row>
        <row r="70">
          <cell r="C70">
            <v>120469371</v>
          </cell>
        </row>
        <row r="71">
          <cell r="C71">
            <v>250590012</v>
          </cell>
        </row>
        <row r="72">
          <cell r="C72">
            <v>10396708</v>
          </cell>
        </row>
        <row r="73">
          <cell r="C73">
            <v>-15880431</v>
          </cell>
        </row>
        <row r="74">
          <cell r="C74">
            <v>108390327</v>
          </cell>
        </row>
        <row r="75">
          <cell r="C75">
            <v>84218186</v>
          </cell>
        </row>
        <row r="76">
          <cell r="C76">
            <v>23473241</v>
          </cell>
        </row>
        <row r="77">
          <cell r="C77">
            <v>-2420109</v>
          </cell>
        </row>
        <row r="78">
          <cell r="C78">
            <v>970246062</v>
          </cell>
        </row>
        <row r="79">
          <cell r="C79">
            <v>1189907980</v>
          </cell>
        </row>
        <row r="80">
          <cell r="C80">
            <v>13226541</v>
          </cell>
        </row>
        <row r="81">
          <cell r="C81">
            <v>6712875</v>
          </cell>
        </row>
        <row r="82">
          <cell r="C82">
            <v>354057</v>
          </cell>
        </row>
        <row r="83">
          <cell r="C83">
            <v>46449043</v>
          </cell>
        </row>
        <row r="84">
          <cell r="C84">
            <v>5446363</v>
          </cell>
        </row>
        <row r="85">
          <cell r="C85">
            <v>389165</v>
          </cell>
        </row>
        <row r="86">
          <cell r="C86">
            <v>1706277</v>
          </cell>
        </row>
        <row r="87">
          <cell r="C87">
            <v>26898085</v>
          </cell>
        </row>
        <row r="88">
          <cell r="C88">
            <v>11554286</v>
          </cell>
        </row>
        <row r="89">
          <cell r="C89">
            <v>3333569873</v>
          </cell>
        </row>
        <row r="90">
          <cell r="C90">
            <v>-99192</v>
          </cell>
        </row>
        <row r="91">
          <cell r="C91">
            <v>1360099</v>
          </cell>
        </row>
        <row r="92">
          <cell r="C92">
            <v>3339036</v>
          </cell>
        </row>
        <row r="93">
          <cell r="C93">
            <v>32905131</v>
          </cell>
        </row>
        <row r="94">
          <cell r="C94">
            <v>176338</v>
          </cell>
        </row>
        <row r="95">
          <cell r="C95">
            <v>276</v>
          </cell>
        </row>
        <row r="96">
          <cell r="C96">
            <v>9752660</v>
          </cell>
        </row>
        <row r="97">
          <cell r="C97">
            <v>20157063</v>
          </cell>
        </row>
        <row r="98">
          <cell r="C98">
            <v>31157297</v>
          </cell>
        </row>
        <row r="99">
          <cell r="C99">
            <v>784777</v>
          </cell>
        </row>
        <row r="100">
          <cell r="C100">
            <v>1057</v>
          </cell>
        </row>
        <row r="101">
          <cell r="C101">
            <v>922897803</v>
          </cell>
        </row>
        <row r="102">
          <cell r="C102">
            <v>30471889</v>
          </cell>
        </row>
        <row r="103">
          <cell r="C103">
            <v>57641731</v>
          </cell>
        </row>
        <row r="104">
          <cell r="C104">
            <v>1762</v>
          </cell>
        </row>
        <row r="105">
          <cell r="C105">
            <v>477979415</v>
          </cell>
        </row>
        <row r="106">
          <cell r="C106">
            <v>145824483</v>
          </cell>
        </row>
        <row r="107">
          <cell r="C107">
            <v>46262160</v>
          </cell>
        </row>
        <row r="108">
          <cell r="C108">
            <v>14942188</v>
          </cell>
        </row>
        <row r="109">
          <cell r="C109">
            <v>83851289</v>
          </cell>
        </row>
        <row r="110">
          <cell r="C110">
            <v>205331800</v>
          </cell>
        </row>
        <row r="111">
          <cell r="C111">
            <v>18786080</v>
          </cell>
        </row>
        <row r="112">
          <cell r="C112">
            <v>479181</v>
          </cell>
        </row>
        <row r="113">
          <cell r="C113">
            <v>14482521</v>
          </cell>
        </row>
        <row r="114">
          <cell r="C114">
            <v>0</v>
          </cell>
        </row>
        <row r="115">
          <cell r="C115">
            <v>8834592</v>
          </cell>
        </row>
        <row r="116">
          <cell r="C116">
            <v>8100</v>
          </cell>
        </row>
        <row r="117">
          <cell r="C117">
            <v>331527</v>
          </cell>
        </row>
        <row r="118">
          <cell r="C118">
            <v>67874404</v>
          </cell>
        </row>
        <row r="119">
          <cell r="C119">
            <v>18797272</v>
          </cell>
        </row>
        <row r="120">
          <cell r="C120">
            <v>16512291</v>
          </cell>
        </row>
        <row r="121">
          <cell r="C121">
            <v>6145725</v>
          </cell>
        </row>
        <row r="122">
          <cell r="C122">
            <v>10619703</v>
          </cell>
        </row>
        <row r="123">
          <cell r="C123">
            <v>103746849</v>
          </cell>
        </row>
        <row r="124">
          <cell r="C124">
            <v>56640873</v>
          </cell>
        </row>
        <row r="125">
          <cell r="C125">
            <v>2739273</v>
          </cell>
        </row>
        <row r="126">
          <cell r="C126">
            <v>60173239</v>
          </cell>
        </row>
        <row r="127">
          <cell r="C127">
            <v>413670</v>
          </cell>
        </row>
        <row r="128">
          <cell r="C128">
            <v>2471122</v>
          </cell>
        </row>
        <row r="129">
          <cell r="C129">
            <v>167080</v>
          </cell>
        </row>
        <row r="130">
          <cell r="C130">
            <v>64743087</v>
          </cell>
        </row>
        <row r="131">
          <cell r="C131">
            <v>211122380</v>
          </cell>
        </row>
        <row r="132">
          <cell r="C132">
            <v>320634054</v>
          </cell>
        </row>
        <row r="133">
          <cell r="C133">
            <v>421589</v>
          </cell>
        </row>
        <row r="134">
          <cell r="C134">
            <v>8486415</v>
          </cell>
        </row>
        <row r="135">
          <cell r="C135">
            <v>4602031</v>
          </cell>
        </row>
        <row r="136">
          <cell r="C136">
            <v>87631897</v>
          </cell>
        </row>
        <row r="137">
          <cell r="C137">
            <v>5794505</v>
          </cell>
        </row>
        <row r="138">
          <cell r="C138">
            <v>3236247</v>
          </cell>
        </row>
        <row r="139">
          <cell r="C139">
            <v>236691</v>
          </cell>
        </row>
        <row r="140">
          <cell r="C140">
            <v>17215017</v>
          </cell>
        </row>
        <row r="141">
          <cell r="C141">
            <v>12985599</v>
          </cell>
        </row>
        <row r="142">
          <cell r="C142">
            <v>4296242</v>
          </cell>
        </row>
        <row r="143">
          <cell r="C143">
            <v>2363936</v>
          </cell>
        </row>
        <row r="144">
          <cell r="C144">
            <v>4670998</v>
          </cell>
        </row>
        <row r="145">
          <cell r="C145">
            <v>13125335</v>
          </cell>
        </row>
        <row r="146">
          <cell r="C146">
            <v>161556352</v>
          </cell>
        </row>
        <row r="147">
          <cell r="C147">
            <v>276237081</v>
          </cell>
        </row>
        <row r="148">
          <cell r="C148">
            <v>15002120</v>
          </cell>
        </row>
        <row r="149">
          <cell r="C149">
            <v>310178302</v>
          </cell>
        </row>
        <row r="150">
          <cell r="C150">
            <v>31249782</v>
          </cell>
        </row>
        <row r="151">
          <cell r="C151">
            <v>59655</v>
          </cell>
        </row>
        <row r="152">
          <cell r="C152">
            <v>2825398</v>
          </cell>
        </row>
        <row r="153">
          <cell r="C153">
            <v>155088180</v>
          </cell>
        </row>
        <row r="154">
          <cell r="C154">
            <v>357455</v>
          </cell>
        </row>
        <row r="155">
          <cell r="C155">
            <v>50000</v>
          </cell>
        </row>
        <row r="156">
          <cell r="C156">
            <v>19818262</v>
          </cell>
        </row>
        <row r="157">
          <cell r="C157">
            <v>10859416</v>
          </cell>
        </row>
        <row r="158">
          <cell r="C158">
            <v>929527</v>
          </cell>
        </row>
        <row r="159">
          <cell r="C159">
            <v>188641</v>
          </cell>
        </row>
        <row r="160">
          <cell r="C160">
            <v>68348452</v>
          </cell>
        </row>
        <row r="161">
          <cell r="C161">
            <v>235829</v>
          </cell>
        </row>
        <row r="162">
          <cell r="C162">
            <v>14357377</v>
          </cell>
        </row>
        <row r="163">
          <cell r="C163">
            <v>441731479</v>
          </cell>
        </row>
        <row r="164">
          <cell r="C164">
            <v>411431</v>
          </cell>
        </row>
        <row r="165">
          <cell r="C165">
            <v>1037700</v>
          </cell>
        </row>
        <row r="166">
          <cell r="C166">
            <v>134723856</v>
          </cell>
        </row>
        <row r="167">
          <cell r="C167">
            <v>6669998</v>
          </cell>
        </row>
        <row r="168">
          <cell r="C168">
            <v>9428116</v>
          </cell>
        </row>
        <row r="169">
          <cell r="C169">
            <v>312441</v>
          </cell>
        </row>
        <row r="170">
          <cell r="C170">
            <v>133164</v>
          </cell>
        </row>
        <row r="171">
          <cell r="C171">
            <v>33861789</v>
          </cell>
        </row>
        <row r="172">
          <cell r="C172">
            <v>1070752</v>
          </cell>
        </row>
        <row r="173">
          <cell r="C173">
            <v>1491451</v>
          </cell>
        </row>
        <row r="174">
          <cell r="C174">
            <v>9040969</v>
          </cell>
        </row>
        <row r="175">
          <cell r="C175">
            <v>218494139</v>
          </cell>
        </row>
        <row r="176">
          <cell r="C176">
            <v>2024130</v>
          </cell>
        </row>
        <row r="177">
          <cell r="C177">
            <v>699360</v>
          </cell>
        </row>
        <row r="178">
          <cell r="C178">
            <v>88163903</v>
          </cell>
        </row>
        <row r="179">
          <cell r="C179">
            <v>815573</v>
          </cell>
        </row>
        <row r="180">
          <cell r="C180">
            <v>88519446</v>
          </cell>
        </row>
        <row r="181">
          <cell r="C181">
            <v>1524713</v>
          </cell>
        </row>
        <row r="182">
          <cell r="C182">
            <v>290728</v>
          </cell>
        </row>
        <row r="183">
          <cell r="C183">
            <v>3221455</v>
          </cell>
        </row>
        <row r="184">
          <cell r="C184">
            <v>307377</v>
          </cell>
        </row>
        <row r="185">
          <cell r="C185">
            <v>3006196</v>
          </cell>
        </row>
        <row r="186">
          <cell r="C186">
            <v>26525872</v>
          </cell>
        </row>
        <row r="187">
          <cell r="C187">
            <v>1541707</v>
          </cell>
        </row>
        <row r="188">
          <cell r="C188">
            <v>399016</v>
          </cell>
        </row>
        <row r="189">
          <cell r="C189">
            <v>4460497</v>
          </cell>
        </row>
        <row r="190">
          <cell r="C190">
            <v>1989228</v>
          </cell>
        </row>
        <row r="191">
          <cell r="C191">
            <v>1455596</v>
          </cell>
        </row>
        <row r="192">
          <cell r="C192">
            <v>5118443</v>
          </cell>
        </row>
        <row r="193">
          <cell r="C193">
            <v>615415</v>
          </cell>
        </row>
        <row r="194">
          <cell r="C194">
            <v>52823999</v>
          </cell>
        </row>
        <row r="195">
          <cell r="C195">
            <v>29020008</v>
          </cell>
        </row>
        <row r="196">
          <cell r="C196">
            <v>3177280</v>
          </cell>
        </row>
        <row r="197">
          <cell r="C197">
            <v>658347</v>
          </cell>
        </row>
        <row r="198">
          <cell r="C198">
            <v>10132273</v>
          </cell>
        </row>
        <row r="199">
          <cell r="C199">
            <v>3116840</v>
          </cell>
        </row>
        <row r="200">
          <cell r="C200">
            <v>1297889356</v>
          </cell>
        </row>
        <row r="201">
          <cell r="C201">
            <v>5565476</v>
          </cell>
        </row>
        <row r="202">
          <cell r="C202">
            <v>5997720</v>
          </cell>
        </row>
        <row r="203">
          <cell r="C203">
            <v>1915056</v>
          </cell>
        </row>
        <row r="204">
          <cell r="C204">
            <v>7872396</v>
          </cell>
        </row>
        <row r="205">
          <cell r="C205">
            <v>6637992</v>
          </cell>
        </row>
        <row r="206">
          <cell r="C206">
            <v>3087673</v>
          </cell>
        </row>
        <row r="207">
          <cell r="C207">
            <v>7381827</v>
          </cell>
        </row>
        <row r="208">
          <cell r="C208">
            <v>4397411</v>
          </cell>
        </row>
        <row r="209">
          <cell r="C209">
            <v>40401385</v>
          </cell>
        </row>
        <row r="210">
          <cell r="C210">
            <v>-103000</v>
          </cell>
        </row>
        <row r="211">
          <cell r="C211">
            <v>6299224</v>
          </cell>
        </row>
        <row r="212">
          <cell r="C212">
            <v>6294142</v>
          </cell>
        </row>
        <row r="213">
          <cell r="C213">
            <v>5324332</v>
          </cell>
        </row>
        <row r="214">
          <cell r="C214">
            <v>8371545</v>
          </cell>
        </row>
        <row r="215">
          <cell r="C215">
            <v>7492556</v>
          </cell>
        </row>
        <row r="216">
          <cell r="C216">
            <v>100560500</v>
          </cell>
        </row>
        <row r="217">
          <cell r="C217">
            <v>29830450</v>
          </cell>
        </row>
        <row r="218">
          <cell r="C218">
            <v>14864815</v>
          </cell>
        </row>
        <row r="219">
          <cell r="C219">
            <v>20046556</v>
          </cell>
        </row>
        <row r="220">
          <cell r="C220">
            <v>18589365</v>
          </cell>
        </row>
        <row r="221">
          <cell r="C221">
            <v>29429201</v>
          </cell>
        </row>
        <row r="222">
          <cell r="C222">
            <v>32447004</v>
          </cell>
        </row>
        <row r="223">
          <cell r="C223">
            <v>13773058</v>
          </cell>
        </row>
        <row r="224">
          <cell r="C224">
            <v>132742486</v>
          </cell>
        </row>
        <row r="225">
          <cell r="C225">
            <v>50229910</v>
          </cell>
        </row>
        <row r="226">
          <cell r="C226">
            <v>346279876</v>
          </cell>
        </row>
        <row r="227">
          <cell r="C227">
            <v>44634569</v>
          </cell>
        </row>
        <row r="228">
          <cell r="C228">
            <v>76175037</v>
          </cell>
        </row>
        <row r="229">
          <cell r="C229">
            <v>22461092</v>
          </cell>
        </row>
        <row r="230">
          <cell r="C230">
            <v>56227643</v>
          </cell>
        </row>
        <row r="231">
          <cell r="C231">
            <v>71062081</v>
          </cell>
        </row>
        <row r="232">
          <cell r="C232">
            <v>238116788</v>
          </cell>
        </row>
        <row r="233">
          <cell r="C233">
            <v>2205363287</v>
          </cell>
        </row>
        <row r="234">
          <cell r="C234">
            <v>5347351554</v>
          </cell>
        </row>
        <row r="235">
          <cell r="C235">
            <v>616392</v>
          </cell>
        </row>
        <row r="236">
          <cell r="C236">
            <v>0</v>
          </cell>
        </row>
        <row r="237">
          <cell r="C237">
            <v>166181</v>
          </cell>
        </row>
        <row r="238">
          <cell r="C238">
            <v>0</v>
          </cell>
        </row>
        <row r="239">
          <cell r="C239">
            <v>34046</v>
          </cell>
        </row>
        <row r="240">
          <cell r="C240">
            <v>397918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440300</v>
          </cell>
        </row>
        <row r="245">
          <cell r="C245">
            <v>2282182</v>
          </cell>
        </row>
        <row r="246">
          <cell r="C246">
            <v>24990</v>
          </cell>
        </row>
        <row r="247">
          <cell r="C247">
            <v>0</v>
          </cell>
        </row>
        <row r="248">
          <cell r="C248">
            <v>1774324</v>
          </cell>
        </row>
        <row r="249">
          <cell r="C249">
            <v>54434271</v>
          </cell>
        </row>
        <row r="250">
          <cell r="C250">
            <v>161335</v>
          </cell>
        </row>
        <row r="251">
          <cell r="C251">
            <v>15174771</v>
          </cell>
        </row>
        <row r="252">
          <cell r="C252">
            <v>45505</v>
          </cell>
        </row>
        <row r="253">
          <cell r="C253">
            <v>0</v>
          </cell>
        </row>
        <row r="254">
          <cell r="C254">
            <v>2900000</v>
          </cell>
        </row>
        <row r="255">
          <cell r="C255">
            <v>14654416</v>
          </cell>
        </row>
        <row r="256">
          <cell r="C256">
            <v>0</v>
          </cell>
        </row>
        <row r="257">
          <cell r="C257">
            <v>140420</v>
          </cell>
        </row>
        <row r="258">
          <cell r="C258">
            <v>21146</v>
          </cell>
        </row>
        <row r="259">
          <cell r="C259">
            <v>0</v>
          </cell>
        </row>
        <row r="260">
          <cell r="C260">
            <v>-1165938</v>
          </cell>
        </row>
        <row r="261">
          <cell r="C261">
            <v>30141840121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Tipo</v>
          </cell>
          <cell r="E1" t="str">
            <v>Ppto</v>
          </cell>
        </row>
        <row r="2">
          <cell r="E2">
            <v>698244000</v>
          </cell>
        </row>
        <row r="3">
          <cell r="E3">
            <v>8657812950.9970264</v>
          </cell>
        </row>
        <row r="4">
          <cell r="E4">
            <v>173670484.67787135</v>
          </cell>
        </row>
        <row r="5">
          <cell r="E5">
            <v>29198851</v>
          </cell>
        </row>
        <row r="6">
          <cell r="E6">
            <v>62679769</v>
          </cell>
        </row>
        <row r="7">
          <cell r="E7">
            <v>72329784.529596686</v>
          </cell>
        </row>
        <row r="8">
          <cell r="E8">
            <v>125558889</v>
          </cell>
        </row>
        <row r="9">
          <cell r="E9">
            <v>42430604</v>
          </cell>
        </row>
        <row r="10">
          <cell r="E10">
            <v>9799776</v>
          </cell>
        </row>
        <row r="11">
          <cell r="E11">
            <v>11476267</v>
          </cell>
        </row>
        <row r="12">
          <cell r="E12">
            <v>2530935</v>
          </cell>
        </row>
        <row r="13">
          <cell r="E13">
            <v>14222725</v>
          </cell>
        </row>
        <row r="14">
          <cell r="E14">
            <v>16977764</v>
          </cell>
        </row>
        <row r="15">
          <cell r="E15">
            <v>6511515</v>
          </cell>
        </row>
        <row r="16">
          <cell r="E16">
            <v>57144247</v>
          </cell>
        </row>
        <row r="17">
          <cell r="E17">
            <v>38427083</v>
          </cell>
        </row>
        <row r="18">
          <cell r="E18">
            <v>44144564</v>
          </cell>
        </row>
        <row r="19">
          <cell r="E19">
            <v>60038374.118903697</v>
          </cell>
        </row>
        <row r="20">
          <cell r="E20">
            <v>23092</v>
          </cell>
        </row>
        <row r="21">
          <cell r="E21">
            <v>12620549</v>
          </cell>
        </row>
        <row r="22">
          <cell r="E22">
            <v>710640000</v>
          </cell>
        </row>
        <row r="23">
          <cell r="E23">
            <v>6635303307.5617237</v>
          </cell>
        </row>
        <row r="24">
          <cell r="E24">
            <v>172850318.36893171</v>
          </cell>
        </row>
        <row r="25">
          <cell r="E25">
            <v>29223867</v>
          </cell>
        </row>
        <row r="26">
          <cell r="E26">
            <v>63778404</v>
          </cell>
        </row>
        <row r="27">
          <cell r="E27">
            <v>50330593.130290121</v>
          </cell>
        </row>
        <row r="28">
          <cell r="E28">
            <v>91679238</v>
          </cell>
        </row>
        <row r="29">
          <cell r="E29">
            <v>21713881</v>
          </cell>
        </row>
        <row r="30">
          <cell r="E30">
            <v>5016976</v>
          </cell>
        </row>
        <row r="31">
          <cell r="E31">
            <v>9802868</v>
          </cell>
        </row>
        <row r="32">
          <cell r="E32">
            <v>0</v>
          </cell>
        </row>
        <row r="33">
          <cell r="E33">
            <v>2027061</v>
          </cell>
        </row>
        <row r="34">
          <cell r="E34">
            <v>16997166</v>
          </cell>
        </row>
        <row r="35">
          <cell r="E35">
            <v>6518956</v>
          </cell>
        </row>
        <row r="36">
          <cell r="E36">
            <v>57209554</v>
          </cell>
        </row>
        <row r="37">
          <cell r="E37">
            <v>38604167</v>
          </cell>
        </row>
        <row r="38">
          <cell r="E38">
            <v>41432445</v>
          </cell>
        </row>
        <row r="39">
          <cell r="E39">
            <v>60106992.004753888</v>
          </cell>
        </row>
        <row r="40">
          <cell r="E40">
            <v>23092</v>
          </cell>
        </row>
        <row r="41">
          <cell r="E41">
            <v>12620549</v>
          </cell>
        </row>
        <row r="42">
          <cell r="E42">
            <v>838395000</v>
          </cell>
        </row>
        <row r="43">
          <cell r="E43">
            <v>11553946001.121084</v>
          </cell>
        </row>
        <row r="44">
          <cell r="E44">
            <v>173585015.84097749</v>
          </cell>
        </row>
        <row r="45">
          <cell r="E45">
            <v>29777300</v>
          </cell>
        </row>
        <row r="46">
          <cell r="E46">
            <v>62832084</v>
          </cell>
        </row>
        <row r="47">
          <cell r="E47">
            <v>94458082.066634417</v>
          </cell>
        </row>
        <row r="48">
          <cell r="E48">
            <v>116998765</v>
          </cell>
        </row>
        <row r="49">
          <cell r="E49">
            <v>41267199</v>
          </cell>
        </row>
        <row r="50">
          <cell r="E50">
            <v>8889944</v>
          </cell>
        </row>
        <row r="51">
          <cell r="E51">
            <v>11926326</v>
          </cell>
        </row>
        <row r="52">
          <cell r="E52">
            <v>2537084</v>
          </cell>
        </row>
        <row r="53">
          <cell r="E53">
            <v>25163367</v>
          </cell>
        </row>
        <row r="54">
          <cell r="E54">
            <v>17019020</v>
          </cell>
        </row>
        <row r="55">
          <cell r="E55">
            <v>6527338</v>
          </cell>
        </row>
        <row r="56">
          <cell r="E56">
            <v>57283109</v>
          </cell>
        </row>
        <row r="57">
          <cell r="E57">
            <v>38781250</v>
          </cell>
        </row>
        <row r="58">
          <cell r="E58">
            <v>44671281</v>
          </cell>
        </row>
        <row r="59">
          <cell r="E59">
            <v>60184271.577902824</v>
          </cell>
        </row>
        <row r="60">
          <cell r="E60">
            <v>23092</v>
          </cell>
        </row>
        <row r="61">
          <cell r="E61">
            <v>12620549</v>
          </cell>
        </row>
        <row r="62">
          <cell r="E62">
            <v>784869000</v>
          </cell>
        </row>
        <row r="63">
          <cell r="E63">
            <v>11022427438.657516</v>
          </cell>
        </row>
        <row r="64">
          <cell r="E64">
            <v>175229957.554241</v>
          </cell>
        </row>
        <row r="65">
          <cell r="E65">
            <v>29439688</v>
          </cell>
        </row>
        <row r="66">
          <cell r="E66">
            <v>63236004</v>
          </cell>
        </row>
        <row r="67">
          <cell r="E67">
            <v>52045165.631586909</v>
          </cell>
        </row>
        <row r="68">
          <cell r="E68">
            <v>86075075</v>
          </cell>
        </row>
        <row r="69">
          <cell r="E69">
            <v>33565899</v>
          </cell>
        </row>
        <row r="70">
          <cell r="E70">
            <v>7231212</v>
          </cell>
        </row>
        <row r="71">
          <cell r="E71">
            <v>5629724</v>
          </cell>
        </row>
        <row r="72">
          <cell r="E72">
            <v>0</v>
          </cell>
        </row>
        <row r="73">
          <cell r="E73">
            <v>17771623</v>
          </cell>
        </row>
        <row r="74">
          <cell r="E74">
            <v>17128428</v>
          </cell>
        </row>
        <row r="75">
          <cell r="E75">
            <v>6569300</v>
          </cell>
        </row>
        <row r="76">
          <cell r="E76">
            <v>57651358</v>
          </cell>
        </row>
        <row r="77">
          <cell r="E77">
            <v>38958333</v>
          </cell>
        </row>
        <row r="78">
          <cell r="E78">
            <v>43690803</v>
          </cell>
        </row>
        <row r="79">
          <cell r="E79">
            <v>60571169.468760788</v>
          </cell>
        </row>
        <row r="80">
          <cell r="E80">
            <v>23092</v>
          </cell>
        </row>
        <row r="81">
          <cell r="E81">
            <v>12620549</v>
          </cell>
        </row>
        <row r="82">
          <cell r="E82">
            <v>10514959801</v>
          </cell>
        </row>
        <row r="83">
          <cell r="E83">
            <v>10147185447</v>
          </cell>
        </row>
        <row r="84">
          <cell r="E84">
            <v>5336938900</v>
          </cell>
        </row>
        <row r="85">
          <cell r="E85">
            <v>3795209530</v>
          </cell>
        </row>
        <row r="86">
          <cell r="E86">
            <v>3794661355</v>
          </cell>
        </row>
        <row r="87">
          <cell r="E87">
            <v>1660370610</v>
          </cell>
        </row>
        <row r="88">
          <cell r="E88">
            <v>1413322638</v>
          </cell>
        </row>
        <row r="89">
          <cell r="E89">
            <v>1407173100</v>
          </cell>
        </row>
        <row r="90">
          <cell r="E90">
            <v>1200275040</v>
          </cell>
        </row>
        <row r="91">
          <cell r="E91">
            <v>985972145</v>
          </cell>
        </row>
        <row r="92">
          <cell r="E92">
            <v>483182257</v>
          </cell>
        </row>
        <row r="93">
          <cell r="E93">
            <v>465792196</v>
          </cell>
        </row>
        <row r="94">
          <cell r="E94">
            <v>464975641</v>
          </cell>
        </row>
        <row r="95">
          <cell r="E95">
            <v>464762649</v>
          </cell>
        </row>
        <row r="96">
          <cell r="E96">
            <v>463896514</v>
          </cell>
        </row>
        <row r="97">
          <cell r="E97">
            <v>421989120</v>
          </cell>
        </row>
        <row r="98">
          <cell r="E98">
            <v>420060006</v>
          </cell>
        </row>
        <row r="99">
          <cell r="E99">
            <v>354597696</v>
          </cell>
        </row>
        <row r="100">
          <cell r="E100">
            <v>321246141</v>
          </cell>
        </row>
        <row r="101">
          <cell r="E101">
            <v>284514521</v>
          </cell>
        </row>
        <row r="102">
          <cell r="E102">
            <v>280959329</v>
          </cell>
        </row>
        <row r="103">
          <cell r="E103">
            <v>257703122</v>
          </cell>
        </row>
        <row r="104">
          <cell r="E104">
            <v>185851137</v>
          </cell>
        </row>
        <row r="105">
          <cell r="E105">
            <v>130545126</v>
          </cell>
        </row>
        <row r="106">
          <cell r="E106">
            <v>127440224</v>
          </cell>
        </row>
        <row r="107">
          <cell r="E107">
            <v>126442588</v>
          </cell>
        </row>
        <row r="108">
          <cell r="E108">
            <v>126398935</v>
          </cell>
        </row>
        <row r="109">
          <cell r="E109">
            <v>104488572</v>
          </cell>
        </row>
        <row r="110">
          <cell r="E110">
            <v>102707244</v>
          </cell>
        </row>
        <row r="111">
          <cell r="E111">
            <v>100375237</v>
          </cell>
        </row>
        <row r="112">
          <cell r="E112">
            <v>100236546</v>
          </cell>
        </row>
        <row r="113">
          <cell r="E113">
            <v>89707070</v>
          </cell>
        </row>
        <row r="114">
          <cell r="E114">
            <v>86743359</v>
          </cell>
        </row>
        <row r="115">
          <cell r="E115">
            <v>80398715</v>
          </cell>
        </row>
        <row r="116">
          <cell r="E116">
            <v>77849099</v>
          </cell>
        </row>
        <row r="117">
          <cell r="E117">
            <v>46243970</v>
          </cell>
        </row>
        <row r="118">
          <cell r="E118">
            <v>46219955</v>
          </cell>
        </row>
        <row r="119">
          <cell r="E119">
            <v>46094905</v>
          </cell>
        </row>
        <row r="120">
          <cell r="E120">
            <v>46052193</v>
          </cell>
        </row>
        <row r="121">
          <cell r="E121">
            <v>45988234</v>
          </cell>
        </row>
        <row r="122">
          <cell r="E122">
            <v>45949987</v>
          </cell>
        </row>
        <row r="123">
          <cell r="E123">
            <v>43738244</v>
          </cell>
        </row>
        <row r="124">
          <cell r="E124">
            <v>40582845</v>
          </cell>
        </row>
        <row r="125">
          <cell r="E125">
            <v>38568040</v>
          </cell>
        </row>
        <row r="126">
          <cell r="E126">
            <v>38254957</v>
          </cell>
        </row>
        <row r="127">
          <cell r="E127">
            <v>38194040</v>
          </cell>
        </row>
        <row r="128">
          <cell r="E128">
            <v>37255498</v>
          </cell>
        </row>
        <row r="129">
          <cell r="E129">
            <v>18578250</v>
          </cell>
        </row>
        <row r="130">
          <cell r="E130">
            <v>16840313</v>
          </cell>
        </row>
        <row r="131">
          <cell r="E131">
            <v>15916536</v>
          </cell>
        </row>
        <row r="132">
          <cell r="E132">
            <v>13502150</v>
          </cell>
        </row>
        <row r="133">
          <cell r="E133">
            <v>11908869</v>
          </cell>
        </row>
        <row r="134">
          <cell r="E134">
            <v>9845280</v>
          </cell>
        </row>
        <row r="135">
          <cell r="E135">
            <v>9286571</v>
          </cell>
        </row>
        <row r="136">
          <cell r="E136">
            <v>8403122</v>
          </cell>
        </row>
        <row r="137">
          <cell r="E137">
            <v>8252293</v>
          </cell>
        </row>
        <row r="138">
          <cell r="E138">
            <v>7990561</v>
          </cell>
        </row>
        <row r="139">
          <cell r="E139">
            <v>1376760</v>
          </cell>
        </row>
        <row r="140">
          <cell r="E140">
            <v>1363290</v>
          </cell>
        </row>
        <row r="141">
          <cell r="E141">
            <v>940910</v>
          </cell>
        </row>
        <row r="142">
          <cell r="E142">
            <v>862080</v>
          </cell>
        </row>
        <row r="143">
          <cell r="E143">
            <v>736547</v>
          </cell>
        </row>
        <row r="144">
          <cell r="E144">
            <v>735627</v>
          </cell>
        </row>
        <row r="145">
          <cell r="E145">
            <v>735469</v>
          </cell>
        </row>
        <row r="146">
          <cell r="E146">
            <v>723678</v>
          </cell>
        </row>
        <row r="147">
          <cell r="E147">
            <v>704000</v>
          </cell>
        </row>
        <row r="148">
          <cell r="E148">
            <v>704000</v>
          </cell>
        </row>
        <row r="149">
          <cell r="E149">
            <v>704000</v>
          </cell>
        </row>
        <row r="150">
          <cell r="E150">
            <v>704000</v>
          </cell>
        </row>
        <row r="151">
          <cell r="E151">
            <v>98019</v>
          </cell>
        </row>
        <row r="152">
          <cell r="E152">
            <v>95060</v>
          </cell>
        </row>
        <row r="153">
          <cell r="E153">
            <v>86056</v>
          </cell>
        </row>
        <row r="154">
          <cell r="E154">
            <v>56291</v>
          </cell>
        </row>
        <row r="155">
          <cell r="E155">
            <v>14000</v>
          </cell>
        </row>
        <row r="156">
          <cell r="E156">
            <v>12500</v>
          </cell>
        </row>
        <row r="157">
          <cell r="E157">
            <v>8800</v>
          </cell>
        </row>
        <row r="158">
          <cell r="E158">
            <v>3000</v>
          </cell>
        </row>
        <row r="159">
          <cell r="E159">
            <v>-8800</v>
          </cell>
        </row>
        <row r="160">
          <cell r="E160">
            <v>-622000</v>
          </cell>
        </row>
        <row r="161">
          <cell r="E161">
            <v>-843473</v>
          </cell>
        </row>
        <row r="162">
          <cell r="E162">
            <v>-940910</v>
          </cell>
        </row>
        <row r="163">
          <cell r="E163">
            <v>-1363290</v>
          </cell>
        </row>
      </sheetData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Expediente"/>
      <sheetName val="Comentarios"/>
      <sheetName val="Presupuestos"/>
      <sheetName val="Inf. económico"/>
      <sheetName val="Previsión mensual"/>
      <sheetName val="Gráfico1"/>
      <sheetName val="Base de 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J3" t="str">
            <v>Fecha de la previsión:</v>
          </cell>
          <cell r="AK3">
            <v>37843</v>
          </cell>
        </row>
        <row r="4">
          <cell r="AJ4" t="str">
            <v>Fecha del cierre:</v>
          </cell>
          <cell r="AK4">
            <v>37802</v>
          </cell>
        </row>
        <row r="5">
          <cell r="AM5" t="str">
            <v>Endeudamiento</v>
          </cell>
        </row>
        <row r="6">
          <cell r="AK6" t="str">
            <v>Facturac.</v>
          </cell>
          <cell r="AL6" t="str">
            <v>Pte.Cobro</v>
          </cell>
          <cell r="AM6" t="str">
            <v>Interno</v>
          </cell>
          <cell r="AN6" t="str">
            <v>Externo</v>
          </cell>
        </row>
        <row r="7">
          <cell r="K7" t="str">
            <v>M Eu Int</v>
          </cell>
          <cell r="Q7" t="str">
            <v>M Eu Int</v>
          </cell>
          <cell r="AJ7" t="str">
            <v>M Eu Int</v>
          </cell>
          <cell r="AK7" t="str">
            <v>M Eu Int</v>
          </cell>
          <cell r="AL7" t="str">
            <v>M Eu Int</v>
          </cell>
          <cell r="AM7" t="str">
            <v>M Eu Int</v>
          </cell>
          <cell r="AN7" t="str">
            <v>M Eu Int</v>
          </cell>
        </row>
        <row r="9">
          <cell r="B9" t="str">
            <v>Origen al 02</v>
          </cell>
          <cell r="C9">
            <v>4.4323619276498256E-2</v>
          </cell>
          <cell r="D9">
            <v>742.16</v>
          </cell>
          <cell r="E9">
            <v>1</v>
          </cell>
          <cell r="F9">
            <v>1.7330000000000001</v>
          </cell>
          <cell r="K9">
            <v>43.274999999999999</v>
          </cell>
          <cell r="L9">
            <v>1.5189999999999999</v>
          </cell>
          <cell r="Q9">
            <v>37.935000000000002</v>
          </cell>
          <cell r="R9">
            <v>0.21400000000000019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5.3399999999999963</v>
          </cell>
          <cell r="X9">
            <v>0.12339688041594446</v>
          </cell>
          <cell r="Y9">
            <v>4.5939999999999994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103.64677062</v>
          </cell>
          <cell r="AE9">
            <v>6.327</v>
          </cell>
          <cell r="AJ9">
            <v>146.92177061999999</v>
          </cell>
          <cell r="AK9">
            <v>34.823999999999998</v>
          </cell>
          <cell r="AL9">
            <v>1.218</v>
          </cell>
          <cell r="AM9">
            <v>-9.1620000000000008</v>
          </cell>
        </row>
        <row r="11">
          <cell r="K11">
            <v>3.8579881999999999</v>
          </cell>
          <cell r="Q11">
            <v>3.5173141699999997</v>
          </cell>
          <cell r="AJ11">
            <v>22.32669660000002</v>
          </cell>
          <cell r="AK11">
            <v>38.884543326657322</v>
          </cell>
          <cell r="AL11">
            <v>1.2524365672953939</v>
          </cell>
        </row>
        <row r="12">
          <cell r="K12">
            <v>8.2123257600000006</v>
          </cell>
          <cell r="Q12">
            <v>7.5587608099999999</v>
          </cell>
          <cell r="AJ12">
            <v>22.326696609999999</v>
          </cell>
          <cell r="AK12">
            <v>41.010586375931872</v>
          </cell>
          <cell r="AL12">
            <v>3.6970185320415752</v>
          </cell>
        </row>
        <row r="13">
          <cell r="K13">
            <v>12.57597573</v>
          </cell>
          <cell r="Q13">
            <v>11.52981591</v>
          </cell>
          <cell r="AJ13">
            <v>16.820396960000011</v>
          </cell>
          <cell r="AK13">
            <v>43.290374387098922</v>
          </cell>
          <cell r="AL13">
            <v>8.8353595081518943</v>
          </cell>
        </row>
        <row r="14">
          <cell r="K14">
            <v>16.962207429999999</v>
          </cell>
          <cell r="Q14">
            <v>15.515249109999999</v>
          </cell>
          <cell r="AJ14">
            <v>16.820396960000011</v>
          </cell>
          <cell r="AK14">
            <v>49.416213817493592</v>
          </cell>
          <cell r="AL14">
            <v>5.627658861351641</v>
          </cell>
        </row>
        <row r="15">
          <cell r="K15">
            <v>20.504742789999998</v>
          </cell>
          <cell r="Q15">
            <v>18.774962689999999</v>
          </cell>
          <cell r="AJ15">
            <v>16.820396960000011</v>
          </cell>
          <cell r="AK15">
            <v>60.098087807734494</v>
          </cell>
          <cell r="AL15">
            <v>-2.0671201270195967</v>
          </cell>
        </row>
        <row r="16">
          <cell r="B16" t="str">
            <v>Junio</v>
          </cell>
          <cell r="C16">
            <v>4.6903624893644753E-2</v>
          </cell>
          <cell r="D16">
            <v>795.47</v>
          </cell>
          <cell r="E16">
            <v>1</v>
          </cell>
          <cell r="F16">
            <v>1.1187</v>
          </cell>
          <cell r="K16">
            <v>24.409131849999998</v>
          </cell>
          <cell r="L16">
            <v>0.95877999999999997</v>
          </cell>
          <cell r="M16">
            <v>994.904</v>
          </cell>
          <cell r="Q16">
            <v>22.217494840000001</v>
          </cell>
          <cell r="R16">
            <v>0.15992000000000006</v>
          </cell>
          <cell r="S16">
            <v>-994.904</v>
          </cell>
          <cell r="T16">
            <v>0</v>
          </cell>
          <cell r="U16">
            <v>0</v>
          </cell>
          <cell r="V16">
            <v>0</v>
          </cell>
          <cell r="W16">
            <v>2.1916370099999996</v>
          </cell>
          <cell r="X16">
            <v>8.9787585378625412E-2</v>
          </cell>
          <cell r="Y16">
            <v>4.4649000000000001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95.193068980000007</v>
          </cell>
          <cell r="AE16">
            <v>0.98960000000000004</v>
          </cell>
          <cell r="AJ16">
            <v>15.955430210000003</v>
          </cell>
          <cell r="AK16">
            <v>60.167731030761061</v>
          </cell>
          <cell r="AL16">
            <v>2.6116803824701198</v>
          </cell>
        </row>
        <row r="17">
          <cell r="K17">
            <v>27.144528109999996</v>
          </cell>
          <cell r="Q17">
            <v>24.686385040000001</v>
          </cell>
          <cell r="AJ17">
            <v>15.955430210000003</v>
          </cell>
          <cell r="AK17">
            <v>67.684131849999986</v>
          </cell>
          <cell r="AL17">
            <v>-4.3772876204576923</v>
          </cell>
        </row>
        <row r="18">
          <cell r="K18">
            <v>30.683700199999997</v>
          </cell>
          <cell r="Q18">
            <v>27.858805090000001</v>
          </cell>
          <cell r="AJ18">
            <v>15.955430220000011</v>
          </cell>
          <cell r="AK18">
            <v>70.419528109999987</v>
          </cell>
          <cell r="AL18">
            <v>-3.2954715284392808</v>
          </cell>
        </row>
        <row r="19">
          <cell r="K19">
            <v>34.201551969999997</v>
          </cell>
          <cell r="Q19">
            <v>30.90217328</v>
          </cell>
          <cell r="AJ19">
            <v>15.955430210000003</v>
          </cell>
          <cell r="AK19">
            <v>73.95870020000001</v>
          </cell>
          <cell r="AL19">
            <v>-3.0404265282457885</v>
          </cell>
        </row>
        <row r="20">
          <cell r="K20">
            <v>37.868645939999993</v>
          </cell>
          <cell r="Q20">
            <v>34.081373190000001</v>
          </cell>
          <cell r="AJ20">
            <v>15.955430210000003</v>
          </cell>
          <cell r="AK20">
            <v>77.476551970000003</v>
          </cell>
          <cell r="AL20">
            <v>-2.6030944184203211</v>
          </cell>
        </row>
        <row r="21">
          <cell r="K21">
            <v>40.682927359999994</v>
          </cell>
          <cell r="Q21">
            <v>36.533124000000001</v>
          </cell>
          <cell r="AJ21">
            <v>15.955430220000011</v>
          </cell>
          <cell r="AK21">
            <v>81.143645939999985</v>
          </cell>
          <cell r="AL21">
            <v>-3.2348147119512785</v>
          </cell>
        </row>
        <row r="22">
          <cell r="B22" t="str">
            <v>Diciembre</v>
          </cell>
          <cell r="C22">
            <v>4.6903624893644753E-2</v>
          </cell>
          <cell r="D22">
            <v>795.47</v>
          </cell>
          <cell r="E22">
            <v>1</v>
          </cell>
          <cell r="F22">
            <v>1.9930000000000001</v>
          </cell>
          <cell r="K22">
            <v>43.049482189999992</v>
          </cell>
          <cell r="L22">
            <v>1.6837800000000003</v>
          </cell>
          <cell r="M22">
            <v>1780.7794927028692</v>
          </cell>
          <cell r="Q22">
            <v>38.66266091</v>
          </cell>
          <cell r="R22">
            <v>0.30921999999999983</v>
          </cell>
          <cell r="S22">
            <v>-1780.7794927028692</v>
          </cell>
          <cell r="T22">
            <v>0</v>
          </cell>
          <cell r="U22">
            <v>0</v>
          </cell>
          <cell r="V22">
            <v>0</v>
          </cell>
          <cell r="W22">
            <v>4.3868212899999994</v>
          </cell>
          <cell r="X22">
            <v>0.10190183637142605</v>
          </cell>
          <cell r="Y22">
            <v>3.5905999999999993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76.552718650000003</v>
          </cell>
          <cell r="AE22">
            <v>0.98960000000000004</v>
          </cell>
          <cell r="AJ22">
            <v>15.955430220000011</v>
          </cell>
          <cell r="AK22">
            <v>83.957927359999999</v>
          </cell>
          <cell r="AL22">
            <v>-3.4966228135925732</v>
          </cell>
          <cell r="AM22">
            <v>-9.1620000000000008</v>
          </cell>
        </row>
        <row r="24">
          <cell r="K24">
            <v>2.3239141999999999</v>
          </cell>
          <cell r="Q24">
            <v>2.1485972599999998</v>
          </cell>
          <cell r="AJ24">
            <v>0</v>
          </cell>
          <cell r="AK24">
            <v>86.324482189999998</v>
          </cell>
          <cell r="AL24">
            <v>-3.356694838098087</v>
          </cell>
        </row>
        <row r="25">
          <cell r="K25">
            <v>5.1808362500000005</v>
          </cell>
          <cell r="Q25">
            <v>4.7731705299999998</v>
          </cell>
          <cell r="AJ25">
            <v>0</v>
          </cell>
          <cell r="AK25">
            <v>88.648396390000002</v>
          </cell>
          <cell r="AL25">
            <v>-2.5992448487648252</v>
          </cell>
        </row>
        <row r="26">
          <cell r="K26">
            <v>8.3362426900000006</v>
          </cell>
          <cell r="Q26">
            <v>7.66940723</v>
          </cell>
          <cell r="AJ26">
            <v>0</v>
          </cell>
          <cell r="AK26">
            <v>91.505318439999996</v>
          </cell>
          <cell r="AL26">
            <v>-2.0528691409532138</v>
          </cell>
        </row>
        <row r="27">
          <cell r="K27">
            <v>11.89673509</v>
          </cell>
          <cell r="Q27">
            <v>10.92823851</v>
          </cell>
          <cell r="AJ27">
            <v>0</v>
          </cell>
          <cell r="AK27">
            <v>94.660724879999989</v>
          </cell>
          <cell r="AL27">
            <v>-1.3680679778954978</v>
          </cell>
        </row>
        <row r="28">
          <cell r="K28">
            <v>15.52118843</v>
          </cell>
          <cell r="Q28">
            <v>14.233100350000001</v>
          </cell>
          <cell r="AJ28">
            <v>0</v>
          </cell>
          <cell r="AK28">
            <v>98.221217279999991</v>
          </cell>
          <cell r="AL28">
            <v>-1.0193670109342481</v>
          </cell>
        </row>
        <row r="29">
          <cell r="K29">
            <v>19.23092303</v>
          </cell>
          <cell r="Q29">
            <v>17.606443030000001</v>
          </cell>
          <cell r="AJ29">
            <v>0</v>
          </cell>
          <cell r="AK29">
            <v>101.84567061999999</v>
          </cell>
          <cell r="AL29">
            <v>-0.64264595824455384</v>
          </cell>
        </row>
        <row r="30">
          <cell r="K30">
            <v>23.089899819999999</v>
          </cell>
          <cell r="Q30">
            <v>21.115617440000001</v>
          </cell>
          <cell r="AJ30">
            <v>0</v>
          </cell>
          <cell r="AK30">
            <v>105.55540522</v>
          </cell>
          <cell r="AL30">
            <v>-0.19023938670848661</v>
          </cell>
        </row>
        <row r="31">
          <cell r="K31">
            <v>26.543790649999998</v>
          </cell>
          <cell r="Q31">
            <v>24.240876950000001</v>
          </cell>
          <cell r="AJ31">
            <v>-1.0000007932831068E-8</v>
          </cell>
          <cell r="AK31">
            <v>109.41438201</v>
          </cell>
          <cell r="AL31">
            <v>-0.32398485041852609</v>
          </cell>
        </row>
        <row r="32">
          <cell r="K32">
            <v>29.95504085</v>
          </cell>
          <cell r="Q32">
            <v>27.32123588</v>
          </cell>
          <cell r="AJ32">
            <v>-1.0000007932831068E-8</v>
          </cell>
          <cell r="AK32">
            <v>112.86827284</v>
          </cell>
          <cell r="AL32">
            <v>-9.8634866992785675E-2</v>
          </cell>
        </row>
        <row r="33">
          <cell r="K33">
            <v>33.515533249999997</v>
          </cell>
          <cell r="Q33">
            <v>30.558746849999999</v>
          </cell>
          <cell r="AJ33">
            <v>-1.0000007932831068E-8</v>
          </cell>
          <cell r="AK33">
            <v>116.27952304</v>
          </cell>
          <cell r="AL33">
            <v>0.33032253606492645</v>
          </cell>
        </row>
        <row r="34">
          <cell r="K34">
            <v>37.012064709999997</v>
          </cell>
          <cell r="Q34">
            <v>33.728906949999995</v>
          </cell>
          <cell r="AJ34">
            <v>-1.0000007932831068E-8</v>
          </cell>
          <cell r="AK34">
            <v>119.84001544</v>
          </cell>
          <cell r="AL34">
            <v>0.54105197521911386</v>
          </cell>
        </row>
        <row r="35">
          <cell r="B35" t="str">
            <v>Diciembre</v>
          </cell>
          <cell r="C35">
            <v>4.6903624893644753E-2</v>
          </cell>
          <cell r="D35">
            <v>795.47</v>
          </cell>
          <cell r="E35">
            <v>1</v>
          </cell>
          <cell r="F35">
            <v>1.8959999999999999</v>
          </cell>
          <cell r="K35">
            <v>40.423314909999995</v>
          </cell>
          <cell r="L35">
            <v>1.6270000000000002</v>
          </cell>
          <cell r="M35">
            <v>1704.2433189599997</v>
          </cell>
          <cell r="Q35">
            <v>36.830586199999999</v>
          </cell>
          <cell r="R35">
            <v>0.26899999999999968</v>
          </cell>
          <cell r="S35">
            <v>-1704.2433189599997</v>
          </cell>
          <cell r="T35">
            <v>0</v>
          </cell>
          <cell r="U35">
            <v>0</v>
          </cell>
          <cell r="V35">
            <v>0</v>
          </cell>
          <cell r="W35">
            <v>3.5927287200000002</v>
          </cell>
          <cell r="X35">
            <v>8.8877637274404342E-2</v>
          </cell>
          <cell r="Y35">
            <v>1.6945999999999994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36.12940373</v>
          </cell>
          <cell r="AJ35">
            <v>-1.0000007932831068E-8</v>
          </cell>
          <cell r="AK35">
            <v>123.33654689999999</v>
          </cell>
          <cell r="AL35">
            <v>0.72376132864484966</v>
          </cell>
          <cell r="AM35">
            <v>-9.1620000000000008</v>
          </cell>
        </row>
        <row r="37">
          <cell r="K37">
            <v>3.2620080100000002</v>
          </cell>
          <cell r="Q37">
            <v>2.9445272100000004</v>
          </cell>
          <cell r="AJ37">
            <v>-2.8421709430404007E-14</v>
          </cell>
          <cell r="AK37">
            <v>129.96716448000001</v>
          </cell>
          <cell r="AL37">
            <v>0.83078516322421825</v>
          </cell>
        </row>
        <row r="38">
          <cell r="K38">
            <v>6.4813753900000002</v>
          </cell>
          <cell r="Q38">
            <v>5.8441538400000006</v>
          </cell>
          <cell r="AJ38">
            <v>0</v>
          </cell>
          <cell r="AK38">
            <v>133.05860998</v>
          </cell>
          <cell r="AL38">
            <v>1.0410606749393607</v>
          </cell>
        </row>
        <row r="39">
          <cell r="K39">
            <v>9.5301802599999998</v>
          </cell>
          <cell r="Q39">
            <v>8.6068187800000011</v>
          </cell>
          <cell r="AJ39">
            <v>0</v>
          </cell>
          <cell r="AK39">
            <v>136.15005547999999</v>
          </cell>
          <cell r="AL39">
            <v>1.1100147759832169</v>
          </cell>
        </row>
        <row r="40">
          <cell r="K40">
            <v>12.451063250000001</v>
          </cell>
          <cell r="Q40">
            <v>11.256102290000001</v>
          </cell>
          <cell r="AJ40">
            <v>0</v>
          </cell>
          <cell r="AK40">
            <v>139.07093845999998</v>
          </cell>
          <cell r="AL40">
            <v>1.211559859220011</v>
          </cell>
        </row>
        <row r="41">
          <cell r="K41">
            <v>15.24402435</v>
          </cell>
          <cell r="Q41">
            <v>13.792004370000001</v>
          </cell>
          <cell r="AJ41">
            <v>-2.8421709430404007E-14</v>
          </cell>
          <cell r="AK41">
            <v>141.82125894000001</v>
          </cell>
          <cell r="AL41">
            <v>1.3030552838641309</v>
          </cell>
        </row>
        <row r="42">
          <cell r="K42">
            <v>17.86642294</v>
          </cell>
          <cell r="Q42">
            <v>16.169624450000001</v>
          </cell>
          <cell r="AJ42">
            <v>-1.0000007932831068E-8</v>
          </cell>
          <cell r="AK42">
            <v>144.46497785</v>
          </cell>
          <cell r="AL42">
            <v>1.3385105578369654</v>
          </cell>
        </row>
        <row r="43">
          <cell r="K43">
            <v>20.33957934</v>
          </cell>
          <cell r="Q43">
            <v>18.411412800000001</v>
          </cell>
          <cell r="AJ43">
            <v>-1.0000007932831068E-8</v>
          </cell>
          <cell r="AK43">
            <v>147.0234155</v>
          </cell>
          <cell r="AL43">
            <v>1.3835615629634308</v>
          </cell>
        </row>
        <row r="44">
          <cell r="K44">
            <v>22.7487748</v>
          </cell>
          <cell r="Q44">
            <v>20.6071706</v>
          </cell>
          <cell r="AJ44">
            <v>0</v>
          </cell>
          <cell r="AK44">
            <v>149.41129063999998</v>
          </cell>
          <cell r="AL44">
            <v>1.5088689941863613</v>
          </cell>
        </row>
        <row r="45">
          <cell r="K45">
            <v>25.072689</v>
          </cell>
          <cell r="Q45">
            <v>22.734447549999999</v>
          </cell>
          <cell r="AJ45">
            <v>-1.0000007932831068E-8</v>
          </cell>
          <cell r="AK45">
            <v>151.75652516</v>
          </cell>
          <cell r="AL45">
            <v>1.6061563396808474</v>
          </cell>
        </row>
        <row r="46">
          <cell r="K46">
            <v>27.33264226</v>
          </cell>
          <cell r="Q46">
            <v>24.794373619999998</v>
          </cell>
          <cell r="AJ46">
            <v>-1.0000007932831068E-8</v>
          </cell>
          <cell r="AK46">
            <v>154.01647841999997</v>
          </cell>
          <cell r="AL46">
            <v>1.7197391812717999</v>
          </cell>
        </row>
        <row r="47">
          <cell r="K47">
            <v>29.528634580000002</v>
          </cell>
          <cell r="Q47">
            <v>26.786948819999999</v>
          </cell>
          <cell r="AJ47">
            <v>-2.8421709430404007E-14</v>
          </cell>
          <cell r="AK47">
            <v>155.89266602999999</v>
          </cell>
          <cell r="AL47">
            <v>1.8282971989592234</v>
          </cell>
        </row>
        <row r="48">
          <cell r="B48" t="str">
            <v>Diciembre</v>
          </cell>
          <cell r="C48">
            <v>4.6903624893644753E-2</v>
          </cell>
          <cell r="D48">
            <v>795.47</v>
          </cell>
          <cell r="E48">
            <v>1</v>
          </cell>
          <cell r="F48">
            <v>1.47</v>
          </cell>
          <cell r="K48">
            <v>31.340861250000003</v>
          </cell>
          <cell r="L48">
            <v>1.2549999999999999</v>
          </cell>
          <cell r="M48">
            <v>1321.3278896999998</v>
          </cell>
          <cell r="Q48">
            <v>28.418059419999999</v>
          </cell>
          <cell r="R48">
            <v>0.21500000000000008</v>
          </cell>
          <cell r="S48">
            <v>-1321.3278896999998</v>
          </cell>
          <cell r="T48">
            <v>0</v>
          </cell>
          <cell r="U48">
            <v>0</v>
          </cell>
          <cell r="V48">
            <v>0</v>
          </cell>
          <cell r="W48">
            <v>2.9228018400000004</v>
          </cell>
          <cell r="X48">
            <v>9.3258504183576008E-2</v>
          </cell>
          <cell r="Y48">
            <v>0.22459999999999947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4.7885424700000003</v>
          </cell>
          <cell r="AJ48">
            <v>-9.9999795111216372E-9</v>
          </cell>
          <cell r="AK48">
            <v>156.27643168</v>
          </cell>
          <cell r="AL48">
            <v>1.5869015624398468</v>
          </cell>
          <cell r="AM48">
            <v>-9.1620000000000008</v>
          </cell>
        </row>
        <row r="50">
          <cell r="K50">
            <v>4.7885424700000003</v>
          </cell>
          <cell r="Q50">
            <v>4.3302367399999993</v>
          </cell>
          <cell r="AJ50">
            <v>0</v>
          </cell>
          <cell r="AK50">
            <v>162.87720081999998</v>
          </cell>
          <cell r="AL50">
            <v>0</v>
          </cell>
        </row>
        <row r="52">
          <cell r="K52">
            <v>0</v>
          </cell>
          <cell r="Q52">
            <v>0</v>
          </cell>
          <cell r="AJ52">
            <v>0</v>
          </cell>
          <cell r="AK52">
            <v>162.87720081999998</v>
          </cell>
        </row>
        <row r="54">
          <cell r="B54" t="str">
            <v>TOTAL</v>
          </cell>
          <cell r="F54">
            <v>7.3165999999999993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162.87720082000001</v>
          </cell>
          <cell r="L54">
            <v>6.2759800000000006</v>
          </cell>
          <cell r="M54">
            <v>5008.2352211088682</v>
          </cell>
          <cell r="N54">
            <v>0</v>
          </cell>
          <cell r="O54">
            <v>0</v>
          </cell>
          <cell r="P54">
            <v>0</v>
          </cell>
          <cell r="Q54">
            <v>146.17654327</v>
          </cell>
          <cell r="R54">
            <v>1.0406199999999997</v>
          </cell>
          <cell r="S54">
            <v>-5008.2352211088682</v>
          </cell>
          <cell r="T54">
            <v>0</v>
          </cell>
          <cell r="U54">
            <v>0</v>
          </cell>
          <cell r="V54">
            <v>0</v>
          </cell>
          <cell r="W54">
            <v>16.700657579999998</v>
          </cell>
          <cell r="X54">
            <v>0.10253526887692738</v>
          </cell>
          <cell r="AE54">
            <v>7.3166000000000002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162.87720082000001</v>
          </cell>
          <cell r="AL54" t="str">
            <v/>
          </cell>
        </row>
      </sheetData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_nacional"/>
      <sheetName val="M_extranjera"/>
      <sheetName val="Pagos año 2003"/>
      <sheetName val="Tabla moneda"/>
      <sheetName val="Contratistas"/>
      <sheetName val="Contratos"/>
    </sheetNames>
    <sheetDataSet>
      <sheetData sheetId="0"/>
      <sheetData sheetId="1"/>
      <sheetData sheetId="2"/>
      <sheetData sheetId="3" refreshError="1"/>
      <sheetData sheetId="4" refreshError="1">
        <row r="1">
          <cell r="A1" t="str">
            <v>14º Juzgado Civil de Santiago</v>
          </cell>
        </row>
        <row r="2">
          <cell r="A2" t="str">
            <v>Acanaseg Segvent Ltda.</v>
          </cell>
        </row>
        <row r="3">
          <cell r="A3" t="str">
            <v>Acrílicos Norglas S.A.</v>
          </cell>
        </row>
        <row r="4">
          <cell r="A4" t="str">
            <v>Acuña y Bruna Ltda.</v>
          </cell>
        </row>
        <row r="5">
          <cell r="A5" t="str">
            <v>Adecco Recursos Humanos S.A.</v>
          </cell>
        </row>
        <row r="6">
          <cell r="A6" t="str">
            <v>Administradora de Estacionamientos Ltda.</v>
          </cell>
        </row>
        <row r="7">
          <cell r="A7" t="str">
            <v>Agencia de Aduana B. Perinetti Zelaya y Cía. Ltda.</v>
          </cell>
        </row>
        <row r="8">
          <cell r="A8" t="str">
            <v>Agencia de Aduana J.C.Stephens V.</v>
          </cell>
        </row>
        <row r="9">
          <cell r="A9" t="str">
            <v>AGF Allianz Chile Cía. Seguros Generales S.A.</v>
          </cell>
        </row>
        <row r="10">
          <cell r="A10" t="str">
            <v>Aguas Andinas S.A.</v>
          </cell>
        </row>
        <row r="11">
          <cell r="A11" t="str">
            <v>Alianza Consultores Ltda.</v>
          </cell>
        </row>
        <row r="12">
          <cell r="A12" t="str">
            <v>Alstom Chile S.A.</v>
          </cell>
        </row>
        <row r="13">
          <cell r="A13" t="str">
            <v>Alstom Transport S.A.</v>
          </cell>
        </row>
        <row r="14">
          <cell r="A14" t="str">
            <v>Amado Armando Martínez González</v>
          </cell>
        </row>
        <row r="15">
          <cell r="A15" t="str">
            <v>Amato Consultores Ltda.</v>
          </cell>
        </row>
        <row r="16">
          <cell r="A16" t="str">
            <v>Antuan Jury S.A.</v>
          </cell>
        </row>
        <row r="17">
          <cell r="A17" t="str">
            <v>Appareil Ltda.</v>
          </cell>
        </row>
        <row r="18">
          <cell r="A18" t="str">
            <v>Ara Ingendesa Consultores</v>
          </cell>
        </row>
        <row r="19">
          <cell r="A19" t="str">
            <v>Arcadis Geotécnica-Minmetal Ltda.</v>
          </cell>
        </row>
        <row r="20">
          <cell r="A20" t="str">
            <v>Arze, Recine y Asoc. Ing. Consultores</v>
          </cell>
        </row>
        <row r="21">
          <cell r="A21" t="str">
            <v>Augusto Lucero Alday</v>
          </cell>
        </row>
        <row r="22">
          <cell r="A22" t="str">
            <v>Automática y Regulación S.A.</v>
          </cell>
        </row>
        <row r="23">
          <cell r="A23" t="str">
            <v>Bascuñán y Cía. Ltda.</v>
          </cell>
        </row>
        <row r="24">
          <cell r="A24" t="str">
            <v>Biggest S.A.</v>
          </cell>
        </row>
        <row r="25">
          <cell r="A25" t="str">
            <v>BTU Chile S.A.</v>
          </cell>
        </row>
        <row r="26">
          <cell r="A26" t="str">
            <v>Cade Idepe</v>
          </cell>
        </row>
        <row r="27">
          <cell r="A27" t="str">
            <v>Cámara de Comercio de Santiago AG</v>
          </cell>
        </row>
        <row r="28">
          <cell r="A28" t="str">
            <v>Carlos Manuel Rubio Figueroa</v>
          </cell>
        </row>
        <row r="29">
          <cell r="A29" t="str">
            <v>Carlos Mercado Herreros</v>
          </cell>
        </row>
        <row r="30">
          <cell r="A30" t="str">
            <v>Carlos Osorio Martínez y Otro</v>
          </cell>
        </row>
        <row r="31">
          <cell r="A31" t="str">
            <v>Carlos Sanhueza Balladares</v>
          </cell>
        </row>
        <row r="32">
          <cell r="A32" t="str">
            <v>Casa Royal Ltda.</v>
          </cell>
        </row>
        <row r="33">
          <cell r="A33" t="str">
            <v>Central de Restaurantes Ltda.</v>
          </cell>
        </row>
        <row r="34">
          <cell r="A34" t="str">
            <v>Cesar Jadue S.A.</v>
          </cell>
        </row>
        <row r="35">
          <cell r="A35" t="str">
            <v>Claudia Pilar Guzman Rosales</v>
          </cell>
        </row>
        <row r="36">
          <cell r="A36" t="str">
            <v xml:space="preserve">CMET S.A. </v>
          </cell>
        </row>
        <row r="37">
          <cell r="A37" t="str">
            <v>Comercial Jadue y Cía.</v>
          </cell>
        </row>
        <row r="38">
          <cell r="A38" t="str">
            <v>Comercial Vía Rápida Ltda.</v>
          </cell>
        </row>
        <row r="39">
          <cell r="A39" t="str">
            <v>Comercial Yericó Ltda.</v>
          </cell>
        </row>
        <row r="40">
          <cell r="A40" t="str">
            <v>Computación Coral S.A.</v>
          </cell>
        </row>
        <row r="41">
          <cell r="A41" t="str">
            <v>Conservador de Bienes Raices de San Miguel</v>
          </cell>
        </row>
        <row r="42">
          <cell r="A42" t="str">
            <v>Conservador de Bienes Raices de Santiago</v>
          </cell>
        </row>
        <row r="43">
          <cell r="A43" t="str">
            <v>Consorcio de Ing. M&amp;C, Promina, Siga Ltda.</v>
          </cell>
        </row>
        <row r="44">
          <cell r="A44" t="str">
            <v>Consorcio Edic-Ingentra Ltda.</v>
          </cell>
        </row>
        <row r="45">
          <cell r="A45" t="str">
            <v>Consorcio Edic-RFA Ing. Ltda.</v>
          </cell>
        </row>
        <row r="46">
          <cell r="A46" t="str">
            <v>Construcciones de Ingeniería Neut Latour y Cía. S.A.</v>
          </cell>
        </row>
        <row r="47">
          <cell r="A47" t="str">
            <v>Constructora &amp; Ingeniería Jemap S.A.</v>
          </cell>
        </row>
        <row r="48">
          <cell r="A48" t="str">
            <v>Constructora Ecopsa S.A.</v>
          </cell>
        </row>
        <row r="49">
          <cell r="A49" t="str">
            <v>Constructora Internacional S.A.</v>
          </cell>
        </row>
        <row r="50">
          <cell r="A50" t="str">
            <v>Constructora Panal Ltda.</v>
          </cell>
        </row>
        <row r="51">
          <cell r="A51" t="str">
            <v>Constructora Santa Bárbara Ltda.</v>
          </cell>
        </row>
        <row r="52">
          <cell r="A52" t="str">
            <v>Corporación de Desarrollo Tecnológico de Bienes de Capital</v>
          </cell>
        </row>
        <row r="53">
          <cell r="A53" t="str">
            <v>Cosme Fernando Gomila Gatica</v>
          </cell>
        </row>
        <row r="54">
          <cell r="A54" t="str">
            <v>Cruz y Dávila Ltda.</v>
          </cell>
        </row>
        <row r="55">
          <cell r="A55" t="str">
            <v>Chilectra S.A.</v>
          </cell>
        </row>
        <row r="56">
          <cell r="A56" t="str">
            <v>Chubb de Chile Cía. De Seguros Generales S.A.</v>
          </cell>
        </row>
        <row r="57">
          <cell r="A57" t="str">
            <v>Delia Amanda Izquierdo Poblete</v>
          </cell>
        </row>
        <row r="58">
          <cell r="A58" t="str">
            <v>Desco-Precon-Salfa Ltda.</v>
          </cell>
        </row>
        <row r="59">
          <cell r="A59" t="str">
            <v>Dimerc S.A.</v>
          </cell>
        </row>
        <row r="60">
          <cell r="A60" t="str">
            <v>Disal Servicios Ambientales</v>
          </cell>
        </row>
        <row r="61">
          <cell r="A61" t="str">
            <v>Distribuidora Araucaria Ltda.</v>
          </cell>
        </row>
        <row r="62">
          <cell r="A62" t="str">
            <v>Distribuidora Ofimarket S.A.</v>
          </cell>
        </row>
        <row r="63">
          <cell r="A63" t="str">
            <v>Edapi S.A.</v>
          </cell>
        </row>
        <row r="64">
          <cell r="A64" t="str">
            <v>Edic Ingenieros Ltda.</v>
          </cell>
        </row>
        <row r="65">
          <cell r="A65" t="str">
            <v>Editorial Gestión Ltda.</v>
          </cell>
        </row>
        <row r="66">
          <cell r="A66" t="str">
            <v>Editorial Patris S.A.</v>
          </cell>
        </row>
        <row r="67">
          <cell r="A67" t="str">
            <v>El Mercurio</v>
          </cell>
        </row>
        <row r="68">
          <cell r="A68" t="str">
            <v>Electrónica e Inversiones RGB Ltda.</v>
          </cell>
        </row>
        <row r="69">
          <cell r="A69" t="str">
            <v>Empresa Metalúrgica Procesa S.A.</v>
          </cell>
        </row>
        <row r="70">
          <cell r="A70" t="str">
            <v>Entel Chile S.A.</v>
          </cell>
        </row>
        <row r="71">
          <cell r="A71" t="str">
            <v>Entel Telefónica Local S.A.</v>
          </cell>
        </row>
        <row r="72">
          <cell r="A72" t="str">
            <v>Eprel Ltda.</v>
          </cell>
        </row>
        <row r="73">
          <cell r="A73" t="str">
            <v>Fernando Aljaro Molina</v>
          </cell>
        </row>
        <row r="74">
          <cell r="A74" t="str">
            <v>Fernando Pimentel y Cía.</v>
          </cell>
        </row>
        <row r="75">
          <cell r="A75" t="str">
            <v>Francisco Silva Lizana</v>
          </cell>
        </row>
        <row r="76">
          <cell r="A76" t="str">
            <v>Fredy Astorga Peñailillo</v>
          </cell>
        </row>
        <row r="77">
          <cell r="A77" t="str">
            <v>Gabriel Adolfo Díaz Oliva</v>
          </cell>
        </row>
        <row r="78">
          <cell r="A78" t="str">
            <v>Geodata</v>
          </cell>
        </row>
        <row r="79">
          <cell r="A79" t="str">
            <v>George Hadwa Shahwan</v>
          </cell>
        </row>
        <row r="80">
          <cell r="A80" t="str">
            <v>Gerardo Lecaros y Cía. Ltda.</v>
          </cell>
        </row>
        <row r="81">
          <cell r="A81" t="str">
            <v>Gonzalo de la Cuadra Fabres</v>
          </cell>
        </row>
        <row r="82">
          <cell r="A82" t="str">
            <v>Gonzalo Rodrigo Jul Barrera</v>
          </cell>
        </row>
        <row r="83">
          <cell r="A83" t="str">
            <v>Haprasa Ltda.</v>
          </cell>
        </row>
        <row r="84">
          <cell r="A84" t="str">
            <v>Humberto Garetto e Lhijos Ltda.</v>
          </cell>
        </row>
        <row r="85">
          <cell r="A85" t="str">
            <v>Humberto Rivas Arenas</v>
          </cell>
        </row>
        <row r="86">
          <cell r="A86" t="str">
            <v>Hurtado Consultores Ltda.</v>
          </cell>
        </row>
        <row r="87">
          <cell r="A87" t="str">
            <v>ICR Consultores Ltda.</v>
          </cell>
        </row>
        <row r="88">
          <cell r="A88" t="str">
            <v>Inacom de Chile S.A.</v>
          </cell>
        </row>
        <row r="89">
          <cell r="A89" t="str">
            <v>Inbound Service Comunicaciones Ltda.</v>
          </cell>
        </row>
        <row r="90">
          <cell r="A90" t="str">
            <v>Indra Sistemas S.A.</v>
          </cell>
        </row>
        <row r="91">
          <cell r="A91" t="str">
            <v>Ingendesa S.A.</v>
          </cell>
        </row>
        <row r="92">
          <cell r="A92" t="str">
            <v>Ingeniería Fibrotec Ltda.</v>
          </cell>
        </row>
        <row r="93">
          <cell r="A93" t="str">
            <v>Instituto del Cemento y del Hormigón de Chile</v>
          </cell>
        </row>
        <row r="94">
          <cell r="A94" t="str">
            <v>Interexport Telecomunicaciones Ltda.</v>
          </cell>
        </row>
        <row r="95">
          <cell r="A95" t="str">
            <v>Intergroupe S.A.</v>
          </cell>
        </row>
        <row r="96">
          <cell r="A96" t="str">
            <v>Iturriaga y Cía. Ltda.</v>
          </cell>
        </row>
        <row r="97">
          <cell r="A97" t="str">
            <v>Jaime Celume y Cía. Ltda.</v>
          </cell>
        </row>
        <row r="98">
          <cell r="A98" t="str">
            <v>Jaime García Thienel</v>
          </cell>
        </row>
        <row r="99">
          <cell r="A99" t="str">
            <v>Jesús Fernando Díaz Pasmiño</v>
          </cell>
        </row>
        <row r="100">
          <cell r="A100" t="str">
            <v>Joaquín Eyzaguirre Edwards</v>
          </cell>
        </row>
        <row r="101">
          <cell r="A101" t="str">
            <v>Jorge Hormazabal Valdes</v>
          </cell>
        </row>
        <row r="102">
          <cell r="A102" t="str">
            <v>José Musalem Saffie</v>
          </cell>
        </row>
        <row r="103">
          <cell r="A103" t="str">
            <v>Julio Fuentes Bravo</v>
          </cell>
        </row>
        <row r="104">
          <cell r="A104" t="str">
            <v>La Nación S.A.</v>
          </cell>
        </row>
        <row r="105">
          <cell r="A105" t="str">
            <v>La Tercera</v>
          </cell>
        </row>
        <row r="106">
          <cell r="A106" t="str">
            <v>Laila del Carmen Andrade Hidalgo</v>
          </cell>
        </row>
        <row r="107">
          <cell r="A107" t="str">
            <v>Lanix Technology Chile S.A.</v>
          </cell>
        </row>
        <row r="108">
          <cell r="A108" t="str">
            <v>Luis Humberto Saavedra López</v>
          </cell>
        </row>
        <row r="109">
          <cell r="A109" t="str">
            <v>Luis Pinilla Bañados</v>
          </cell>
        </row>
        <row r="110">
          <cell r="A110" t="str">
            <v>Macro Ingenieros Ltda.</v>
          </cell>
        </row>
        <row r="111">
          <cell r="A111" t="str">
            <v>Manuel Contreras Gana</v>
          </cell>
        </row>
        <row r="112">
          <cell r="A112" t="str">
            <v>Manuel Valenzuela Ramírez</v>
          </cell>
        </row>
        <row r="113">
          <cell r="A113" t="str">
            <v>María Pellacani Chaparro</v>
          </cell>
        </row>
        <row r="114">
          <cell r="A114" t="str">
            <v>Marketing Telefónico S.A.</v>
          </cell>
        </row>
        <row r="115">
          <cell r="A115" t="str">
            <v>Mauricio Marcelo Ubeda Dominguez</v>
          </cell>
        </row>
        <row r="116">
          <cell r="A116" t="str">
            <v>Mauricio Poblete y Cía. Ltda.</v>
          </cell>
        </row>
        <row r="117">
          <cell r="A117" t="str">
            <v>Mauricio Sarrazín Arellano</v>
          </cell>
        </row>
        <row r="118">
          <cell r="A118" t="str">
            <v>Mauriz &amp; Ureta Ltda.</v>
          </cell>
        </row>
        <row r="119">
          <cell r="A119" t="str">
            <v>Max Huber Reprotécnica Ltda.</v>
          </cell>
        </row>
        <row r="120">
          <cell r="A120" t="str">
            <v>Mendes Junior &amp; Asociados</v>
          </cell>
        </row>
        <row r="121">
          <cell r="A121" t="str">
            <v>Metrogas S.A.</v>
          </cell>
        </row>
        <row r="122">
          <cell r="A122" t="str">
            <v>Miguel Angel Escobedo Guzmán</v>
          </cell>
        </row>
        <row r="123">
          <cell r="A123" t="str">
            <v>Ministerio de Obras Públicas</v>
          </cell>
        </row>
        <row r="124">
          <cell r="A124" t="str">
            <v>Montajes E &amp; P Ltda.</v>
          </cell>
        </row>
        <row r="125">
          <cell r="A125" t="str">
            <v>Nicola Hadwa Shahwan</v>
          </cell>
        </row>
        <row r="126">
          <cell r="A126" t="str">
            <v>Olivetti de Chile S.A.</v>
          </cell>
        </row>
        <row r="127">
          <cell r="A127" t="str">
            <v>Omar Alfonso Baigorri Hernández</v>
          </cell>
        </row>
        <row r="128">
          <cell r="A128" t="str">
            <v>Pablo Muñoz Briones</v>
          </cell>
        </row>
        <row r="129">
          <cell r="A129" t="str">
            <v>Patricia Verónica Zavala Contreras</v>
          </cell>
        </row>
        <row r="130">
          <cell r="A130" t="str">
            <v>Patricio Eduardo Véliz Möller</v>
          </cell>
        </row>
        <row r="131">
          <cell r="A131" t="str">
            <v>Paula Iris Ubilla Ortuzar</v>
          </cell>
        </row>
        <row r="132">
          <cell r="A132" t="str">
            <v>Peri Chile Ltda.</v>
          </cell>
        </row>
        <row r="133">
          <cell r="A133" t="str">
            <v>Petrus Ingenieros S.A.</v>
          </cell>
        </row>
        <row r="134">
          <cell r="A134" t="str">
            <v>Port-O-Let Ltda.</v>
          </cell>
        </row>
        <row r="135">
          <cell r="A135" t="str">
            <v>Proveedores Integrales Prisa S.A.</v>
          </cell>
        </row>
        <row r="136">
          <cell r="A136" t="str">
            <v>Radio Taxis Andes Pacífico</v>
          </cell>
        </row>
        <row r="137">
          <cell r="A137" t="str">
            <v>Ramón Enrique Domingo Labarca</v>
          </cell>
        </row>
        <row r="138">
          <cell r="A138" t="str">
            <v>Raúl Lavanchy R.</v>
          </cell>
        </row>
        <row r="139">
          <cell r="A139" t="str">
            <v>Raúl Novoa y Cía.</v>
          </cell>
        </row>
        <row r="140">
          <cell r="A140" t="str">
            <v>Red de Inversiones Invernet S.A.</v>
          </cell>
        </row>
        <row r="141">
          <cell r="A141" t="str">
            <v>Regularización de pagos</v>
          </cell>
        </row>
        <row r="142">
          <cell r="A142" t="str">
            <v>Regularización Impuesto Retenido</v>
          </cell>
        </row>
        <row r="143">
          <cell r="A143" t="str">
            <v>René Antonio Peñailillo Pérez</v>
          </cell>
        </row>
        <row r="144">
          <cell r="A144" t="str">
            <v>Reparaciones Especializadas S.A.</v>
          </cell>
        </row>
        <row r="145">
          <cell r="A145" t="str">
            <v>Ricardo A. Strickler Arellano</v>
          </cell>
        </row>
        <row r="146">
          <cell r="A146" t="str">
            <v>Ricardo Mauricio Espinoza Pérez</v>
          </cell>
        </row>
        <row r="147">
          <cell r="A147" t="str">
            <v>Rodrigo Araya García y Cía. Ltda.</v>
          </cell>
        </row>
        <row r="148">
          <cell r="A148" t="str">
            <v>Rodrigo Espinoza Castillo</v>
          </cell>
        </row>
        <row r="149">
          <cell r="A149" t="str">
            <v>Rosa Paulina González Adriazola</v>
          </cell>
        </row>
        <row r="150">
          <cell r="A150" t="str">
            <v>Royal &amp; Sun Alliance (Chile) S.A.</v>
          </cell>
        </row>
        <row r="151">
          <cell r="A151" t="str">
            <v>Ruiz Fernández S.A.</v>
          </cell>
        </row>
        <row r="152">
          <cell r="A152" t="str">
            <v>Sacyr Chile S.A.</v>
          </cell>
        </row>
        <row r="153">
          <cell r="A153" t="str">
            <v>Salomón Abuawad Chahuan</v>
          </cell>
        </row>
        <row r="154">
          <cell r="A154" t="str">
            <v>Sergio Arteaga Oehninger</v>
          </cell>
        </row>
        <row r="155">
          <cell r="A155" t="str">
            <v>Servicios Generales Ltda.</v>
          </cell>
        </row>
        <row r="156">
          <cell r="A156" t="str">
            <v>Siemens A.G.</v>
          </cell>
        </row>
        <row r="157">
          <cell r="A157" t="str">
            <v>Signo S.A.</v>
          </cell>
        </row>
        <row r="158">
          <cell r="A158" t="str">
            <v>Sociedad Comercializadora Prodata Ltda.</v>
          </cell>
        </row>
        <row r="159">
          <cell r="A159" t="str">
            <v>Socoseg Ltda.</v>
          </cell>
        </row>
        <row r="160">
          <cell r="A160" t="str">
            <v>Sócrates Tofalos y Cía. Ltda.</v>
          </cell>
        </row>
        <row r="161">
          <cell r="A161" t="str">
            <v>Soluziona Chile S.A.</v>
          </cell>
        </row>
        <row r="162">
          <cell r="A162" t="str">
            <v>Sometec S.A.</v>
          </cell>
        </row>
        <row r="163">
          <cell r="A163" t="str">
            <v>Suroeste Consultores Ltda.</v>
          </cell>
        </row>
        <row r="164">
          <cell r="A164" t="str">
            <v>Swap Distribución S.A.</v>
          </cell>
        </row>
        <row r="165">
          <cell r="A165" t="str">
            <v>Systra</v>
          </cell>
        </row>
        <row r="166">
          <cell r="A166" t="str">
            <v>Taz S.A.</v>
          </cell>
        </row>
        <row r="167">
          <cell r="A167" t="str">
            <v>Tecsa S.A.</v>
          </cell>
        </row>
        <row r="168">
          <cell r="A168" t="str">
            <v>Telecomunicaciones Bitelco Ltda.</v>
          </cell>
        </row>
        <row r="169">
          <cell r="A169" t="str">
            <v>Telefónica CTC de Chile</v>
          </cell>
        </row>
        <row r="170">
          <cell r="A170" t="str">
            <v>Tesorería General de la República</v>
          </cell>
        </row>
        <row r="171">
          <cell r="A171" t="str">
            <v>Tesorero Municipal de Santiago</v>
          </cell>
        </row>
        <row r="172">
          <cell r="A172" t="str">
            <v>Thales Information Systems</v>
          </cell>
        </row>
        <row r="173">
          <cell r="A173" t="str">
            <v>Thyssenkrupp Elevadores S.A.</v>
          </cell>
        </row>
        <row r="174">
          <cell r="A174" t="str">
            <v>Tractebel Development Engineering</v>
          </cell>
        </row>
        <row r="175">
          <cell r="A175" t="str">
            <v>Transportes Rioja Ltda.</v>
          </cell>
        </row>
        <row r="176">
          <cell r="A176" t="str">
            <v>Turismo Tajamar S.A.</v>
          </cell>
        </row>
        <row r="177">
          <cell r="A177" t="str">
            <v>Unispan Chile S.A.</v>
          </cell>
        </row>
        <row r="178">
          <cell r="A178" t="str">
            <v>Universidad de Chile</v>
          </cell>
        </row>
        <row r="179">
          <cell r="A179" t="str">
            <v>Vergara y Cía. Ltda.</v>
          </cell>
        </row>
        <row r="180">
          <cell r="A180" t="str">
            <v>Verónica Reyes Alvarez</v>
          </cell>
        </row>
        <row r="181">
          <cell r="A181" t="str">
            <v>Vicente Espinoza Vergara y Cía. Ltda.</v>
          </cell>
        </row>
        <row r="182">
          <cell r="A182" t="str">
            <v>Victoria Blanco Costa</v>
          </cell>
        </row>
        <row r="183">
          <cell r="A183" t="str">
            <v>Vission S.A.</v>
          </cell>
        </row>
        <row r="184">
          <cell r="A184" t="str">
            <v>William Hadwa Shahwan</v>
          </cell>
        </row>
        <row r="185">
          <cell r="A185" t="str">
            <v>Winter y Marchant Ltda.</v>
          </cell>
        </row>
        <row r="186">
          <cell r="A186" t="str">
            <v>Yamada Yasunaga y Cía. Ltda.</v>
          </cell>
        </row>
        <row r="187">
          <cell r="A187" t="str">
            <v>Zenitel Wireless France S.A.</v>
          </cell>
        </row>
      </sheetData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Informe"/>
      <sheetName val="FECU e indicadores"/>
      <sheetName val="Datos"/>
      <sheetName val="COTRISA"/>
      <sheetName val="BBLL"/>
      <sheetName val="EERR"/>
      <sheetName val="Gráficos 1"/>
      <sheetName val="EERR PPto.y Real Junio 2008"/>
      <sheetName val="Adm.yVtas 2007"/>
      <sheetName val="Adm.y Vtas 2008"/>
      <sheetName val="Explotación"/>
      <sheetName val="RESUMEN PPTO. 2008 Junio"/>
      <sheetName val="RESUMEN Real 2008 2007 junio"/>
      <sheetName val="EERR Ppto.2008"/>
      <sheetName val="Datos Empresa-WEB"/>
      <sheetName val="Balance-WEB"/>
      <sheetName val="EERR-WEB"/>
      <sheetName val="WEB-Balance dic07 mar08 jun08"/>
      <sheetName val="WEB-EERR dic07 mar08 jun08"/>
      <sheetName val="WEB-Balance junIO 2008"/>
      <sheetName val="Resumen real marzo"/>
      <sheetName val="Resumen PPTO marzo"/>
      <sheetName val="Datos Explotación"/>
      <sheetName val="RESUMEN"/>
      <sheetName val="PARRAL"/>
      <sheetName val="LOS ANGELES"/>
      <sheetName val="LAUTARO"/>
      <sheetName val="GESTION"/>
      <sheetName val="GORB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C7" t="str">
            <v>$ JUN 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es"/>
      <sheetName val="Evaluación"/>
      <sheetName val="Evaluación Opcion"/>
      <sheetName val="Contrato Merval"/>
      <sheetName val="Contrato Temoinsa"/>
      <sheetName val="Hoja1"/>
    </sheetNames>
    <sheetDataSet>
      <sheetData sheetId="0">
        <row r="3">
          <cell r="C3">
            <v>108.22</v>
          </cell>
        </row>
        <row r="8">
          <cell r="C8">
            <v>77</v>
          </cell>
        </row>
        <row r="9">
          <cell r="C9">
            <v>7.8E-2</v>
          </cell>
        </row>
        <row r="10">
          <cell r="C10">
            <v>6.3E-2</v>
          </cell>
        </row>
        <row r="17">
          <cell r="C17">
            <v>0.3</v>
          </cell>
        </row>
      </sheetData>
      <sheetData sheetId="1"/>
      <sheetData sheetId="2"/>
      <sheetData sheetId="3">
        <row r="26">
          <cell r="M26">
            <v>461.21019878618125</v>
          </cell>
        </row>
      </sheetData>
      <sheetData sheetId="4">
        <row r="15">
          <cell r="L15">
            <v>1145.4665667692307</v>
          </cell>
        </row>
      </sheetData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aturas"/>
      <sheetName val="BT"/>
      <sheetName val="bce cons Flujo"/>
      <sheetName val="NOTAS dic. 2010"/>
      <sheetName val="estres X mes ind"/>
      <sheetName val="Ppto. X mes"/>
      <sheetName val="Real Gestión CONS X mes (Neto)"/>
      <sheetName val="Real Gestión CONS X mes"/>
      <sheetName val="EBITDA No Oper Gestión cons"/>
      <sheetName val="bce"/>
      <sheetName val="estres"/>
      <sheetName val="IAS 1-Est Sit Fin Clas"/>
      <sheetName val="Est Res Integral"/>
      <sheetName val="IAS 1-Est Res Funcion"/>
      <sheetName val="bce cons"/>
      <sheetName val="estres cons"/>
      <sheetName val="estres cons X Trim"/>
      <sheetName val="estres cons X Trim 2"/>
      <sheetName val="Notas"/>
      <sheetName val="Patrimonio"/>
      <sheetName val="Inversiones"/>
      <sheetName val="ctas EERR"/>
      <sheetName val="Resultado EERR"/>
      <sheetName val="Ajustes EBITDA"/>
      <sheetName val="CGR"/>
      <sheetName val="base"/>
      <sheetName val="Ingr_Inf"/>
      <sheetName val="separa"/>
      <sheetName val="Nota Segmentos"/>
      <sheetName val="Nota Particip"/>
      <sheetName val="Notas EERR"/>
      <sheetName val="Notas sep. 2010"/>
      <sheetName val="Apuntes dic. 2010"/>
      <sheetName val="IdeG"/>
      <sheetName val="EBITDA No Oper Gestión cons (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G3" t="str">
            <v>trimestres</v>
          </cell>
        </row>
      </sheetData>
      <sheetData sheetId="11"/>
      <sheetData sheetId="12"/>
      <sheetData sheetId="13"/>
      <sheetData sheetId="14">
        <row r="1">
          <cell r="B1" t="str">
            <v>E.F.E.</v>
          </cell>
        </row>
      </sheetData>
      <sheetData sheetId="15" refreshError="1"/>
      <sheetData sheetId="16" refreshError="1"/>
      <sheetData sheetId="17" refreshError="1"/>
      <sheetData sheetId="18">
        <row r="1">
          <cell r="B1" t="str">
            <v>E.F.E.</v>
          </cell>
        </row>
      </sheetData>
      <sheetData sheetId="19" refreshError="1"/>
      <sheetData sheetId="20">
        <row r="12">
          <cell r="AK12" t="str">
            <v>Ingresos Ordinarios</v>
          </cell>
        </row>
      </sheetData>
      <sheetData sheetId="21" refreshError="1"/>
      <sheetData sheetId="22">
        <row r="8">
          <cell r="F8" t="str">
            <v xml:space="preserve">  </v>
          </cell>
        </row>
      </sheetData>
      <sheetData sheetId="23">
        <row r="1">
          <cell r="B1" t="str">
            <v>E.F.E.</v>
          </cell>
        </row>
      </sheetData>
      <sheetData sheetId="24">
        <row r="1">
          <cell r="B1" t="str">
            <v>E.F.E.</v>
          </cell>
        </row>
      </sheetData>
      <sheetData sheetId="25">
        <row r="7">
          <cell r="B7" t="str">
            <v>Tipo</v>
          </cell>
        </row>
      </sheetData>
      <sheetData sheetId="26" refreshError="1">
        <row r="3">
          <cell r="G3" t="str">
            <v>trimestres</v>
          </cell>
        </row>
        <row r="7">
          <cell r="E7">
            <v>1000</v>
          </cell>
        </row>
      </sheetData>
      <sheetData sheetId="27"/>
      <sheetData sheetId="28">
        <row r="3">
          <cell r="G3" t="str">
            <v>trimestres</v>
          </cell>
        </row>
      </sheetData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a Gantt"/>
      <sheetName val="Inversiones"/>
      <sheetName val="Tesoreria"/>
      <sheetName val="Dotacion"/>
      <sheetName val="Personal"/>
      <sheetName val="Graf Filial"/>
      <sheetName val="Graf"/>
      <sheetName val="Resultado"/>
      <sheetName val="Ebitda EFE"/>
      <sheetName val="Ebitda Mes"/>
    </sheetNames>
    <sheetDataSet>
      <sheetData sheetId="0"/>
      <sheetData sheetId="1"/>
      <sheetData sheetId="2">
        <row r="1">
          <cell r="A1">
            <v>1000000</v>
          </cell>
        </row>
        <row r="3">
          <cell r="A3">
            <v>547.19000000000005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"/>
      <sheetName val="Apuntes dic. 2010"/>
      <sheetName val="Ppto. X mes"/>
      <sheetName val="Real Gestión CONS X mes"/>
      <sheetName val="Gestión cons"/>
      <sheetName val="IdeG"/>
      <sheetName val="Gestión CONS N (Neto)"/>
      <sheetName val="Gestión cons N"/>
      <sheetName val="bce"/>
      <sheetName val="estres"/>
      <sheetName val="IAS 1-Est Sit Fin Clas"/>
      <sheetName val="Est Res Integral"/>
      <sheetName val="IAS 1-Est Res Funcion"/>
      <sheetName val="bce cons"/>
      <sheetName val="estres cons"/>
      <sheetName val="estres cons X Trim"/>
      <sheetName val="estres cons X Trim 2"/>
      <sheetName val="base"/>
      <sheetName val="Ingr_Inf"/>
      <sheetName val="Notas"/>
      <sheetName val="Patrimonio"/>
      <sheetName val="Inversiones"/>
      <sheetName val="ctas EERR"/>
      <sheetName val="Resultado EERR"/>
      <sheetName val="Ajustes EBITDA"/>
      <sheetName val="CGR"/>
      <sheetName val="separa"/>
      <sheetName val="Nota Segmentos"/>
      <sheetName val="Nota Particip"/>
      <sheetName val="Notas EERR"/>
      <sheetName val="Notas dic. 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E.F.E.</v>
          </cell>
        </row>
      </sheetData>
      <sheetData sheetId="8"/>
      <sheetData sheetId="9"/>
      <sheetData sheetId="10"/>
      <sheetData sheetId="11"/>
      <sheetData sheetId="12"/>
      <sheetData sheetId="13">
        <row r="1">
          <cell r="B1" t="str">
            <v>E.F.E.</v>
          </cell>
        </row>
      </sheetData>
      <sheetData sheetId="14">
        <row r="1">
          <cell r="B1" t="str">
            <v>E.F.E.</v>
          </cell>
        </row>
      </sheetData>
      <sheetData sheetId="15">
        <row r="1">
          <cell r="B1" t="str">
            <v>E.F.E.</v>
          </cell>
        </row>
      </sheetData>
      <sheetData sheetId="16">
        <row r="12">
          <cell r="AK12" t="str">
            <v>Ingresos Ordinarios</v>
          </cell>
        </row>
      </sheetData>
      <sheetData sheetId="17"/>
      <sheetData sheetId="18">
        <row r="4">
          <cell r="E4">
            <v>2010</v>
          </cell>
        </row>
        <row r="3131">
          <cell r="G3131" t="str">
            <v>'estres cons X Trim'!K:K</v>
          </cell>
        </row>
        <row r="3133">
          <cell r="G3133" t="str">
            <v>'estres cons X Trim'!D:D</v>
          </cell>
        </row>
        <row r="3134">
          <cell r="G3134" t="str">
            <v>'estres cons X Trim'!H:H</v>
          </cell>
        </row>
        <row r="3138">
          <cell r="G3138" t="str">
            <v>$M:$M</v>
          </cell>
        </row>
      </sheetData>
      <sheetData sheetId="19"/>
      <sheetData sheetId="20">
        <row r="8">
          <cell r="F8" t="str">
            <v xml:space="preserve">  </v>
          </cell>
        </row>
      </sheetData>
      <sheetData sheetId="21">
        <row r="4">
          <cell r="S4" t="str">
            <v>Otras asociadas</v>
          </cell>
        </row>
      </sheetData>
      <sheetData sheetId="22">
        <row r="1">
          <cell r="B1" t="str">
            <v>E.F.E.</v>
          </cell>
        </row>
      </sheetData>
      <sheetData sheetId="23"/>
      <sheetData sheetId="24">
        <row r="7">
          <cell r="B7" t="str">
            <v>Tipo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Base Datos Ppto 2011 (Fuente V)"/>
      <sheetName val="base"/>
      <sheetName val="Ingr_Inf"/>
    </sheetNames>
    <sheetDataSet>
      <sheetData sheetId="0"/>
      <sheetData sheetId="1"/>
      <sheetData sheetId="2"/>
      <sheetData sheetId="3">
        <row r="11">
          <cell r="B11">
            <v>1</v>
          </cell>
          <cell r="C11">
            <v>2</v>
          </cell>
        </row>
        <row r="12">
          <cell r="B12" t="str">
            <v>cód</v>
          </cell>
          <cell r="C12" t="str">
            <v>Empresa</v>
          </cell>
        </row>
        <row r="13">
          <cell r="B13" t="str">
            <v>Matriz</v>
          </cell>
          <cell r="C13" t="str">
            <v>EFE</v>
          </cell>
        </row>
        <row r="14">
          <cell r="B14" t="str">
            <v>M.Com</v>
          </cell>
          <cell r="C14" t="str">
            <v>EFE</v>
          </cell>
        </row>
        <row r="15">
          <cell r="B15" t="str">
            <v>M.Filial</v>
          </cell>
          <cell r="C15" t="str">
            <v>Elimna</v>
          </cell>
        </row>
        <row r="16">
          <cell r="B16" t="str">
            <v>M.Oper</v>
          </cell>
          <cell r="C16" t="str">
            <v>EFE</v>
          </cell>
        </row>
        <row r="17">
          <cell r="B17" t="str">
            <v>F.FS</v>
          </cell>
          <cell r="C17" t="str">
            <v>FESUB</v>
          </cell>
        </row>
        <row r="18">
          <cell r="B18" t="str">
            <v>F.LR</v>
          </cell>
          <cell r="C18" t="str">
            <v>TERRA</v>
          </cell>
        </row>
        <row r="19">
          <cell r="B19" t="str">
            <v>F.TM</v>
          </cell>
          <cell r="C19" t="str">
            <v>TMSA</v>
          </cell>
        </row>
        <row r="20">
          <cell r="B20" t="str">
            <v>F.MV</v>
          </cell>
          <cell r="C20" t="str">
            <v>MERVAL</v>
          </cell>
        </row>
        <row r="21">
          <cell r="B21" t="str">
            <v>F.MVTraf</v>
          </cell>
          <cell r="C21" t="str">
            <v>MERVAL</v>
          </cell>
        </row>
        <row r="22">
          <cell r="B22" t="str">
            <v>F.IN</v>
          </cell>
          <cell r="C22" t="str">
            <v>INVIA</v>
          </cell>
        </row>
        <row r="23">
          <cell r="C23" t="str">
            <v>FCALP</v>
          </cell>
        </row>
        <row r="24">
          <cell r="C24" t="str">
            <v>ITF</v>
          </cell>
        </row>
        <row r="26">
          <cell r="C26" t="str">
            <v>SALUD</v>
          </cell>
        </row>
        <row r="27">
          <cell r="C27" t="str">
            <v>Ajuste Cons D</v>
          </cell>
        </row>
        <row r="28">
          <cell r="C28" t="str">
            <v>Ajuste Cons H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asIIG"/>
      <sheetName val="Resumen"/>
      <sheetName val="InvTramos"/>
      <sheetName val="EvSocial"/>
      <sheetName val="OpexProy"/>
      <sheetName val="Inversiones"/>
      <sheetName val="Demanda"/>
      <sheetName val="Opex Alameda-CSatélite"/>
      <sheetName val="Opex Alameda-Malloco"/>
      <sheetName val="Opex Malloco-Talagante"/>
      <sheetName val="Opex Talagante-Melipilla"/>
      <sheetName val="Administración"/>
      <sheetName val="Operación Material Rodante"/>
      <sheetName val="Factor Ajuste Beneficios"/>
    </sheetNames>
    <sheetDataSet>
      <sheetData sheetId="0">
        <row r="3">
          <cell r="C3">
            <v>272</v>
          </cell>
        </row>
      </sheetData>
      <sheetData sheetId="1">
        <row r="2">
          <cell r="F2">
            <v>1498</v>
          </cell>
        </row>
      </sheetData>
      <sheetData sheetId="2">
        <row r="1">
          <cell r="C1">
            <v>24909.55</v>
          </cell>
        </row>
        <row r="2">
          <cell r="C2">
            <v>616.66</v>
          </cell>
          <cell r="O2">
            <v>30</v>
          </cell>
        </row>
        <row r="3">
          <cell r="I3">
            <v>0.03</v>
          </cell>
          <cell r="J3">
            <v>0.3</v>
          </cell>
          <cell r="K3">
            <v>0.19</v>
          </cell>
        </row>
        <row r="11">
          <cell r="C11">
            <v>1</v>
          </cell>
        </row>
        <row r="26">
          <cell r="C26">
            <v>1</v>
          </cell>
        </row>
        <row r="35">
          <cell r="C35">
            <v>1</v>
          </cell>
        </row>
      </sheetData>
      <sheetData sheetId="3">
        <row r="4">
          <cell r="B4">
            <v>1129</v>
          </cell>
        </row>
        <row r="5">
          <cell r="B5">
            <v>521.46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Expediente"/>
      <sheetName val="Presupuestos"/>
      <sheetName val="Inf. económico"/>
      <sheetName val="Previsión mensual"/>
      <sheetName val="Gráfico1"/>
      <sheetName val="Base de datos"/>
    </sheetNames>
    <sheetDataSet>
      <sheetData sheetId="0" refreshError="1"/>
      <sheetData sheetId="1" refreshError="1"/>
      <sheetData sheetId="2" refreshError="1"/>
      <sheetData sheetId="3" refreshError="1">
        <row r="2">
          <cell r="M2">
            <v>38595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Produc Ton"/>
      <sheetName val="Tramos"/>
      <sheetName val="Calculo TKBC"/>
      <sheetName val="Detalle Ton INE"/>
    </sheetNames>
    <sheetDataSet>
      <sheetData sheetId="0" refreshError="1">
        <row r="4">
          <cell r="C4">
            <v>2.1</v>
          </cell>
        </row>
        <row r="5">
          <cell r="C5">
            <v>1.95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ive Summary"/>
      <sheetName val="PCR Summary"/>
      <sheetName val="Change Control"/>
      <sheetName val="Payment Report"/>
      <sheetName val="Exchange Rate (if applicable)"/>
      <sheetName val="Document Instructions"/>
      <sheetName val="TC"/>
    </sheetNames>
    <sheetDataSet>
      <sheetData sheetId="0"/>
      <sheetData sheetId="1"/>
      <sheetData sheetId="2"/>
      <sheetData sheetId="3">
        <row r="31">
          <cell r="K31">
            <v>0</v>
          </cell>
          <cell r="N31">
            <v>0</v>
          </cell>
        </row>
      </sheetData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'12"/>
      <sheetName val="Feb'12"/>
      <sheetName val="Mar'12"/>
      <sheetName val="JUNIO"/>
      <sheetName val="May-2012"/>
      <sheetName val="ABR-2012"/>
      <sheetName val="JULIO"/>
      <sheetName val="Agosto"/>
      <sheetName val="SEP'12"/>
      <sheetName val="OCT-2012"/>
      <sheetName val="DIC-2013"/>
      <sheetName val="ENE-13"/>
      <sheetName val="FEB-2013"/>
      <sheetName val="Mar-2013"/>
      <sheetName val="Abr-2013"/>
      <sheetName val="May-2013"/>
      <sheetName val="Jun-2013"/>
      <sheetName val="Jul-2013"/>
      <sheetName val="EERR 2013"/>
      <sheetName val="EERR 2012"/>
      <sheetName val="PPTO2013"/>
      <sheetName val="PPTO 2012 Cons."/>
      <sheetName val="Dotación"/>
      <sheetName val="CTAS"/>
      <sheetName val="PPTO Nue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ES Y MES DEL INFORME"/>
      <sheetName val="GCIA.GENERAL"/>
      <sheetName val="C.ATENCION AL CLIENTE"/>
      <sheetName val="AUDITORIA"/>
      <sheetName val="A.legales"/>
      <sheetName val="Relaciones Publicas"/>
      <sheetName val="GCIA.FZAS"/>
      <sheetName val="CONTAB-FZAS"/>
      <sheetName val="RR.HH."/>
      <sheetName val="STGO"/>
      <sheetName val="OBRAS"/>
      <sheetName val="ESTUDIO"/>
      <sheetName val="SEGURIDAD"/>
      <sheetName val="ADUANA"/>
      <sheetName val="GCIA.NEGOCIOS"/>
      <sheetName val="DIRECTORIO"/>
      <sheetName val="tic"/>
      <sheetName val="visacion"/>
      <sheetName val="operaciones"/>
      <sheetName val="tot-asig"/>
      <sheetName val="RES-ASIG.MALL"/>
      <sheetName val="RES-ASIG.G.INMOB"/>
      <sheetName val="RES.ASIG.LOGIST"/>
      <sheetName val="RES.ASIG.ARICA"/>
      <sheetName val="RESUMEN"/>
      <sheetName val="Resumen Asig1"/>
      <sheetName val="Resumen Asig2"/>
      <sheetName val="resumen1"/>
      <sheetName val="resumen2"/>
      <sheetName val="RESUMEN3"/>
      <sheetName val="RESUMEN4"/>
      <sheetName val="RESUMEN5"/>
      <sheetName val="RESUMEN6"/>
      <sheetName val="RESUMEN7"/>
    </sheetNames>
    <sheetDataSet>
      <sheetData sheetId="0" refreshError="1">
        <row r="2">
          <cell r="D2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idades"/>
      <sheetName val="Comparado"/>
      <sheetName val="estres Proforma"/>
      <sheetName val="Estres Proyectado - Lampa"/>
      <sheetName val="Subvención"/>
      <sheetName val="F.C."/>
      <sheetName val="Mobiliario"/>
      <sheetName val="Capacidad"/>
      <sheetName val="Matrícula"/>
      <sheetName val="Becas"/>
      <sheetName val="B.R.P."/>
      <sheetName val="Ingr_Inf"/>
      <sheetName val="Remuneraciones"/>
      <sheetName val="Talleres"/>
      <sheetName val="No Oper"/>
      <sheetName val="Arriendos"/>
      <sheetName val="Gastos Varios"/>
      <sheetName val="Escolaridad y bonos"/>
    </sheetNames>
    <sheetDataSet>
      <sheetData sheetId="0"/>
      <sheetData sheetId="1"/>
      <sheetData sheetId="2"/>
      <sheetData sheetId="3">
        <row r="1">
          <cell r="B1" t="str">
            <v>Soc. Adm. de Est. Educ. TDG Ltda.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 t="str">
            <v>Miles de Pesos</v>
          </cell>
          <cell r="C8">
            <v>1000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BOL (3)"/>
      <sheetName val="INGBOL (2)"/>
      <sheetName val="INGBOL"/>
      <sheetName val="ESCENA1"/>
      <sheetName val="TARIFAS-01"/>
      <sheetName val="TAR-MED-PM"/>
      <sheetName val="TAR-MED-FP"/>
      <sheetName val="USOS-PM"/>
      <sheetName val="USOS-FP"/>
      <sheetName val="I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v_Pura Dep-S"/>
      <sheetName val="Ev_Pura S en Ing."/>
      <sheetName val="IMG sin Subsidio"/>
      <sheetName val="IMG con Subsidio"/>
      <sheetName val="Ev_Financ Dep-S"/>
      <sheetName val="Ev_Financ S en Ing."/>
    </sheetNames>
    <sheetDataSet>
      <sheetData sheetId="0"/>
      <sheetData sheetId="1"/>
      <sheetData sheetId="2"/>
      <sheetData sheetId="3"/>
      <sheetData sheetId="4">
        <row r="11">
          <cell r="E11">
            <v>0</v>
          </cell>
        </row>
      </sheetData>
      <sheetData sheetId="5"/>
      <sheetData sheetId="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v_Pura Dep-S"/>
      <sheetName val="Ev_Pura S en Ing."/>
      <sheetName val="IMG sin Subsidio"/>
      <sheetName val="IMG con Subsidio"/>
      <sheetName val="Ev_Financ Dep-S"/>
      <sheetName val="Ev_Financ S en Ing."/>
    </sheetNames>
    <sheetDataSet>
      <sheetData sheetId="0"/>
      <sheetData sheetId="1"/>
      <sheetData sheetId="2"/>
      <sheetData sheetId="3"/>
      <sheetData sheetId="4">
        <row r="11">
          <cell r="E11">
            <v>5663050.7536123991</v>
          </cell>
        </row>
      </sheetData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nda-2014"/>
      <sheetName val="Supuestos PPTO"/>
      <sheetName val="Resumen_Op"/>
      <sheetName val="Hoja2"/>
      <sheetName val="Supuestos 2016"/>
      <sheetName val="Def_SS"/>
      <sheetName val="Def_SS_Día"/>
      <sheetName val="Supuestos 2017"/>
      <sheetName val="Def_SS_FO"/>
      <sheetName val="Demanda"/>
      <sheetName val="Publicidad"/>
      <sheetName val="No_Tarifario"/>
    </sheetNames>
    <sheetDataSet>
      <sheetData sheetId="0">
        <row r="14">
          <cell r="C14">
            <v>320</v>
          </cell>
        </row>
        <row r="15">
          <cell r="C15">
            <v>950</v>
          </cell>
        </row>
        <row r="16">
          <cell r="C16">
            <v>1450</v>
          </cell>
        </row>
      </sheetData>
      <sheetData sheetId="1"/>
      <sheetData sheetId="2">
        <row r="18">
          <cell r="D18">
            <v>42370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 (2020)"/>
      <sheetName val="OUTPUT (2017)"/>
      <sheetName val="OUTPUT (2016) (Informe)"/>
      <sheetName val="OUTPUT (2016)"/>
      <sheetName val="OUTPUT (2015)"/>
      <sheetName val="Sensibilidad Alameda - Nos"/>
      <sheetName val="Tabla DF"/>
      <sheetName val="Resultados 2015-2016"/>
      <sheetName val="Resumen Alameda - Nos"/>
      <sheetName val="Resumen (2)"/>
      <sheetName val="Resumen"/>
      <sheetName val="Indicadores Operacionales"/>
      <sheetName val="Base de Datos"/>
      <sheetName val="ANTECEDENTES"/>
      <sheetName val="Propuesta Eficiencia (2)"/>
      <sheetName val="PARAMETROS"/>
      <sheetName val="Gastos TrenCentral"/>
      <sheetName val="Propuesta Eficiencia"/>
      <sheetName val="Presupuesto 2016"/>
      <sheetName val="Proyeccion Cierre 2015"/>
      <sheetName val="Ppto General 2015"/>
      <sheetName val="Consolidado Personal"/>
      <sheetName val="Presupuesto TC 2016"/>
      <sheetName val="Demanda NX"/>
      <sheetName val="Personal Total Grupo"/>
      <sheetName val="Modificación Tecdra"/>
      <sheetName val="Personal MetroValparaiso"/>
      <sheetName val="Personal Biotren"/>
      <sheetName val="Gastos Adicionales TrenCentral"/>
      <sheetName val="Sector Red"/>
      <sheetName val="Tabla Paxs"/>
      <sheetName val="P.FIJO Y GARANTIAS"/>
      <sheetName val="TKBC.CPIF (2014-2015)"/>
      <sheetName val="TKBC.CPIF (2016 en adelante)"/>
      <sheetName val="Pax 2014"/>
      <sheetName val="Pax 2015"/>
      <sheetName val="Presupuesto 2015 TC"/>
      <sheetName val="Presupuesto 2016 TC"/>
      <sheetName val="Real 2015 TC"/>
      <sheetName val="Mant MR NX"/>
      <sheetName val="Mant MR RX"/>
      <sheetName val="EVALUACION PRIVADA NX-RX"/>
      <sheetName val="GastoPersonal NX-RX"/>
      <sheetName val="Demanda NX-RX"/>
      <sheetName val="TrenKm-TKBC NX-RX"/>
      <sheetName val="Parametros Proy MV"/>
      <sheetName val="Antecedentes Proy MV"/>
      <sheetName val="EV PRIVADA PROY EV"/>
      <sheetName val="Ingresos Privados Proy MV"/>
      <sheetName val="Integracion Vertical Proy MV"/>
      <sheetName val="Demanda Proy Melipilla"/>
      <sheetName val="Opex Alameda-CSatélite"/>
      <sheetName val="Opex Alameda-Malloco"/>
      <sheetName val="Opex Malloco-Talagante"/>
      <sheetName val="Opex Talagante-Melipilla"/>
      <sheetName val="Demanda Proy Batuco"/>
      <sheetName val="Opex urbano Proy Batuco"/>
      <sheetName val="Opex suburbano Proy Batuco"/>
      <sheetName val="Ev Proyecto Coronel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AD30">
            <v>-1578.3527735893661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CB7">
            <v>26509.882396040219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3">
          <cell r="B3">
            <v>600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Evaluación Social"/>
      <sheetName val="Hoja2"/>
      <sheetName val="InvEvalSocial"/>
      <sheetName val="Soterrar"/>
      <sheetName val="Inversiones"/>
      <sheetName val="Evaluación Marginal"/>
      <sheetName val="Opex Alameda - Ciudad Satélite"/>
      <sheetName val="Opex Alameda - Malloco"/>
      <sheetName val="Ben Desnivelación"/>
      <sheetName val="Demanda"/>
      <sheetName val="Administración"/>
      <sheetName val="Operación Material Rodante"/>
      <sheetName val="Factor Ajuste Beneficios A-M"/>
      <sheetName val="Hoja1"/>
    </sheetNames>
    <sheetDataSet>
      <sheetData sheetId="0" refreshError="1"/>
      <sheetData sheetId="1">
        <row r="3">
          <cell r="B3">
            <v>1129</v>
          </cell>
          <cell r="AP3">
            <v>1498</v>
          </cell>
        </row>
        <row r="12">
          <cell r="B12">
            <v>0.06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>
        <row r="2">
          <cell r="B2">
            <v>250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esp"/>
      <sheetName val="efing"/>
      <sheetName val="datos_mens"/>
      <sheetName val="PIB.CC"/>
      <sheetName val="Ce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"/>
      <sheetName val="estres cons EBITDA X mes"/>
      <sheetName val="Gestión CONS N (Neto)"/>
      <sheetName val="Gestión cons N"/>
      <sheetName val="Apuntes"/>
      <sheetName val="bce"/>
      <sheetName val="estres"/>
      <sheetName val="IAS 1-Est Sit Fin Clas"/>
      <sheetName val="Est Res Integral"/>
      <sheetName val="IAS 1-Est Res Funcion"/>
      <sheetName val="bce cons"/>
      <sheetName val="estres cons"/>
      <sheetName val="estres cons X Trim comp"/>
      <sheetName val="estres cons X Trim bruto"/>
      <sheetName val="estres cons X Trim neto"/>
      <sheetName val="estres cons X Trim 2"/>
      <sheetName val="base"/>
      <sheetName val="Menú"/>
      <sheetName val="Ingr_Inf"/>
      <sheetName val="Patrimonio"/>
      <sheetName val="Inversiones"/>
      <sheetName val="ctas EERR"/>
      <sheetName val="Resultado EERR"/>
      <sheetName val="ELIM resultado"/>
      <sheetName val="separa"/>
      <sheetName val="Ajustes EBITDA"/>
      <sheetName val="Baco Central"/>
      <sheetName val="Análisis razonado"/>
      <sheetName val="Notas"/>
      <sheetName val="CGR"/>
      <sheetName val="Nota Segmentos"/>
      <sheetName val="Nota Particip"/>
      <sheetName val="Notas EERR"/>
      <sheetName val="Notas dic. 2010"/>
      <sheetName val="Gestión"/>
    </sheetNames>
    <sheetDataSet>
      <sheetData sheetId="0"/>
      <sheetData sheetId="1">
        <row r="1">
          <cell r="B1" t="str">
            <v>E.F.E.</v>
          </cell>
        </row>
      </sheetData>
      <sheetData sheetId="2">
        <row r="1">
          <cell r="B1" t="str">
            <v>E.F.E.</v>
          </cell>
        </row>
      </sheetData>
      <sheetData sheetId="3">
        <row r="1">
          <cell r="B1" t="str">
            <v>E.F.E.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E.F.E.</v>
          </cell>
        </row>
      </sheetData>
      <sheetData sheetId="11">
        <row r="1">
          <cell r="B1" t="str">
            <v>E.F.E.</v>
          </cell>
        </row>
      </sheetData>
      <sheetData sheetId="12">
        <row r="1">
          <cell r="C1" t="str">
            <v>I   T</v>
          </cell>
        </row>
      </sheetData>
      <sheetData sheetId="13">
        <row r="1">
          <cell r="B1" t="str">
            <v>E.F.E.</v>
          </cell>
        </row>
      </sheetData>
      <sheetData sheetId="14">
        <row r="1">
          <cell r="B1" t="str">
            <v>E.F.E.</v>
          </cell>
        </row>
      </sheetData>
      <sheetData sheetId="15">
        <row r="1">
          <cell r="C1" t="str">
            <v>filial concepto</v>
          </cell>
        </row>
      </sheetData>
      <sheetData sheetId="16"/>
      <sheetData sheetId="17"/>
      <sheetData sheetId="18">
        <row r="6">
          <cell r="D6">
            <v>1</v>
          </cell>
        </row>
      </sheetData>
      <sheetData sheetId="19">
        <row r="8">
          <cell r="F8" t="str">
            <v xml:space="preserve">  </v>
          </cell>
        </row>
      </sheetData>
      <sheetData sheetId="20">
        <row r="4">
          <cell r="S4" t="str">
            <v>Otras asociadas</v>
          </cell>
        </row>
      </sheetData>
      <sheetData sheetId="21">
        <row r="1">
          <cell r="B1" t="str">
            <v>E.F.E.</v>
          </cell>
        </row>
      </sheetData>
      <sheetData sheetId="22">
        <row r="1">
          <cell r="B1" t="str">
            <v>E.F.E.</v>
          </cell>
        </row>
        <row r="5">
          <cell r="L5" t="str">
            <v>Total</v>
          </cell>
          <cell r="M5" t="str">
            <v>ene.</v>
          </cell>
          <cell r="N5" t="str">
            <v>feb.</v>
          </cell>
          <cell r="O5" t="str">
            <v>mar.</v>
          </cell>
          <cell r="P5" t="str">
            <v>abr.</v>
          </cell>
          <cell r="Q5" t="str">
            <v>may.</v>
          </cell>
          <cell r="R5" t="str">
            <v>jun.</v>
          </cell>
          <cell r="S5" t="str">
            <v>jul.</v>
          </cell>
          <cell r="T5" t="str">
            <v>ago.</v>
          </cell>
          <cell r="U5" t="str">
            <v>sep.</v>
          </cell>
          <cell r="V5" t="str">
            <v>oct.</v>
          </cell>
          <cell r="W5" t="str">
            <v>nov.</v>
          </cell>
          <cell r="X5" t="str">
            <v>dic.</v>
          </cell>
        </row>
        <row r="6">
          <cell r="L6" t="str">
            <v>$</v>
          </cell>
          <cell r="M6" t="str">
            <v>$</v>
          </cell>
          <cell r="N6" t="str">
            <v>$</v>
          </cell>
          <cell r="O6" t="str">
            <v>$</v>
          </cell>
          <cell r="P6" t="str">
            <v>$</v>
          </cell>
          <cell r="Q6" t="str">
            <v>$</v>
          </cell>
          <cell r="R6" t="str">
            <v>$</v>
          </cell>
          <cell r="S6" t="str">
            <v>$</v>
          </cell>
          <cell r="T6" t="str">
            <v>$</v>
          </cell>
          <cell r="U6" t="str">
            <v>$</v>
          </cell>
          <cell r="V6" t="str">
            <v/>
          </cell>
          <cell r="W6" t="str">
            <v/>
          </cell>
          <cell r="X6" t="str">
            <v/>
          </cell>
        </row>
        <row r="7">
          <cell r="L7" t="str">
            <v>L</v>
          </cell>
          <cell r="M7" t="str">
            <v>M</v>
          </cell>
          <cell r="N7" t="str">
            <v>N</v>
          </cell>
          <cell r="O7" t="str">
            <v>O</v>
          </cell>
          <cell r="P7" t="str">
            <v>P</v>
          </cell>
          <cell r="Q7" t="str">
            <v>Q</v>
          </cell>
          <cell r="R7" t="str">
            <v>R</v>
          </cell>
          <cell r="S7" t="str">
            <v>S</v>
          </cell>
          <cell r="T7" t="str">
            <v>T</v>
          </cell>
          <cell r="U7" t="str">
            <v>U</v>
          </cell>
          <cell r="V7" t="str">
            <v>V</v>
          </cell>
          <cell r="W7" t="str">
            <v>W</v>
          </cell>
          <cell r="X7" t="str">
            <v>X</v>
          </cell>
        </row>
      </sheetData>
      <sheetData sheetId="23"/>
      <sheetData sheetId="24"/>
      <sheetData sheetId="25">
        <row r="7">
          <cell r="B7" t="str">
            <v>Tipo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ción 2010"/>
      <sheetName val="Plan Octubre"/>
      <sheetName val="Plan Noviembre"/>
      <sheetName val="GRÁF"/>
      <sheetName val="SEMANAL"/>
      <sheetName val="RESUMEN"/>
      <sheetName val="Plan SEMANAL"/>
      <sheetName val="ARRASTRE"/>
      <sheetName val="Datos"/>
      <sheetName val="MM$"/>
      <sheetName val="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>
            <v>550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AF2B-B046-4EC2-BAB4-83DDE18C6E4D}">
  <dimension ref="A4:AH506"/>
  <sheetViews>
    <sheetView tabSelected="1" showOutlineSymbols="0" showWhiteSpace="0" topLeftCell="A158" zoomScale="55" zoomScaleNormal="55" workbookViewId="0">
      <selection activeCell="C183" sqref="C183:AB208"/>
    </sheetView>
  </sheetViews>
  <sheetFormatPr baseColWidth="10" defaultRowHeight="15" x14ac:dyDescent="0.25"/>
  <cols>
    <col min="2" max="2" width="31.5703125" bestFit="1" customWidth="1"/>
    <col min="3" max="3" width="14.42578125" bestFit="1" customWidth="1"/>
    <col min="4" max="6" width="14.42578125" customWidth="1"/>
    <col min="7" max="7" width="20.140625" bestFit="1" customWidth="1"/>
    <col min="8" max="8" width="25.28515625" bestFit="1" customWidth="1"/>
    <col min="9" max="9" width="24.85546875" bestFit="1" customWidth="1"/>
    <col min="10" max="10" width="23" bestFit="1" customWidth="1"/>
    <col min="11" max="11" width="25.5703125" customWidth="1"/>
    <col min="12" max="12" width="16" bestFit="1" customWidth="1"/>
    <col min="13" max="13" width="24.85546875" bestFit="1" customWidth="1"/>
    <col min="14" max="14" width="16.7109375" bestFit="1" customWidth="1"/>
    <col min="15" max="15" width="18" bestFit="1" customWidth="1"/>
    <col min="16" max="16" width="17" bestFit="1" customWidth="1"/>
    <col min="17" max="17" width="21.7109375" bestFit="1" customWidth="1"/>
    <col min="18" max="18" width="23" bestFit="1" customWidth="1"/>
    <col min="20" max="20" width="16.42578125" customWidth="1"/>
    <col min="23" max="23" width="17.42578125" customWidth="1"/>
    <col min="24" max="24" width="15.85546875" customWidth="1"/>
    <col min="28" max="28" width="13" customWidth="1"/>
    <col min="29" max="29" width="17.85546875" customWidth="1"/>
    <col min="30" max="30" width="18.28515625" customWidth="1"/>
  </cols>
  <sheetData>
    <row r="4" spans="2:30" ht="15.75" customHeight="1" x14ac:dyDescent="0.25">
      <c r="B4" s="1" t="s">
        <v>0</v>
      </c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30" ht="15.75" x14ac:dyDescent="0.25"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30" ht="15.75" x14ac:dyDescent="0.25"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30" ht="15.75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2:30" ht="16.5" thickBot="1" x14ac:dyDescent="0.3">
      <c r="B8" s="3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5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6" t="s">
        <v>19</v>
      </c>
      <c r="U8" s="6" t="s">
        <v>20</v>
      </c>
      <c r="V8" s="6" t="s">
        <v>21</v>
      </c>
      <c r="W8" s="6" t="s">
        <v>22</v>
      </c>
      <c r="X8" s="6" t="s">
        <v>23</v>
      </c>
      <c r="Y8" s="6" t="s">
        <v>24</v>
      </c>
      <c r="Z8" s="6" t="s">
        <v>25</v>
      </c>
      <c r="AA8" s="6" t="s">
        <v>26</v>
      </c>
      <c r="AB8" s="6" t="s">
        <v>27</v>
      </c>
      <c r="AC8" s="6" t="s">
        <v>28</v>
      </c>
      <c r="AD8" s="3" t="s">
        <v>29</v>
      </c>
    </row>
    <row r="9" spans="2:30" ht="15.75" x14ac:dyDescent="0.25">
      <c r="B9" s="4" t="s">
        <v>2</v>
      </c>
      <c r="C9" s="7">
        <v>0</v>
      </c>
      <c r="D9" s="8">
        <v>8.8000000000000007</v>
      </c>
      <c r="E9" s="8">
        <v>10.3</v>
      </c>
      <c r="F9" s="8">
        <v>12.3</v>
      </c>
      <c r="G9" s="9">
        <v>13.4</v>
      </c>
      <c r="H9" s="9">
        <v>23.5</v>
      </c>
      <c r="I9" s="10">
        <v>23.5</v>
      </c>
      <c r="J9" s="9">
        <v>26.5</v>
      </c>
      <c r="K9" s="9">
        <v>29.4</v>
      </c>
      <c r="L9" s="9">
        <v>31.4</v>
      </c>
      <c r="M9" s="9">
        <v>33.4</v>
      </c>
      <c r="N9" s="9">
        <v>36.6</v>
      </c>
      <c r="O9" s="9">
        <v>38</v>
      </c>
      <c r="P9" s="9">
        <v>26.5</v>
      </c>
      <c r="Q9" s="9">
        <v>28.5</v>
      </c>
      <c r="R9" s="9">
        <v>30.7</v>
      </c>
      <c r="S9" s="9">
        <v>31.5</v>
      </c>
      <c r="T9" s="9">
        <v>33.15</v>
      </c>
      <c r="U9" s="9">
        <v>34.799999999999997</v>
      </c>
      <c r="V9" s="11">
        <v>36.774999999999999</v>
      </c>
      <c r="W9" s="12">
        <v>43.055</v>
      </c>
      <c r="X9" s="13">
        <v>46.015000000000001</v>
      </c>
      <c r="Y9" s="13">
        <v>46.879999999999995</v>
      </c>
      <c r="Z9" s="13">
        <v>48.05</v>
      </c>
      <c r="AA9" s="13">
        <v>49.64</v>
      </c>
      <c r="AB9" s="13">
        <v>50.78</v>
      </c>
      <c r="AC9" s="14">
        <v>50.78</v>
      </c>
      <c r="AD9" s="15">
        <f>SUM(C9:AC9)</f>
        <v>844.2249999999998</v>
      </c>
    </row>
    <row r="10" spans="2:30" ht="15.75" x14ac:dyDescent="0.25">
      <c r="B10" s="4" t="s">
        <v>3</v>
      </c>
      <c r="C10" s="16">
        <v>8.8000000000000007</v>
      </c>
      <c r="D10" s="17">
        <v>0</v>
      </c>
      <c r="E10" s="17">
        <v>1.5</v>
      </c>
      <c r="F10" s="17">
        <v>4.4000000000000004</v>
      </c>
      <c r="G10" s="18">
        <v>5.5</v>
      </c>
      <c r="H10" s="18">
        <v>15.6</v>
      </c>
      <c r="I10" s="19">
        <v>15.6</v>
      </c>
      <c r="J10" s="18">
        <v>18.600000000000001</v>
      </c>
      <c r="K10" s="18">
        <v>21.5</v>
      </c>
      <c r="L10" s="18">
        <v>23.5</v>
      </c>
      <c r="M10" s="18">
        <v>25.5</v>
      </c>
      <c r="N10" s="18">
        <v>28.7</v>
      </c>
      <c r="O10" s="20">
        <v>30.1</v>
      </c>
      <c r="P10" s="18">
        <v>18.600000000000001</v>
      </c>
      <c r="Q10" s="18">
        <v>20.6</v>
      </c>
      <c r="R10" s="18">
        <v>22.8</v>
      </c>
      <c r="S10" s="18">
        <v>23.6</v>
      </c>
      <c r="T10" s="18">
        <v>25.25</v>
      </c>
      <c r="U10" s="18">
        <v>26.9</v>
      </c>
      <c r="V10" s="21">
        <v>28.875</v>
      </c>
      <c r="W10" s="17">
        <v>35.155000000000001</v>
      </c>
      <c r="X10" s="18">
        <v>38.115000000000002</v>
      </c>
      <c r="Y10" s="18">
        <v>38.979999999999997</v>
      </c>
      <c r="Z10" s="18">
        <v>40.15</v>
      </c>
      <c r="AA10" s="18">
        <v>41.74</v>
      </c>
      <c r="AB10" s="18">
        <v>42.88</v>
      </c>
      <c r="AC10" s="22">
        <v>42.88</v>
      </c>
      <c r="AD10" s="15">
        <f>SUM(C10:AC10)</f>
        <v>645.82499999999993</v>
      </c>
    </row>
    <row r="11" spans="2:30" ht="15.75" x14ac:dyDescent="0.25">
      <c r="B11" s="4" t="s">
        <v>4</v>
      </c>
      <c r="C11" s="16">
        <v>10.3</v>
      </c>
      <c r="D11" s="17">
        <v>1.5</v>
      </c>
      <c r="E11" s="17">
        <v>0</v>
      </c>
      <c r="F11" s="17">
        <v>1.8</v>
      </c>
      <c r="G11" s="18">
        <v>3.1</v>
      </c>
      <c r="H11" s="18">
        <v>13.2</v>
      </c>
      <c r="I11" s="19">
        <v>13.2</v>
      </c>
      <c r="J11" s="18">
        <v>16.2</v>
      </c>
      <c r="K11" s="18">
        <v>19.100000000000001</v>
      </c>
      <c r="L11" s="18">
        <v>21.1</v>
      </c>
      <c r="M11" s="18">
        <v>23.1</v>
      </c>
      <c r="N11" s="18">
        <v>26.3</v>
      </c>
      <c r="O11" s="18">
        <v>27.7</v>
      </c>
      <c r="P11" s="18">
        <v>16.2</v>
      </c>
      <c r="Q11" s="18">
        <v>18.2</v>
      </c>
      <c r="R11" s="18">
        <v>20.399999999999999</v>
      </c>
      <c r="S11" s="18">
        <v>21.2</v>
      </c>
      <c r="T11" s="18">
        <v>22.849999999999998</v>
      </c>
      <c r="U11" s="18">
        <v>24.499999999999996</v>
      </c>
      <c r="V11" s="21">
        <v>26.474999999999998</v>
      </c>
      <c r="W11" s="17">
        <v>32.754999999999995</v>
      </c>
      <c r="X11" s="18">
        <v>35.714999999999996</v>
      </c>
      <c r="Y11" s="18">
        <v>36.579999999999991</v>
      </c>
      <c r="Z11" s="18">
        <v>37.749999999999993</v>
      </c>
      <c r="AA11" s="18">
        <v>39.339999999999996</v>
      </c>
      <c r="AB11" s="18">
        <v>40.479999999999997</v>
      </c>
      <c r="AC11" s="22">
        <v>40.479999999999997</v>
      </c>
      <c r="AD11" s="15">
        <f>SUM(C11:AC11)</f>
        <v>589.52499999999998</v>
      </c>
    </row>
    <row r="12" spans="2:30" ht="15.75" x14ac:dyDescent="0.25">
      <c r="B12" s="4" t="s">
        <v>5</v>
      </c>
      <c r="C12" s="16">
        <v>12.3</v>
      </c>
      <c r="D12" s="17">
        <v>4.4000000000000004</v>
      </c>
      <c r="E12" s="17">
        <v>1.8</v>
      </c>
      <c r="F12" s="17">
        <v>0</v>
      </c>
      <c r="G12" s="18">
        <v>1.4</v>
      </c>
      <c r="H12" s="18">
        <v>11.5</v>
      </c>
      <c r="I12" s="19">
        <v>11.5</v>
      </c>
      <c r="J12" s="18">
        <v>14.5</v>
      </c>
      <c r="K12" s="18">
        <v>17.400000000000002</v>
      </c>
      <c r="L12" s="18">
        <v>19.400000000000002</v>
      </c>
      <c r="M12" s="18">
        <v>21.400000000000002</v>
      </c>
      <c r="N12" s="18">
        <v>24.6</v>
      </c>
      <c r="O12" s="18">
        <v>26</v>
      </c>
      <c r="P12" s="18">
        <v>14.5</v>
      </c>
      <c r="Q12" s="18">
        <v>16.5</v>
      </c>
      <c r="R12" s="18">
        <v>18.7</v>
      </c>
      <c r="S12" s="18">
        <v>19.5</v>
      </c>
      <c r="T12" s="18">
        <v>21.15</v>
      </c>
      <c r="U12" s="18">
        <v>22.799999999999997</v>
      </c>
      <c r="V12" s="21">
        <v>24.774999999999999</v>
      </c>
      <c r="W12" s="17">
        <v>31.055</v>
      </c>
      <c r="X12" s="18">
        <v>34.015000000000001</v>
      </c>
      <c r="Y12" s="18">
        <v>34.879999999999995</v>
      </c>
      <c r="Z12" s="18">
        <v>36.049999999999997</v>
      </c>
      <c r="AA12" s="18">
        <v>37.64</v>
      </c>
      <c r="AB12" s="18">
        <v>38.78</v>
      </c>
      <c r="AC12" s="22">
        <v>38.78</v>
      </c>
      <c r="AD12" s="15">
        <f t="shared" ref="AD12:AD35" si="0">SUM(C12:AC12)</f>
        <v>555.32499999999993</v>
      </c>
    </row>
    <row r="13" spans="2:30" ht="15.75" x14ac:dyDescent="0.25">
      <c r="B13" s="4" t="s">
        <v>6</v>
      </c>
      <c r="C13" s="16">
        <v>13.4</v>
      </c>
      <c r="D13" s="17">
        <v>5.5</v>
      </c>
      <c r="E13" s="17">
        <v>3.1</v>
      </c>
      <c r="F13" s="17">
        <v>1.4</v>
      </c>
      <c r="G13" s="18">
        <v>0</v>
      </c>
      <c r="H13" s="18">
        <v>10.1</v>
      </c>
      <c r="I13" s="19">
        <v>10.1</v>
      </c>
      <c r="J13" s="18">
        <v>13.1</v>
      </c>
      <c r="K13" s="18">
        <v>16</v>
      </c>
      <c r="L13" s="18">
        <v>18</v>
      </c>
      <c r="M13" s="18">
        <v>20</v>
      </c>
      <c r="N13" s="18">
        <v>23.3</v>
      </c>
      <c r="O13" s="18">
        <v>24.700000000000003</v>
      </c>
      <c r="P13" s="18">
        <v>13.1</v>
      </c>
      <c r="Q13" s="18">
        <v>15.1</v>
      </c>
      <c r="R13" s="18">
        <v>17.299999999999997</v>
      </c>
      <c r="S13" s="18">
        <v>18.099999999999998</v>
      </c>
      <c r="T13" s="18">
        <v>19.749999999999996</v>
      </c>
      <c r="U13" s="18">
        <v>21.399999999999995</v>
      </c>
      <c r="V13" s="21">
        <v>23.374999999999996</v>
      </c>
      <c r="W13" s="17">
        <v>29.654999999999998</v>
      </c>
      <c r="X13" s="17">
        <v>32.614999999999995</v>
      </c>
      <c r="Y13" s="17">
        <v>33.47999999999999</v>
      </c>
      <c r="Z13" s="17">
        <v>34.649999999999991</v>
      </c>
      <c r="AA13" s="17">
        <v>36.239999999999995</v>
      </c>
      <c r="AB13" s="17">
        <v>37.379999999999995</v>
      </c>
      <c r="AC13" s="23">
        <v>37.379999999999995</v>
      </c>
      <c r="AD13" s="15">
        <f t="shared" si="0"/>
        <v>528.22499999999991</v>
      </c>
    </row>
    <row r="14" spans="2:30" ht="15.75" x14ac:dyDescent="0.25">
      <c r="B14" s="4" t="s">
        <v>7</v>
      </c>
      <c r="C14" s="16">
        <v>23.5</v>
      </c>
      <c r="D14" s="17">
        <v>15.6</v>
      </c>
      <c r="E14" s="17">
        <v>13.2</v>
      </c>
      <c r="F14" s="17">
        <v>11.5</v>
      </c>
      <c r="G14" s="18">
        <v>10.1</v>
      </c>
      <c r="H14" s="18">
        <v>0</v>
      </c>
      <c r="I14" s="19">
        <v>0</v>
      </c>
      <c r="J14" s="18">
        <v>3</v>
      </c>
      <c r="K14" s="18">
        <v>5.9</v>
      </c>
      <c r="L14" s="18">
        <v>7.9</v>
      </c>
      <c r="M14" s="18">
        <v>9.9</v>
      </c>
      <c r="N14" s="18">
        <v>13.1</v>
      </c>
      <c r="O14" s="18">
        <v>14.5</v>
      </c>
      <c r="P14" s="18">
        <v>3</v>
      </c>
      <c r="Q14" s="18">
        <v>5</v>
      </c>
      <c r="R14" s="18">
        <v>7.1999999999999993</v>
      </c>
      <c r="S14" s="18">
        <v>8</v>
      </c>
      <c r="T14" s="18">
        <v>9.6499999999999986</v>
      </c>
      <c r="U14" s="18">
        <v>11.299999999999997</v>
      </c>
      <c r="V14" s="21">
        <v>13.274999999999999</v>
      </c>
      <c r="W14" s="17">
        <v>19.555</v>
      </c>
      <c r="X14" s="17">
        <v>22.515000000000001</v>
      </c>
      <c r="Y14" s="17">
        <v>23.379999999999995</v>
      </c>
      <c r="Z14" s="17">
        <v>24.549999999999997</v>
      </c>
      <c r="AA14" s="17">
        <v>26.14</v>
      </c>
      <c r="AB14" s="17">
        <v>27.28</v>
      </c>
      <c r="AC14" s="23">
        <v>27.28</v>
      </c>
      <c r="AD14" s="15">
        <f t="shared" si="0"/>
        <v>356.32499999999993</v>
      </c>
    </row>
    <row r="15" spans="2:30" ht="15.75" x14ac:dyDescent="0.25">
      <c r="B15" s="5" t="s">
        <v>8</v>
      </c>
      <c r="C15" s="24">
        <v>23.5</v>
      </c>
      <c r="D15" s="25">
        <v>15.6</v>
      </c>
      <c r="E15" s="25">
        <v>13.2</v>
      </c>
      <c r="F15" s="25">
        <v>11.5</v>
      </c>
      <c r="G15" s="19">
        <v>10.1</v>
      </c>
      <c r="H15" s="19">
        <v>0</v>
      </c>
      <c r="I15" s="19">
        <v>0</v>
      </c>
      <c r="J15" s="19">
        <v>3</v>
      </c>
      <c r="K15" s="19">
        <v>5.9</v>
      </c>
      <c r="L15" s="19">
        <v>7.9</v>
      </c>
      <c r="M15" s="19">
        <v>9.9</v>
      </c>
      <c r="N15" s="19">
        <v>13.1</v>
      </c>
      <c r="O15" s="19">
        <v>14.5</v>
      </c>
      <c r="P15" s="19">
        <v>3</v>
      </c>
      <c r="Q15" s="19">
        <v>5</v>
      </c>
      <c r="R15" s="19">
        <v>7.1999999999999993</v>
      </c>
      <c r="S15" s="19">
        <v>8</v>
      </c>
      <c r="T15" s="19">
        <v>9.6499999999999986</v>
      </c>
      <c r="U15" s="19">
        <v>11.299999999999997</v>
      </c>
      <c r="V15" s="26">
        <v>13.274999999999999</v>
      </c>
      <c r="W15" s="25">
        <v>19.555</v>
      </c>
      <c r="X15" s="25">
        <v>22.515000000000001</v>
      </c>
      <c r="Y15" s="25">
        <v>23.379999999999995</v>
      </c>
      <c r="Z15" s="25">
        <v>24.549999999999997</v>
      </c>
      <c r="AA15" s="25">
        <v>26.14</v>
      </c>
      <c r="AB15" s="25">
        <v>27.28</v>
      </c>
      <c r="AC15" s="27">
        <v>27.28</v>
      </c>
      <c r="AD15" s="28">
        <f t="shared" si="0"/>
        <v>356.32499999999993</v>
      </c>
    </row>
    <row r="16" spans="2:30" ht="15.75" x14ac:dyDescent="0.25">
      <c r="B16" s="4" t="s">
        <v>9</v>
      </c>
      <c r="C16" s="16">
        <v>26.5</v>
      </c>
      <c r="D16" s="17">
        <v>18.600000000000001</v>
      </c>
      <c r="E16" s="17">
        <v>16.2</v>
      </c>
      <c r="F16" s="17">
        <v>14.5</v>
      </c>
      <c r="G16" s="18">
        <v>13.1</v>
      </c>
      <c r="H16" s="18">
        <v>3</v>
      </c>
      <c r="I16" s="19">
        <v>3</v>
      </c>
      <c r="J16" s="18">
        <v>0</v>
      </c>
      <c r="K16" s="18">
        <v>2.9000000000000004</v>
      </c>
      <c r="L16" s="18">
        <v>4.9000000000000004</v>
      </c>
      <c r="M16" s="18">
        <v>6.9</v>
      </c>
      <c r="N16" s="18">
        <v>10.1</v>
      </c>
      <c r="O16" s="18">
        <v>11.5</v>
      </c>
      <c r="P16" s="18">
        <v>6</v>
      </c>
      <c r="Q16" s="18">
        <v>8</v>
      </c>
      <c r="R16" s="18">
        <v>10.199999999999999</v>
      </c>
      <c r="S16" s="18">
        <v>11</v>
      </c>
      <c r="T16" s="18">
        <v>12.649999999999999</v>
      </c>
      <c r="U16" s="18">
        <v>14.299999999999997</v>
      </c>
      <c r="V16" s="21">
        <v>16.274999999999999</v>
      </c>
      <c r="W16" s="17">
        <v>22.555</v>
      </c>
      <c r="X16" s="17">
        <v>25.515000000000001</v>
      </c>
      <c r="Y16" s="17">
        <v>26.379999999999995</v>
      </c>
      <c r="Z16" s="17">
        <v>27.549999999999997</v>
      </c>
      <c r="AA16" s="17">
        <v>29.14</v>
      </c>
      <c r="AB16" s="17">
        <v>30.28</v>
      </c>
      <c r="AC16" s="23">
        <v>30.28</v>
      </c>
      <c r="AD16" s="15">
        <f t="shared" si="0"/>
        <v>401.32499999999993</v>
      </c>
    </row>
    <row r="17" spans="2:30" ht="15.75" x14ac:dyDescent="0.25">
      <c r="B17" s="4" t="s">
        <v>10</v>
      </c>
      <c r="C17" s="16">
        <v>29.4</v>
      </c>
      <c r="D17" s="17">
        <v>21.5</v>
      </c>
      <c r="E17" s="17">
        <v>19.100000000000001</v>
      </c>
      <c r="F17" s="17">
        <v>17.400000000000002</v>
      </c>
      <c r="G17" s="18">
        <v>16</v>
      </c>
      <c r="H17" s="18">
        <v>5.9</v>
      </c>
      <c r="I17" s="19">
        <v>5.9</v>
      </c>
      <c r="J17" s="18">
        <v>2.9000000000000004</v>
      </c>
      <c r="K17" s="18">
        <v>0</v>
      </c>
      <c r="L17" s="18">
        <v>2</v>
      </c>
      <c r="M17" s="18">
        <v>4</v>
      </c>
      <c r="N17" s="18">
        <v>7.2</v>
      </c>
      <c r="O17" s="18">
        <v>8.6</v>
      </c>
      <c r="P17" s="18">
        <v>8.9</v>
      </c>
      <c r="Q17" s="18">
        <v>10.9</v>
      </c>
      <c r="R17" s="18">
        <v>13.1</v>
      </c>
      <c r="S17" s="18">
        <v>13.9</v>
      </c>
      <c r="T17" s="18">
        <v>15.549999999999999</v>
      </c>
      <c r="U17" s="18">
        <v>17.199999999999996</v>
      </c>
      <c r="V17" s="21">
        <v>19.174999999999997</v>
      </c>
      <c r="W17" s="17">
        <v>25.454999999999998</v>
      </c>
      <c r="X17" s="17">
        <v>28.414999999999999</v>
      </c>
      <c r="Y17" s="17">
        <v>29.279999999999994</v>
      </c>
      <c r="Z17" s="17">
        <v>30.449999999999996</v>
      </c>
      <c r="AA17" s="17">
        <v>32.04</v>
      </c>
      <c r="AB17" s="17">
        <v>33.18</v>
      </c>
      <c r="AC17" s="23">
        <v>33.18</v>
      </c>
      <c r="AD17" s="15">
        <f t="shared" si="0"/>
        <v>450.625</v>
      </c>
    </row>
    <row r="18" spans="2:30" ht="15.75" x14ac:dyDescent="0.25">
      <c r="B18" s="4" t="s">
        <v>11</v>
      </c>
      <c r="C18" s="16">
        <v>31.4</v>
      </c>
      <c r="D18" s="17">
        <v>23.5</v>
      </c>
      <c r="E18" s="17">
        <v>21.1</v>
      </c>
      <c r="F18" s="17">
        <v>19.400000000000002</v>
      </c>
      <c r="G18" s="18">
        <v>18</v>
      </c>
      <c r="H18" s="18">
        <v>7.9</v>
      </c>
      <c r="I18" s="19">
        <v>7.9</v>
      </c>
      <c r="J18" s="18">
        <v>4.9000000000000004</v>
      </c>
      <c r="K18" s="18">
        <v>2</v>
      </c>
      <c r="L18" s="18">
        <v>0</v>
      </c>
      <c r="M18" s="18">
        <v>2</v>
      </c>
      <c r="N18" s="18">
        <v>5.2</v>
      </c>
      <c r="O18" s="18">
        <v>6.6</v>
      </c>
      <c r="P18" s="18">
        <v>10.9</v>
      </c>
      <c r="Q18" s="18">
        <v>12.9</v>
      </c>
      <c r="R18" s="18">
        <v>15.1</v>
      </c>
      <c r="S18" s="18">
        <v>15.9</v>
      </c>
      <c r="T18" s="18">
        <v>17.549999999999997</v>
      </c>
      <c r="U18" s="18">
        <v>19.199999999999996</v>
      </c>
      <c r="V18" s="21">
        <v>21.174999999999997</v>
      </c>
      <c r="W18" s="17">
        <v>27.454999999999998</v>
      </c>
      <c r="X18" s="17">
        <v>30.414999999999999</v>
      </c>
      <c r="Y18" s="17">
        <v>31.279999999999994</v>
      </c>
      <c r="Z18" s="17">
        <v>32.449999999999996</v>
      </c>
      <c r="AA18" s="17">
        <v>34.04</v>
      </c>
      <c r="AB18" s="17">
        <v>35.18</v>
      </c>
      <c r="AC18" s="23">
        <v>35.18</v>
      </c>
      <c r="AD18" s="15">
        <f t="shared" si="0"/>
        <v>488.625</v>
      </c>
    </row>
    <row r="19" spans="2:30" ht="15.75" x14ac:dyDescent="0.25">
      <c r="B19" s="4" t="s">
        <v>12</v>
      </c>
      <c r="C19" s="16">
        <v>33.4</v>
      </c>
      <c r="D19" s="17">
        <v>25.5</v>
      </c>
      <c r="E19" s="17">
        <v>23.1</v>
      </c>
      <c r="F19" s="17">
        <v>21.400000000000002</v>
      </c>
      <c r="G19" s="18">
        <v>20</v>
      </c>
      <c r="H19" s="18">
        <v>9.9</v>
      </c>
      <c r="I19" s="19">
        <v>9.9</v>
      </c>
      <c r="J19" s="18">
        <v>6.9</v>
      </c>
      <c r="K19" s="18">
        <v>4</v>
      </c>
      <c r="L19" s="18">
        <v>2</v>
      </c>
      <c r="M19" s="18">
        <v>0</v>
      </c>
      <c r="N19" s="18">
        <v>3.2</v>
      </c>
      <c r="O19" s="18">
        <v>4.5999999999999996</v>
      </c>
      <c r="P19" s="18">
        <v>12.9</v>
      </c>
      <c r="Q19" s="18">
        <v>14.9</v>
      </c>
      <c r="R19" s="18">
        <v>17.100000000000001</v>
      </c>
      <c r="S19" s="18">
        <v>17.900000000000002</v>
      </c>
      <c r="T19" s="18">
        <v>19.55</v>
      </c>
      <c r="U19" s="18">
        <v>21.2</v>
      </c>
      <c r="V19" s="21">
        <v>23.175000000000001</v>
      </c>
      <c r="W19" s="17">
        <v>29.455000000000002</v>
      </c>
      <c r="X19" s="17">
        <v>32.415000000000006</v>
      </c>
      <c r="Y19" s="17">
        <v>33.28</v>
      </c>
      <c r="Z19" s="17">
        <v>34.450000000000003</v>
      </c>
      <c r="AA19" s="17">
        <v>36.040000000000006</v>
      </c>
      <c r="AB19" s="17">
        <v>37.180000000000007</v>
      </c>
      <c r="AC19" s="23">
        <v>37.180000000000007</v>
      </c>
      <c r="AD19" s="15">
        <f t="shared" si="0"/>
        <v>530.62500000000011</v>
      </c>
    </row>
    <row r="20" spans="2:30" ht="15.75" x14ac:dyDescent="0.25">
      <c r="B20" s="4" t="s">
        <v>13</v>
      </c>
      <c r="C20" s="16">
        <v>36.6</v>
      </c>
      <c r="D20" s="17">
        <v>28.7</v>
      </c>
      <c r="E20" s="17">
        <v>26.3</v>
      </c>
      <c r="F20" s="17">
        <v>24.6</v>
      </c>
      <c r="G20" s="18">
        <v>23.3</v>
      </c>
      <c r="H20" s="18">
        <v>13.1</v>
      </c>
      <c r="I20" s="19">
        <v>13.1</v>
      </c>
      <c r="J20" s="18">
        <v>10.1</v>
      </c>
      <c r="K20" s="18">
        <v>7.2</v>
      </c>
      <c r="L20" s="18">
        <v>5.2</v>
      </c>
      <c r="M20" s="18">
        <v>3.2</v>
      </c>
      <c r="N20" s="18">
        <v>0</v>
      </c>
      <c r="O20" s="18">
        <v>1.3999999999999986</v>
      </c>
      <c r="P20" s="18">
        <v>16.100000000000001</v>
      </c>
      <c r="Q20" s="29">
        <v>18.100000000000001</v>
      </c>
      <c r="R20" s="29">
        <v>20.3</v>
      </c>
      <c r="S20" s="29">
        <v>21.1</v>
      </c>
      <c r="T20" s="29">
        <v>22.75</v>
      </c>
      <c r="U20" s="29">
        <v>24.4</v>
      </c>
      <c r="V20" s="30">
        <v>26.375</v>
      </c>
      <c r="W20" s="31">
        <v>32.655000000000001</v>
      </c>
      <c r="X20" s="29">
        <v>35.615000000000002</v>
      </c>
      <c r="Y20" s="29">
        <v>36.479999999999997</v>
      </c>
      <c r="Z20" s="29">
        <v>37.65</v>
      </c>
      <c r="AA20" s="29">
        <v>39.24</v>
      </c>
      <c r="AB20" s="29">
        <v>40.380000000000003</v>
      </c>
      <c r="AC20" s="14">
        <v>40.380000000000003</v>
      </c>
      <c r="AD20" s="15">
        <f t="shared" si="0"/>
        <v>604.32499999999993</v>
      </c>
    </row>
    <row r="21" spans="2:30" ht="15.75" x14ac:dyDescent="0.25">
      <c r="B21" s="4" t="s">
        <v>14</v>
      </c>
      <c r="C21" s="16">
        <v>38</v>
      </c>
      <c r="D21" s="17">
        <v>30.1</v>
      </c>
      <c r="E21" s="17">
        <v>27.7</v>
      </c>
      <c r="F21" s="17">
        <v>26</v>
      </c>
      <c r="G21" s="18">
        <v>24.700000000000003</v>
      </c>
      <c r="H21" s="18">
        <v>14.5</v>
      </c>
      <c r="I21" s="19">
        <v>14.5</v>
      </c>
      <c r="J21" s="18">
        <v>11.5</v>
      </c>
      <c r="K21" s="18">
        <v>8.6</v>
      </c>
      <c r="L21" s="18">
        <v>6.6</v>
      </c>
      <c r="M21" s="18">
        <v>4.5999999999999996</v>
      </c>
      <c r="N21" s="18">
        <v>1.3999999999999986</v>
      </c>
      <c r="O21" s="18">
        <v>0</v>
      </c>
      <c r="P21" s="18">
        <v>17.5</v>
      </c>
      <c r="Q21" s="29">
        <v>19.5</v>
      </c>
      <c r="R21" s="29">
        <v>21.7</v>
      </c>
      <c r="S21" s="29">
        <v>22.5</v>
      </c>
      <c r="T21" s="29">
        <v>24.15</v>
      </c>
      <c r="U21" s="29">
        <v>25.799999999999997</v>
      </c>
      <c r="V21" s="30">
        <v>27.774999999999999</v>
      </c>
      <c r="W21" s="31">
        <v>34.055</v>
      </c>
      <c r="X21" s="29">
        <v>37.015000000000001</v>
      </c>
      <c r="Y21" s="29">
        <v>37.879999999999995</v>
      </c>
      <c r="Z21" s="29">
        <v>39.049999999999997</v>
      </c>
      <c r="AA21" s="29">
        <v>40.64</v>
      </c>
      <c r="AB21" s="29">
        <v>41.78</v>
      </c>
      <c r="AC21" s="14">
        <v>41.78</v>
      </c>
      <c r="AD21" s="15">
        <f t="shared" si="0"/>
        <v>639.32499999999982</v>
      </c>
    </row>
    <row r="22" spans="2:30" ht="15.75" x14ac:dyDescent="0.25">
      <c r="B22" s="4" t="s">
        <v>15</v>
      </c>
      <c r="C22" s="16">
        <v>26.5</v>
      </c>
      <c r="D22" s="17">
        <v>18.600000000000001</v>
      </c>
      <c r="E22" s="17">
        <v>16.2</v>
      </c>
      <c r="F22" s="17">
        <v>14.5</v>
      </c>
      <c r="G22" s="18">
        <v>13.1</v>
      </c>
      <c r="H22" s="18">
        <v>3</v>
      </c>
      <c r="I22" s="19">
        <v>3</v>
      </c>
      <c r="J22" s="18">
        <v>6</v>
      </c>
      <c r="K22" s="18">
        <v>8.9</v>
      </c>
      <c r="L22" s="18">
        <v>10.9</v>
      </c>
      <c r="M22" s="18">
        <v>12.9</v>
      </c>
      <c r="N22" s="18">
        <v>16.100000000000001</v>
      </c>
      <c r="O22" s="18">
        <v>17.5</v>
      </c>
      <c r="P22" s="18">
        <v>0</v>
      </c>
      <c r="Q22" s="29">
        <v>2</v>
      </c>
      <c r="R22" s="29">
        <v>4.1999999999999993</v>
      </c>
      <c r="S22" s="29">
        <v>5</v>
      </c>
      <c r="T22" s="29">
        <v>6.6499999999999986</v>
      </c>
      <c r="U22" s="29">
        <v>8.2999999999999972</v>
      </c>
      <c r="V22" s="30">
        <v>10.274999999999999</v>
      </c>
      <c r="W22" s="31">
        <v>16.555</v>
      </c>
      <c r="X22" s="29">
        <v>19.515000000000001</v>
      </c>
      <c r="Y22" s="29">
        <v>20.379999999999995</v>
      </c>
      <c r="Z22" s="29">
        <v>21.549999999999997</v>
      </c>
      <c r="AA22" s="29">
        <v>23.14</v>
      </c>
      <c r="AB22" s="29">
        <v>24.28</v>
      </c>
      <c r="AC22" s="14">
        <v>24.28</v>
      </c>
      <c r="AD22" s="15">
        <f t="shared" si="0"/>
        <v>353.32499999999993</v>
      </c>
    </row>
    <row r="23" spans="2:30" ht="15.75" x14ac:dyDescent="0.25">
      <c r="B23" s="4" t="s">
        <v>16</v>
      </c>
      <c r="C23" s="16">
        <v>28.5</v>
      </c>
      <c r="D23" s="17">
        <v>20.6</v>
      </c>
      <c r="E23" s="17">
        <v>18.2</v>
      </c>
      <c r="F23" s="17">
        <v>16.5</v>
      </c>
      <c r="G23" s="18">
        <v>15.1</v>
      </c>
      <c r="H23" s="18">
        <v>5</v>
      </c>
      <c r="I23" s="19">
        <v>5</v>
      </c>
      <c r="J23" s="18">
        <v>8</v>
      </c>
      <c r="K23" s="18">
        <v>10.9</v>
      </c>
      <c r="L23" s="18">
        <v>12.9</v>
      </c>
      <c r="M23" s="18">
        <v>14.9</v>
      </c>
      <c r="N23" s="18">
        <v>18.100000000000001</v>
      </c>
      <c r="O23" s="18">
        <v>19.5</v>
      </c>
      <c r="P23" s="18">
        <v>2</v>
      </c>
      <c r="Q23" s="29">
        <v>0</v>
      </c>
      <c r="R23" s="29">
        <v>2.1999999999999993</v>
      </c>
      <c r="S23" s="29">
        <v>3</v>
      </c>
      <c r="T23" s="29">
        <v>4.6499999999999986</v>
      </c>
      <c r="U23" s="29">
        <v>6.2999999999999972</v>
      </c>
      <c r="V23" s="30">
        <v>8.2749999999999986</v>
      </c>
      <c r="W23" s="31">
        <v>14.555</v>
      </c>
      <c r="X23" s="29">
        <v>17.515000000000001</v>
      </c>
      <c r="Y23" s="29">
        <v>18.379999999999995</v>
      </c>
      <c r="Z23" s="29">
        <v>19.549999999999997</v>
      </c>
      <c r="AA23" s="29">
        <v>21.14</v>
      </c>
      <c r="AB23" s="29">
        <v>22.28</v>
      </c>
      <c r="AC23" s="14">
        <v>22.28</v>
      </c>
      <c r="AD23" s="15">
        <f t="shared" si="0"/>
        <v>355.32499999999993</v>
      </c>
    </row>
    <row r="24" spans="2:30" ht="15.75" x14ac:dyDescent="0.25">
      <c r="B24" s="4" t="s">
        <v>17</v>
      </c>
      <c r="C24" s="16">
        <v>30.7</v>
      </c>
      <c r="D24" s="17">
        <v>22.8</v>
      </c>
      <c r="E24" s="17">
        <v>20.399999999999999</v>
      </c>
      <c r="F24" s="17">
        <v>18.7</v>
      </c>
      <c r="G24" s="18">
        <v>17.299999999999997</v>
      </c>
      <c r="H24" s="18">
        <v>7.1999999999999993</v>
      </c>
      <c r="I24" s="19">
        <v>7.1999999999999993</v>
      </c>
      <c r="J24" s="18">
        <v>10.199999999999999</v>
      </c>
      <c r="K24" s="18">
        <v>13.1</v>
      </c>
      <c r="L24" s="18">
        <v>15.1</v>
      </c>
      <c r="M24" s="18">
        <v>17.100000000000001</v>
      </c>
      <c r="N24" s="18">
        <v>20.3</v>
      </c>
      <c r="O24" s="18">
        <v>21.7</v>
      </c>
      <c r="P24" s="18">
        <v>4.1999999999999993</v>
      </c>
      <c r="Q24" s="29">
        <v>2.1999999999999993</v>
      </c>
      <c r="R24" s="29">
        <v>0</v>
      </c>
      <c r="S24" s="29">
        <v>0.80000000000000071</v>
      </c>
      <c r="T24" s="29">
        <v>2.4499999999999993</v>
      </c>
      <c r="U24" s="29">
        <v>4.0999999999999979</v>
      </c>
      <c r="V24" s="30">
        <v>6.0749999999999993</v>
      </c>
      <c r="W24" s="31">
        <v>12.355</v>
      </c>
      <c r="X24" s="29">
        <v>15.315000000000001</v>
      </c>
      <c r="Y24" s="29">
        <v>16.179999999999996</v>
      </c>
      <c r="Z24" s="29">
        <v>17.349999999999998</v>
      </c>
      <c r="AA24" s="29">
        <v>18.940000000000001</v>
      </c>
      <c r="AB24" s="29">
        <v>20.080000000000002</v>
      </c>
      <c r="AC24" s="14">
        <v>20.080000000000002</v>
      </c>
      <c r="AD24" s="15">
        <f t="shared" si="0"/>
        <v>361.92499999999995</v>
      </c>
    </row>
    <row r="25" spans="2:30" ht="16.5" thickBot="1" x14ac:dyDescent="0.3">
      <c r="B25" s="4" t="s">
        <v>18</v>
      </c>
      <c r="C25" s="32">
        <v>31.5</v>
      </c>
      <c r="D25" s="33">
        <v>23.6</v>
      </c>
      <c r="E25" s="33">
        <v>21.2</v>
      </c>
      <c r="F25" s="33">
        <v>19.5</v>
      </c>
      <c r="G25" s="34">
        <v>18.099999999999998</v>
      </c>
      <c r="H25" s="34">
        <v>8</v>
      </c>
      <c r="I25" s="35">
        <v>8</v>
      </c>
      <c r="J25" s="34">
        <v>11</v>
      </c>
      <c r="K25" s="34">
        <v>13.9</v>
      </c>
      <c r="L25" s="34">
        <v>15.9</v>
      </c>
      <c r="M25" s="34">
        <v>17.900000000000002</v>
      </c>
      <c r="N25" s="34">
        <v>21.1</v>
      </c>
      <c r="O25" s="34">
        <v>22.5</v>
      </c>
      <c r="P25" s="34">
        <v>5</v>
      </c>
      <c r="Q25" s="36">
        <v>3</v>
      </c>
      <c r="R25" s="36">
        <v>0.80000000000000071</v>
      </c>
      <c r="S25" s="36">
        <v>0</v>
      </c>
      <c r="T25" s="36">
        <v>1.6499999999999986</v>
      </c>
      <c r="U25" s="36">
        <v>3.2999999999999972</v>
      </c>
      <c r="V25" s="37">
        <v>5.2749999999999986</v>
      </c>
      <c r="W25" s="31">
        <v>11.555</v>
      </c>
      <c r="X25" s="29">
        <v>14.515000000000001</v>
      </c>
      <c r="Y25" s="29">
        <v>15.379999999999995</v>
      </c>
      <c r="Z25" s="29">
        <v>16.549999999999997</v>
      </c>
      <c r="AA25" s="29">
        <v>18.14</v>
      </c>
      <c r="AB25" s="29">
        <v>19.28</v>
      </c>
      <c r="AC25" s="14">
        <v>19.28</v>
      </c>
      <c r="AD25" s="15">
        <f t="shared" si="0"/>
        <v>365.92499999999995</v>
      </c>
    </row>
    <row r="26" spans="2:30" ht="15.75" x14ac:dyDescent="0.25">
      <c r="B26" s="6" t="s">
        <v>19</v>
      </c>
      <c r="C26" s="12">
        <v>33.15</v>
      </c>
      <c r="D26" s="12">
        <v>25.25</v>
      </c>
      <c r="E26" s="12">
        <v>22.849999999999998</v>
      </c>
      <c r="F26" s="12">
        <v>21.15</v>
      </c>
      <c r="G26" s="17">
        <v>19.749999999999996</v>
      </c>
      <c r="H26" s="17">
        <v>9.6499999999999986</v>
      </c>
      <c r="I26" s="25">
        <v>9.6499999999999986</v>
      </c>
      <c r="J26" s="17">
        <v>12.649999999999999</v>
      </c>
      <c r="K26" s="17">
        <v>15.549999999999999</v>
      </c>
      <c r="L26" s="17">
        <v>17.549999999999997</v>
      </c>
      <c r="M26" s="17">
        <v>19.55</v>
      </c>
      <c r="N26" s="17">
        <v>22.75</v>
      </c>
      <c r="O26" s="17">
        <v>24.15</v>
      </c>
      <c r="P26" s="17">
        <v>6.6499999999999986</v>
      </c>
      <c r="Q26" s="31">
        <v>4.6499999999999986</v>
      </c>
      <c r="R26" s="31">
        <v>2.4499999999999993</v>
      </c>
      <c r="S26" s="31">
        <v>1.6499999999999986</v>
      </c>
      <c r="T26" s="31">
        <v>0</v>
      </c>
      <c r="U26" s="31">
        <v>1.6499999999999986</v>
      </c>
      <c r="V26" s="31">
        <v>3.625</v>
      </c>
      <c r="W26" s="29">
        <v>9.9050000000000011</v>
      </c>
      <c r="X26" s="29">
        <v>12.865000000000002</v>
      </c>
      <c r="Y26" s="29">
        <v>13.729999999999997</v>
      </c>
      <c r="Z26" s="29">
        <v>14.899999999999999</v>
      </c>
      <c r="AA26" s="29">
        <v>16.490000000000002</v>
      </c>
      <c r="AB26" s="29">
        <v>17.630000000000003</v>
      </c>
      <c r="AC26" s="14">
        <v>17.630000000000003</v>
      </c>
      <c r="AD26" s="15">
        <f t="shared" si="0"/>
        <v>377.47500000000002</v>
      </c>
    </row>
    <row r="27" spans="2:30" ht="15.75" x14ac:dyDescent="0.25">
      <c r="B27" s="6" t="s">
        <v>20</v>
      </c>
      <c r="C27" s="13">
        <v>34.799999999999997</v>
      </c>
      <c r="D27" s="13">
        <v>26.9</v>
      </c>
      <c r="E27" s="13">
        <v>24.499999999999996</v>
      </c>
      <c r="F27" s="13">
        <v>22.799999999999997</v>
      </c>
      <c r="G27" s="18">
        <v>21.399999999999995</v>
      </c>
      <c r="H27" s="18">
        <v>11.299999999999997</v>
      </c>
      <c r="I27" s="19">
        <v>11.299999999999997</v>
      </c>
      <c r="J27" s="17">
        <v>14.299999999999997</v>
      </c>
      <c r="K27" s="17">
        <v>17.199999999999996</v>
      </c>
      <c r="L27" s="17">
        <v>19.199999999999996</v>
      </c>
      <c r="M27" s="17">
        <v>21.2</v>
      </c>
      <c r="N27" s="17">
        <v>24.4</v>
      </c>
      <c r="O27" s="17">
        <v>25.799999999999997</v>
      </c>
      <c r="P27" s="17">
        <v>8.2999999999999972</v>
      </c>
      <c r="Q27" s="29">
        <v>6.2999999999999972</v>
      </c>
      <c r="R27" s="29">
        <v>4.0999999999999979</v>
      </c>
      <c r="S27" s="29">
        <v>3.2999999999999972</v>
      </c>
      <c r="T27" s="29">
        <v>1.6499999999999986</v>
      </c>
      <c r="U27" s="29">
        <v>0</v>
      </c>
      <c r="V27" s="29">
        <v>1.9750000000000014</v>
      </c>
      <c r="W27" s="29">
        <v>8.2550000000000026</v>
      </c>
      <c r="X27" s="29">
        <v>11.215000000000003</v>
      </c>
      <c r="Y27" s="29">
        <v>12.079999999999998</v>
      </c>
      <c r="Z27" s="29">
        <v>13.25</v>
      </c>
      <c r="AA27" s="29">
        <v>14.840000000000003</v>
      </c>
      <c r="AB27" s="29">
        <v>15.980000000000004</v>
      </c>
      <c r="AC27" s="14">
        <v>15.980000000000004</v>
      </c>
      <c r="AD27" s="15">
        <f t="shared" si="0"/>
        <v>392.32500000000005</v>
      </c>
    </row>
    <row r="28" spans="2:30" ht="15.75" x14ac:dyDescent="0.25">
      <c r="B28" s="6" t="s">
        <v>21</v>
      </c>
      <c r="C28" s="13">
        <v>36.774999999999999</v>
      </c>
      <c r="D28" s="13">
        <v>28.875</v>
      </c>
      <c r="E28" s="13">
        <v>26.474999999999998</v>
      </c>
      <c r="F28" s="13">
        <v>24.774999999999999</v>
      </c>
      <c r="G28" s="18">
        <v>23.374999999999996</v>
      </c>
      <c r="H28" s="18">
        <v>13.274999999999999</v>
      </c>
      <c r="I28" s="19">
        <v>13.274999999999999</v>
      </c>
      <c r="J28" s="17">
        <v>16.274999999999999</v>
      </c>
      <c r="K28" s="17">
        <v>19.174999999999997</v>
      </c>
      <c r="L28" s="17">
        <v>21.174999999999997</v>
      </c>
      <c r="M28" s="17">
        <v>23.175000000000001</v>
      </c>
      <c r="N28" s="17">
        <v>26.375</v>
      </c>
      <c r="O28" s="17">
        <v>27.774999999999999</v>
      </c>
      <c r="P28" s="17">
        <v>10.274999999999999</v>
      </c>
      <c r="Q28" s="29">
        <v>8.2749999999999986</v>
      </c>
      <c r="R28" s="29">
        <v>6.0749999999999993</v>
      </c>
      <c r="S28" s="29">
        <v>5.2749999999999986</v>
      </c>
      <c r="T28" s="29">
        <v>3.625</v>
      </c>
      <c r="U28" s="29">
        <v>1.9750000000000014</v>
      </c>
      <c r="V28" s="29">
        <v>0</v>
      </c>
      <c r="W28" s="29">
        <v>6.2800000000000011</v>
      </c>
      <c r="X28" s="29">
        <v>9.240000000000002</v>
      </c>
      <c r="Y28" s="29">
        <v>10.104999999999997</v>
      </c>
      <c r="Z28" s="29">
        <v>11.274999999999999</v>
      </c>
      <c r="AA28" s="29">
        <v>12.865000000000002</v>
      </c>
      <c r="AB28" s="29">
        <v>14.005000000000003</v>
      </c>
      <c r="AC28" s="14">
        <v>14.005000000000003</v>
      </c>
      <c r="AD28" s="15">
        <f t="shared" si="0"/>
        <v>414.04999999999995</v>
      </c>
    </row>
    <row r="29" spans="2:30" ht="15.75" x14ac:dyDescent="0.25">
      <c r="B29" s="6" t="s">
        <v>22</v>
      </c>
      <c r="C29" s="13">
        <v>43.055</v>
      </c>
      <c r="D29" s="13">
        <v>35.155000000000001</v>
      </c>
      <c r="E29" s="13">
        <v>32.754999999999995</v>
      </c>
      <c r="F29" s="13">
        <v>31.055</v>
      </c>
      <c r="G29" s="18">
        <v>29.654999999999998</v>
      </c>
      <c r="H29" s="18">
        <v>19.555</v>
      </c>
      <c r="I29" s="19">
        <v>19.555</v>
      </c>
      <c r="J29" s="17">
        <v>22.555</v>
      </c>
      <c r="K29" s="17">
        <v>25.454999999999998</v>
      </c>
      <c r="L29" s="17">
        <v>27.454999999999998</v>
      </c>
      <c r="M29" s="17">
        <v>29.455000000000002</v>
      </c>
      <c r="N29" s="17">
        <v>32.655000000000001</v>
      </c>
      <c r="O29" s="17">
        <v>34.055</v>
      </c>
      <c r="P29" s="17">
        <v>16.555</v>
      </c>
      <c r="Q29" s="29">
        <v>14.555</v>
      </c>
      <c r="R29" s="29">
        <v>12.355</v>
      </c>
      <c r="S29" s="29">
        <v>11.555</v>
      </c>
      <c r="T29" s="29">
        <v>9.9050000000000011</v>
      </c>
      <c r="U29" s="29">
        <v>8.2550000000000026</v>
      </c>
      <c r="V29" s="29">
        <v>6.2800000000000011</v>
      </c>
      <c r="W29" s="29">
        <v>0</v>
      </c>
      <c r="X29" s="29">
        <v>2.9600000000000009</v>
      </c>
      <c r="Y29" s="29">
        <v>3.8249999999999957</v>
      </c>
      <c r="Z29" s="29">
        <v>4.9949999999999974</v>
      </c>
      <c r="AA29" s="29">
        <v>6.5850000000000009</v>
      </c>
      <c r="AB29" s="29">
        <v>7.7250000000000014</v>
      </c>
      <c r="AC29" s="14">
        <v>7.7250000000000014</v>
      </c>
      <c r="AD29" s="15">
        <f t="shared" si="0"/>
        <v>495.69</v>
      </c>
    </row>
    <row r="30" spans="2:30" ht="15.75" x14ac:dyDescent="0.25">
      <c r="B30" s="6" t="s">
        <v>23</v>
      </c>
      <c r="C30" s="13">
        <v>46.015000000000001</v>
      </c>
      <c r="D30" s="13">
        <v>38.115000000000002</v>
      </c>
      <c r="E30" s="13">
        <v>35.714999999999996</v>
      </c>
      <c r="F30" s="13">
        <v>34.015000000000001</v>
      </c>
      <c r="G30" s="18">
        <v>32.614999999999995</v>
      </c>
      <c r="H30" s="18">
        <v>22.515000000000001</v>
      </c>
      <c r="I30" s="19">
        <v>22.515000000000001</v>
      </c>
      <c r="J30" s="17">
        <v>25.515000000000001</v>
      </c>
      <c r="K30" s="17">
        <v>28.414999999999999</v>
      </c>
      <c r="L30" s="17">
        <v>30.414999999999999</v>
      </c>
      <c r="M30" s="17">
        <v>32.415000000000006</v>
      </c>
      <c r="N30" s="17">
        <v>35.615000000000002</v>
      </c>
      <c r="O30" s="17">
        <v>37.015000000000001</v>
      </c>
      <c r="P30" s="17">
        <v>19.515000000000001</v>
      </c>
      <c r="Q30" s="29">
        <v>17.515000000000001</v>
      </c>
      <c r="R30" s="29">
        <v>15.315000000000001</v>
      </c>
      <c r="S30" s="29">
        <v>14.515000000000001</v>
      </c>
      <c r="T30" s="29">
        <v>12.865000000000002</v>
      </c>
      <c r="U30" s="29">
        <v>11.215000000000003</v>
      </c>
      <c r="V30" s="29">
        <v>9.240000000000002</v>
      </c>
      <c r="W30" s="29">
        <v>2.9600000000000009</v>
      </c>
      <c r="X30" s="29">
        <v>0</v>
      </c>
      <c r="Y30" s="29">
        <v>0.86499999999999488</v>
      </c>
      <c r="Z30" s="29">
        <v>2.0349999999999966</v>
      </c>
      <c r="AA30" s="29">
        <v>3.625</v>
      </c>
      <c r="AB30" s="29">
        <v>4.7650000000000006</v>
      </c>
      <c r="AC30" s="14">
        <v>4.7650000000000006</v>
      </c>
      <c r="AD30" s="15">
        <f t="shared" si="0"/>
        <v>540.09</v>
      </c>
    </row>
    <row r="31" spans="2:30" ht="15.75" x14ac:dyDescent="0.25">
      <c r="B31" s="6" t="s">
        <v>24</v>
      </c>
      <c r="C31" s="13">
        <v>46.879999999999995</v>
      </c>
      <c r="D31" s="13">
        <v>38.979999999999997</v>
      </c>
      <c r="E31" s="13">
        <v>36.579999999999991</v>
      </c>
      <c r="F31" s="13">
        <v>34.879999999999995</v>
      </c>
      <c r="G31" s="18">
        <v>33.47999999999999</v>
      </c>
      <c r="H31" s="18">
        <v>23.379999999999995</v>
      </c>
      <c r="I31" s="19">
        <v>23.379999999999995</v>
      </c>
      <c r="J31" s="17">
        <v>26.379999999999995</v>
      </c>
      <c r="K31" s="17">
        <v>29.279999999999994</v>
      </c>
      <c r="L31" s="17">
        <v>31.279999999999994</v>
      </c>
      <c r="M31" s="17">
        <v>33.28</v>
      </c>
      <c r="N31" s="17">
        <v>36.479999999999997</v>
      </c>
      <c r="O31" s="17">
        <v>37.879999999999995</v>
      </c>
      <c r="P31" s="17">
        <v>20.379999999999995</v>
      </c>
      <c r="Q31" s="29">
        <v>18.379999999999995</v>
      </c>
      <c r="R31" s="29">
        <v>16.179999999999996</v>
      </c>
      <c r="S31" s="29">
        <v>15.379999999999995</v>
      </c>
      <c r="T31" s="29">
        <v>13.729999999999997</v>
      </c>
      <c r="U31" s="29">
        <v>12.079999999999998</v>
      </c>
      <c r="V31" s="29">
        <v>10.104999999999997</v>
      </c>
      <c r="W31" s="29">
        <v>3.8249999999999957</v>
      </c>
      <c r="X31" s="29">
        <v>0.86499999999999488</v>
      </c>
      <c r="Y31" s="29">
        <v>0</v>
      </c>
      <c r="Z31" s="29">
        <v>1.1700000000000017</v>
      </c>
      <c r="AA31" s="29">
        <v>2.7600000000000051</v>
      </c>
      <c r="AB31" s="29">
        <v>3.9000000000000057</v>
      </c>
      <c r="AC31" s="14">
        <v>3.9000000000000057</v>
      </c>
      <c r="AD31" s="15">
        <f t="shared" si="0"/>
        <v>554.79499999999985</v>
      </c>
    </row>
    <row r="32" spans="2:30" ht="15.75" x14ac:dyDescent="0.25">
      <c r="B32" s="6" t="s">
        <v>25</v>
      </c>
      <c r="C32" s="13">
        <v>48.05</v>
      </c>
      <c r="D32" s="13">
        <v>40.15</v>
      </c>
      <c r="E32" s="13">
        <v>37.749999999999993</v>
      </c>
      <c r="F32" s="13">
        <v>36.049999999999997</v>
      </c>
      <c r="G32" s="18">
        <v>34.649999999999991</v>
      </c>
      <c r="H32" s="18">
        <v>24.549999999999997</v>
      </c>
      <c r="I32" s="19">
        <v>24.549999999999997</v>
      </c>
      <c r="J32" s="17">
        <v>27.549999999999997</v>
      </c>
      <c r="K32" s="17">
        <v>30.449999999999996</v>
      </c>
      <c r="L32" s="17">
        <v>32.449999999999996</v>
      </c>
      <c r="M32" s="17">
        <v>34.450000000000003</v>
      </c>
      <c r="N32" s="17">
        <v>37.65</v>
      </c>
      <c r="O32" s="17">
        <v>39.049999999999997</v>
      </c>
      <c r="P32" s="17">
        <v>21.549999999999997</v>
      </c>
      <c r="Q32" s="29">
        <v>19.549999999999997</v>
      </c>
      <c r="R32" s="29">
        <v>17.349999999999998</v>
      </c>
      <c r="S32" s="29">
        <v>16.549999999999997</v>
      </c>
      <c r="T32" s="29">
        <v>14.899999999999999</v>
      </c>
      <c r="U32" s="29">
        <v>13.25</v>
      </c>
      <c r="V32" s="29">
        <v>11.274999999999999</v>
      </c>
      <c r="W32" s="29">
        <v>4.9949999999999974</v>
      </c>
      <c r="X32" s="29">
        <v>2.0349999999999966</v>
      </c>
      <c r="Y32" s="29">
        <v>1.1700000000000017</v>
      </c>
      <c r="Z32" s="29">
        <v>0</v>
      </c>
      <c r="AA32" s="29">
        <v>1.5900000000000034</v>
      </c>
      <c r="AB32" s="29">
        <v>2.730000000000004</v>
      </c>
      <c r="AC32" s="14">
        <v>2.730000000000004</v>
      </c>
      <c r="AD32" s="15">
        <f t="shared" si="0"/>
        <v>577.02499999999998</v>
      </c>
    </row>
    <row r="33" spans="2:30" ht="15.75" x14ac:dyDescent="0.25">
      <c r="B33" s="6" t="s">
        <v>26</v>
      </c>
      <c r="C33" s="13">
        <v>49.64</v>
      </c>
      <c r="D33" s="13">
        <v>41.74</v>
      </c>
      <c r="E33" s="13">
        <v>39.339999999999996</v>
      </c>
      <c r="F33" s="13">
        <v>37.64</v>
      </c>
      <c r="G33" s="18">
        <v>36.239999999999995</v>
      </c>
      <c r="H33" s="18">
        <v>26.14</v>
      </c>
      <c r="I33" s="19">
        <v>26.14</v>
      </c>
      <c r="J33" s="17">
        <v>29.14</v>
      </c>
      <c r="K33" s="17">
        <v>32.04</v>
      </c>
      <c r="L33" s="17">
        <v>34.04</v>
      </c>
      <c r="M33" s="17">
        <v>36.040000000000006</v>
      </c>
      <c r="N33" s="17">
        <v>39.24</v>
      </c>
      <c r="O33" s="17">
        <v>40.64</v>
      </c>
      <c r="P33" s="17">
        <v>23.14</v>
      </c>
      <c r="Q33" s="29">
        <v>21.14</v>
      </c>
      <c r="R33" s="29">
        <v>18.940000000000001</v>
      </c>
      <c r="S33" s="29">
        <v>18.14</v>
      </c>
      <c r="T33" s="29">
        <v>16.490000000000002</v>
      </c>
      <c r="U33" s="29">
        <v>14.840000000000003</v>
      </c>
      <c r="V33" s="29">
        <v>12.865000000000002</v>
      </c>
      <c r="W33" s="29">
        <v>6.5850000000000009</v>
      </c>
      <c r="X33" s="29">
        <v>3.625</v>
      </c>
      <c r="Y33" s="29">
        <v>2.7600000000000051</v>
      </c>
      <c r="Z33" s="29">
        <v>1.5900000000000034</v>
      </c>
      <c r="AA33" s="29">
        <v>0</v>
      </c>
      <c r="AB33" s="29">
        <v>1.1400000000000006</v>
      </c>
      <c r="AC33" s="14">
        <v>1.1400000000000006</v>
      </c>
      <c r="AD33" s="15">
        <f t="shared" si="0"/>
        <v>610.41500000000019</v>
      </c>
    </row>
    <row r="34" spans="2:30" ht="15.75" x14ac:dyDescent="0.25">
      <c r="B34" s="6" t="s">
        <v>27</v>
      </c>
      <c r="C34" s="13">
        <v>50.78</v>
      </c>
      <c r="D34" s="13">
        <v>42.88</v>
      </c>
      <c r="E34" s="13">
        <v>40.479999999999997</v>
      </c>
      <c r="F34" s="13">
        <v>38.78</v>
      </c>
      <c r="G34" s="18">
        <v>37.379999999999995</v>
      </c>
      <c r="H34" s="18">
        <v>27.28</v>
      </c>
      <c r="I34" s="19">
        <v>27.28</v>
      </c>
      <c r="J34" s="17">
        <v>30.28</v>
      </c>
      <c r="K34" s="17">
        <v>33.18</v>
      </c>
      <c r="L34" s="17">
        <v>35.18</v>
      </c>
      <c r="M34" s="17">
        <v>37.180000000000007</v>
      </c>
      <c r="N34" s="17">
        <v>40.380000000000003</v>
      </c>
      <c r="O34" s="17">
        <v>41.78</v>
      </c>
      <c r="P34" s="17">
        <v>24.28</v>
      </c>
      <c r="Q34" s="29">
        <v>22.28</v>
      </c>
      <c r="R34" s="29">
        <v>20.080000000000002</v>
      </c>
      <c r="S34" s="29">
        <v>19.28</v>
      </c>
      <c r="T34" s="29">
        <v>17.630000000000003</v>
      </c>
      <c r="U34" s="29">
        <v>15.980000000000004</v>
      </c>
      <c r="V34" s="29">
        <v>14.005000000000003</v>
      </c>
      <c r="W34" s="29">
        <v>7.7250000000000014</v>
      </c>
      <c r="X34" s="29">
        <v>4.7650000000000006</v>
      </c>
      <c r="Y34" s="29">
        <v>3.9000000000000057</v>
      </c>
      <c r="Z34" s="29">
        <v>2.730000000000004</v>
      </c>
      <c r="AA34" s="29">
        <v>1.1400000000000006</v>
      </c>
      <c r="AB34" s="29">
        <v>0</v>
      </c>
      <c r="AC34" s="38">
        <v>0</v>
      </c>
      <c r="AD34" s="15">
        <f t="shared" si="0"/>
        <v>636.63499999999999</v>
      </c>
    </row>
    <row r="35" spans="2:30" ht="15.75" x14ac:dyDescent="0.25">
      <c r="B35" s="39" t="s">
        <v>28</v>
      </c>
      <c r="C35" s="14">
        <v>50.78</v>
      </c>
      <c r="D35" s="14">
        <v>42.88</v>
      </c>
      <c r="E35" s="14">
        <v>40.479999999999997</v>
      </c>
      <c r="F35" s="14">
        <v>38.78</v>
      </c>
      <c r="G35" s="22">
        <v>37.379999999999995</v>
      </c>
      <c r="H35" s="22">
        <v>27.28</v>
      </c>
      <c r="I35" s="40">
        <v>27.28</v>
      </c>
      <c r="J35" s="23">
        <v>30.28</v>
      </c>
      <c r="K35" s="23">
        <v>33.18</v>
      </c>
      <c r="L35" s="23">
        <v>35.18</v>
      </c>
      <c r="M35" s="23">
        <v>37.180000000000007</v>
      </c>
      <c r="N35" s="23">
        <v>40.380000000000003</v>
      </c>
      <c r="O35" s="23">
        <v>41.78</v>
      </c>
      <c r="P35" s="23">
        <v>24.28</v>
      </c>
      <c r="Q35" s="14">
        <v>22.28</v>
      </c>
      <c r="R35" s="14">
        <v>20.080000000000002</v>
      </c>
      <c r="S35" s="14">
        <v>19.28</v>
      </c>
      <c r="T35" s="14">
        <v>17.630000000000003</v>
      </c>
      <c r="U35" s="14">
        <v>15.980000000000004</v>
      </c>
      <c r="V35" s="14">
        <v>14.005000000000003</v>
      </c>
      <c r="W35" s="14">
        <v>7.7250000000000014</v>
      </c>
      <c r="X35" s="14">
        <v>4.7650000000000006</v>
      </c>
      <c r="Y35" s="14">
        <v>3.9000000000000057</v>
      </c>
      <c r="Z35" s="14">
        <v>2.730000000000004</v>
      </c>
      <c r="AA35" s="14">
        <v>1.1400000000000006</v>
      </c>
      <c r="AB35" s="38">
        <v>0</v>
      </c>
      <c r="AC35" s="14">
        <v>0</v>
      </c>
      <c r="AD35" s="15">
        <f t="shared" si="0"/>
        <v>636.63499999999999</v>
      </c>
    </row>
    <row r="36" spans="2:30" ht="15.75" x14ac:dyDescent="0.25">
      <c r="B36" s="3" t="s">
        <v>30</v>
      </c>
      <c r="C36" s="41">
        <f>SUM(C9:C35)</f>
        <v>844.2249999999998</v>
      </c>
      <c r="D36" s="41">
        <f t="shared" ref="D36:AD36" si="1">SUM(D9:D35)</f>
        <v>645.82499999999993</v>
      </c>
      <c r="E36" s="41">
        <f t="shared" si="1"/>
        <v>589.52499999999998</v>
      </c>
      <c r="F36" s="41">
        <f t="shared" si="1"/>
        <v>555.32499999999993</v>
      </c>
      <c r="G36" s="41">
        <f t="shared" si="1"/>
        <v>528.22499999999991</v>
      </c>
      <c r="H36" s="41">
        <f t="shared" si="1"/>
        <v>356.32499999999993</v>
      </c>
      <c r="I36" s="42">
        <f t="shared" si="1"/>
        <v>356.32499999999993</v>
      </c>
      <c r="J36" s="41">
        <f t="shared" si="1"/>
        <v>401.32499999999993</v>
      </c>
      <c r="K36" s="41">
        <f t="shared" si="1"/>
        <v>450.625</v>
      </c>
      <c r="L36" s="41">
        <f t="shared" si="1"/>
        <v>488.625</v>
      </c>
      <c r="M36" s="41">
        <f t="shared" si="1"/>
        <v>530.62500000000011</v>
      </c>
      <c r="N36" s="41">
        <f t="shared" si="1"/>
        <v>604.32499999999993</v>
      </c>
      <c r="O36" s="41">
        <f t="shared" si="1"/>
        <v>639.32499999999982</v>
      </c>
      <c r="P36" s="41">
        <f t="shared" si="1"/>
        <v>353.32499999999993</v>
      </c>
      <c r="Q36" s="41">
        <f t="shared" si="1"/>
        <v>355.32499999999993</v>
      </c>
      <c r="R36" s="41">
        <f t="shared" si="1"/>
        <v>361.92499999999995</v>
      </c>
      <c r="S36" s="41">
        <f t="shared" si="1"/>
        <v>365.92499999999995</v>
      </c>
      <c r="T36" s="41">
        <f t="shared" si="1"/>
        <v>377.47500000000002</v>
      </c>
      <c r="U36" s="41">
        <f t="shared" si="1"/>
        <v>392.32500000000005</v>
      </c>
      <c r="V36" s="41">
        <f t="shared" si="1"/>
        <v>414.04999999999995</v>
      </c>
      <c r="W36" s="41">
        <f t="shared" si="1"/>
        <v>495.69</v>
      </c>
      <c r="X36" s="41">
        <f t="shared" si="1"/>
        <v>540.09</v>
      </c>
      <c r="Y36" s="41">
        <f t="shared" si="1"/>
        <v>554.79499999999985</v>
      </c>
      <c r="Z36" s="41">
        <f t="shared" si="1"/>
        <v>577.02499999999998</v>
      </c>
      <c r="AA36" s="41">
        <f t="shared" si="1"/>
        <v>610.41500000000019</v>
      </c>
      <c r="AB36" s="41">
        <f t="shared" si="1"/>
        <v>636.63499999999999</v>
      </c>
      <c r="AC36" s="41">
        <f t="shared" si="1"/>
        <v>636.63499999999999</v>
      </c>
      <c r="AD36" s="43">
        <f t="shared" si="1"/>
        <v>13662.26</v>
      </c>
    </row>
    <row r="38" spans="2:30" x14ac:dyDescent="0.25"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spans="2:30" x14ac:dyDescent="0.25"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 spans="2:30" x14ac:dyDescent="0.25">
      <c r="B40" t="s">
        <v>31</v>
      </c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spans="2:30" x14ac:dyDescent="0.25"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spans="2:30" ht="16.5" thickBot="1" x14ac:dyDescent="0.3">
      <c r="B42" s="3" t="s">
        <v>1</v>
      </c>
      <c r="C42" s="4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H42" s="4" t="s">
        <v>7</v>
      </c>
      <c r="I42" s="5" t="s">
        <v>8</v>
      </c>
      <c r="J42" s="4" t="s">
        <v>9</v>
      </c>
      <c r="K42" s="4" t="s">
        <v>10</v>
      </c>
      <c r="L42" s="4" t="s">
        <v>11</v>
      </c>
      <c r="M42" s="4" t="s">
        <v>12</v>
      </c>
      <c r="N42" s="4" t="s">
        <v>13</v>
      </c>
      <c r="O42" s="4" t="s">
        <v>14</v>
      </c>
      <c r="P42" s="4" t="s">
        <v>15</v>
      </c>
      <c r="Q42" s="4" t="s">
        <v>16</v>
      </c>
      <c r="R42" s="4" t="s">
        <v>17</v>
      </c>
      <c r="S42" s="4" t="s">
        <v>18</v>
      </c>
      <c r="T42" s="6" t="s">
        <v>19</v>
      </c>
      <c r="U42" s="6" t="s">
        <v>20</v>
      </c>
      <c r="V42" s="6" t="s">
        <v>21</v>
      </c>
      <c r="W42" s="6" t="s">
        <v>22</v>
      </c>
      <c r="X42" s="6" t="s">
        <v>23</v>
      </c>
      <c r="Y42" s="6" t="s">
        <v>24</v>
      </c>
      <c r="Z42" s="6" t="s">
        <v>25</v>
      </c>
      <c r="AA42" s="6" t="s">
        <v>26</v>
      </c>
      <c r="AB42" s="6" t="s">
        <v>27</v>
      </c>
      <c r="AC42" s="6" t="s">
        <v>28</v>
      </c>
      <c r="AD42" s="3" t="s">
        <v>29</v>
      </c>
    </row>
    <row r="43" spans="2:30" ht="15.75" x14ac:dyDescent="0.25">
      <c r="B43" s="4" t="s">
        <v>2</v>
      </c>
      <c r="C43" s="7">
        <v>132</v>
      </c>
      <c r="D43" s="8">
        <v>143</v>
      </c>
      <c r="E43" s="8">
        <v>109</v>
      </c>
      <c r="F43" s="8">
        <v>191</v>
      </c>
      <c r="G43" s="9">
        <v>264</v>
      </c>
      <c r="H43" s="9">
        <v>3839</v>
      </c>
      <c r="I43" s="10">
        <v>669</v>
      </c>
      <c r="J43" s="9">
        <v>396</v>
      </c>
      <c r="K43" s="9">
        <v>537</v>
      </c>
      <c r="L43" s="9">
        <v>466</v>
      </c>
      <c r="M43" s="9">
        <v>467</v>
      </c>
      <c r="N43" s="9">
        <v>416</v>
      </c>
      <c r="O43" s="9">
        <v>671</v>
      </c>
      <c r="P43" s="9">
        <v>382</v>
      </c>
      <c r="Q43" s="9">
        <v>142</v>
      </c>
      <c r="R43" s="9">
        <v>85</v>
      </c>
      <c r="S43" s="9">
        <v>190</v>
      </c>
      <c r="T43" s="9">
        <v>213</v>
      </c>
      <c r="U43" s="9">
        <v>150</v>
      </c>
      <c r="V43" s="11">
        <v>150</v>
      </c>
      <c r="W43" s="12">
        <v>71</v>
      </c>
      <c r="X43" s="13">
        <v>153</v>
      </c>
      <c r="Y43" s="13">
        <v>97</v>
      </c>
      <c r="Z43" s="13">
        <v>75</v>
      </c>
      <c r="AA43" s="13">
        <v>117</v>
      </c>
      <c r="AB43" s="13">
        <v>275</v>
      </c>
      <c r="AC43" s="13"/>
      <c r="AD43" s="15">
        <f>SUM(C43:AC43)</f>
        <v>10400</v>
      </c>
    </row>
    <row r="44" spans="2:30" ht="15.75" x14ac:dyDescent="0.25">
      <c r="B44" s="4" t="s">
        <v>3</v>
      </c>
      <c r="C44" s="16">
        <v>337</v>
      </c>
      <c r="D44" s="17">
        <v>70</v>
      </c>
      <c r="E44" s="17">
        <v>32</v>
      </c>
      <c r="F44" s="17">
        <v>61</v>
      </c>
      <c r="G44" s="18">
        <v>173</v>
      </c>
      <c r="H44" s="18">
        <v>1605</v>
      </c>
      <c r="I44" s="19">
        <v>594</v>
      </c>
      <c r="J44" s="18">
        <v>282</v>
      </c>
      <c r="K44" s="18">
        <v>418</v>
      </c>
      <c r="L44" s="18">
        <v>399</v>
      </c>
      <c r="M44" s="18">
        <v>302</v>
      </c>
      <c r="N44" s="18">
        <v>235</v>
      </c>
      <c r="O44" s="20">
        <v>461</v>
      </c>
      <c r="P44" s="18">
        <v>385</v>
      </c>
      <c r="Q44" s="18">
        <v>226</v>
      </c>
      <c r="R44" s="18">
        <v>75</v>
      </c>
      <c r="S44" s="18">
        <v>283</v>
      </c>
      <c r="T44" s="18">
        <v>332</v>
      </c>
      <c r="U44" s="18">
        <v>342</v>
      </c>
      <c r="V44" s="21">
        <v>194</v>
      </c>
      <c r="W44" s="17">
        <v>141</v>
      </c>
      <c r="X44" s="18">
        <v>162</v>
      </c>
      <c r="Y44" s="18">
        <v>96</v>
      </c>
      <c r="Z44" s="18">
        <v>107</v>
      </c>
      <c r="AA44" s="18">
        <v>150</v>
      </c>
      <c r="AB44" s="18">
        <v>251</v>
      </c>
      <c r="AC44" s="18"/>
      <c r="AD44" s="15">
        <f>SUM(C44:AC44)</f>
        <v>7713</v>
      </c>
    </row>
    <row r="45" spans="2:30" ht="15.75" x14ac:dyDescent="0.25">
      <c r="B45" s="4" t="s">
        <v>4</v>
      </c>
      <c r="C45" s="16">
        <v>174</v>
      </c>
      <c r="D45" s="17">
        <v>26</v>
      </c>
      <c r="E45" s="17">
        <v>60</v>
      </c>
      <c r="F45" s="17">
        <v>57</v>
      </c>
      <c r="G45" s="18">
        <v>98</v>
      </c>
      <c r="H45" s="18">
        <v>1976</v>
      </c>
      <c r="I45" s="19">
        <v>556</v>
      </c>
      <c r="J45" s="18">
        <v>361</v>
      </c>
      <c r="K45" s="18">
        <v>340</v>
      </c>
      <c r="L45" s="18">
        <v>264</v>
      </c>
      <c r="M45" s="18">
        <v>363</v>
      </c>
      <c r="N45" s="18">
        <v>191</v>
      </c>
      <c r="O45" s="18">
        <v>447</v>
      </c>
      <c r="P45" s="18">
        <v>455</v>
      </c>
      <c r="Q45" s="18">
        <v>122</v>
      </c>
      <c r="R45" s="18">
        <v>36</v>
      </c>
      <c r="S45" s="18">
        <v>106</v>
      </c>
      <c r="T45" s="18">
        <v>142</v>
      </c>
      <c r="U45" s="18">
        <v>194</v>
      </c>
      <c r="V45" s="21">
        <v>111</v>
      </c>
      <c r="W45" s="17">
        <v>117</v>
      </c>
      <c r="X45" s="18">
        <v>103</v>
      </c>
      <c r="Y45" s="18">
        <v>36</v>
      </c>
      <c r="Z45" s="18">
        <v>50</v>
      </c>
      <c r="AA45" s="18">
        <v>79</v>
      </c>
      <c r="AB45" s="18">
        <v>260</v>
      </c>
      <c r="AC45" s="18"/>
      <c r="AD45" s="15">
        <f>SUM(C45:AC45)</f>
        <v>6724</v>
      </c>
    </row>
    <row r="46" spans="2:30" ht="15.75" x14ac:dyDescent="0.25">
      <c r="B46" s="4" t="s">
        <v>5</v>
      </c>
      <c r="C46" s="16">
        <v>274</v>
      </c>
      <c r="D46" s="17">
        <v>50</v>
      </c>
      <c r="E46" s="17">
        <v>31</v>
      </c>
      <c r="F46" s="17">
        <v>83</v>
      </c>
      <c r="G46" s="18">
        <v>38</v>
      </c>
      <c r="H46" s="18">
        <v>823</v>
      </c>
      <c r="I46" s="19">
        <v>318</v>
      </c>
      <c r="J46" s="18">
        <v>199</v>
      </c>
      <c r="K46" s="18">
        <v>209</v>
      </c>
      <c r="L46" s="18">
        <v>267</v>
      </c>
      <c r="M46" s="18">
        <v>408</v>
      </c>
      <c r="N46" s="18">
        <v>130</v>
      </c>
      <c r="O46" s="18">
        <v>315</v>
      </c>
      <c r="P46" s="18">
        <v>249</v>
      </c>
      <c r="Q46" s="18">
        <v>97</v>
      </c>
      <c r="R46" s="18">
        <v>36</v>
      </c>
      <c r="S46" s="18">
        <v>216</v>
      </c>
      <c r="T46" s="18">
        <v>85</v>
      </c>
      <c r="U46" s="18">
        <v>136</v>
      </c>
      <c r="V46" s="21">
        <v>127</v>
      </c>
      <c r="W46" s="17">
        <v>72</v>
      </c>
      <c r="X46" s="18">
        <v>166</v>
      </c>
      <c r="Y46" s="18">
        <v>82</v>
      </c>
      <c r="Z46" s="18">
        <v>72</v>
      </c>
      <c r="AA46" s="18">
        <v>86</v>
      </c>
      <c r="AB46" s="18">
        <v>178</v>
      </c>
      <c r="AC46" s="18"/>
      <c r="AD46" s="15">
        <f t="shared" ref="AD46:AD69" si="2">SUM(C46:AC46)</f>
        <v>4747</v>
      </c>
    </row>
    <row r="47" spans="2:30" ht="15.75" x14ac:dyDescent="0.25">
      <c r="B47" s="4" t="s">
        <v>6</v>
      </c>
      <c r="C47" s="16">
        <v>467</v>
      </c>
      <c r="D47" s="17">
        <v>105</v>
      </c>
      <c r="E47" s="17">
        <v>87</v>
      </c>
      <c r="F47" s="17">
        <v>24</v>
      </c>
      <c r="G47" s="18">
        <v>152</v>
      </c>
      <c r="H47" s="18">
        <v>1290</v>
      </c>
      <c r="I47" s="19">
        <v>485</v>
      </c>
      <c r="J47" s="18">
        <v>330</v>
      </c>
      <c r="K47" s="18">
        <v>448</v>
      </c>
      <c r="L47" s="18">
        <v>357</v>
      </c>
      <c r="M47" s="18">
        <v>468</v>
      </c>
      <c r="N47" s="18">
        <v>231</v>
      </c>
      <c r="O47" s="18">
        <v>743</v>
      </c>
      <c r="P47" s="18">
        <v>323</v>
      </c>
      <c r="Q47" s="18">
        <v>151</v>
      </c>
      <c r="R47" s="18">
        <v>68</v>
      </c>
      <c r="S47" s="18">
        <v>291</v>
      </c>
      <c r="T47" s="18">
        <v>235</v>
      </c>
      <c r="U47" s="18">
        <v>223</v>
      </c>
      <c r="V47" s="21">
        <v>128</v>
      </c>
      <c r="W47" s="17">
        <v>95</v>
      </c>
      <c r="X47" s="17">
        <v>158</v>
      </c>
      <c r="Y47" s="17">
        <v>73</v>
      </c>
      <c r="Z47" s="17">
        <v>95</v>
      </c>
      <c r="AA47" s="17">
        <v>110</v>
      </c>
      <c r="AB47" s="17">
        <v>280</v>
      </c>
      <c r="AC47" s="17"/>
      <c r="AD47" s="15">
        <f t="shared" si="2"/>
        <v>7417</v>
      </c>
    </row>
    <row r="48" spans="2:30" ht="15.75" x14ac:dyDescent="0.25">
      <c r="B48" s="4" t="s">
        <v>7</v>
      </c>
      <c r="C48" s="16">
        <v>5337</v>
      </c>
      <c r="D48" s="17">
        <v>1723</v>
      </c>
      <c r="E48" s="17">
        <v>2158</v>
      </c>
      <c r="F48" s="17">
        <v>857</v>
      </c>
      <c r="G48" s="18">
        <v>1461</v>
      </c>
      <c r="H48" s="18">
        <v>3327</v>
      </c>
      <c r="I48" s="19">
        <v>5451</v>
      </c>
      <c r="J48" s="18">
        <v>399</v>
      </c>
      <c r="K48" s="18">
        <v>860</v>
      </c>
      <c r="L48" s="18">
        <v>2159</v>
      </c>
      <c r="M48" s="18">
        <v>1555</v>
      </c>
      <c r="N48" s="18">
        <v>1140</v>
      </c>
      <c r="O48" s="18">
        <v>1234</v>
      </c>
      <c r="P48" s="18">
        <v>1819</v>
      </c>
      <c r="Q48" s="18">
        <v>2451</v>
      </c>
      <c r="R48" s="18">
        <v>2146</v>
      </c>
      <c r="S48" s="18">
        <v>9613</v>
      </c>
      <c r="T48" s="18">
        <v>5487</v>
      </c>
      <c r="U48" s="18">
        <v>18143</v>
      </c>
      <c r="V48" s="21">
        <v>13952</v>
      </c>
      <c r="W48" s="17">
        <v>8009</v>
      </c>
      <c r="X48" s="17">
        <v>22302</v>
      </c>
      <c r="Y48" s="17">
        <v>12419</v>
      </c>
      <c r="Z48" s="17">
        <v>18169</v>
      </c>
      <c r="AA48" s="17">
        <v>16436</v>
      </c>
      <c r="AB48" s="17">
        <v>20190</v>
      </c>
      <c r="AC48" s="17"/>
      <c r="AD48" s="15">
        <f t="shared" si="2"/>
        <v>178797</v>
      </c>
    </row>
    <row r="49" spans="2:30" ht="15.75" x14ac:dyDescent="0.25">
      <c r="B49" s="5" t="s">
        <v>8</v>
      </c>
      <c r="C49" s="24">
        <v>1300</v>
      </c>
      <c r="D49" s="25">
        <v>809</v>
      </c>
      <c r="E49" s="25">
        <v>808</v>
      </c>
      <c r="F49" s="25">
        <v>510</v>
      </c>
      <c r="G49" s="19">
        <v>639</v>
      </c>
      <c r="H49" s="19">
        <v>4212</v>
      </c>
      <c r="I49" s="19">
        <v>330</v>
      </c>
      <c r="J49" s="19">
        <v>154</v>
      </c>
      <c r="K49" s="19">
        <v>176</v>
      </c>
      <c r="L49" s="19">
        <v>583</v>
      </c>
      <c r="M49" s="19">
        <v>472</v>
      </c>
      <c r="N49" s="19">
        <v>442</v>
      </c>
      <c r="O49" s="19">
        <v>465</v>
      </c>
      <c r="P49" s="19">
        <v>365</v>
      </c>
      <c r="Q49" s="19">
        <v>511</v>
      </c>
      <c r="R49" s="19">
        <v>401</v>
      </c>
      <c r="S49" s="19">
        <v>2081</v>
      </c>
      <c r="T49" s="19">
        <v>934</v>
      </c>
      <c r="U49" s="19">
        <v>2539</v>
      </c>
      <c r="V49" s="26">
        <v>1770</v>
      </c>
      <c r="W49" s="25">
        <v>795</v>
      </c>
      <c r="X49" s="25">
        <v>2091</v>
      </c>
      <c r="Y49" s="25">
        <v>1110</v>
      </c>
      <c r="Z49" s="25">
        <v>1633</v>
      </c>
      <c r="AA49" s="25">
        <v>1560</v>
      </c>
      <c r="AB49" s="25">
        <v>1906</v>
      </c>
      <c r="AC49" s="25"/>
      <c r="AD49" s="28">
        <f t="shared" si="2"/>
        <v>28596</v>
      </c>
    </row>
    <row r="50" spans="2:30" ht="15.75" x14ac:dyDescent="0.25">
      <c r="B50" s="4" t="s">
        <v>9</v>
      </c>
      <c r="C50" s="16">
        <v>506</v>
      </c>
      <c r="D50" s="17">
        <v>343</v>
      </c>
      <c r="E50" s="17">
        <v>289</v>
      </c>
      <c r="F50" s="17">
        <v>272</v>
      </c>
      <c r="G50" s="18">
        <v>270</v>
      </c>
      <c r="H50" s="18">
        <v>420</v>
      </c>
      <c r="I50" s="19">
        <v>149</v>
      </c>
      <c r="J50" s="18">
        <v>46</v>
      </c>
      <c r="K50" s="18">
        <v>87</v>
      </c>
      <c r="L50" s="18">
        <v>248</v>
      </c>
      <c r="M50" s="18">
        <v>251</v>
      </c>
      <c r="N50" s="18">
        <v>230</v>
      </c>
      <c r="O50" s="18">
        <v>346</v>
      </c>
      <c r="P50" s="18">
        <v>99</v>
      </c>
      <c r="Q50" s="18">
        <v>56</v>
      </c>
      <c r="R50" s="18">
        <v>58</v>
      </c>
      <c r="S50" s="18">
        <v>167</v>
      </c>
      <c r="T50" s="18">
        <v>63</v>
      </c>
      <c r="U50" s="18">
        <v>143</v>
      </c>
      <c r="V50" s="21">
        <v>93</v>
      </c>
      <c r="W50" s="17">
        <v>104</v>
      </c>
      <c r="X50" s="17">
        <v>232</v>
      </c>
      <c r="Y50" s="17">
        <v>59</v>
      </c>
      <c r="Z50" s="17">
        <v>214</v>
      </c>
      <c r="AA50" s="17">
        <v>115</v>
      </c>
      <c r="AB50" s="17">
        <v>194</v>
      </c>
      <c r="AC50" s="17"/>
      <c r="AD50" s="15">
        <f t="shared" si="2"/>
        <v>5054</v>
      </c>
    </row>
    <row r="51" spans="2:30" ht="15.75" x14ac:dyDescent="0.25">
      <c r="B51" s="4" t="s">
        <v>10</v>
      </c>
      <c r="C51" s="16">
        <v>636</v>
      </c>
      <c r="D51" s="17">
        <v>397</v>
      </c>
      <c r="E51" s="17">
        <v>289</v>
      </c>
      <c r="F51" s="17">
        <v>283</v>
      </c>
      <c r="G51" s="18">
        <v>520</v>
      </c>
      <c r="H51" s="18">
        <v>909</v>
      </c>
      <c r="I51" s="19">
        <v>156</v>
      </c>
      <c r="J51" s="18">
        <v>96</v>
      </c>
      <c r="K51" s="18">
        <v>103</v>
      </c>
      <c r="L51" s="18">
        <v>126</v>
      </c>
      <c r="M51" s="18">
        <v>317</v>
      </c>
      <c r="N51" s="18">
        <v>166</v>
      </c>
      <c r="O51" s="18">
        <v>265</v>
      </c>
      <c r="P51" s="18">
        <v>99</v>
      </c>
      <c r="Q51" s="18">
        <v>163</v>
      </c>
      <c r="R51" s="18">
        <v>108</v>
      </c>
      <c r="S51" s="18">
        <v>377</v>
      </c>
      <c r="T51" s="18">
        <v>203</v>
      </c>
      <c r="U51" s="18">
        <v>205</v>
      </c>
      <c r="V51" s="21">
        <v>260</v>
      </c>
      <c r="W51" s="17">
        <v>142</v>
      </c>
      <c r="X51" s="17">
        <v>177</v>
      </c>
      <c r="Y51" s="17">
        <v>155</v>
      </c>
      <c r="Z51" s="17">
        <v>187</v>
      </c>
      <c r="AA51" s="17">
        <v>183</v>
      </c>
      <c r="AB51" s="17">
        <v>325</v>
      </c>
      <c r="AC51" s="17"/>
      <c r="AD51" s="15">
        <f t="shared" si="2"/>
        <v>6847</v>
      </c>
    </row>
    <row r="52" spans="2:30" ht="15.75" x14ac:dyDescent="0.25">
      <c r="B52" s="4" t="s">
        <v>11</v>
      </c>
      <c r="C52" s="16">
        <v>486</v>
      </c>
      <c r="D52" s="17">
        <v>445</v>
      </c>
      <c r="E52" s="17">
        <v>317</v>
      </c>
      <c r="F52" s="17">
        <v>294</v>
      </c>
      <c r="G52" s="18">
        <v>421</v>
      </c>
      <c r="H52" s="18">
        <v>2424</v>
      </c>
      <c r="I52" s="19">
        <v>523</v>
      </c>
      <c r="J52" s="18">
        <v>249</v>
      </c>
      <c r="K52" s="18">
        <v>132</v>
      </c>
      <c r="L52" s="18">
        <v>113</v>
      </c>
      <c r="M52" s="18">
        <v>76</v>
      </c>
      <c r="N52" s="18">
        <v>103</v>
      </c>
      <c r="O52" s="18">
        <v>193</v>
      </c>
      <c r="P52" s="18">
        <v>276</v>
      </c>
      <c r="Q52" s="18">
        <v>144</v>
      </c>
      <c r="R52" s="18">
        <v>81</v>
      </c>
      <c r="S52" s="18">
        <v>302</v>
      </c>
      <c r="T52" s="18">
        <v>297</v>
      </c>
      <c r="U52" s="18">
        <v>457</v>
      </c>
      <c r="V52" s="21">
        <v>283</v>
      </c>
      <c r="W52" s="17">
        <v>245</v>
      </c>
      <c r="X52" s="17">
        <v>282</v>
      </c>
      <c r="Y52" s="17">
        <v>126</v>
      </c>
      <c r="Z52" s="17">
        <v>206</v>
      </c>
      <c r="AA52" s="17">
        <v>235</v>
      </c>
      <c r="AB52" s="17">
        <v>642</v>
      </c>
      <c r="AC52" s="17"/>
      <c r="AD52" s="15">
        <f t="shared" si="2"/>
        <v>9352</v>
      </c>
    </row>
    <row r="53" spans="2:30" ht="15.75" x14ac:dyDescent="0.25">
      <c r="B53" s="4" t="s">
        <v>12</v>
      </c>
      <c r="C53" s="16">
        <v>606</v>
      </c>
      <c r="D53" s="17">
        <v>346</v>
      </c>
      <c r="E53" s="17">
        <v>442</v>
      </c>
      <c r="F53" s="17">
        <v>449</v>
      </c>
      <c r="G53" s="18">
        <v>468</v>
      </c>
      <c r="H53" s="18">
        <v>1868</v>
      </c>
      <c r="I53" s="19">
        <v>501</v>
      </c>
      <c r="J53" s="18">
        <v>364</v>
      </c>
      <c r="K53" s="18">
        <v>245</v>
      </c>
      <c r="L53" s="18">
        <v>57</v>
      </c>
      <c r="M53" s="18">
        <v>77</v>
      </c>
      <c r="N53" s="18">
        <v>84</v>
      </c>
      <c r="O53" s="18">
        <v>278</v>
      </c>
      <c r="P53" s="18">
        <v>273</v>
      </c>
      <c r="Q53" s="18">
        <v>216</v>
      </c>
      <c r="R53" s="18">
        <v>180</v>
      </c>
      <c r="S53" s="18">
        <v>309</v>
      </c>
      <c r="T53" s="18">
        <v>134</v>
      </c>
      <c r="U53" s="18">
        <v>412</v>
      </c>
      <c r="V53" s="21">
        <v>279</v>
      </c>
      <c r="W53" s="17">
        <v>192</v>
      </c>
      <c r="X53" s="17">
        <v>308</v>
      </c>
      <c r="Y53" s="17">
        <v>155</v>
      </c>
      <c r="Z53" s="17">
        <v>241</v>
      </c>
      <c r="AA53" s="17">
        <v>222</v>
      </c>
      <c r="AB53" s="17">
        <v>400</v>
      </c>
      <c r="AC53" s="17"/>
      <c r="AD53" s="15">
        <f t="shared" si="2"/>
        <v>9106</v>
      </c>
    </row>
    <row r="54" spans="2:30" ht="15.75" x14ac:dyDescent="0.25">
      <c r="B54" s="4" t="s">
        <v>13</v>
      </c>
      <c r="C54" s="16">
        <v>505</v>
      </c>
      <c r="D54" s="17">
        <v>230</v>
      </c>
      <c r="E54" s="17">
        <v>204</v>
      </c>
      <c r="F54" s="17">
        <v>158</v>
      </c>
      <c r="G54" s="18">
        <v>206</v>
      </c>
      <c r="H54" s="18">
        <v>1392</v>
      </c>
      <c r="I54" s="19">
        <v>423</v>
      </c>
      <c r="J54" s="18">
        <v>273</v>
      </c>
      <c r="K54" s="18">
        <v>221</v>
      </c>
      <c r="L54" s="18">
        <v>84</v>
      </c>
      <c r="M54" s="18">
        <v>76</v>
      </c>
      <c r="N54" s="18">
        <v>62</v>
      </c>
      <c r="O54" s="18">
        <v>41</v>
      </c>
      <c r="P54" s="18">
        <v>242</v>
      </c>
      <c r="Q54" s="29">
        <v>133</v>
      </c>
      <c r="R54" s="29">
        <v>85</v>
      </c>
      <c r="S54" s="29">
        <v>269</v>
      </c>
      <c r="T54" s="29">
        <v>132</v>
      </c>
      <c r="U54" s="29">
        <v>171</v>
      </c>
      <c r="V54" s="30">
        <v>104</v>
      </c>
      <c r="W54" s="31">
        <v>132</v>
      </c>
      <c r="X54" s="29">
        <v>241</v>
      </c>
      <c r="Y54" s="29">
        <v>112</v>
      </c>
      <c r="Z54" s="29">
        <v>129</v>
      </c>
      <c r="AA54" s="29">
        <v>173</v>
      </c>
      <c r="AB54" s="29">
        <v>334</v>
      </c>
      <c r="AC54" s="29"/>
      <c r="AD54" s="15">
        <f t="shared" si="2"/>
        <v>6132</v>
      </c>
    </row>
    <row r="55" spans="2:30" ht="15.75" x14ac:dyDescent="0.25">
      <c r="B55" s="4" t="s">
        <v>14</v>
      </c>
      <c r="C55" s="16">
        <v>750</v>
      </c>
      <c r="D55" s="17">
        <v>553</v>
      </c>
      <c r="E55" s="17">
        <v>464</v>
      </c>
      <c r="F55" s="17">
        <v>387</v>
      </c>
      <c r="G55" s="18">
        <v>722</v>
      </c>
      <c r="H55" s="18">
        <v>1492</v>
      </c>
      <c r="I55" s="19">
        <v>476</v>
      </c>
      <c r="J55" s="18">
        <v>345</v>
      </c>
      <c r="K55" s="18">
        <v>280</v>
      </c>
      <c r="L55" s="18">
        <v>242</v>
      </c>
      <c r="M55" s="18">
        <v>273</v>
      </c>
      <c r="N55" s="18">
        <v>47</v>
      </c>
      <c r="O55" s="18">
        <v>107</v>
      </c>
      <c r="P55" s="18">
        <v>282</v>
      </c>
      <c r="Q55" s="29">
        <v>221</v>
      </c>
      <c r="R55" s="29">
        <v>86</v>
      </c>
      <c r="S55" s="29">
        <v>403</v>
      </c>
      <c r="T55" s="29">
        <v>245</v>
      </c>
      <c r="U55" s="29">
        <v>435</v>
      </c>
      <c r="V55" s="30">
        <v>406</v>
      </c>
      <c r="W55" s="31">
        <v>120</v>
      </c>
      <c r="X55" s="29">
        <v>399</v>
      </c>
      <c r="Y55" s="29">
        <v>147</v>
      </c>
      <c r="Z55" s="29">
        <v>231</v>
      </c>
      <c r="AA55" s="29">
        <v>218</v>
      </c>
      <c r="AB55" s="29">
        <v>441</v>
      </c>
      <c r="AC55" s="29"/>
      <c r="AD55" s="15">
        <f t="shared" si="2"/>
        <v>9772</v>
      </c>
    </row>
    <row r="56" spans="2:30" ht="15.75" x14ac:dyDescent="0.25">
      <c r="B56" s="4" t="s">
        <v>15</v>
      </c>
      <c r="C56" s="16">
        <v>423</v>
      </c>
      <c r="D56" s="17">
        <v>249</v>
      </c>
      <c r="E56" s="17">
        <v>345</v>
      </c>
      <c r="F56" s="17">
        <v>243</v>
      </c>
      <c r="G56" s="18">
        <v>307</v>
      </c>
      <c r="H56" s="18">
        <v>1680</v>
      </c>
      <c r="I56" s="19">
        <v>238</v>
      </c>
      <c r="J56" s="18">
        <v>75</v>
      </c>
      <c r="K56" s="18">
        <v>81</v>
      </c>
      <c r="L56" s="18">
        <v>171</v>
      </c>
      <c r="M56" s="18">
        <v>203</v>
      </c>
      <c r="N56" s="18">
        <v>114</v>
      </c>
      <c r="O56" s="18">
        <v>173</v>
      </c>
      <c r="P56" s="18">
        <v>240</v>
      </c>
      <c r="Q56" s="29">
        <v>310</v>
      </c>
      <c r="R56" s="29">
        <v>464</v>
      </c>
      <c r="S56" s="29">
        <v>2115</v>
      </c>
      <c r="T56" s="29">
        <v>676</v>
      </c>
      <c r="U56" s="29">
        <v>3229</v>
      </c>
      <c r="V56" s="30">
        <v>2328</v>
      </c>
      <c r="W56" s="31">
        <v>1376</v>
      </c>
      <c r="X56" s="29">
        <v>2619</v>
      </c>
      <c r="Y56" s="29">
        <v>1595</v>
      </c>
      <c r="Z56" s="29">
        <v>2260</v>
      </c>
      <c r="AA56" s="29">
        <v>1929</v>
      </c>
      <c r="AB56" s="29">
        <v>2816</v>
      </c>
      <c r="AC56" s="29"/>
      <c r="AD56" s="15">
        <f t="shared" si="2"/>
        <v>26259</v>
      </c>
    </row>
    <row r="57" spans="2:30" ht="15.75" x14ac:dyDescent="0.25">
      <c r="B57" s="4" t="s">
        <v>16</v>
      </c>
      <c r="C57" s="16">
        <v>106</v>
      </c>
      <c r="D57" s="17">
        <v>262</v>
      </c>
      <c r="E57" s="17">
        <v>119</v>
      </c>
      <c r="F57" s="17">
        <v>154</v>
      </c>
      <c r="G57" s="18">
        <v>194</v>
      </c>
      <c r="H57" s="18">
        <v>1985</v>
      </c>
      <c r="I57" s="19">
        <v>342</v>
      </c>
      <c r="J57" s="18">
        <v>64</v>
      </c>
      <c r="K57" s="18">
        <v>91</v>
      </c>
      <c r="L57" s="18">
        <v>132</v>
      </c>
      <c r="M57" s="18">
        <v>108</v>
      </c>
      <c r="N57" s="18">
        <v>112</v>
      </c>
      <c r="O57" s="18">
        <v>176</v>
      </c>
      <c r="P57" s="18">
        <v>367</v>
      </c>
      <c r="Q57" s="29">
        <v>260</v>
      </c>
      <c r="R57" s="29">
        <v>549</v>
      </c>
      <c r="S57" s="29">
        <v>1748</v>
      </c>
      <c r="T57" s="29">
        <v>1006</v>
      </c>
      <c r="U57" s="29">
        <v>2464</v>
      </c>
      <c r="V57" s="30">
        <v>1541</v>
      </c>
      <c r="W57" s="31">
        <v>1032</v>
      </c>
      <c r="X57" s="29">
        <v>1770</v>
      </c>
      <c r="Y57" s="29">
        <v>980</v>
      </c>
      <c r="Z57" s="29">
        <v>1383</v>
      </c>
      <c r="AA57" s="29">
        <v>1379</v>
      </c>
      <c r="AB57" s="29">
        <v>2300</v>
      </c>
      <c r="AC57" s="29"/>
      <c r="AD57" s="15">
        <f t="shared" si="2"/>
        <v>20624</v>
      </c>
    </row>
    <row r="58" spans="2:30" ht="15.75" x14ac:dyDescent="0.25">
      <c r="B58" s="4" t="s">
        <v>17</v>
      </c>
      <c r="C58" s="16">
        <v>138</v>
      </c>
      <c r="D58" s="17">
        <v>84</v>
      </c>
      <c r="E58" s="17">
        <v>62</v>
      </c>
      <c r="F58" s="17">
        <v>19</v>
      </c>
      <c r="G58" s="18">
        <v>76</v>
      </c>
      <c r="H58" s="18">
        <v>1915</v>
      </c>
      <c r="I58" s="19">
        <v>181</v>
      </c>
      <c r="J58" s="18">
        <v>33</v>
      </c>
      <c r="K58" s="18">
        <v>83</v>
      </c>
      <c r="L58" s="18">
        <v>32</v>
      </c>
      <c r="M58" s="18">
        <v>121</v>
      </c>
      <c r="N58" s="18">
        <v>53</v>
      </c>
      <c r="O58" s="18">
        <v>52</v>
      </c>
      <c r="P58" s="18">
        <v>562</v>
      </c>
      <c r="Q58" s="29">
        <v>524</v>
      </c>
      <c r="R58" s="29">
        <v>153</v>
      </c>
      <c r="S58" s="29">
        <v>126</v>
      </c>
      <c r="T58" s="29">
        <v>259</v>
      </c>
      <c r="U58" s="29">
        <v>936</v>
      </c>
      <c r="V58" s="30">
        <v>505</v>
      </c>
      <c r="W58" s="31">
        <v>288</v>
      </c>
      <c r="X58" s="29">
        <v>610</v>
      </c>
      <c r="Y58" s="29">
        <v>372</v>
      </c>
      <c r="Z58" s="29">
        <v>607</v>
      </c>
      <c r="AA58" s="29">
        <v>530</v>
      </c>
      <c r="AB58" s="29">
        <v>692</v>
      </c>
      <c r="AC58" s="29"/>
      <c r="AD58" s="15">
        <f t="shared" si="2"/>
        <v>9013</v>
      </c>
    </row>
    <row r="59" spans="2:30" ht="16.5" thickBot="1" x14ac:dyDescent="0.3">
      <c r="B59" s="4" t="s">
        <v>18</v>
      </c>
      <c r="C59" s="32">
        <v>237</v>
      </c>
      <c r="D59" s="33">
        <v>372</v>
      </c>
      <c r="E59" s="33">
        <v>131</v>
      </c>
      <c r="F59" s="33">
        <v>236</v>
      </c>
      <c r="G59" s="34">
        <v>269</v>
      </c>
      <c r="H59" s="34">
        <v>8989</v>
      </c>
      <c r="I59" s="35">
        <v>1376</v>
      </c>
      <c r="J59" s="34">
        <v>266</v>
      </c>
      <c r="K59" s="34">
        <v>432</v>
      </c>
      <c r="L59" s="34">
        <v>308</v>
      </c>
      <c r="M59" s="34">
        <v>292</v>
      </c>
      <c r="N59" s="34">
        <v>256</v>
      </c>
      <c r="O59" s="34">
        <v>243</v>
      </c>
      <c r="P59" s="34">
        <v>2472</v>
      </c>
      <c r="Q59" s="36">
        <v>1668</v>
      </c>
      <c r="R59" s="36">
        <v>131</v>
      </c>
      <c r="S59" s="36">
        <v>476</v>
      </c>
      <c r="T59" s="36">
        <v>886</v>
      </c>
      <c r="U59" s="36">
        <v>3437</v>
      </c>
      <c r="V59" s="37">
        <v>2049</v>
      </c>
      <c r="W59" s="31">
        <v>1259</v>
      </c>
      <c r="X59" s="29">
        <v>2265</v>
      </c>
      <c r="Y59" s="29">
        <v>1215</v>
      </c>
      <c r="Z59" s="29">
        <v>2263</v>
      </c>
      <c r="AA59" s="29">
        <v>2505</v>
      </c>
      <c r="AB59" s="29">
        <v>3413</v>
      </c>
      <c r="AC59" s="29"/>
      <c r="AD59" s="15">
        <f t="shared" si="2"/>
        <v>37446</v>
      </c>
    </row>
    <row r="60" spans="2:30" ht="15.75" x14ac:dyDescent="0.25">
      <c r="B60" s="6" t="s">
        <v>19</v>
      </c>
      <c r="C60" s="12">
        <v>232</v>
      </c>
      <c r="D60" s="12">
        <v>276</v>
      </c>
      <c r="E60" s="12">
        <v>104</v>
      </c>
      <c r="F60" s="12">
        <v>93</v>
      </c>
      <c r="G60" s="17">
        <v>157</v>
      </c>
      <c r="H60" s="17">
        <v>5893</v>
      </c>
      <c r="I60" s="25">
        <v>1047</v>
      </c>
      <c r="J60" s="17">
        <v>82</v>
      </c>
      <c r="K60" s="17">
        <v>164</v>
      </c>
      <c r="L60" s="17">
        <v>223</v>
      </c>
      <c r="M60" s="17">
        <v>115</v>
      </c>
      <c r="N60" s="17">
        <v>129</v>
      </c>
      <c r="O60" s="17">
        <v>198</v>
      </c>
      <c r="P60" s="17">
        <v>943</v>
      </c>
      <c r="Q60" s="31">
        <v>1019</v>
      </c>
      <c r="R60" s="31">
        <v>221</v>
      </c>
      <c r="S60" s="31">
        <v>679</v>
      </c>
      <c r="T60" s="31">
        <v>197</v>
      </c>
      <c r="U60" s="31">
        <v>1379</v>
      </c>
      <c r="V60" s="31">
        <v>955</v>
      </c>
      <c r="W60" s="29">
        <v>563</v>
      </c>
      <c r="X60" s="29">
        <v>1611</v>
      </c>
      <c r="Y60" s="29">
        <v>1071</v>
      </c>
      <c r="Z60" s="29">
        <v>1878</v>
      </c>
      <c r="AA60" s="29">
        <v>2001</v>
      </c>
      <c r="AB60" s="29">
        <v>1659</v>
      </c>
      <c r="AC60" s="29"/>
      <c r="AD60" s="15">
        <f t="shared" si="2"/>
        <v>22889</v>
      </c>
    </row>
    <row r="61" spans="2:30" ht="15.75" x14ac:dyDescent="0.25">
      <c r="B61" s="6" t="s">
        <v>20</v>
      </c>
      <c r="C61" s="13">
        <v>195</v>
      </c>
      <c r="D61" s="13">
        <v>291</v>
      </c>
      <c r="E61" s="13">
        <v>199</v>
      </c>
      <c r="F61" s="13">
        <v>104</v>
      </c>
      <c r="G61" s="18">
        <v>332</v>
      </c>
      <c r="H61" s="18">
        <v>17558</v>
      </c>
      <c r="I61" s="19">
        <v>1947</v>
      </c>
      <c r="J61" s="17">
        <v>111</v>
      </c>
      <c r="K61" s="17">
        <v>223</v>
      </c>
      <c r="L61" s="17">
        <v>354</v>
      </c>
      <c r="M61" s="17">
        <v>404</v>
      </c>
      <c r="N61" s="17">
        <v>153</v>
      </c>
      <c r="O61" s="17">
        <v>337</v>
      </c>
      <c r="P61" s="17">
        <v>3895</v>
      </c>
      <c r="Q61" s="29">
        <v>2792</v>
      </c>
      <c r="R61" s="29">
        <v>769</v>
      </c>
      <c r="S61" s="29">
        <v>2916</v>
      </c>
      <c r="T61" s="29">
        <v>1080</v>
      </c>
      <c r="U61" s="29">
        <v>516</v>
      </c>
      <c r="V61" s="29">
        <v>1172</v>
      </c>
      <c r="W61" s="29">
        <v>832</v>
      </c>
      <c r="X61" s="29">
        <v>2454</v>
      </c>
      <c r="Y61" s="29">
        <v>1604</v>
      </c>
      <c r="Z61" s="29">
        <v>2079</v>
      </c>
      <c r="AA61" s="29">
        <v>2249</v>
      </c>
      <c r="AB61" s="29">
        <v>3034</v>
      </c>
      <c r="AC61" s="29"/>
      <c r="AD61" s="15">
        <f t="shared" si="2"/>
        <v>47600</v>
      </c>
    </row>
    <row r="62" spans="2:30" ht="15.75" x14ac:dyDescent="0.25">
      <c r="B62" s="6" t="s">
        <v>21</v>
      </c>
      <c r="C62" s="13">
        <v>164</v>
      </c>
      <c r="D62" s="13">
        <v>167</v>
      </c>
      <c r="E62" s="13">
        <v>116</v>
      </c>
      <c r="F62" s="13">
        <v>121</v>
      </c>
      <c r="G62" s="18">
        <v>127</v>
      </c>
      <c r="H62" s="18">
        <v>12885</v>
      </c>
      <c r="I62" s="19">
        <v>1477</v>
      </c>
      <c r="J62" s="17">
        <v>189</v>
      </c>
      <c r="K62" s="17">
        <v>251</v>
      </c>
      <c r="L62" s="17">
        <v>207</v>
      </c>
      <c r="M62" s="17">
        <v>339</v>
      </c>
      <c r="N62" s="17">
        <v>144</v>
      </c>
      <c r="O62" s="17">
        <v>381</v>
      </c>
      <c r="P62" s="17">
        <v>3316</v>
      </c>
      <c r="Q62" s="29">
        <v>1829</v>
      </c>
      <c r="R62" s="29">
        <v>504</v>
      </c>
      <c r="S62" s="29">
        <v>1635</v>
      </c>
      <c r="T62" s="29">
        <v>896</v>
      </c>
      <c r="U62" s="29">
        <v>1259</v>
      </c>
      <c r="V62" s="29">
        <v>423</v>
      </c>
      <c r="W62" s="29">
        <v>577</v>
      </c>
      <c r="X62" s="29">
        <v>1285</v>
      </c>
      <c r="Y62" s="29">
        <v>837</v>
      </c>
      <c r="Z62" s="29">
        <v>1125</v>
      </c>
      <c r="AA62" s="29">
        <v>1297</v>
      </c>
      <c r="AB62" s="29">
        <v>2305</v>
      </c>
      <c r="AC62" s="29"/>
      <c r="AD62" s="15">
        <f t="shared" si="2"/>
        <v>33856</v>
      </c>
    </row>
    <row r="63" spans="2:30" ht="15.75" x14ac:dyDescent="0.25">
      <c r="B63" s="6" t="s">
        <v>22</v>
      </c>
      <c r="C63" s="13">
        <v>86</v>
      </c>
      <c r="D63" s="13">
        <v>147</v>
      </c>
      <c r="E63" s="13">
        <v>94</v>
      </c>
      <c r="F63" s="13">
        <v>106</v>
      </c>
      <c r="G63" s="18">
        <v>62</v>
      </c>
      <c r="H63" s="18">
        <v>7802</v>
      </c>
      <c r="I63" s="19">
        <v>786</v>
      </c>
      <c r="J63" s="17">
        <v>123</v>
      </c>
      <c r="K63" s="17">
        <v>108</v>
      </c>
      <c r="L63" s="17">
        <v>204</v>
      </c>
      <c r="M63" s="17">
        <v>200</v>
      </c>
      <c r="N63" s="17">
        <v>147</v>
      </c>
      <c r="O63" s="17">
        <v>151</v>
      </c>
      <c r="P63" s="17">
        <v>1699</v>
      </c>
      <c r="Q63" s="29">
        <v>1104</v>
      </c>
      <c r="R63" s="29">
        <v>302</v>
      </c>
      <c r="S63" s="29">
        <v>1099</v>
      </c>
      <c r="T63" s="29">
        <v>505</v>
      </c>
      <c r="U63" s="29">
        <v>702</v>
      </c>
      <c r="V63" s="29">
        <v>572</v>
      </c>
      <c r="W63" s="29">
        <v>197</v>
      </c>
      <c r="X63" s="29">
        <v>813</v>
      </c>
      <c r="Y63" s="29">
        <v>629</v>
      </c>
      <c r="Z63" s="29">
        <v>1281</v>
      </c>
      <c r="AA63" s="29">
        <v>1408</v>
      </c>
      <c r="AB63" s="29">
        <v>766</v>
      </c>
      <c r="AC63" s="29"/>
      <c r="AD63" s="15">
        <f t="shared" si="2"/>
        <v>21093</v>
      </c>
    </row>
    <row r="64" spans="2:30" ht="15.75" x14ac:dyDescent="0.25">
      <c r="B64" s="6" t="s">
        <v>23</v>
      </c>
      <c r="C64" s="13">
        <v>135</v>
      </c>
      <c r="D64" s="13">
        <v>142</v>
      </c>
      <c r="E64" s="13">
        <v>83</v>
      </c>
      <c r="F64" s="13">
        <v>127</v>
      </c>
      <c r="G64" s="18">
        <v>176</v>
      </c>
      <c r="H64" s="18">
        <v>21047</v>
      </c>
      <c r="I64" s="19">
        <v>1786</v>
      </c>
      <c r="J64" s="17">
        <v>296</v>
      </c>
      <c r="K64" s="17">
        <v>211</v>
      </c>
      <c r="L64" s="17">
        <v>286</v>
      </c>
      <c r="M64" s="17">
        <v>291</v>
      </c>
      <c r="N64" s="17">
        <v>228</v>
      </c>
      <c r="O64" s="17">
        <v>332</v>
      </c>
      <c r="P64" s="17">
        <v>4023</v>
      </c>
      <c r="Q64" s="29">
        <v>2015</v>
      </c>
      <c r="R64" s="29">
        <v>601</v>
      </c>
      <c r="S64" s="29">
        <v>2137</v>
      </c>
      <c r="T64" s="29">
        <v>1566</v>
      </c>
      <c r="U64" s="29">
        <v>2297</v>
      </c>
      <c r="V64" s="29">
        <v>1196</v>
      </c>
      <c r="W64" s="29">
        <v>1204</v>
      </c>
      <c r="X64" s="29">
        <v>857</v>
      </c>
      <c r="Y64" s="29">
        <v>435</v>
      </c>
      <c r="Z64" s="29">
        <v>1620</v>
      </c>
      <c r="AA64" s="29">
        <v>2511</v>
      </c>
      <c r="AB64" s="29">
        <v>2619</v>
      </c>
      <c r="AC64" s="29"/>
      <c r="AD64" s="15">
        <f t="shared" si="2"/>
        <v>48221</v>
      </c>
    </row>
    <row r="65" spans="2:30" ht="15.75" x14ac:dyDescent="0.25">
      <c r="B65" s="6" t="s">
        <v>24</v>
      </c>
      <c r="C65" s="13">
        <v>65</v>
      </c>
      <c r="D65" s="13">
        <v>132</v>
      </c>
      <c r="E65" s="13">
        <v>38</v>
      </c>
      <c r="F65" s="13">
        <v>63</v>
      </c>
      <c r="G65" s="18">
        <v>86</v>
      </c>
      <c r="H65" s="18">
        <v>13136</v>
      </c>
      <c r="I65" s="19">
        <v>966</v>
      </c>
      <c r="J65" s="17">
        <v>109</v>
      </c>
      <c r="K65" s="17">
        <v>165</v>
      </c>
      <c r="L65" s="17">
        <v>85</v>
      </c>
      <c r="M65" s="17">
        <v>159</v>
      </c>
      <c r="N65" s="17">
        <v>119</v>
      </c>
      <c r="O65" s="17">
        <v>150</v>
      </c>
      <c r="P65" s="17">
        <v>2771</v>
      </c>
      <c r="Q65" s="29">
        <v>1184</v>
      </c>
      <c r="R65" s="29">
        <v>307</v>
      </c>
      <c r="S65" s="29">
        <v>1068</v>
      </c>
      <c r="T65" s="29">
        <v>1079</v>
      </c>
      <c r="U65" s="29">
        <v>1609</v>
      </c>
      <c r="V65" s="29">
        <v>756</v>
      </c>
      <c r="W65" s="29">
        <v>873</v>
      </c>
      <c r="X65" s="29">
        <v>450</v>
      </c>
      <c r="Y65" s="29">
        <v>417</v>
      </c>
      <c r="Z65" s="29">
        <v>616</v>
      </c>
      <c r="AA65" s="29">
        <v>1468</v>
      </c>
      <c r="AB65" s="29">
        <v>1674</v>
      </c>
      <c r="AC65" s="29"/>
      <c r="AD65" s="15">
        <f t="shared" si="2"/>
        <v>29545</v>
      </c>
    </row>
    <row r="66" spans="2:30" ht="15.75" x14ac:dyDescent="0.25">
      <c r="B66" s="6" t="s">
        <v>25</v>
      </c>
      <c r="C66" s="13">
        <v>76</v>
      </c>
      <c r="D66" s="13">
        <v>102</v>
      </c>
      <c r="E66" s="13">
        <v>55</v>
      </c>
      <c r="F66" s="13">
        <v>80</v>
      </c>
      <c r="G66" s="18">
        <v>138</v>
      </c>
      <c r="H66" s="18">
        <v>19211</v>
      </c>
      <c r="I66" s="19">
        <v>1483</v>
      </c>
      <c r="J66" s="17">
        <v>267</v>
      </c>
      <c r="K66" s="17">
        <v>166</v>
      </c>
      <c r="L66" s="17">
        <v>230</v>
      </c>
      <c r="M66" s="17">
        <v>282</v>
      </c>
      <c r="N66" s="17">
        <v>151</v>
      </c>
      <c r="O66" s="17">
        <v>250</v>
      </c>
      <c r="P66" s="17">
        <v>3950</v>
      </c>
      <c r="Q66" s="29">
        <v>1836</v>
      </c>
      <c r="R66" s="29">
        <v>624</v>
      </c>
      <c r="S66" s="29">
        <v>2062</v>
      </c>
      <c r="T66" s="29">
        <v>1784</v>
      </c>
      <c r="U66" s="29">
        <v>2106</v>
      </c>
      <c r="V66" s="29">
        <v>1058</v>
      </c>
      <c r="W66" s="29">
        <v>1924</v>
      </c>
      <c r="X66" s="29">
        <v>1868</v>
      </c>
      <c r="Y66" s="29">
        <v>735</v>
      </c>
      <c r="Z66" s="29">
        <v>753</v>
      </c>
      <c r="AA66" s="29">
        <v>1912</v>
      </c>
      <c r="AB66" s="29">
        <v>2308</v>
      </c>
      <c r="AC66" s="29"/>
      <c r="AD66" s="15">
        <f t="shared" si="2"/>
        <v>45411</v>
      </c>
    </row>
    <row r="67" spans="2:30" ht="15.75" x14ac:dyDescent="0.25">
      <c r="B67" s="6" t="s">
        <v>26</v>
      </c>
      <c r="C67" s="13">
        <v>94</v>
      </c>
      <c r="D67" s="13">
        <v>198</v>
      </c>
      <c r="E67" s="13">
        <v>56</v>
      </c>
      <c r="F67" s="13">
        <v>75</v>
      </c>
      <c r="G67" s="18">
        <v>93</v>
      </c>
      <c r="H67" s="18">
        <v>16479</v>
      </c>
      <c r="I67" s="19">
        <v>1272</v>
      </c>
      <c r="J67" s="17">
        <v>235</v>
      </c>
      <c r="K67" s="17">
        <v>166</v>
      </c>
      <c r="L67" s="17">
        <v>203</v>
      </c>
      <c r="M67" s="17">
        <v>280</v>
      </c>
      <c r="N67" s="17">
        <v>169</v>
      </c>
      <c r="O67" s="17">
        <v>169</v>
      </c>
      <c r="P67" s="17">
        <v>2720</v>
      </c>
      <c r="Q67" s="29">
        <v>1475</v>
      </c>
      <c r="R67" s="29">
        <v>482</v>
      </c>
      <c r="S67" s="29">
        <v>2279</v>
      </c>
      <c r="T67" s="29">
        <v>1799</v>
      </c>
      <c r="U67" s="29">
        <v>2183</v>
      </c>
      <c r="V67" s="29">
        <v>1166</v>
      </c>
      <c r="W67" s="29">
        <v>2044</v>
      </c>
      <c r="X67" s="29">
        <v>3084</v>
      </c>
      <c r="Y67" s="29">
        <v>1807</v>
      </c>
      <c r="Z67" s="29">
        <v>2662</v>
      </c>
      <c r="AA67" s="29">
        <v>606</v>
      </c>
      <c r="AB67" s="29">
        <v>1076</v>
      </c>
      <c r="AC67" s="29"/>
      <c r="AD67" s="15">
        <f t="shared" si="2"/>
        <v>42872</v>
      </c>
    </row>
    <row r="68" spans="2:30" ht="15.75" x14ac:dyDescent="0.25">
      <c r="B68" s="6" t="s">
        <v>27</v>
      </c>
      <c r="C68" s="13">
        <v>318</v>
      </c>
      <c r="D68" s="13">
        <v>272</v>
      </c>
      <c r="E68" s="13">
        <v>280</v>
      </c>
      <c r="F68" s="13">
        <v>203</v>
      </c>
      <c r="G68" s="18">
        <v>350</v>
      </c>
      <c r="H68" s="18">
        <v>24394</v>
      </c>
      <c r="I68" s="19">
        <v>2145</v>
      </c>
      <c r="J68" s="17">
        <v>181</v>
      </c>
      <c r="K68" s="17">
        <v>369</v>
      </c>
      <c r="L68" s="17">
        <v>544</v>
      </c>
      <c r="M68" s="17">
        <v>501</v>
      </c>
      <c r="N68" s="17">
        <v>313</v>
      </c>
      <c r="O68" s="17">
        <v>509</v>
      </c>
      <c r="P68" s="17">
        <v>4051</v>
      </c>
      <c r="Q68" s="29">
        <v>2409</v>
      </c>
      <c r="R68" s="29">
        <v>626</v>
      </c>
      <c r="S68" s="29">
        <v>2953</v>
      </c>
      <c r="T68" s="29">
        <v>1635</v>
      </c>
      <c r="U68" s="29">
        <v>2633</v>
      </c>
      <c r="V68" s="29">
        <v>2005</v>
      </c>
      <c r="W68" s="29">
        <v>989</v>
      </c>
      <c r="X68" s="29">
        <v>2593</v>
      </c>
      <c r="Y68" s="29">
        <v>1703</v>
      </c>
      <c r="Z68" s="29">
        <v>2650</v>
      </c>
      <c r="AA68" s="29">
        <v>2090</v>
      </c>
      <c r="AB68" s="29">
        <v>518</v>
      </c>
      <c r="AC68" s="29"/>
      <c r="AD68" s="15">
        <f t="shared" si="2"/>
        <v>57234</v>
      </c>
    </row>
    <row r="69" spans="2:30" ht="15.75" x14ac:dyDescent="0.25">
      <c r="B69" s="39" t="s">
        <v>28</v>
      </c>
      <c r="C69" s="13"/>
      <c r="D69" s="13"/>
      <c r="E69" s="13"/>
      <c r="F69" s="13"/>
      <c r="G69" s="18"/>
      <c r="H69" s="18"/>
      <c r="I69" s="19"/>
      <c r="J69" s="17"/>
      <c r="K69" s="17"/>
      <c r="L69" s="17"/>
      <c r="M69" s="17"/>
      <c r="N69" s="17"/>
      <c r="O69" s="17"/>
      <c r="P69" s="17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15">
        <f t="shared" si="2"/>
        <v>0</v>
      </c>
    </row>
    <row r="70" spans="2:30" ht="15.75" x14ac:dyDescent="0.25">
      <c r="B70" s="3" t="s">
        <v>30</v>
      </c>
      <c r="C70" s="41">
        <f>SUM(C43:C69)</f>
        <v>13779</v>
      </c>
      <c r="D70" s="41">
        <f t="shared" ref="D70:AD70" si="3">SUM(D43:D69)</f>
        <v>7934</v>
      </c>
      <c r="E70" s="41">
        <f t="shared" si="3"/>
        <v>6972</v>
      </c>
      <c r="F70" s="41">
        <f t="shared" si="3"/>
        <v>5250</v>
      </c>
      <c r="G70" s="41">
        <f t="shared" si="3"/>
        <v>7799</v>
      </c>
      <c r="H70" s="41">
        <f t="shared" si="3"/>
        <v>178551</v>
      </c>
      <c r="I70" s="42">
        <f t="shared" si="3"/>
        <v>25677</v>
      </c>
      <c r="J70" s="41">
        <f t="shared" si="3"/>
        <v>5525</v>
      </c>
      <c r="K70" s="41">
        <f t="shared" si="3"/>
        <v>6566</v>
      </c>
      <c r="L70" s="41">
        <f t="shared" si="3"/>
        <v>8344</v>
      </c>
      <c r="M70" s="41">
        <f t="shared" si="3"/>
        <v>8400</v>
      </c>
      <c r="N70" s="41">
        <f t="shared" si="3"/>
        <v>5565</v>
      </c>
      <c r="O70" s="41">
        <f t="shared" si="3"/>
        <v>8687</v>
      </c>
      <c r="P70" s="41">
        <f t="shared" si="3"/>
        <v>36258</v>
      </c>
      <c r="Q70" s="41">
        <f t="shared" si="3"/>
        <v>23058</v>
      </c>
      <c r="R70" s="41">
        <f t="shared" si="3"/>
        <v>9178</v>
      </c>
      <c r="S70" s="41">
        <f t="shared" si="3"/>
        <v>35900</v>
      </c>
      <c r="T70" s="41">
        <f t="shared" si="3"/>
        <v>21870</v>
      </c>
      <c r="U70" s="41">
        <f t="shared" si="3"/>
        <v>48300</v>
      </c>
      <c r="V70" s="41">
        <f t="shared" si="3"/>
        <v>33583</v>
      </c>
      <c r="W70" s="41">
        <f t="shared" si="3"/>
        <v>23393</v>
      </c>
      <c r="X70" s="41">
        <f t="shared" si="3"/>
        <v>49053</v>
      </c>
      <c r="Y70" s="41">
        <f t="shared" si="3"/>
        <v>28067</v>
      </c>
      <c r="Z70" s="41">
        <f t="shared" si="3"/>
        <v>42586</v>
      </c>
      <c r="AA70" s="41">
        <f t="shared" si="3"/>
        <v>41569</v>
      </c>
      <c r="AB70" s="41">
        <f t="shared" si="3"/>
        <v>50856</v>
      </c>
      <c r="AC70" s="41">
        <f t="shared" si="3"/>
        <v>0</v>
      </c>
      <c r="AD70" s="43">
        <f t="shared" si="3"/>
        <v>732720</v>
      </c>
    </row>
    <row r="71" spans="2:30" x14ac:dyDescent="0.25"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 spans="2:30" x14ac:dyDescent="0.25"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 spans="2:30" x14ac:dyDescent="0.25"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 spans="2:30" x14ac:dyDescent="0.25"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spans="2:30" x14ac:dyDescent="0.25">
      <c r="B75" t="s">
        <v>32</v>
      </c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 spans="2:30" x14ac:dyDescent="0.25"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spans="2:30" x14ac:dyDescent="0.25"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 spans="2:30" ht="16.5" thickBot="1" x14ac:dyDescent="0.3">
      <c r="B78" s="3" t="s">
        <v>1</v>
      </c>
      <c r="C78" s="4" t="s">
        <v>2</v>
      </c>
      <c r="D78" s="4" t="s">
        <v>3</v>
      </c>
      <c r="E78" s="4" t="s">
        <v>4</v>
      </c>
      <c r="F78" s="4" t="s">
        <v>5</v>
      </c>
      <c r="G78" s="4" t="s">
        <v>6</v>
      </c>
      <c r="H78" s="4" t="s">
        <v>7</v>
      </c>
      <c r="I78" s="5" t="s">
        <v>8</v>
      </c>
      <c r="J78" s="4" t="s">
        <v>9</v>
      </c>
      <c r="K78" s="4" t="s">
        <v>10</v>
      </c>
      <c r="L78" s="4" t="s">
        <v>11</v>
      </c>
      <c r="M78" s="4" t="s">
        <v>12</v>
      </c>
      <c r="N78" s="4" t="s">
        <v>13</v>
      </c>
      <c r="O78" s="4" t="s">
        <v>14</v>
      </c>
      <c r="P78" s="4" t="s">
        <v>15</v>
      </c>
      <c r="Q78" s="4" t="s">
        <v>16</v>
      </c>
      <c r="R78" s="4" t="s">
        <v>17</v>
      </c>
      <c r="S78" s="4" t="s">
        <v>18</v>
      </c>
      <c r="T78" s="6" t="s">
        <v>19</v>
      </c>
      <c r="U78" s="6" t="s">
        <v>20</v>
      </c>
      <c r="V78" s="6" t="s">
        <v>21</v>
      </c>
      <c r="W78" s="6" t="s">
        <v>22</v>
      </c>
      <c r="X78" s="6" t="s">
        <v>23</v>
      </c>
      <c r="Y78" s="6" t="s">
        <v>24</v>
      </c>
      <c r="Z78" s="6" t="s">
        <v>25</v>
      </c>
      <c r="AA78" s="6" t="s">
        <v>26</v>
      </c>
      <c r="AB78" s="6" t="s">
        <v>27</v>
      </c>
      <c r="AC78" s="6" t="s">
        <v>28</v>
      </c>
      <c r="AD78" s="3" t="s">
        <v>29</v>
      </c>
    </row>
    <row r="79" spans="2:30" ht="15.75" x14ac:dyDescent="0.25">
      <c r="B79" s="4" t="s">
        <v>2</v>
      </c>
      <c r="C79" s="7">
        <v>113</v>
      </c>
      <c r="D79" s="8">
        <v>161</v>
      </c>
      <c r="E79" s="8">
        <v>157</v>
      </c>
      <c r="F79" s="8">
        <v>199</v>
      </c>
      <c r="G79" s="9">
        <v>271</v>
      </c>
      <c r="H79" s="9">
        <v>3869</v>
      </c>
      <c r="I79" s="10">
        <v>752</v>
      </c>
      <c r="J79" s="9">
        <v>483</v>
      </c>
      <c r="K79" s="9">
        <v>562</v>
      </c>
      <c r="L79" s="9">
        <v>491</v>
      </c>
      <c r="M79" s="9">
        <v>449</v>
      </c>
      <c r="N79" s="9">
        <v>433</v>
      </c>
      <c r="O79" s="9">
        <v>822</v>
      </c>
      <c r="P79" s="9">
        <v>382</v>
      </c>
      <c r="Q79" s="9">
        <v>177</v>
      </c>
      <c r="R79" s="9">
        <v>105</v>
      </c>
      <c r="S79" s="9">
        <v>226</v>
      </c>
      <c r="T79" s="9">
        <v>279</v>
      </c>
      <c r="U79" s="9">
        <v>160</v>
      </c>
      <c r="V79" s="11">
        <v>142</v>
      </c>
      <c r="W79" s="12">
        <v>95</v>
      </c>
      <c r="X79" s="13">
        <v>189</v>
      </c>
      <c r="Y79" s="13">
        <v>103</v>
      </c>
      <c r="Z79" s="13">
        <v>75</v>
      </c>
      <c r="AA79" s="13">
        <v>129</v>
      </c>
      <c r="AB79" s="13">
        <v>276</v>
      </c>
      <c r="AC79" s="13"/>
      <c r="AD79" s="15">
        <f>SUM(C79:AC79)</f>
        <v>11100</v>
      </c>
    </row>
    <row r="80" spans="2:30" ht="15.75" x14ac:dyDescent="0.25">
      <c r="B80" s="4" t="s">
        <v>3</v>
      </c>
      <c r="C80" s="16">
        <v>346</v>
      </c>
      <c r="D80" s="17">
        <v>59</v>
      </c>
      <c r="E80" s="17">
        <v>32</v>
      </c>
      <c r="F80" s="17">
        <v>51</v>
      </c>
      <c r="G80" s="18">
        <v>187</v>
      </c>
      <c r="H80" s="18">
        <v>1559</v>
      </c>
      <c r="I80" s="19">
        <v>504</v>
      </c>
      <c r="J80" s="18">
        <v>255</v>
      </c>
      <c r="K80" s="18">
        <v>389</v>
      </c>
      <c r="L80" s="18">
        <v>445</v>
      </c>
      <c r="M80" s="18">
        <v>328</v>
      </c>
      <c r="N80" s="18">
        <v>295</v>
      </c>
      <c r="O80" s="20">
        <v>469</v>
      </c>
      <c r="P80" s="18">
        <v>337</v>
      </c>
      <c r="Q80" s="18">
        <v>245</v>
      </c>
      <c r="R80" s="18">
        <v>80</v>
      </c>
      <c r="S80" s="18">
        <v>280</v>
      </c>
      <c r="T80" s="18">
        <v>355</v>
      </c>
      <c r="U80" s="18">
        <v>349</v>
      </c>
      <c r="V80" s="21">
        <v>164</v>
      </c>
      <c r="W80" s="17">
        <v>184</v>
      </c>
      <c r="X80" s="18">
        <v>156</v>
      </c>
      <c r="Y80" s="18">
        <v>107</v>
      </c>
      <c r="Z80" s="18">
        <v>115</v>
      </c>
      <c r="AA80" s="18">
        <v>128</v>
      </c>
      <c r="AB80" s="18">
        <v>296</v>
      </c>
      <c r="AC80" s="18"/>
      <c r="AD80" s="15">
        <f>SUM(C80:AC80)</f>
        <v>7715</v>
      </c>
    </row>
    <row r="81" spans="2:30" ht="15.75" x14ac:dyDescent="0.25">
      <c r="B81" s="4" t="s">
        <v>4</v>
      </c>
      <c r="C81" s="16">
        <v>267</v>
      </c>
      <c r="D81" s="17">
        <v>28</v>
      </c>
      <c r="E81" s="17">
        <v>76</v>
      </c>
      <c r="F81" s="17">
        <v>55</v>
      </c>
      <c r="G81" s="18">
        <v>139</v>
      </c>
      <c r="H81" s="18">
        <v>1798</v>
      </c>
      <c r="I81" s="19">
        <v>530</v>
      </c>
      <c r="J81" s="18">
        <v>436</v>
      </c>
      <c r="K81" s="18">
        <v>246</v>
      </c>
      <c r="L81" s="18">
        <v>281</v>
      </c>
      <c r="M81" s="18">
        <v>366</v>
      </c>
      <c r="N81" s="18">
        <v>215</v>
      </c>
      <c r="O81" s="18">
        <v>453</v>
      </c>
      <c r="P81" s="18">
        <v>344</v>
      </c>
      <c r="Q81" s="18">
        <v>110</v>
      </c>
      <c r="R81" s="18">
        <v>48</v>
      </c>
      <c r="S81" s="18">
        <v>114</v>
      </c>
      <c r="T81" s="18">
        <v>189</v>
      </c>
      <c r="U81" s="18">
        <v>160</v>
      </c>
      <c r="V81" s="21">
        <v>102</v>
      </c>
      <c r="W81" s="17">
        <v>78</v>
      </c>
      <c r="X81" s="18">
        <v>79</v>
      </c>
      <c r="Y81" s="18">
        <v>67</v>
      </c>
      <c r="Z81" s="18">
        <v>41</v>
      </c>
      <c r="AA81" s="18">
        <v>112</v>
      </c>
      <c r="AB81" s="18">
        <v>251</v>
      </c>
      <c r="AC81" s="18"/>
      <c r="AD81" s="15">
        <f>SUM(C81:AC81)</f>
        <v>6585</v>
      </c>
    </row>
    <row r="82" spans="2:30" ht="15.75" x14ac:dyDescent="0.25">
      <c r="B82" s="4" t="s">
        <v>5</v>
      </c>
      <c r="C82" s="16">
        <v>351</v>
      </c>
      <c r="D82" s="17">
        <v>40</v>
      </c>
      <c r="E82" s="17">
        <v>36</v>
      </c>
      <c r="F82" s="17">
        <v>73</v>
      </c>
      <c r="G82" s="18">
        <v>29</v>
      </c>
      <c r="H82" s="18">
        <v>821</v>
      </c>
      <c r="I82" s="19">
        <v>329</v>
      </c>
      <c r="J82" s="18">
        <v>228</v>
      </c>
      <c r="K82" s="18">
        <v>206</v>
      </c>
      <c r="L82" s="18">
        <v>276</v>
      </c>
      <c r="M82" s="18">
        <v>407</v>
      </c>
      <c r="N82" s="18">
        <v>144</v>
      </c>
      <c r="O82" s="18">
        <v>375</v>
      </c>
      <c r="P82" s="18">
        <v>213</v>
      </c>
      <c r="Q82" s="18">
        <v>152</v>
      </c>
      <c r="R82" s="18">
        <v>61</v>
      </c>
      <c r="S82" s="18">
        <v>241</v>
      </c>
      <c r="T82" s="18">
        <v>115</v>
      </c>
      <c r="U82" s="18">
        <v>141</v>
      </c>
      <c r="V82" s="21">
        <v>109</v>
      </c>
      <c r="W82" s="17">
        <v>107</v>
      </c>
      <c r="X82" s="18">
        <v>187</v>
      </c>
      <c r="Y82" s="18">
        <v>92</v>
      </c>
      <c r="Z82" s="18">
        <v>93</v>
      </c>
      <c r="AA82" s="18">
        <v>83</v>
      </c>
      <c r="AB82" s="18">
        <v>236</v>
      </c>
      <c r="AC82" s="18"/>
      <c r="AD82" s="15">
        <f t="shared" ref="AD82:AD105" si="4">SUM(C82:AC82)</f>
        <v>5145</v>
      </c>
    </row>
    <row r="83" spans="2:30" ht="15.75" x14ac:dyDescent="0.25">
      <c r="B83" s="4" t="s">
        <v>6</v>
      </c>
      <c r="C83" s="16">
        <v>541</v>
      </c>
      <c r="D83" s="17">
        <v>148</v>
      </c>
      <c r="E83" s="17">
        <v>95</v>
      </c>
      <c r="F83" s="17">
        <v>29</v>
      </c>
      <c r="G83" s="18">
        <v>150</v>
      </c>
      <c r="H83" s="18">
        <v>1192</v>
      </c>
      <c r="I83" s="19">
        <v>510</v>
      </c>
      <c r="J83" s="18">
        <v>316</v>
      </c>
      <c r="K83" s="18">
        <v>314</v>
      </c>
      <c r="L83" s="18">
        <v>296</v>
      </c>
      <c r="M83" s="18">
        <v>493</v>
      </c>
      <c r="N83" s="18">
        <v>213</v>
      </c>
      <c r="O83" s="18">
        <v>632</v>
      </c>
      <c r="P83" s="18">
        <v>281</v>
      </c>
      <c r="Q83" s="18">
        <v>141</v>
      </c>
      <c r="R83" s="18">
        <v>63</v>
      </c>
      <c r="S83" s="18">
        <v>262</v>
      </c>
      <c r="T83" s="18">
        <v>241</v>
      </c>
      <c r="U83" s="18">
        <v>215</v>
      </c>
      <c r="V83" s="21">
        <v>91</v>
      </c>
      <c r="W83" s="17">
        <v>57</v>
      </c>
      <c r="X83" s="17">
        <v>155</v>
      </c>
      <c r="Y83" s="17">
        <v>73</v>
      </c>
      <c r="Z83" s="17">
        <v>127</v>
      </c>
      <c r="AA83" s="17">
        <v>152</v>
      </c>
      <c r="AB83" s="17">
        <v>279</v>
      </c>
      <c r="AC83" s="17"/>
      <c r="AD83" s="15">
        <f t="shared" si="4"/>
        <v>7066</v>
      </c>
    </row>
    <row r="84" spans="2:30" ht="15.75" x14ac:dyDescent="0.25">
      <c r="B84" s="4" t="s">
        <v>7</v>
      </c>
      <c r="C84" s="16">
        <v>5950</v>
      </c>
      <c r="D84" s="17">
        <v>1919</v>
      </c>
      <c r="E84" s="17">
        <v>2109</v>
      </c>
      <c r="F84" s="17">
        <v>926</v>
      </c>
      <c r="G84" s="18">
        <v>1602</v>
      </c>
      <c r="H84" s="18">
        <v>3113</v>
      </c>
      <c r="I84" s="19">
        <v>5265</v>
      </c>
      <c r="J84" s="18">
        <v>280</v>
      </c>
      <c r="K84" s="18">
        <v>688</v>
      </c>
      <c r="L84" s="18">
        <v>1931</v>
      </c>
      <c r="M84" s="18">
        <v>1243</v>
      </c>
      <c r="N84" s="18">
        <v>1030</v>
      </c>
      <c r="O84" s="18">
        <v>1319</v>
      </c>
      <c r="P84" s="18">
        <v>1752</v>
      </c>
      <c r="Q84" s="18">
        <v>2262</v>
      </c>
      <c r="R84" s="18">
        <v>2164</v>
      </c>
      <c r="S84" s="18">
        <v>9672</v>
      </c>
      <c r="T84" s="18">
        <v>5611</v>
      </c>
      <c r="U84" s="18">
        <v>16932</v>
      </c>
      <c r="V84" s="21">
        <v>12959</v>
      </c>
      <c r="W84" s="17">
        <v>7609</v>
      </c>
      <c r="X84" s="17">
        <v>20186</v>
      </c>
      <c r="Y84" s="17">
        <v>11268</v>
      </c>
      <c r="Z84" s="17">
        <v>17315</v>
      </c>
      <c r="AA84" s="17">
        <v>15416</v>
      </c>
      <c r="AB84" s="17">
        <v>19617</v>
      </c>
      <c r="AC84" s="17"/>
      <c r="AD84" s="15">
        <f t="shared" si="4"/>
        <v>170138</v>
      </c>
    </row>
    <row r="85" spans="2:30" ht="15.75" x14ac:dyDescent="0.25">
      <c r="B85" s="5" t="s">
        <v>8</v>
      </c>
      <c r="C85" s="24">
        <v>1367</v>
      </c>
      <c r="D85" s="25">
        <v>710</v>
      </c>
      <c r="E85" s="25">
        <v>744</v>
      </c>
      <c r="F85" s="25">
        <v>491</v>
      </c>
      <c r="G85" s="19">
        <v>589</v>
      </c>
      <c r="H85" s="19">
        <v>4144</v>
      </c>
      <c r="I85" s="19">
        <v>324</v>
      </c>
      <c r="J85" s="19">
        <v>154</v>
      </c>
      <c r="K85" s="19">
        <v>188</v>
      </c>
      <c r="L85" s="19">
        <v>483</v>
      </c>
      <c r="M85" s="19">
        <v>497</v>
      </c>
      <c r="N85" s="19">
        <v>462</v>
      </c>
      <c r="O85" s="19">
        <v>474</v>
      </c>
      <c r="P85" s="19">
        <v>366</v>
      </c>
      <c r="Q85" s="19">
        <v>526</v>
      </c>
      <c r="R85" s="19">
        <v>411</v>
      </c>
      <c r="S85" s="19">
        <v>1878</v>
      </c>
      <c r="T85" s="19">
        <v>1004</v>
      </c>
      <c r="U85" s="19">
        <v>2306</v>
      </c>
      <c r="V85" s="26">
        <v>1707</v>
      </c>
      <c r="W85" s="25">
        <v>818</v>
      </c>
      <c r="X85" s="25">
        <v>2123</v>
      </c>
      <c r="Y85" s="25">
        <v>1079</v>
      </c>
      <c r="Z85" s="25">
        <v>1805</v>
      </c>
      <c r="AA85" s="25">
        <v>1600</v>
      </c>
      <c r="AB85" s="25">
        <v>1868</v>
      </c>
      <c r="AC85" s="25"/>
      <c r="AD85" s="28">
        <f t="shared" si="4"/>
        <v>28118</v>
      </c>
    </row>
    <row r="86" spans="2:30" ht="15.75" x14ac:dyDescent="0.25">
      <c r="B86" s="4" t="s">
        <v>9</v>
      </c>
      <c r="C86" s="16">
        <v>588</v>
      </c>
      <c r="D86" s="17">
        <v>315</v>
      </c>
      <c r="E86" s="17">
        <v>333</v>
      </c>
      <c r="F86" s="17">
        <v>232</v>
      </c>
      <c r="G86" s="18">
        <v>235</v>
      </c>
      <c r="H86" s="18">
        <v>381</v>
      </c>
      <c r="I86" s="19">
        <v>157</v>
      </c>
      <c r="J86" s="18">
        <v>60</v>
      </c>
      <c r="K86" s="18">
        <v>67</v>
      </c>
      <c r="L86" s="18">
        <v>267</v>
      </c>
      <c r="M86" s="18">
        <v>248</v>
      </c>
      <c r="N86" s="18">
        <v>257</v>
      </c>
      <c r="O86" s="18">
        <v>374</v>
      </c>
      <c r="P86" s="18">
        <v>69</v>
      </c>
      <c r="Q86" s="18">
        <v>70</v>
      </c>
      <c r="R86" s="18">
        <v>66</v>
      </c>
      <c r="S86" s="18">
        <v>181</v>
      </c>
      <c r="T86" s="18">
        <v>83</v>
      </c>
      <c r="U86" s="18">
        <v>127</v>
      </c>
      <c r="V86" s="21">
        <v>105</v>
      </c>
      <c r="W86" s="17">
        <v>122</v>
      </c>
      <c r="X86" s="17">
        <v>205</v>
      </c>
      <c r="Y86" s="17">
        <v>102</v>
      </c>
      <c r="Z86" s="17">
        <v>248</v>
      </c>
      <c r="AA86" s="17">
        <v>124</v>
      </c>
      <c r="AB86" s="17">
        <v>201</v>
      </c>
      <c r="AC86" s="17"/>
      <c r="AD86" s="15">
        <f t="shared" si="4"/>
        <v>5217</v>
      </c>
    </row>
    <row r="87" spans="2:30" ht="15.75" x14ac:dyDescent="0.25">
      <c r="B87" s="4" t="s">
        <v>10</v>
      </c>
      <c r="C87" s="16">
        <v>627</v>
      </c>
      <c r="D87" s="17">
        <v>407</v>
      </c>
      <c r="E87" s="17">
        <v>258</v>
      </c>
      <c r="F87" s="17">
        <v>267</v>
      </c>
      <c r="G87" s="18">
        <v>382</v>
      </c>
      <c r="H87" s="18">
        <v>729</v>
      </c>
      <c r="I87" s="19">
        <v>200</v>
      </c>
      <c r="J87" s="18">
        <v>97</v>
      </c>
      <c r="K87" s="18">
        <v>72</v>
      </c>
      <c r="L87" s="18">
        <v>141</v>
      </c>
      <c r="M87" s="18">
        <v>317</v>
      </c>
      <c r="N87" s="18">
        <v>115</v>
      </c>
      <c r="O87" s="18">
        <v>267</v>
      </c>
      <c r="P87" s="18">
        <v>122</v>
      </c>
      <c r="Q87" s="18">
        <v>123</v>
      </c>
      <c r="R87" s="18">
        <v>151</v>
      </c>
      <c r="S87" s="18">
        <v>384</v>
      </c>
      <c r="T87" s="18">
        <v>193</v>
      </c>
      <c r="U87" s="18">
        <v>263</v>
      </c>
      <c r="V87" s="21">
        <v>261</v>
      </c>
      <c r="W87" s="17">
        <v>130</v>
      </c>
      <c r="X87" s="17">
        <v>142</v>
      </c>
      <c r="Y87" s="17">
        <v>107</v>
      </c>
      <c r="Z87" s="17">
        <v>182</v>
      </c>
      <c r="AA87" s="17">
        <v>197</v>
      </c>
      <c r="AB87" s="17">
        <v>354</v>
      </c>
      <c r="AC87" s="17"/>
      <c r="AD87" s="15">
        <f t="shared" si="4"/>
        <v>6488</v>
      </c>
    </row>
    <row r="88" spans="2:30" ht="15.75" x14ac:dyDescent="0.25">
      <c r="B88" s="4" t="s">
        <v>11</v>
      </c>
      <c r="C88" s="16">
        <v>610</v>
      </c>
      <c r="D88" s="17">
        <v>469</v>
      </c>
      <c r="E88" s="17">
        <v>316</v>
      </c>
      <c r="F88" s="17">
        <v>277</v>
      </c>
      <c r="G88" s="20">
        <v>378</v>
      </c>
      <c r="H88" s="18">
        <v>2273</v>
      </c>
      <c r="I88" s="19">
        <v>433</v>
      </c>
      <c r="J88" s="18">
        <v>224</v>
      </c>
      <c r="K88" s="18">
        <v>159</v>
      </c>
      <c r="L88" s="18">
        <v>97</v>
      </c>
      <c r="M88" s="18">
        <v>83</v>
      </c>
      <c r="N88" s="18">
        <v>90</v>
      </c>
      <c r="O88" s="18">
        <v>167</v>
      </c>
      <c r="P88" s="18">
        <v>220</v>
      </c>
      <c r="Q88" s="18">
        <v>115</v>
      </c>
      <c r="R88" s="18">
        <v>119</v>
      </c>
      <c r="S88" s="18">
        <v>283</v>
      </c>
      <c r="T88" s="18">
        <v>339</v>
      </c>
      <c r="U88" s="18">
        <v>416</v>
      </c>
      <c r="V88" s="21">
        <v>272</v>
      </c>
      <c r="W88" s="17">
        <v>222</v>
      </c>
      <c r="X88" s="17">
        <v>235</v>
      </c>
      <c r="Y88" s="17">
        <v>112</v>
      </c>
      <c r="Z88" s="17">
        <v>196</v>
      </c>
      <c r="AA88" s="17">
        <v>282</v>
      </c>
      <c r="AB88" s="17">
        <v>534</v>
      </c>
      <c r="AC88" s="17"/>
      <c r="AD88" s="15">
        <f t="shared" si="4"/>
        <v>8921</v>
      </c>
    </row>
    <row r="89" spans="2:30" ht="15.75" x14ac:dyDescent="0.25">
      <c r="B89" s="4" t="s">
        <v>12</v>
      </c>
      <c r="C89" s="16">
        <v>685</v>
      </c>
      <c r="D89" s="17">
        <v>343</v>
      </c>
      <c r="E89" s="17">
        <v>398</v>
      </c>
      <c r="F89" s="17">
        <v>476</v>
      </c>
      <c r="G89" s="18">
        <v>419</v>
      </c>
      <c r="H89" s="18">
        <v>1694</v>
      </c>
      <c r="I89" s="19">
        <v>469</v>
      </c>
      <c r="J89" s="18">
        <v>320</v>
      </c>
      <c r="K89" s="18">
        <v>232</v>
      </c>
      <c r="L89" s="18">
        <v>66</v>
      </c>
      <c r="M89" s="18">
        <v>70</v>
      </c>
      <c r="N89" s="18">
        <v>87</v>
      </c>
      <c r="O89" s="18">
        <v>247</v>
      </c>
      <c r="P89" s="18">
        <v>341</v>
      </c>
      <c r="Q89" s="18">
        <v>208</v>
      </c>
      <c r="R89" s="18">
        <v>130</v>
      </c>
      <c r="S89" s="18">
        <v>304</v>
      </c>
      <c r="T89" s="18">
        <v>176</v>
      </c>
      <c r="U89" s="18">
        <v>396</v>
      </c>
      <c r="V89" s="21">
        <v>256</v>
      </c>
      <c r="W89" s="17">
        <v>158</v>
      </c>
      <c r="X89" s="17">
        <v>229</v>
      </c>
      <c r="Y89" s="17">
        <v>123</v>
      </c>
      <c r="Z89" s="17">
        <v>213</v>
      </c>
      <c r="AA89" s="17">
        <v>170</v>
      </c>
      <c r="AB89" s="17">
        <v>391</v>
      </c>
      <c r="AC89" s="17"/>
      <c r="AD89" s="15">
        <f t="shared" si="4"/>
        <v>8601</v>
      </c>
    </row>
    <row r="90" spans="2:30" ht="15.75" x14ac:dyDescent="0.25">
      <c r="B90" s="4" t="s">
        <v>13</v>
      </c>
      <c r="C90" s="16">
        <v>593</v>
      </c>
      <c r="D90" s="17">
        <v>252</v>
      </c>
      <c r="E90" s="17">
        <v>228</v>
      </c>
      <c r="F90" s="17">
        <v>157</v>
      </c>
      <c r="G90" s="18">
        <v>200</v>
      </c>
      <c r="H90" s="18">
        <v>1207</v>
      </c>
      <c r="I90" s="19">
        <v>413</v>
      </c>
      <c r="J90" s="18">
        <v>253</v>
      </c>
      <c r="K90" s="18">
        <v>133</v>
      </c>
      <c r="L90" s="18">
        <v>91</v>
      </c>
      <c r="M90" s="18">
        <v>88</v>
      </c>
      <c r="N90" s="18">
        <v>40</v>
      </c>
      <c r="O90" s="18">
        <v>52</v>
      </c>
      <c r="P90" s="18">
        <v>199</v>
      </c>
      <c r="Q90" s="29">
        <v>120</v>
      </c>
      <c r="R90" s="29">
        <v>120</v>
      </c>
      <c r="S90" s="29">
        <v>295</v>
      </c>
      <c r="T90" s="29">
        <v>149</v>
      </c>
      <c r="U90" s="29">
        <v>179</v>
      </c>
      <c r="V90" s="30">
        <v>97</v>
      </c>
      <c r="W90" s="31">
        <v>124</v>
      </c>
      <c r="X90" s="29">
        <v>226</v>
      </c>
      <c r="Y90" s="29">
        <v>126</v>
      </c>
      <c r="Z90" s="29">
        <v>150</v>
      </c>
      <c r="AA90" s="29">
        <v>146</v>
      </c>
      <c r="AB90" s="29">
        <v>309</v>
      </c>
      <c r="AC90" s="29"/>
      <c r="AD90" s="15">
        <f t="shared" si="4"/>
        <v>5947</v>
      </c>
    </row>
    <row r="91" spans="2:30" ht="15.75" x14ac:dyDescent="0.25">
      <c r="B91" s="4" t="s">
        <v>14</v>
      </c>
      <c r="C91" s="16">
        <v>872</v>
      </c>
      <c r="D91" s="17">
        <v>573</v>
      </c>
      <c r="E91" s="17">
        <v>448</v>
      </c>
      <c r="F91" s="17">
        <v>416</v>
      </c>
      <c r="G91" s="18">
        <v>589</v>
      </c>
      <c r="H91" s="18">
        <v>1609</v>
      </c>
      <c r="I91" s="19">
        <v>559</v>
      </c>
      <c r="J91" s="18">
        <v>385</v>
      </c>
      <c r="K91" s="18">
        <v>323</v>
      </c>
      <c r="L91" s="18">
        <v>213</v>
      </c>
      <c r="M91" s="18">
        <v>280</v>
      </c>
      <c r="N91" s="18">
        <v>44</v>
      </c>
      <c r="O91" s="18">
        <v>118</v>
      </c>
      <c r="P91" s="18">
        <v>260</v>
      </c>
      <c r="Q91" s="29">
        <v>265</v>
      </c>
      <c r="R91" s="29">
        <v>90</v>
      </c>
      <c r="S91" s="29">
        <v>401</v>
      </c>
      <c r="T91" s="29">
        <v>257</v>
      </c>
      <c r="U91" s="29">
        <v>426</v>
      </c>
      <c r="V91" s="30">
        <v>385</v>
      </c>
      <c r="W91" s="31">
        <v>150</v>
      </c>
      <c r="X91" s="29">
        <v>332</v>
      </c>
      <c r="Y91" s="29">
        <v>151</v>
      </c>
      <c r="Z91" s="29">
        <v>224</v>
      </c>
      <c r="AA91" s="29">
        <v>220</v>
      </c>
      <c r="AB91" s="29">
        <v>430</v>
      </c>
      <c r="AC91" s="29"/>
      <c r="AD91" s="15">
        <f t="shared" si="4"/>
        <v>10020</v>
      </c>
    </row>
    <row r="92" spans="2:30" ht="15.75" x14ac:dyDescent="0.25">
      <c r="B92" s="4" t="s">
        <v>15</v>
      </c>
      <c r="C92" s="16">
        <v>397</v>
      </c>
      <c r="D92" s="17">
        <v>241</v>
      </c>
      <c r="E92" s="17">
        <v>276</v>
      </c>
      <c r="F92" s="17">
        <v>243</v>
      </c>
      <c r="G92" s="18">
        <v>287</v>
      </c>
      <c r="H92" s="18">
        <v>1536</v>
      </c>
      <c r="I92" s="19">
        <v>276</v>
      </c>
      <c r="J92" s="18">
        <v>44</v>
      </c>
      <c r="K92" s="18">
        <v>97</v>
      </c>
      <c r="L92" s="18">
        <v>140</v>
      </c>
      <c r="M92" s="18">
        <v>224</v>
      </c>
      <c r="N92" s="18">
        <v>144</v>
      </c>
      <c r="O92" s="18">
        <v>195</v>
      </c>
      <c r="P92" s="18">
        <v>227</v>
      </c>
      <c r="Q92" s="29">
        <v>321</v>
      </c>
      <c r="R92" s="29">
        <v>455</v>
      </c>
      <c r="S92" s="29">
        <v>2067</v>
      </c>
      <c r="T92" s="29">
        <v>723</v>
      </c>
      <c r="U92" s="29">
        <v>3095</v>
      </c>
      <c r="V92" s="30">
        <v>2125</v>
      </c>
      <c r="W92" s="31">
        <v>1183</v>
      </c>
      <c r="X92" s="29">
        <v>2340</v>
      </c>
      <c r="Y92" s="29">
        <v>1314</v>
      </c>
      <c r="Z92" s="29">
        <v>2128</v>
      </c>
      <c r="AA92" s="29">
        <v>1662</v>
      </c>
      <c r="AB92" s="29">
        <v>2423</v>
      </c>
      <c r="AC92" s="29"/>
      <c r="AD92" s="15">
        <f t="shared" si="4"/>
        <v>24163</v>
      </c>
    </row>
    <row r="93" spans="2:30" ht="15.75" x14ac:dyDescent="0.25">
      <c r="B93" s="4" t="s">
        <v>16</v>
      </c>
      <c r="C93" s="16">
        <v>164</v>
      </c>
      <c r="D93" s="17">
        <v>277</v>
      </c>
      <c r="E93" s="17">
        <v>121</v>
      </c>
      <c r="F93" s="17">
        <v>179</v>
      </c>
      <c r="G93" s="18">
        <v>189</v>
      </c>
      <c r="H93" s="18">
        <v>1942</v>
      </c>
      <c r="I93" s="19">
        <v>295</v>
      </c>
      <c r="J93" s="18">
        <v>52</v>
      </c>
      <c r="K93" s="18">
        <v>97</v>
      </c>
      <c r="L93" s="18">
        <v>115</v>
      </c>
      <c r="M93" s="18">
        <v>134</v>
      </c>
      <c r="N93" s="18">
        <v>100</v>
      </c>
      <c r="O93" s="18">
        <v>190</v>
      </c>
      <c r="P93" s="18">
        <v>298</v>
      </c>
      <c r="Q93" s="29">
        <v>271</v>
      </c>
      <c r="R93" s="29">
        <v>561</v>
      </c>
      <c r="S93" s="29">
        <v>1630</v>
      </c>
      <c r="T93" s="29">
        <v>952</v>
      </c>
      <c r="U93" s="29">
        <v>2334</v>
      </c>
      <c r="V93" s="30">
        <v>1532</v>
      </c>
      <c r="W93" s="31">
        <v>941</v>
      </c>
      <c r="X93" s="29">
        <v>1613</v>
      </c>
      <c r="Y93" s="29">
        <v>834</v>
      </c>
      <c r="Z93" s="29">
        <v>1264</v>
      </c>
      <c r="AA93" s="29">
        <v>1150</v>
      </c>
      <c r="AB93" s="29">
        <v>2247</v>
      </c>
      <c r="AC93" s="29"/>
      <c r="AD93" s="15">
        <f t="shared" si="4"/>
        <v>19482</v>
      </c>
    </row>
    <row r="94" spans="2:30" ht="15.75" x14ac:dyDescent="0.25">
      <c r="B94" s="4" t="s">
        <v>17</v>
      </c>
      <c r="C94" s="16">
        <v>141</v>
      </c>
      <c r="D94" s="17">
        <v>103</v>
      </c>
      <c r="E94" s="17">
        <v>48</v>
      </c>
      <c r="F94" s="17">
        <v>53</v>
      </c>
      <c r="G94" s="18">
        <v>63</v>
      </c>
      <c r="H94" s="18">
        <v>1921</v>
      </c>
      <c r="I94" s="19">
        <v>205</v>
      </c>
      <c r="J94" s="18">
        <v>22</v>
      </c>
      <c r="K94" s="18">
        <v>67</v>
      </c>
      <c r="L94" s="18">
        <v>70</v>
      </c>
      <c r="M94" s="18">
        <v>103</v>
      </c>
      <c r="N94" s="18">
        <v>101</v>
      </c>
      <c r="O94" s="18">
        <v>68</v>
      </c>
      <c r="P94" s="18">
        <v>502</v>
      </c>
      <c r="Q94" s="29">
        <v>522</v>
      </c>
      <c r="R94" s="29">
        <v>163</v>
      </c>
      <c r="S94" s="29">
        <v>150</v>
      </c>
      <c r="T94" s="29">
        <v>231</v>
      </c>
      <c r="U94" s="29">
        <v>882</v>
      </c>
      <c r="V94" s="30">
        <v>384</v>
      </c>
      <c r="W94" s="31">
        <v>273</v>
      </c>
      <c r="X94" s="29">
        <v>520</v>
      </c>
      <c r="Y94" s="29">
        <v>306</v>
      </c>
      <c r="Z94" s="29">
        <v>486</v>
      </c>
      <c r="AA94" s="29">
        <v>474</v>
      </c>
      <c r="AB94" s="29">
        <v>564</v>
      </c>
      <c r="AC94" s="29"/>
      <c r="AD94" s="15">
        <f t="shared" si="4"/>
        <v>8422</v>
      </c>
    </row>
    <row r="95" spans="2:30" ht="16.5" thickBot="1" x14ac:dyDescent="0.3">
      <c r="B95" s="4" t="s">
        <v>18</v>
      </c>
      <c r="C95" s="32">
        <v>255</v>
      </c>
      <c r="D95" s="33">
        <v>339</v>
      </c>
      <c r="E95" s="33">
        <v>129</v>
      </c>
      <c r="F95" s="33">
        <v>217</v>
      </c>
      <c r="G95" s="34">
        <v>305</v>
      </c>
      <c r="H95" s="34">
        <v>8986</v>
      </c>
      <c r="I95" s="35">
        <v>1375</v>
      </c>
      <c r="J95" s="34">
        <v>293</v>
      </c>
      <c r="K95" s="34">
        <v>441</v>
      </c>
      <c r="L95" s="34">
        <v>306</v>
      </c>
      <c r="M95" s="34">
        <v>302</v>
      </c>
      <c r="N95" s="34">
        <v>267</v>
      </c>
      <c r="O95" s="34">
        <v>302</v>
      </c>
      <c r="P95" s="34">
        <v>2198</v>
      </c>
      <c r="Q95" s="36">
        <v>1548</v>
      </c>
      <c r="R95" s="36">
        <v>117</v>
      </c>
      <c r="S95" s="36">
        <v>481</v>
      </c>
      <c r="T95" s="36">
        <v>968</v>
      </c>
      <c r="U95" s="36">
        <v>3111</v>
      </c>
      <c r="V95" s="37">
        <v>1794</v>
      </c>
      <c r="W95" s="31">
        <v>1218</v>
      </c>
      <c r="X95" s="29">
        <v>2133</v>
      </c>
      <c r="Y95" s="29">
        <v>1038</v>
      </c>
      <c r="Z95" s="29">
        <v>2066</v>
      </c>
      <c r="AA95" s="29">
        <v>2258</v>
      </c>
      <c r="AB95" s="29">
        <v>3282</v>
      </c>
      <c r="AC95" s="29"/>
      <c r="AD95" s="15">
        <f t="shared" si="4"/>
        <v>35729</v>
      </c>
    </row>
    <row r="96" spans="2:30" ht="15.75" x14ac:dyDescent="0.25">
      <c r="B96" s="6" t="s">
        <v>19</v>
      </c>
      <c r="C96" s="12">
        <v>282</v>
      </c>
      <c r="D96" s="12">
        <v>274</v>
      </c>
      <c r="E96" s="12">
        <v>141</v>
      </c>
      <c r="F96" s="12">
        <v>158</v>
      </c>
      <c r="G96" s="17">
        <v>202</v>
      </c>
      <c r="H96" s="17">
        <v>6037</v>
      </c>
      <c r="I96" s="25">
        <v>1282</v>
      </c>
      <c r="J96" s="17">
        <v>76</v>
      </c>
      <c r="K96" s="17">
        <v>164</v>
      </c>
      <c r="L96" s="17">
        <v>237</v>
      </c>
      <c r="M96" s="17">
        <v>149</v>
      </c>
      <c r="N96" s="17">
        <v>181</v>
      </c>
      <c r="O96" s="17">
        <v>270</v>
      </c>
      <c r="P96" s="17">
        <v>905</v>
      </c>
      <c r="Q96" s="31">
        <v>954</v>
      </c>
      <c r="R96" s="31">
        <v>208</v>
      </c>
      <c r="S96" s="31">
        <v>809</v>
      </c>
      <c r="T96" s="31">
        <v>217</v>
      </c>
      <c r="U96" s="31">
        <v>1335</v>
      </c>
      <c r="V96" s="31">
        <v>869</v>
      </c>
      <c r="W96" s="29">
        <v>544</v>
      </c>
      <c r="X96" s="29">
        <v>1655</v>
      </c>
      <c r="Y96" s="29">
        <v>1018</v>
      </c>
      <c r="Z96" s="29">
        <v>2038</v>
      </c>
      <c r="AA96" s="29">
        <v>2272</v>
      </c>
      <c r="AB96" s="29">
        <v>1636</v>
      </c>
      <c r="AC96" s="29"/>
      <c r="AD96" s="15">
        <f t="shared" si="4"/>
        <v>23913</v>
      </c>
    </row>
    <row r="97" spans="2:34" ht="15.75" x14ac:dyDescent="0.25">
      <c r="B97" s="6" t="s">
        <v>20</v>
      </c>
      <c r="C97" s="13">
        <v>202</v>
      </c>
      <c r="D97" s="13">
        <v>320</v>
      </c>
      <c r="E97" s="13">
        <v>154</v>
      </c>
      <c r="F97" s="13">
        <v>129</v>
      </c>
      <c r="G97" s="18">
        <v>276</v>
      </c>
      <c r="H97" s="18">
        <v>16187</v>
      </c>
      <c r="I97" s="19">
        <v>1876</v>
      </c>
      <c r="J97" s="17">
        <v>163</v>
      </c>
      <c r="K97" s="17">
        <v>245</v>
      </c>
      <c r="L97" s="17">
        <v>337</v>
      </c>
      <c r="M97" s="17">
        <v>470</v>
      </c>
      <c r="N97" s="17">
        <v>181</v>
      </c>
      <c r="O97" s="17">
        <v>396</v>
      </c>
      <c r="P97" s="17">
        <v>3514</v>
      </c>
      <c r="Q97" s="29">
        <v>2369</v>
      </c>
      <c r="R97" s="29">
        <v>721</v>
      </c>
      <c r="S97" s="29">
        <v>2542</v>
      </c>
      <c r="T97" s="29">
        <v>997</v>
      </c>
      <c r="U97" s="29">
        <v>500</v>
      </c>
      <c r="V97" s="29">
        <v>1060</v>
      </c>
      <c r="W97" s="29">
        <v>830</v>
      </c>
      <c r="X97" s="29">
        <v>2156</v>
      </c>
      <c r="Y97" s="29">
        <v>1441</v>
      </c>
      <c r="Z97" s="29">
        <v>1858</v>
      </c>
      <c r="AA97" s="29">
        <v>2147</v>
      </c>
      <c r="AB97" s="29">
        <v>2527</v>
      </c>
      <c r="AC97" s="29"/>
      <c r="AD97" s="15">
        <f t="shared" si="4"/>
        <v>43598</v>
      </c>
    </row>
    <row r="98" spans="2:34" ht="15.75" x14ac:dyDescent="0.25">
      <c r="B98" s="6" t="s">
        <v>21</v>
      </c>
      <c r="C98" s="13">
        <v>176</v>
      </c>
      <c r="D98" s="13">
        <v>182</v>
      </c>
      <c r="E98" s="13">
        <v>129</v>
      </c>
      <c r="F98" s="13">
        <v>102</v>
      </c>
      <c r="G98" s="18">
        <v>101</v>
      </c>
      <c r="H98" s="18">
        <v>11896</v>
      </c>
      <c r="I98" s="19">
        <v>1323</v>
      </c>
      <c r="J98" s="17">
        <v>189</v>
      </c>
      <c r="K98" s="17">
        <v>297</v>
      </c>
      <c r="L98" s="17">
        <v>237</v>
      </c>
      <c r="M98" s="17">
        <v>289</v>
      </c>
      <c r="N98" s="17">
        <v>105</v>
      </c>
      <c r="O98" s="17">
        <v>417</v>
      </c>
      <c r="P98" s="17">
        <v>2717</v>
      </c>
      <c r="Q98" s="29">
        <v>1555</v>
      </c>
      <c r="R98" s="29">
        <v>393</v>
      </c>
      <c r="S98" s="29">
        <v>1535</v>
      </c>
      <c r="T98" s="29">
        <v>809</v>
      </c>
      <c r="U98" s="29">
        <v>1082</v>
      </c>
      <c r="V98" s="29">
        <v>463</v>
      </c>
      <c r="W98" s="29">
        <v>520</v>
      </c>
      <c r="X98" s="29">
        <v>1190</v>
      </c>
      <c r="Y98" s="29">
        <v>812</v>
      </c>
      <c r="Z98" s="29">
        <v>1032</v>
      </c>
      <c r="AA98" s="29">
        <v>1202</v>
      </c>
      <c r="AB98" s="29">
        <v>2081</v>
      </c>
      <c r="AC98" s="29"/>
      <c r="AD98" s="15">
        <f t="shared" si="4"/>
        <v>30834</v>
      </c>
    </row>
    <row r="99" spans="2:34" ht="15.75" x14ac:dyDescent="0.25">
      <c r="B99" s="6" t="s">
        <v>22</v>
      </c>
      <c r="C99" s="13">
        <v>97</v>
      </c>
      <c r="D99" s="13">
        <v>135</v>
      </c>
      <c r="E99" s="13">
        <v>71</v>
      </c>
      <c r="F99" s="13">
        <v>120</v>
      </c>
      <c r="G99" s="18">
        <v>61</v>
      </c>
      <c r="H99" s="18">
        <v>7447</v>
      </c>
      <c r="I99" s="19">
        <v>743</v>
      </c>
      <c r="J99" s="17">
        <v>108</v>
      </c>
      <c r="K99" s="17">
        <v>79</v>
      </c>
      <c r="L99" s="17">
        <v>220</v>
      </c>
      <c r="M99" s="17">
        <v>178</v>
      </c>
      <c r="N99" s="17">
        <v>129</v>
      </c>
      <c r="O99" s="17">
        <v>175</v>
      </c>
      <c r="P99" s="17">
        <v>1448</v>
      </c>
      <c r="Q99" s="29">
        <v>997</v>
      </c>
      <c r="R99" s="29">
        <v>298</v>
      </c>
      <c r="S99" s="29">
        <v>1072</v>
      </c>
      <c r="T99" s="29">
        <v>540</v>
      </c>
      <c r="U99" s="29">
        <v>714</v>
      </c>
      <c r="V99" s="29">
        <v>501</v>
      </c>
      <c r="W99" s="29">
        <v>260</v>
      </c>
      <c r="X99" s="29">
        <v>776</v>
      </c>
      <c r="Y99" s="29">
        <v>663</v>
      </c>
      <c r="Z99" s="29">
        <v>1277</v>
      </c>
      <c r="AA99" s="29">
        <v>1342</v>
      </c>
      <c r="AB99" s="29">
        <v>867</v>
      </c>
      <c r="AC99" s="29"/>
      <c r="AD99" s="15">
        <f t="shared" si="4"/>
        <v>20318</v>
      </c>
    </row>
    <row r="100" spans="2:34" ht="15.75" x14ac:dyDescent="0.25">
      <c r="B100" s="6" t="s">
        <v>23</v>
      </c>
      <c r="C100" s="13">
        <v>136</v>
      </c>
      <c r="D100" s="13">
        <v>140</v>
      </c>
      <c r="E100" s="13">
        <v>68</v>
      </c>
      <c r="F100" s="13">
        <v>184</v>
      </c>
      <c r="G100" s="18">
        <v>203</v>
      </c>
      <c r="H100" s="18">
        <v>19632</v>
      </c>
      <c r="I100" s="19">
        <v>1678</v>
      </c>
      <c r="J100" s="17">
        <v>274</v>
      </c>
      <c r="K100" s="17">
        <v>210</v>
      </c>
      <c r="L100" s="17">
        <v>259</v>
      </c>
      <c r="M100" s="17">
        <v>285</v>
      </c>
      <c r="N100" s="17">
        <v>270</v>
      </c>
      <c r="O100" s="17">
        <v>302</v>
      </c>
      <c r="P100" s="17">
        <v>3513</v>
      </c>
      <c r="Q100" s="29">
        <v>1665</v>
      </c>
      <c r="R100" s="29">
        <v>515</v>
      </c>
      <c r="S100" s="29">
        <v>1894</v>
      </c>
      <c r="T100" s="29">
        <v>1552</v>
      </c>
      <c r="U100" s="29">
        <v>2127</v>
      </c>
      <c r="V100" s="29">
        <v>1134</v>
      </c>
      <c r="W100" s="29">
        <v>1153</v>
      </c>
      <c r="X100" s="29">
        <v>819</v>
      </c>
      <c r="Y100" s="29">
        <v>338</v>
      </c>
      <c r="Z100" s="29">
        <v>1552</v>
      </c>
      <c r="AA100" s="29">
        <v>2228</v>
      </c>
      <c r="AB100" s="29">
        <v>2684</v>
      </c>
      <c r="AC100" s="29"/>
      <c r="AD100" s="15">
        <f t="shared" si="4"/>
        <v>44815</v>
      </c>
    </row>
    <row r="101" spans="2:34" ht="15.75" x14ac:dyDescent="0.25">
      <c r="B101" s="6" t="s">
        <v>24</v>
      </c>
      <c r="C101" s="13">
        <v>107</v>
      </c>
      <c r="D101" s="13">
        <v>105</v>
      </c>
      <c r="E101" s="13">
        <v>66</v>
      </c>
      <c r="F101" s="13">
        <v>78</v>
      </c>
      <c r="G101" s="18">
        <v>77</v>
      </c>
      <c r="H101" s="18">
        <v>12018</v>
      </c>
      <c r="I101" s="19">
        <v>1030</v>
      </c>
      <c r="J101" s="17">
        <v>117</v>
      </c>
      <c r="K101" s="17">
        <v>118</v>
      </c>
      <c r="L101" s="17">
        <v>122</v>
      </c>
      <c r="M101" s="17">
        <v>137</v>
      </c>
      <c r="N101" s="17">
        <v>93</v>
      </c>
      <c r="O101" s="17">
        <v>174</v>
      </c>
      <c r="P101" s="17">
        <v>2341</v>
      </c>
      <c r="Q101" s="29">
        <v>1031</v>
      </c>
      <c r="R101" s="29">
        <v>282</v>
      </c>
      <c r="S101" s="29">
        <v>984</v>
      </c>
      <c r="T101" s="29">
        <v>1150</v>
      </c>
      <c r="U101" s="29">
        <v>1472</v>
      </c>
      <c r="V101" s="29">
        <v>740</v>
      </c>
      <c r="W101" s="29">
        <v>877</v>
      </c>
      <c r="X101" s="29">
        <v>354</v>
      </c>
      <c r="Y101" s="29">
        <v>379</v>
      </c>
      <c r="Z101" s="29">
        <v>545</v>
      </c>
      <c r="AA101" s="29">
        <v>1495</v>
      </c>
      <c r="AB101" s="29">
        <v>1544</v>
      </c>
      <c r="AC101" s="29"/>
      <c r="AD101" s="15">
        <f t="shared" si="4"/>
        <v>27436</v>
      </c>
    </row>
    <row r="102" spans="2:34" ht="15.75" x14ac:dyDescent="0.25">
      <c r="B102" s="6" t="s">
        <v>25</v>
      </c>
      <c r="C102" s="13">
        <v>82</v>
      </c>
      <c r="D102" s="13">
        <v>111</v>
      </c>
      <c r="E102" s="13">
        <v>46</v>
      </c>
      <c r="F102" s="13">
        <v>77</v>
      </c>
      <c r="G102" s="18">
        <v>188</v>
      </c>
      <c r="H102" s="18">
        <v>18363</v>
      </c>
      <c r="I102" s="19">
        <v>1554</v>
      </c>
      <c r="J102" s="17">
        <v>283</v>
      </c>
      <c r="K102" s="17">
        <v>181</v>
      </c>
      <c r="L102" s="17">
        <v>218</v>
      </c>
      <c r="M102" s="17">
        <v>297</v>
      </c>
      <c r="N102" s="17">
        <v>152</v>
      </c>
      <c r="O102" s="17">
        <v>258</v>
      </c>
      <c r="P102" s="17">
        <v>3299</v>
      </c>
      <c r="Q102" s="29">
        <v>1476</v>
      </c>
      <c r="R102" s="29">
        <v>525</v>
      </c>
      <c r="S102" s="29">
        <v>1897</v>
      </c>
      <c r="T102" s="29">
        <v>1953</v>
      </c>
      <c r="U102" s="29">
        <v>1964</v>
      </c>
      <c r="V102" s="29">
        <v>970</v>
      </c>
      <c r="W102" s="29">
        <v>1839</v>
      </c>
      <c r="X102" s="29">
        <v>1740</v>
      </c>
      <c r="Y102" s="29">
        <v>665</v>
      </c>
      <c r="Z102" s="29">
        <v>764</v>
      </c>
      <c r="AA102" s="29">
        <v>1890</v>
      </c>
      <c r="AB102" s="29">
        <v>2171</v>
      </c>
      <c r="AC102" s="29"/>
      <c r="AD102" s="15">
        <f t="shared" si="4"/>
        <v>42963</v>
      </c>
    </row>
    <row r="103" spans="2:34" ht="15.75" x14ac:dyDescent="0.25">
      <c r="B103" s="6" t="s">
        <v>26</v>
      </c>
      <c r="C103" s="13">
        <v>122</v>
      </c>
      <c r="D103" s="13">
        <v>172</v>
      </c>
      <c r="E103" s="13">
        <v>82</v>
      </c>
      <c r="F103" s="13">
        <v>86</v>
      </c>
      <c r="G103" s="18">
        <v>87</v>
      </c>
      <c r="H103" s="18">
        <v>15471</v>
      </c>
      <c r="I103" s="19">
        <v>1346</v>
      </c>
      <c r="J103" s="17">
        <v>208</v>
      </c>
      <c r="K103" s="17">
        <v>173</v>
      </c>
      <c r="L103" s="17">
        <v>307</v>
      </c>
      <c r="M103" s="17">
        <v>216</v>
      </c>
      <c r="N103" s="17">
        <v>148</v>
      </c>
      <c r="O103" s="17">
        <v>210</v>
      </c>
      <c r="P103" s="17">
        <v>2260</v>
      </c>
      <c r="Q103" s="29">
        <v>1197</v>
      </c>
      <c r="R103" s="29">
        <v>398</v>
      </c>
      <c r="S103" s="29">
        <v>2033</v>
      </c>
      <c r="T103" s="29">
        <v>1893</v>
      </c>
      <c r="U103" s="29">
        <v>2042</v>
      </c>
      <c r="V103" s="29">
        <v>1191</v>
      </c>
      <c r="W103" s="29">
        <v>1805</v>
      </c>
      <c r="X103" s="29">
        <v>2809</v>
      </c>
      <c r="Y103" s="29">
        <v>1821</v>
      </c>
      <c r="Z103" s="29">
        <v>2535</v>
      </c>
      <c r="AA103" s="29">
        <v>665</v>
      </c>
      <c r="AB103" s="29">
        <v>1120</v>
      </c>
      <c r="AC103" s="29"/>
      <c r="AD103" s="15">
        <f t="shared" si="4"/>
        <v>40397</v>
      </c>
    </row>
    <row r="104" spans="2:34" ht="15.75" x14ac:dyDescent="0.25">
      <c r="B104" s="6" t="s">
        <v>27</v>
      </c>
      <c r="C104" s="13">
        <v>353</v>
      </c>
      <c r="D104" s="13">
        <v>343</v>
      </c>
      <c r="E104" s="13">
        <v>257</v>
      </c>
      <c r="F104" s="13">
        <v>236</v>
      </c>
      <c r="G104" s="18">
        <v>321</v>
      </c>
      <c r="H104" s="18">
        <v>23743</v>
      </c>
      <c r="I104" s="19">
        <v>2215</v>
      </c>
      <c r="J104" s="17">
        <v>168</v>
      </c>
      <c r="K104" s="17">
        <v>374</v>
      </c>
      <c r="L104" s="17">
        <v>489</v>
      </c>
      <c r="M104" s="17">
        <v>419</v>
      </c>
      <c r="N104" s="17">
        <v>321</v>
      </c>
      <c r="O104" s="17">
        <v>501</v>
      </c>
      <c r="P104" s="17">
        <v>3405</v>
      </c>
      <c r="Q104" s="29">
        <v>2158</v>
      </c>
      <c r="R104" s="29">
        <v>508</v>
      </c>
      <c r="S104" s="29">
        <v>2813</v>
      </c>
      <c r="T104" s="29">
        <v>1751</v>
      </c>
      <c r="U104" s="29">
        <v>2224</v>
      </c>
      <c r="V104" s="29">
        <v>1817</v>
      </c>
      <c r="W104" s="29">
        <v>1046</v>
      </c>
      <c r="X104" s="29">
        <v>2505</v>
      </c>
      <c r="Y104" s="29">
        <v>1665</v>
      </c>
      <c r="Z104" s="29">
        <v>2624</v>
      </c>
      <c r="AA104" s="29">
        <v>2062</v>
      </c>
      <c r="AB104" s="29">
        <v>521</v>
      </c>
      <c r="AC104" s="29"/>
      <c r="AD104" s="15">
        <f t="shared" si="4"/>
        <v>54839</v>
      </c>
    </row>
    <row r="105" spans="2:34" ht="15.75" x14ac:dyDescent="0.25">
      <c r="B105" s="39" t="s">
        <v>28</v>
      </c>
      <c r="C105" s="13"/>
      <c r="D105" s="13"/>
      <c r="E105" s="13"/>
      <c r="F105" s="13"/>
      <c r="G105" s="18"/>
      <c r="H105" s="18"/>
      <c r="I105" s="19"/>
      <c r="J105" s="17"/>
      <c r="K105" s="17"/>
      <c r="L105" s="17"/>
      <c r="M105" s="17"/>
      <c r="N105" s="17"/>
      <c r="O105" s="17"/>
      <c r="P105" s="17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15">
        <f t="shared" si="4"/>
        <v>0</v>
      </c>
    </row>
    <row r="106" spans="2:34" ht="15.75" x14ac:dyDescent="0.25">
      <c r="B106" s="3" t="s">
        <v>30</v>
      </c>
      <c r="C106" s="41">
        <f>SUM(C79:C105)</f>
        <v>15424</v>
      </c>
      <c r="D106" s="41">
        <f t="shared" ref="D106:AD106" si="5">SUM(D79:D105)</f>
        <v>8166</v>
      </c>
      <c r="E106" s="41">
        <f t="shared" si="5"/>
        <v>6818</v>
      </c>
      <c r="F106" s="41">
        <f t="shared" si="5"/>
        <v>5511</v>
      </c>
      <c r="G106" s="41">
        <f t="shared" si="5"/>
        <v>7530</v>
      </c>
      <c r="H106" s="41">
        <f t="shared" si="5"/>
        <v>169568</v>
      </c>
      <c r="I106" s="42">
        <f t="shared" si="5"/>
        <v>25643</v>
      </c>
      <c r="J106" s="41">
        <f t="shared" si="5"/>
        <v>5488</v>
      </c>
      <c r="K106" s="41">
        <f t="shared" si="5"/>
        <v>6122</v>
      </c>
      <c r="L106" s="41">
        <f t="shared" si="5"/>
        <v>8135</v>
      </c>
      <c r="M106" s="41">
        <f t="shared" si="5"/>
        <v>8072</v>
      </c>
      <c r="N106" s="41">
        <f t="shared" si="5"/>
        <v>5617</v>
      </c>
      <c r="O106" s="41">
        <f t="shared" si="5"/>
        <v>9227</v>
      </c>
      <c r="P106" s="41">
        <f t="shared" si="5"/>
        <v>31513</v>
      </c>
      <c r="Q106" s="41">
        <f t="shared" si="5"/>
        <v>20578</v>
      </c>
      <c r="R106" s="41">
        <f t="shared" si="5"/>
        <v>8752</v>
      </c>
      <c r="S106" s="41">
        <f t="shared" si="5"/>
        <v>34428</v>
      </c>
      <c r="T106" s="41">
        <f t="shared" si="5"/>
        <v>22727</v>
      </c>
      <c r="U106" s="41">
        <f t="shared" si="5"/>
        <v>44952</v>
      </c>
      <c r="V106" s="41">
        <f t="shared" si="5"/>
        <v>31230</v>
      </c>
      <c r="W106" s="41">
        <f t="shared" si="5"/>
        <v>22343</v>
      </c>
      <c r="X106" s="41">
        <f t="shared" si="5"/>
        <v>45054</v>
      </c>
      <c r="Y106" s="41">
        <f t="shared" si="5"/>
        <v>25804</v>
      </c>
      <c r="Z106" s="41">
        <f t="shared" si="5"/>
        <v>40953</v>
      </c>
      <c r="AA106" s="41">
        <f t="shared" si="5"/>
        <v>39606</v>
      </c>
      <c r="AB106" s="41">
        <f t="shared" si="5"/>
        <v>48709</v>
      </c>
      <c r="AC106" s="41">
        <f t="shared" si="5"/>
        <v>0</v>
      </c>
      <c r="AD106" s="43">
        <f t="shared" si="5"/>
        <v>697970</v>
      </c>
      <c r="AG106" s="45">
        <f>+AD106-'[1]REAL 2025'!D4</f>
        <v>697970</v>
      </c>
      <c r="AH106" t="s">
        <v>33</v>
      </c>
    </row>
    <row r="107" spans="2:34" x14ac:dyDescent="0.25"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 spans="2:34" x14ac:dyDescent="0.25"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 spans="2:34" x14ac:dyDescent="0.25"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</row>
    <row r="110" spans="2:34" x14ac:dyDescent="0.25"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 spans="2:34" x14ac:dyDescent="0.25">
      <c r="B111" t="s">
        <v>34</v>
      </c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</row>
    <row r="112" spans="2:34" x14ac:dyDescent="0.25"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 spans="2:30" ht="16.5" thickBot="1" x14ac:dyDescent="0.3">
      <c r="B113" s="3" t="s">
        <v>1</v>
      </c>
      <c r="C113" s="4" t="s">
        <v>2</v>
      </c>
      <c r="D113" s="4" t="s">
        <v>3</v>
      </c>
      <c r="E113" s="4" t="s">
        <v>4</v>
      </c>
      <c r="F113" s="4" t="s">
        <v>5</v>
      </c>
      <c r="G113" s="4" t="s">
        <v>6</v>
      </c>
      <c r="H113" s="4" t="s">
        <v>7</v>
      </c>
      <c r="I113" s="5" t="s">
        <v>8</v>
      </c>
      <c r="J113" s="4" t="s">
        <v>9</v>
      </c>
      <c r="K113" s="4" t="s">
        <v>10</v>
      </c>
      <c r="L113" s="4" t="s">
        <v>11</v>
      </c>
      <c r="M113" s="4" t="s">
        <v>12</v>
      </c>
      <c r="N113" s="4" t="s">
        <v>13</v>
      </c>
      <c r="O113" s="4" t="s">
        <v>14</v>
      </c>
      <c r="P113" s="4" t="s">
        <v>15</v>
      </c>
      <c r="Q113" s="4" t="s">
        <v>16</v>
      </c>
      <c r="R113" s="4" t="s">
        <v>17</v>
      </c>
      <c r="S113" s="4" t="s">
        <v>18</v>
      </c>
      <c r="T113" s="6" t="s">
        <v>19</v>
      </c>
      <c r="U113" s="6" t="s">
        <v>20</v>
      </c>
      <c r="V113" s="6" t="s">
        <v>21</v>
      </c>
      <c r="W113" s="6" t="s">
        <v>22</v>
      </c>
      <c r="X113" s="6" t="s">
        <v>23</v>
      </c>
      <c r="Y113" s="6" t="s">
        <v>24</v>
      </c>
      <c r="Z113" s="6" t="s">
        <v>25</v>
      </c>
      <c r="AA113" s="6" t="s">
        <v>26</v>
      </c>
      <c r="AB113" s="6" t="s">
        <v>27</v>
      </c>
      <c r="AC113" s="6" t="s">
        <v>28</v>
      </c>
      <c r="AD113" s="3" t="s">
        <v>29</v>
      </c>
    </row>
    <row r="114" spans="2:30" ht="15.75" x14ac:dyDescent="0.25">
      <c r="B114" s="4" t="s">
        <v>2</v>
      </c>
      <c r="C114" s="7">
        <v>179</v>
      </c>
      <c r="D114" s="8">
        <v>206</v>
      </c>
      <c r="E114" s="8">
        <v>577</v>
      </c>
      <c r="F114" s="8">
        <v>468</v>
      </c>
      <c r="G114" s="9">
        <v>597</v>
      </c>
      <c r="H114" s="9">
        <v>6523</v>
      </c>
      <c r="I114" s="10">
        <v>846</v>
      </c>
      <c r="J114" s="9">
        <v>653</v>
      </c>
      <c r="K114" s="9">
        <v>1134</v>
      </c>
      <c r="L114" s="9">
        <v>758</v>
      </c>
      <c r="M114" s="9">
        <v>721</v>
      </c>
      <c r="N114" s="9">
        <v>455</v>
      </c>
      <c r="O114" s="9">
        <v>729</v>
      </c>
      <c r="P114" s="9">
        <v>519</v>
      </c>
      <c r="Q114" s="9">
        <v>187</v>
      </c>
      <c r="R114" s="9">
        <v>116</v>
      </c>
      <c r="S114" s="9">
        <v>269</v>
      </c>
      <c r="T114" s="9">
        <v>304</v>
      </c>
      <c r="U114" s="9">
        <v>178</v>
      </c>
      <c r="V114" s="11">
        <v>110</v>
      </c>
      <c r="W114" s="12">
        <v>121</v>
      </c>
      <c r="X114" s="13">
        <v>232</v>
      </c>
      <c r="Y114" s="13">
        <v>112</v>
      </c>
      <c r="Z114" s="13">
        <v>87</v>
      </c>
      <c r="AA114" s="13">
        <v>109</v>
      </c>
      <c r="AB114" s="13">
        <v>194</v>
      </c>
      <c r="AC114" s="14"/>
      <c r="AD114" s="15">
        <f>SUM(C114:AC114)</f>
        <v>16384</v>
      </c>
    </row>
    <row r="115" spans="2:30" ht="15.75" x14ac:dyDescent="0.25">
      <c r="B115" s="4" t="s">
        <v>3</v>
      </c>
      <c r="C115" s="16">
        <v>630</v>
      </c>
      <c r="D115" s="17">
        <v>117</v>
      </c>
      <c r="E115" s="17">
        <v>120</v>
      </c>
      <c r="F115" s="17">
        <v>116</v>
      </c>
      <c r="G115" s="18">
        <v>215</v>
      </c>
      <c r="H115" s="18">
        <v>3396</v>
      </c>
      <c r="I115" s="19">
        <v>610</v>
      </c>
      <c r="J115" s="18">
        <v>418</v>
      </c>
      <c r="K115" s="18">
        <v>1041</v>
      </c>
      <c r="L115" s="18">
        <v>742</v>
      </c>
      <c r="M115" s="18">
        <v>502</v>
      </c>
      <c r="N115" s="18">
        <v>444</v>
      </c>
      <c r="O115" s="20">
        <v>579</v>
      </c>
      <c r="P115" s="18">
        <v>495</v>
      </c>
      <c r="Q115" s="18">
        <v>247</v>
      </c>
      <c r="R115" s="18">
        <v>139</v>
      </c>
      <c r="S115" s="18">
        <v>260</v>
      </c>
      <c r="T115" s="18">
        <v>451</v>
      </c>
      <c r="U115" s="18">
        <v>427</v>
      </c>
      <c r="V115" s="21">
        <v>205</v>
      </c>
      <c r="W115" s="17">
        <v>163</v>
      </c>
      <c r="X115" s="18">
        <v>177</v>
      </c>
      <c r="Y115" s="18">
        <v>136</v>
      </c>
      <c r="Z115" s="18">
        <v>195</v>
      </c>
      <c r="AA115" s="18">
        <v>176</v>
      </c>
      <c r="AB115" s="18">
        <v>291</v>
      </c>
      <c r="AC115" s="22"/>
      <c r="AD115" s="15">
        <f>SUM(C115:AC115)</f>
        <v>12292</v>
      </c>
    </row>
    <row r="116" spans="2:30" ht="15.75" x14ac:dyDescent="0.25">
      <c r="B116" s="4" t="s">
        <v>4</v>
      </c>
      <c r="C116" s="16">
        <v>986</v>
      </c>
      <c r="D116" s="17">
        <v>98</v>
      </c>
      <c r="E116" s="17">
        <v>106</v>
      </c>
      <c r="F116" s="17">
        <v>139</v>
      </c>
      <c r="G116" s="18">
        <v>274</v>
      </c>
      <c r="H116" s="18">
        <v>4268</v>
      </c>
      <c r="I116" s="19">
        <v>618</v>
      </c>
      <c r="J116" s="18">
        <v>703</v>
      </c>
      <c r="K116" s="18">
        <v>593</v>
      </c>
      <c r="L116" s="18">
        <v>533</v>
      </c>
      <c r="M116" s="18">
        <v>580</v>
      </c>
      <c r="N116" s="18">
        <v>319</v>
      </c>
      <c r="O116" s="18">
        <v>542</v>
      </c>
      <c r="P116" s="18">
        <v>464</v>
      </c>
      <c r="Q116" s="18">
        <v>168</v>
      </c>
      <c r="R116" s="18">
        <v>92</v>
      </c>
      <c r="S116" s="18">
        <v>108</v>
      </c>
      <c r="T116" s="18">
        <v>169</v>
      </c>
      <c r="U116" s="18">
        <v>244</v>
      </c>
      <c r="V116" s="21">
        <v>92</v>
      </c>
      <c r="W116" s="17">
        <v>97</v>
      </c>
      <c r="X116" s="18">
        <v>152</v>
      </c>
      <c r="Y116" s="18">
        <v>72</v>
      </c>
      <c r="Z116" s="18">
        <v>50</v>
      </c>
      <c r="AA116" s="18">
        <v>161</v>
      </c>
      <c r="AB116" s="18">
        <v>220</v>
      </c>
      <c r="AC116" s="22"/>
      <c r="AD116" s="15">
        <f>SUM(C116:AC116)</f>
        <v>11848</v>
      </c>
    </row>
    <row r="117" spans="2:30" ht="15.75" x14ac:dyDescent="0.25">
      <c r="B117" s="4" t="s">
        <v>5</v>
      </c>
      <c r="C117" s="16">
        <v>1425</v>
      </c>
      <c r="D117" s="17">
        <v>69</v>
      </c>
      <c r="E117" s="17">
        <v>161</v>
      </c>
      <c r="F117" s="17">
        <v>116</v>
      </c>
      <c r="G117" s="18">
        <v>57</v>
      </c>
      <c r="H117" s="18">
        <v>1825</v>
      </c>
      <c r="I117" s="19">
        <v>372</v>
      </c>
      <c r="J117" s="18">
        <v>278</v>
      </c>
      <c r="K117" s="18">
        <v>585</v>
      </c>
      <c r="L117" s="18">
        <v>417</v>
      </c>
      <c r="M117" s="18">
        <v>614</v>
      </c>
      <c r="N117" s="18">
        <v>212</v>
      </c>
      <c r="O117" s="18">
        <v>351</v>
      </c>
      <c r="P117" s="18">
        <v>343</v>
      </c>
      <c r="Q117" s="18">
        <v>116</v>
      </c>
      <c r="R117" s="18">
        <v>133</v>
      </c>
      <c r="S117" s="18">
        <v>308</v>
      </c>
      <c r="T117" s="18">
        <v>129</v>
      </c>
      <c r="U117" s="18">
        <v>197</v>
      </c>
      <c r="V117" s="21">
        <v>175</v>
      </c>
      <c r="W117" s="17">
        <v>115</v>
      </c>
      <c r="X117" s="18">
        <v>191</v>
      </c>
      <c r="Y117" s="18">
        <v>101</v>
      </c>
      <c r="Z117" s="18">
        <v>74</v>
      </c>
      <c r="AA117" s="18">
        <v>77</v>
      </c>
      <c r="AB117" s="18">
        <v>192</v>
      </c>
      <c r="AC117" s="22"/>
      <c r="AD117" s="15">
        <f t="shared" ref="AD117:AD140" si="6">SUM(C117:AC117)</f>
        <v>8633</v>
      </c>
    </row>
    <row r="118" spans="2:30" ht="15.75" x14ac:dyDescent="0.25">
      <c r="B118" s="4" t="s">
        <v>6</v>
      </c>
      <c r="C118" s="16">
        <v>1296</v>
      </c>
      <c r="D118" s="17">
        <v>192</v>
      </c>
      <c r="E118" s="17">
        <v>442</v>
      </c>
      <c r="F118" s="17">
        <v>68</v>
      </c>
      <c r="G118" s="18">
        <v>211</v>
      </c>
      <c r="H118" s="18">
        <v>3023</v>
      </c>
      <c r="I118" s="19">
        <v>575</v>
      </c>
      <c r="J118" s="18">
        <v>476</v>
      </c>
      <c r="K118" s="18">
        <v>932</v>
      </c>
      <c r="L118" s="18">
        <v>647</v>
      </c>
      <c r="M118" s="18">
        <v>740</v>
      </c>
      <c r="N118" s="18">
        <v>358</v>
      </c>
      <c r="O118" s="18">
        <v>858</v>
      </c>
      <c r="P118" s="18">
        <v>420</v>
      </c>
      <c r="Q118" s="18">
        <v>348</v>
      </c>
      <c r="R118" s="18">
        <v>103</v>
      </c>
      <c r="S118" s="18">
        <v>423</v>
      </c>
      <c r="T118" s="18">
        <v>196</v>
      </c>
      <c r="U118" s="18">
        <v>348</v>
      </c>
      <c r="V118" s="21">
        <v>153</v>
      </c>
      <c r="W118" s="17">
        <v>92</v>
      </c>
      <c r="X118" s="17">
        <v>237</v>
      </c>
      <c r="Y118" s="17">
        <v>69</v>
      </c>
      <c r="Z118" s="17">
        <v>156</v>
      </c>
      <c r="AA118" s="17">
        <v>135</v>
      </c>
      <c r="AB118" s="17">
        <v>357</v>
      </c>
      <c r="AC118" s="23"/>
      <c r="AD118" s="15">
        <f t="shared" si="6"/>
        <v>12855</v>
      </c>
    </row>
    <row r="119" spans="2:30" ht="15.75" x14ac:dyDescent="0.25">
      <c r="B119" s="4" t="s">
        <v>7</v>
      </c>
      <c r="C119" s="16">
        <v>9779</v>
      </c>
      <c r="D119" s="17">
        <v>3223</v>
      </c>
      <c r="E119" s="17">
        <v>3964</v>
      </c>
      <c r="F119" s="17">
        <v>1569</v>
      </c>
      <c r="G119" s="18">
        <v>2683</v>
      </c>
      <c r="H119" s="18">
        <v>5354</v>
      </c>
      <c r="I119" s="19">
        <v>6478</v>
      </c>
      <c r="J119" s="18">
        <v>571</v>
      </c>
      <c r="K119" s="18">
        <v>1632</v>
      </c>
      <c r="L119" s="18">
        <v>3509</v>
      </c>
      <c r="M119" s="18">
        <v>2428</v>
      </c>
      <c r="N119" s="18">
        <v>1621</v>
      </c>
      <c r="O119" s="18">
        <v>1538</v>
      </c>
      <c r="P119" s="18">
        <v>2722</v>
      </c>
      <c r="Q119" s="18">
        <v>3572</v>
      </c>
      <c r="R119" s="18">
        <v>3531</v>
      </c>
      <c r="S119" s="18">
        <v>15613</v>
      </c>
      <c r="T119" s="18">
        <v>6752</v>
      </c>
      <c r="U119" s="18">
        <v>29890</v>
      </c>
      <c r="V119" s="21">
        <v>21395</v>
      </c>
      <c r="W119" s="17">
        <v>13934</v>
      </c>
      <c r="X119" s="17">
        <v>38489</v>
      </c>
      <c r="Y119" s="17">
        <v>21526</v>
      </c>
      <c r="Z119" s="17">
        <v>33814</v>
      </c>
      <c r="AA119" s="17">
        <v>29625</v>
      </c>
      <c r="AB119" s="17">
        <v>33666</v>
      </c>
      <c r="AC119" s="23"/>
      <c r="AD119" s="15">
        <f t="shared" si="6"/>
        <v>298878</v>
      </c>
    </row>
    <row r="120" spans="2:30" ht="15.75" x14ac:dyDescent="0.25">
      <c r="B120" s="5" t="s">
        <v>8</v>
      </c>
      <c r="C120" s="24">
        <v>1796</v>
      </c>
      <c r="D120" s="25">
        <v>884</v>
      </c>
      <c r="E120" s="25">
        <v>1071</v>
      </c>
      <c r="F120" s="25">
        <v>594</v>
      </c>
      <c r="G120" s="19">
        <v>863</v>
      </c>
      <c r="H120" s="19">
        <v>4519</v>
      </c>
      <c r="I120" s="19">
        <v>326</v>
      </c>
      <c r="J120" s="19">
        <v>194</v>
      </c>
      <c r="K120" s="19">
        <v>360</v>
      </c>
      <c r="L120" s="19">
        <v>576</v>
      </c>
      <c r="M120" s="19">
        <v>563</v>
      </c>
      <c r="N120" s="19">
        <v>497</v>
      </c>
      <c r="O120" s="19">
        <v>480</v>
      </c>
      <c r="P120" s="19">
        <v>374</v>
      </c>
      <c r="Q120" s="19">
        <v>641</v>
      </c>
      <c r="R120" s="19">
        <v>496</v>
      </c>
      <c r="S120" s="19">
        <v>2281</v>
      </c>
      <c r="T120" s="19">
        <v>948</v>
      </c>
      <c r="U120" s="19">
        <v>2401</v>
      </c>
      <c r="V120" s="26">
        <v>1777</v>
      </c>
      <c r="W120" s="25">
        <v>961</v>
      </c>
      <c r="X120" s="25">
        <v>2292</v>
      </c>
      <c r="Y120" s="25">
        <v>1306</v>
      </c>
      <c r="Z120" s="25">
        <v>1915</v>
      </c>
      <c r="AA120" s="25">
        <v>1829</v>
      </c>
      <c r="AB120" s="25">
        <v>2112</v>
      </c>
      <c r="AC120" s="27"/>
      <c r="AD120" s="28">
        <f t="shared" si="6"/>
        <v>32056</v>
      </c>
    </row>
    <row r="121" spans="2:30" ht="15.75" x14ac:dyDescent="0.25">
      <c r="B121" s="4" t="s">
        <v>9</v>
      </c>
      <c r="C121" s="16">
        <v>800</v>
      </c>
      <c r="D121" s="17">
        <v>431</v>
      </c>
      <c r="E121" s="17">
        <v>535</v>
      </c>
      <c r="F121" s="17">
        <v>351</v>
      </c>
      <c r="G121" s="18">
        <v>460</v>
      </c>
      <c r="H121" s="18">
        <v>675</v>
      </c>
      <c r="I121" s="19">
        <v>162</v>
      </c>
      <c r="J121" s="18">
        <v>72</v>
      </c>
      <c r="K121" s="18">
        <v>148</v>
      </c>
      <c r="L121" s="18">
        <v>421</v>
      </c>
      <c r="M121" s="18">
        <v>480</v>
      </c>
      <c r="N121" s="18">
        <v>339</v>
      </c>
      <c r="O121" s="18">
        <v>461</v>
      </c>
      <c r="P121" s="18">
        <v>74</v>
      </c>
      <c r="Q121" s="18">
        <v>105</v>
      </c>
      <c r="R121" s="18">
        <v>80</v>
      </c>
      <c r="S121" s="18">
        <v>280</v>
      </c>
      <c r="T121" s="18">
        <v>64</v>
      </c>
      <c r="U121" s="18">
        <v>229</v>
      </c>
      <c r="V121" s="21">
        <v>188</v>
      </c>
      <c r="W121" s="17">
        <v>173</v>
      </c>
      <c r="X121" s="17">
        <v>322</v>
      </c>
      <c r="Y121" s="17">
        <v>109</v>
      </c>
      <c r="Z121" s="17">
        <v>257</v>
      </c>
      <c r="AA121" s="17">
        <v>182</v>
      </c>
      <c r="AB121" s="17">
        <v>262</v>
      </c>
      <c r="AC121" s="23"/>
      <c r="AD121" s="15">
        <f t="shared" si="6"/>
        <v>7660</v>
      </c>
    </row>
    <row r="122" spans="2:30" ht="15.75" x14ac:dyDescent="0.25">
      <c r="B122" s="4" t="s">
        <v>10</v>
      </c>
      <c r="C122" s="16">
        <v>1118</v>
      </c>
      <c r="D122" s="17">
        <v>867</v>
      </c>
      <c r="E122" s="17">
        <v>584</v>
      </c>
      <c r="F122" s="17">
        <v>454</v>
      </c>
      <c r="G122" s="18">
        <v>887</v>
      </c>
      <c r="H122" s="18">
        <v>1874</v>
      </c>
      <c r="I122" s="19">
        <v>289</v>
      </c>
      <c r="J122" s="18">
        <v>183</v>
      </c>
      <c r="K122" s="18">
        <v>154</v>
      </c>
      <c r="L122" s="18">
        <v>397</v>
      </c>
      <c r="M122" s="18">
        <v>709</v>
      </c>
      <c r="N122" s="18">
        <v>283</v>
      </c>
      <c r="O122" s="18">
        <v>525</v>
      </c>
      <c r="P122" s="18">
        <v>216</v>
      </c>
      <c r="Q122" s="18">
        <v>271</v>
      </c>
      <c r="R122" s="18">
        <v>161</v>
      </c>
      <c r="S122" s="18">
        <v>594</v>
      </c>
      <c r="T122" s="18">
        <v>186</v>
      </c>
      <c r="U122" s="18">
        <v>473</v>
      </c>
      <c r="V122" s="21">
        <v>428</v>
      </c>
      <c r="W122" s="17">
        <v>264</v>
      </c>
      <c r="X122" s="17">
        <v>498</v>
      </c>
      <c r="Y122" s="17">
        <v>342</v>
      </c>
      <c r="Z122" s="17">
        <v>501</v>
      </c>
      <c r="AA122" s="17">
        <v>528</v>
      </c>
      <c r="AB122" s="17">
        <v>642</v>
      </c>
      <c r="AC122" s="23"/>
      <c r="AD122" s="15">
        <f t="shared" si="6"/>
        <v>13428</v>
      </c>
    </row>
    <row r="123" spans="2:30" ht="15.75" x14ac:dyDescent="0.25">
      <c r="B123" s="4" t="s">
        <v>11</v>
      </c>
      <c r="C123" s="16">
        <v>845</v>
      </c>
      <c r="D123" s="17">
        <v>784</v>
      </c>
      <c r="E123" s="17">
        <v>646</v>
      </c>
      <c r="F123" s="17">
        <v>469</v>
      </c>
      <c r="G123" s="18">
        <v>736</v>
      </c>
      <c r="H123" s="18">
        <v>4218</v>
      </c>
      <c r="I123" s="19">
        <v>470</v>
      </c>
      <c r="J123" s="18">
        <v>429</v>
      </c>
      <c r="K123" s="18">
        <v>482</v>
      </c>
      <c r="L123" s="18">
        <v>137</v>
      </c>
      <c r="M123" s="18">
        <v>159</v>
      </c>
      <c r="N123" s="18">
        <v>152</v>
      </c>
      <c r="O123" s="18">
        <v>206</v>
      </c>
      <c r="P123" s="18">
        <v>386</v>
      </c>
      <c r="Q123" s="18">
        <v>215</v>
      </c>
      <c r="R123" s="18">
        <v>250</v>
      </c>
      <c r="S123" s="18">
        <v>403</v>
      </c>
      <c r="T123" s="18">
        <v>342</v>
      </c>
      <c r="U123" s="18">
        <v>538</v>
      </c>
      <c r="V123" s="21">
        <v>260</v>
      </c>
      <c r="W123" s="17">
        <v>272</v>
      </c>
      <c r="X123" s="17">
        <v>497</v>
      </c>
      <c r="Y123" s="17">
        <v>141</v>
      </c>
      <c r="Z123" s="17">
        <v>257</v>
      </c>
      <c r="AA123" s="17">
        <v>300</v>
      </c>
      <c r="AB123" s="17">
        <v>651</v>
      </c>
      <c r="AC123" s="23"/>
      <c r="AD123" s="15">
        <f t="shared" si="6"/>
        <v>14245</v>
      </c>
    </row>
    <row r="124" spans="2:30" ht="15.75" x14ac:dyDescent="0.25">
      <c r="B124" s="4" t="s">
        <v>12</v>
      </c>
      <c r="C124" s="16">
        <v>839</v>
      </c>
      <c r="D124" s="17">
        <v>504</v>
      </c>
      <c r="E124" s="17">
        <v>603</v>
      </c>
      <c r="F124" s="17">
        <v>636</v>
      </c>
      <c r="G124" s="18">
        <v>648</v>
      </c>
      <c r="H124" s="18">
        <v>3095</v>
      </c>
      <c r="I124" s="19">
        <v>550</v>
      </c>
      <c r="J124" s="18">
        <v>568</v>
      </c>
      <c r="K124" s="18">
        <v>421</v>
      </c>
      <c r="L124" s="18">
        <v>124</v>
      </c>
      <c r="M124" s="18">
        <v>74</v>
      </c>
      <c r="N124" s="18">
        <v>128</v>
      </c>
      <c r="O124" s="18">
        <v>375</v>
      </c>
      <c r="P124" s="18">
        <v>397</v>
      </c>
      <c r="Q124" s="18">
        <v>227</v>
      </c>
      <c r="R124" s="18">
        <v>234</v>
      </c>
      <c r="S124" s="18">
        <v>525</v>
      </c>
      <c r="T124" s="18">
        <v>162</v>
      </c>
      <c r="U124" s="18">
        <v>592</v>
      </c>
      <c r="V124" s="21">
        <v>291</v>
      </c>
      <c r="W124" s="17">
        <v>187</v>
      </c>
      <c r="X124" s="17">
        <v>395</v>
      </c>
      <c r="Y124" s="17">
        <v>190</v>
      </c>
      <c r="Z124" s="17">
        <v>315</v>
      </c>
      <c r="AA124" s="17">
        <v>308</v>
      </c>
      <c r="AB124" s="17">
        <v>456</v>
      </c>
      <c r="AC124" s="23"/>
      <c r="AD124" s="15">
        <f t="shared" si="6"/>
        <v>12844</v>
      </c>
    </row>
    <row r="125" spans="2:30" ht="15.75" x14ac:dyDescent="0.25">
      <c r="B125" s="4" t="s">
        <v>13</v>
      </c>
      <c r="C125" s="16">
        <v>585</v>
      </c>
      <c r="D125" s="17">
        <v>371</v>
      </c>
      <c r="E125" s="17">
        <v>349</v>
      </c>
      <c r="F125" s="17">
        <v>233</v>
      </c>
      <c r="G125" s="18">
        <v>383</v>
      </c>
      <c r="H125" s="18">
        <v>2179</v>
      </c>
      <c r="I125" s="19">
        <v>383</v>
      </c>
      <c r="J125" s="18">
        <v>298</v>
      </c>
      <c r="K125" s="18">
        <v>353</v>
      </c>
      <c r="L125" s="18">
        <v>151</v>
      </c>
      <c r="M125" s="18">
        <v>100</v>
      </c>
      <c r="N125" s="18">
        <v>56</v>
      </c>
      <c r="O125" s="18">
        <v>67</v>
      </c>
      <c r="P125" s="18">
        <v>295</v>
      </c>
      <c r="Q125" s="29">
        <v>156</v>
      </c>
      <c r="R125" s="29">
        <v>113</v>
      </c>
      <c r="S125" s="29">
        <v>321</v>
      </c>
      <c r="T125" s="29">
        <v>152</v>
      </c>
      <c r="U125" s="29">
        <v>244</v>
      </c>
      <c r="V125" s="30">
        <v>150</v>
      </c>
      <c r="W125" s="31">
        <v>126</v>
      </c>
      <c r="X125" s="29">
        <v>230</v>
      </c>
      <c r="Y125" s="29">
        <v>107</v>
      </c>
      <c r="Z125" s="29">
        <v>180</v>
      </c>
      <c r="AA125" s="29">
        <v>141</v>
      </c>
      <c r="AB125" s="29">
        <v>382</v>
      </c>
      <c r="AC125" s="14"/>
      <c r="AD125" s="15">
        <f t="shared" si="6"/>
        <v>8105</v>
      </c>
    </row>
    <row r="126" spans="2:30" ht="15.75" x14ac:dyDescent="0.25">
      <c r="B126" s="4" t="s">
        <v>14</v>
      </c>
      <c r="C126" s="16">
        <v>791</v>
      </c>
      <c r="D126" s="17">
        <v>686</v>
      </c>
      <c r="E126" s="17">
        <v>600</v>
      </c>
      <c r="F126" s="17">
        <v>522</v>
      </c>
      <c r="G126" s="18">
        <v>845</v>
      </c>
      <c r="H126" s="18">
        <v>2327</v>
      </c>
      <c r="I126" s="19">
        <v>632</v>
      </c>
      <c r="J126" s="18">
        <v>465</v>
      </c>
      <c r="K126" s="18">
        <v>557</v>
      </c>
      <c r="L126" s="18">
        <v>217</v>
      </c>
      <c r="M126" s="18">
        <v>377</v>
      </c>
      <c r="N126" s="18">
        <v>54</v>
      </c>
      <c r="O126" s="18">
        <v>111</v>
      </c>
      <c r="P126" s="18">
        <v>316</v>
      </c>
      <c r="Q126" s="29">
        <v>265</v>
      </c>
      <c r="R126" s="29">
        <v>116</v>
      </c>
      <c r="S126" s="29">
        <v>552</v>
      </c>
      <c r="T126" s="29">
        <v>187</v>
      </c>
      <c r="U126" s="29">
        <v>462</v>
      </c>
      <c r="V126" s="30">
        <v>500</v>
      </c>
      <c r="W126" s="31">
        <v>193</v>
      </c>
      <c r="X126" s="29">
        <v>398</v>
      </c>
      <c r="Y126" s="29">
        <v>154</v>
      </c>
      <c r="Z126" s="29">
        <v>330</v>
      </c>
      <c r="AA126" s="29">
        <v>268</v>
      </c>
      <c r="AB126" s="29">
        <v>475</v>
      </c>
      <c r="AC126" s="14"/>
      <c r="AD126" s="15">
        <f t="shared" si="6"/>
        <v>12400</v>
      </c>
    </row>
    <row r="127" spans="2:30" ht="15.75" x14ac:dyDescent="0.25">
      <c r="B127" s="4" t="s">
        <v>15</v>
      </c>
      <c r="C127" s="16">
        <v>524</v>
      </c>
      <c r="D127" s="17">
        <v>383</v>
      </c>
      <c r="E127" s="17">
        <v>399</v>
      </c>
      <c r="F127" s="17">
        <v>333</v>
      </c>
      <c r="G127" s="18">
        <v>333</v>
      </c>
      <c r="H127" s="18">
        <v>2097</v>
      </c>
      <c r="I127" s="19">
        <v>212</v>
      </c>
      <c r="J127" s="18">
        <v>61</v>
      </c>
      <c r="K127" s="18">
        <v>214</v>
      </c>
      <c r="L127" s="18">
        <v>183</v>
      </c>
      <c r="M127" s="18">
        <v>263</v>
      </c>
      <c r="N127" s="18">
        <v>175</v>
      </c>
      <c r="O127" s="18">
        <v>174</v>
      </c>
      <c r="P127" s="18">
        <v>353</v>
      </c>
      <c r="Q127" s="29">
        <v>447</v>
      </c>
      <c r="R127" s="29">
        <v>614</v>
      </c>
      <c r="S127" s="29">
        <v>2924</v>
      </c>
      <c r="T127" s="29">
        <v>903</v>
      </c>
      <c r="U127" s="29">
        <v>4191</v>
      </c>
      <c r="V127" s="30">
        <v>2744</v>
      </c>
      <c r="W127" s="31">
        <v>1608</v>
      </c>
      <c r="X127" s="29">
        <v>3338</v>
      </c>
      <c r="Y127" s="29">
        <v>1857</v>
      </c>
      <c r="Z127" s="29">
        <v>2710</v>
      </c>
      <c r="AA127" s="29">
        <v>2200</v>
      </c>
      <c r="AB127" s="29">
        <v>3045</v>
      </c>
      <c r="AC127" s="14"/>
      <c r="AD127" s="15">
        <f t="shared" si="6"/>
        <v>32285</v>
      </c>
    </row>
    <row r="128" spans="2:30" ht="15.75" x14ac:dyDescent="0.25">
      <c r="B128" s="4" t="s">
        <v>16</v>
      </c>
      <c r="C128" s="16">
        <v>205</v>
      </c>
      <c r="D128" s="17">
        <v>283</v>
      </c>
      <c r="E128" s="17">
        <v>151</v>
      </c>
      <c r="F128" s="17">
        <v>150</v>
      </c>
      <c r="G128" s="18">
        <v>357</v>
      </c>
      <c r="H128" s="18">
        <v>3013</v>
      </c>
      <c r="I128" s="19">
        <v>408</v>
      </c>
      <c r="J128" s="18">
        <v>109</v>
      </c>
      <c r="K128" s="18">
        <v>233</v>
      </c>
      <c r="L128" s="18">
        <v>242</v>
      </c>
      <c r="M128" s="18">
        <v>184</v>
      </c>
      <c r="N128" s="18">
        <v>142</v>
      </c>
      <c r="O128" s="18">
        <v>205</v>
      </c>
      <c r="P128" s="18">
        <v>395</v>
      </c>
      <c r="Q128" s="29">
        <v>539</v>
      </c>
      <c r="R128" s="29">
        <v>1158</v>
      </c>
      <c r="S128" s="29">
        <v>3445</v>
      </c>
      <c r="T128" s="29">
        <v>1253</v>
      </c>
      <c r="U128" s="29">
        <v>4118</v>
      </c>
      <c r="V128" s="30">
        <v>2713</v>
      </c>
      <c r="W128" s="31">
        <v>1360</v>
      </c>
      <c r="X128" s="29">
        <v>2497</v>
      </c>
      <c r="Y128" s="29">
        <v>1537</v>
      </c>
      <c r="Z128" s="29">
        <v>1947</v>
      </c>
      <c r="AA128" s="29">
        <v>1750</v>
      </c>
      <c r="AB128" s="29">
        <v>2724</v>
      </c>
      <c r="AC128" s="14"/>
      <c r="AD128" s="15">
        <f t="shared" si="6"/>
        <v>31118</v>
      </c>
    </row>
    <row r="129" spans="2:30" ht="15.75" x14ac:dyDescent="0.25">
      <c r="B129" s="4" t="s">
        <v>17</v>
      </c>
      <c r="C129" s="16">
        <v>153</v>
      </c>
      <c r="D129" s="17">
        <v>84</v>
      </c>
      <c r="E129" s="17">
        <v>102</v>
      </c>
      <c r="F129" s="17">
        <v>86</v>
      </c>
      <c r="G129" s="18">
        <v>56</v>
      </c>
      <c r="H129" s="18">
        <v>3150</v>
      </c>
      <c r="I129" s="19">
        <v>237</v>
      </c>
      <c r="J129" s="18">
        <v>73</v>
      </c>
      <c r="K129" s="18">
        <v>136</v>
      </c>
      <c r="L129" s="18">
        <v>149</v>
      </c>
      <c r="M129" s="18">
        <v>159</v>
      </c>
      <c r="N129" s="18">
        <v>81</v>
      </c>
      <c r="O129" s="18">
        <v>49</v>
      </c>
      <c r="P129" s="18">
        <v>821</v>
      </c>
      <c r="Q129" s="29">
        <v>1318</v>
      </c>
      <c r="R129" s="29">
        <v>203</v>
      </c>
      <c r="S129" s="29">
        <v>222</v>
      </c>
      <c r="T129" s="29">
        <v>246</v>
      </c>
      <c r="U129" s="29">
        <v>1238</v>
      </c>
      <c r="V129" s="30">
        <v>624</v>
      </c>
      <c r="W129" s="31">
        <v>388</v>
      </c>
      <c r="X129" s="29">
        <v>821</v>
      </c>
      <c r="Y129" s="29">
        <v>565</v>
      </c>
      <c r="Z129" s="29">
        <v>698</v>
      </c>
      <c r="AA129" s="29">
        <v>610</v>
      </c>
      <c r="AB129" s="29">
        <v>752</v>
      </c>
      <c r="AC129" s="14"/>
      <c r="AD129" s="15">
        <f t="shared" si="6"/>
        <v>13021</v>
      </c>
    </row>
    <row r="130" spans="2:30" ht="16.5" thickBot="1" x14ac:dyDescent="0.3">
      <c r="B130" s="4" t="s">
        <v>18</v>
      </c>
      <c r="C130" s="32">
        <v>305</v>
      </c>
      <c r="D130" s="33">
        <v>301</v>
      </c>
      <c r="E130" s="33">
        <v>133</v>
      </c>
      <c r="F130" s="33">
        <v>340</v>
      </c>
      <c r="G130" s="34">
        <v>428</v>
      </c>
      <c r="H130" s="34">
        <v>16043</v>
      </c>
      <c r="I130" s="35">
        <v>1568</v>
      </c>
      <c r="J130" s="34">
        <v>558</v>
      </c>
      <c r="K130" s="34">
        <v>765</v>
      </c>
      <c r="L130" s="34">
        <v>463</v>
      </c>
      <c r="M130" s="34">
        <v>567</v>
      </c>
      <c r="N130" s="34">
        <v>350</v>
      </c>
      <c r="O130" s="34">
        <v>454</v>
      </c>
      <c r="P130" s="34">
        <v>3231</v>
      </c>
      <c r="Q130" s="36">
        <v>3664</v>
      </c>
      <c r="R130" s="36">
        <v>226</v>
      </c>
      <c r="S130" s="36">
        <v>952</v>
      </c>
      <c r="T130" s="36">
        <v>953</v>
      </c>
      <c r="U130" s="36">
        <v>4400</v>
      </c>
      <c r="V130" s="37">
        <v>2269</v>
      </c>
      <c r="W130" s="31">
        <v>1684</v>
      </c>
      <c r="X130" s="29">
        <v>4376</v>
      </c>
      <c r="Y130" s="29">
        <v>2495</v>
      </c>
      <c r="Z130" s="29">
        <v>3770</v>
      </c>
      <c r="AA130" s="29">
        <v>4282</v>
      </c>
      <c r="AB130" s="29">
        <v>4536</v>
      </c>
      <c r="AC130" s="14"/>
      <c r="AD130" s="15">
        <f t="shared" si="6"/>
        <v>59113</v>
      </c>
    </row>
    <row r="131" spans="2:30" ht="15.75" x14ac:dyDescent="0.25">
      <c r="B131" s="6" t="s">
        <v>19</v>
      </c>
      <c r="C131" s="12">
        <v>329</v>
      </c>
      <c r="D131" s="12">
        <v>331</v>
      </c>
      <c r="E131" s="12">
        <v>176</v>
      </c>
      <c r="F131" s="12">
        <v>154</v>
      </c>
      <c r="G131" s="17">
        <v>186</v>
      </c>
      <c r="H131" s="17">
        <v>7645</v>
      </c>
      <c r="I131" s="25">
        <v>1030</v>
      </c>
      <c r="J131" s="17">
        <v>122</v>
      </c>
      <c r="K131" s="17">
        <v>213</v>
      </c>
      <c r="L131" s="17">
        <v>280</v>
      </c>
      <c r="M131" s="17">
        <v>190</v>
      </c>
      <c r="N131" s="17">
        <v>199</v>
      </c>
      <c r="O131" s="17">
        <v>219</v>
      </c>
      <c r="P131" s="17">
        <v>1277</v>
      </c>
      <c r="Q131" s="31">
        <v>1502</v>
      </c>
      <c r="R131" s="31">
        <v>238</v>
      </c>
      <c r="S131" s="31">
        <v>835</v>
      </c>
      <c r="T131" s="31">
        <v>292</v>
      </c>
      <c r="U131" s="31">
        <v>1471</v>
      </c>
      <c r="V131" s="31">
        <v>840</v>
      </c>
      <c r="W131" s="29">
        <v>544</v>
      </c>
      <c r="X131" s="29">
        <v>1780</v>
      </c>
      <c r="Y131" s="29">
        <v>1298</v>
      </c>
      <c r="Z131" s="29">
        <v>1868</v>
      </c>
      <c r="AA131" s="29">
        <v>2144</v>
      </c>
      <c r="AB131" s="29">
        <v>1916</v>
      </c>
      <c r="AC131" s="14"/>
      <c r="AD131" s="15">
        <f t="shared" si="6"/>
        <v>27079</v>
      </c>
    </row>
    <row r="132" spans="2:30" ht="15.75" x14ac:dyDescent="0.25">
      <c r="B132" s="6" t="s">
        <v>20</v>
      </c>
      <c r="C132" s="13">
        <v>211</v>
      </c>
      <c r="D132" s="13">
        <v>391</v>
      </c>
      <c r="E132" s="13">
        <v>288</v>
      </c>
      <c r="F132" s="13">
        <v>172</v>
      </c>
      <c r="G132" s="18">
        <v>435</v>
      </c>
      <c r="H132" s="18">
        <v>29724</v>
      </c>
      <c r="I132" s="19">
        <v>1802</v>
      </c>
      <c r="J132" s="17">
        <v>293</v>
      </c>
      <c r="K132" s="17">
        <v>532</v>
      </c>
      <c r="L132" s="17">
        <v>447</v>
      </c>
      <c r="M132" s="17">
        <v>643</v>
      </c>
      <c r="N132" s="17">
        <v>310</v>
      </c>
      <c r="O132" s="17">
        <v>454</v>
      </c>
      <c r="P132" s="17">
        <v>4985</v>
      </c>
      <c r="Q132" s="29">
        <v>4408</v>
      </c>
      <c r="R132" s="29">
        <v>949</v>
      </c>
      <c r="S132" s="29">
        <v>3672</v>
      </c>
      <c r="T132" s="29">
        <v>1094</v>
      </c>
      <c r="U132" s="29">
        <v>1088</v>
      </c>
      <c r="V132" s="29">
        <v>1769</v>
      </c>
      <c r="W132" s="29">
        <v>1092</v>
      </c>
      <c r="X132" s="29">
        <v>3345</v>
      </c>
      <c r="Y132" s="29">
        <v>2358</v>
      </c>
      <c r="Z132" s="29">
        <v>2677</v>
      </c>
      <c r="AA132" s="29">
        <v>2874</v>
      </c>
      <c r="AB132" s="29">
        <v>4044</v>
      </c>
      <c r="AC132" s="14"/>
      <c r="AD132" s="15">
        <f t="shared" si="6"/>
        <v>70057</v>
      </c>
    </row>
    <row r="133" spans="2:30" ht="15.75" x14ac:dyDescent="0.25">
      <c r="B133" s="6" t="s">
        <v>21</v>
      </c>
      <c r="C133" s="13">
        <v>123</v>
      </c>
      <c r="D133" s="13">
        <v>231</v>
      </c>
      <c r="E133" s="13">
        <v>87</v>
      </c>
      <c r="F133" s="13">
        <v>123</v>
      </c>
      <c r="G133" s="18">
        <v>174</v>
      </c>
      <c r="H133" s="18">
        <v>19257</v>
      </c>
      <c r="I133" s="19">
        <v>1251</v>
      </c>
      <c r="J133" s="17">
        <v>344</v>
      </c>
      <c r="K133" s="17">
        <v>494</v>
      </c>
      <c r="L133" s="17">
        <v>306</v>
      </c>
      <c r="M133" s="17">
        <v>370</v>
      </c>
      <c r="N133" s="17">
        <v>195</v>
      </c>
      <c r="O133" s="17">
        <v>498</v>
      </c>
      <c r="P133" s="17">
        <v>3780</v>
      </c>
      <c r="Q133" s="29">
        <v>3093</v>
      </c>
      <c r="R133" s="29">
        <v>493</v>
      </c>
      <c r="S133" s="29">
        <v>1841</v>
      </c>
      <c r="T133" s="29">
        <v>727</v>
      </c>
      <c r="U133" s="29">
        <v>1481</v>
      </c>
      <c r="V133" s="29">
        <v>813</v>
      </c>
      <c r="W133" s="29">
        <v>566</v>
      </c>
      <c r="X133" s="29">
        <v>1854</v>
      </c>
      <c r="Y133" s="29">
        <v>1040</v>
      </c>
      <c r="Z133" s="29">
        <v>1379</v>
      </c>
      <c r="AA133" s="29">
        <v>1709</v>
      </c>
      <c r="AB133" s="29">
        <v>2406</v>
      </c>
      <c r="AC133" s="14"/>
      <c r="AD133" s="15">
        <f t="shared" si="6"/>
        <v>44635</v>
      </c>
    </row>
    <row r="134" spans="2:30" ht="15.75" x14ac:dyDescent="0.25">
      <c r="B134" s="6" t="s">
        <v>22</v>
      </c>
      <c r="C134" s="13">
        <v>127</v>
      </c>
      <c r="D134" s="13">
        <v>118</v>
      </c>
      <c r="E134" s="13">
        <v>73</v>
      </c>
      <c r="F134" s="13">
        <v>125</v>
      </c>
      <c r="G134" s="18">
        <v>96</v>
      </c>
      <c r="H134" s="18">
        <v>13552</v>
      </c>
      <c r="I134" s="19">
        <v>823</v>
      </c>
      <c r="J134" s="17">
        <v>178</v>
      </c>
      <c r="K134" s="17">
        <v>294</v>
      </c>
      <c r="L134" s="17">
        <v>231</v>
      </c>
      <c r="M134" s="17">
        <v>221</v>
      </c>
      <c r="N134" s="17">
        <v>135</v>
      </c>
      <c r="O134" s="17">
        <v>222</v>
      </c>
      <c r="P134" s="17">
        <v>1875</v>
      </c>
      <c r="Q134" s="29">
        <v>1468</v>
      </c>
      <c r="R134" s="29">
        <v>427</v>
      </c>
      <c r="S134" s="29">
        <v>1480</v>
      </c>
      <c r="T134" s="29">
        <v>477</v>
      </c>
      <c r="U134" s="29">
        <v>859</v>
      </c>
      <c r="V134" s="29">
        <v>571</v>
      </c>
      <c r="W134" s="29">
        <v>356</v>
      </c>
      <c r="X134" s="29">
        <v>1185</v>
      </c>
      <c r="Y134" s="29">
        <v>879</v>
      </c>
      <c r="Z134" s="29">
        <v>1506</v>
      </c>
      <c r="AA134" s="29">
        <v>1691</v>
      </c>
      <c r="AB134" s="29">
        <v>1169</v>
      </c>
      <c r="AC134" s="14"/>
      <c r="AD134" s="15">
        <f t="shared" si="6"/>
        <v>30138</v>
      </c>
    </row>
    <row r="135" spans="2:30" ht="15.75" x14ac:dyDescent="0.25">
      <c r="B135" s="6" t="s">
        <v>23</v>
      </c>
      <c r="C135" s="13">
        <v>160</v>
      </c>
      <c r="D135" s="13">
        <v>171</v>
      </c>
      <c r="E135" s="13">
        <v>167</v>
      </c>
      <c r="F135" s="13">
        <v>190</v>
      </c>
      <c r="G135" s="18">
        <v>228</v>
      </c>
      <c r="H135" s="18">
        <v>35467</v>
      </c>
      <c r="I135" s="19">
        <v>1667</v>
      </c>
      <c r="J135" s="17">
        <v>353</v>
      </c>
      <c r="K135" s="17">
        <v>530</v>
      </c>
      <c r="L135" s="17">
        <v>527</v>
      </c>
      <c r="M135" s="17">
        <v>433</v>
      </c>
      <c r="N135" s="17">
        <v>261</v>
      </c>
      <c r="O135" s="17">
        <v>410</v>
      </c>
      <c r="P135" s="17">
        <v>4838</v>
      </c>
      <c r="Q135" s="29">
        <v>3064</v>
      </c>
      <c r="R135" s="29">
        <v>727</v>
      </c>
      <c r="S135" s="29">
        <v>3934</v>
      </c>
      <c r="T135" s="29">
        <v>1567</v>
      </c>
      <c r="U135" s="29">
        <v>3281</v>
      </c>
      <c r="V135" s="29">
        <v>1759</v>
      </c>
      <c r="W135" s="29">
        <v>1619</v>
      </c>
      <c r="X135" s="29">
        <v>1384</v>
      </c>
      <c r="Y135" s="29">
        <v>669</v>
      </c>
      <c r="Z135" s="29">
        <v>2262</v>
      </c>
      <c r="AA135" s="29">
        <v>3513</v>
      </c>
      <c r="AB135" s="29">
        <v>3868</v>
      </c>
      <c r="AC135" s="14"/>
      <c r="AD135" s="15">
        <f t="shared" si="6"/>
        <v>73049</v>
      </c>
    </row>
    <row r="136" spans="2:30" ht="15.75" x14ac:dyDescent="0.25">
      <c r="B136" s="6" t="s">
        <v>24</v>
      </c>
      <c r="C136" s="13">
        <v>112</v>
      </c>
      <c r="D136" s="13">
        <v>115</v>
      </c>
      <c r="E136" s="13">
        <v>75</v>
      </c>
      <c r="F136" s="13">
        <v>64</v>
      </c>
      <c r="G136" s="18">
        <v>81</v>
      </c>
      <c r="H136" s="18">
        <v>22003</v>
      </c>
      <c r="I136" s="19">
        <v>1036</v>
      </c>
      <c r="J136" s="17">
        <v>205</v>
      </c>
      <c r="K136" s="17">
        <v>390</v>
      </c>
      <c r="L136" s="17">
        <v>178</v>
      </c>
      <c r="M136" s="17">
        <v>262</v>
      </c>
      <c r="N136" s="17">
        <v>99</v>
      </c>
      <c r="O136" s="17">
        <v>210</v>
      </c>
      <c r="P136" s="17">
        <v>3373</v>
      </c>
      <c r="Q136" s="29">
        <v>2047</v>
      </c>
      <c r="R136" s="29">
        <v>433</v>
      </c>
      <c r="S136" s="29">
        <v>2251</v>
      </c>
      <c r="T136" s="29">
        <v>1259</v>
      </c>
      <c r="U136" s="29">
        <v>2190</v>
      </c>
      <c r="V136" s="29">
        <v>915</v>
      </c>
      <c r="W136" s="29">
        <v>1178</v>
      </c>
      <c r="X136" s="29">
        <v>729</v>
      </c>
      <c r="Y136" s="29">
        <v>649</v>
      </c>
      <c r="Z136" s="29">
        <v>810</v>
      </c>
      <c r="AA136" s="29">
        <v>2033</v>
      </c>
      <c r="AB136" s="29">
        <v>2071</v>
      </c>
      <c r="AC136" s="14"/>
      <c r="AD136" s="15">
        <f t="shared" si="6"/>
        <v>44768</v>
      </c>
    </row>
    <row r="137" spans="2:30" ht="15.75" x14ac:dyDescent="0.25">
      <c r="B137" s="6" t="s">
        <v>25</v>
      </c>
      <c r="C137" s="13">
        <v>86</v>
      </c>
      <c r="D137" s="13">
        <v>146</v>
      </c>
      <c r="E137" s="13">
        <v>76</v>
      </c>
      <c r="F137" s="13">
        <v>64</v>
      </c>
      <c r="G137" s="18">
        <v>212</v>
      </c>
      <c r="H137" s="18">
        <v>36077</v>
      </c>
      <c r="I137" s="19">
        <v>1505</v>
      </c>
      <c r="J137" s="17">
        <v>298</v>
      </c>
      <c r="K137" s="17">
        <v>607</v>
      </c>
      <c r="L137" s="17">
        <v>305</v>
      </c>
      <c r="M137" s="17">
        <v>370</v>
      </c>
      <c r="N137" s="17">
        <v>217</v>
      </c>
      <c r="O137" s="17">
        <v>404</v>
      </c>
      <c r="P137" s="17">
        <v>4418</v>
      </c>
      <c r="Q137" s="29">
        <v>2534</v>
      </c>
      <c r="R137" s="29">
        <v>758</v>
      </c>
      <c r="S137" s="29">
        <v>3548</v>
      </c>
      <c r="T137" s="29">
        <v>1835</v>
      </c>
      <c r="U137" s="29">
        <v>2817</v>
      </c>
      <c r="V137" s="29">
        <v>1331</v>
      </c>
      <c r="W137" s="29">
        <v>1987</v>
      </c>
      <c r="X137" s="29">
        <v>2478</v>
      </c>
      <c r="Y137" s="29">
        <v>984</v>
      </c>
      <c r="Z137" s="29">
        <v>1219</v>
      </c>
      <c r="AA137" s="29">
        <v>2317</v>
      </c>
      <c r="AB137" s="29">
        <v>2819</v>
      </c>
      <c r="AC137" s="14"/>
      <c r="AD137" s="15">
        <f t="shared" si="6"/>
        <v>69412</v>
      </c>
    </row>
    <row r="138" spans="2:30" ht="15.75" x14ac:dyDescent="0.25">
      <c r="B138" s="6" t="s">
        <v>26</v>
      </c>
      <c r="C138" s="13">
        <v>125</v>
      </c>
      <c r="D138" s="13">
        <v>143</v>
      </c>
      <c r="E138" s="13">
        <v>126</v>
      </c>
      <c r="F138" s="13">
        <v>79</v>
      </c>
      <c r="G138" s="18">
        <v>95</v>
      </c>
      <c r="H138" s="18">
        <v>28948</v>
      </c>
      <c r="I138" s="19">
        <v>1335</v>
      </c>
      <c r="J138" s="17">
        <v>290</v>
      </c>
      <c r="K138" s="17">
        <v>534</v>
      </c>
      <c r="L138" s="17">
        <v>338</v>
      </c>
      <c r="M138" s="17">
        <v>351</v>
      </c>
      <c r="N138" s="17">
        <v>146</v>
      </c>
      <c r="O138" s="17">
        <v>257</v>
      </c>
      <c r="P138" s="17">
        <v>2968</v>
      </c>
      <c r="Q138" s="29">
        <v>1806</v>
      </c>
      <c r="R138" s="29">
        <v>596</v>
      </c>
      <c r="S138" s="29">
        <v>3880</v>
      </c>
      <c r="T138" s="29">
        <v>1829</v>
      </c>
      <c r="U138" s="29">
        <v>2738</v>
      </c>
      <c r="V138" s="29">
        <v>1455</v>
      </c>
      <c r="W138" s="29">
        <v>2111</v>
      </c>
      <c r="X138" s="29">
        <v>4092</v>
      </c>
      <c r="Y138" s="29">
        <v>2220</v>
      </c>
      <c r="Z138" s="29">
        <v>2979</v>
      </c>
      <c r="AA138" s="29">
        <v>859</v>
      </c>
      <c r="AB138" s="29">
        <v>1366</v>
      </c>
      <c r="AC138" s="14"/>
      <c r="AD138" s="15">
        <f t="shared" si="6"/>
        <v>61666</v>
      </c>
    </row>
    <row r="139" spans="2:30" ht="15.75" x14ac:dyDescent="0.25">
      <c r="B139" s="6" t="s">
        <v>27</v>
      </c>
      <c r="C139" s="13">
        <v>290</v>
      </c>
      <c r="D139" s="13">
        <v>383</v>
      </c>
      <c r="E139" s="13">
        <v>236</v>
      </c>
      <c r="F139" s="13">
        <v>211</v>
      </c>
      <c r="G139" s="18">
        <v>361</v>
      </c>
      <c r="H139" s="18">
        <v>43849</v>
      </c>
      <c r="I139" s="19">
        <v>2140</v>
      </c>
      <c r="J139" s="17">
        <v>236</v>
      </c>
      <c r="K139" s="17">
        <v>940</v>
      </c>
      <c r="L139" s="17">
        <v>631</v>
      </c>
      <c r="M139" s="17">
        <v>536</v>
      </c>
      <c r="N139" s="17">
        <v>436</v>
      </c>
      <c r="O139" s="17">
        <v>423</v>
      </c>
      <c r="P139" s="17">
        <v>4605</v>
      </c>
      <c r="Q139" s="29">
        <v>3237</v>
      </c>
      <c r="R139" s="29">
        <v>797</v>
      </c>
      <c r="S139" s="29">
        <v>4124</v>
      </c>
      <c r="T139" s="29">
        <v>1787</v>
      </c>
      <c r="U139" s="29">
        <v>3535</v>
      </c>
      <c r="V139" s="29">
        <v>2279</v>
      </c>
      <c r="W139" s="29">
        <v>1234</v>
      </c>
      <c r="X139" s="29">
        <v>3619</v>
      </c>
      <c r="Y139" s="29">
        <v>2216</v>
      </c>
      <c r="Z139" s="29">
        <v>3405</v>
      </c>
      <c r="AA139" s="29">
        <v>2390</v>
      </c>
      <c r="AB139" s="29">
        <v>731</v>
      </c>
      <c r="AC139" s="14"/>
      <c r="AD139" s="15">
        <f t="shared" si="6"/>
        <v>84631</v>
      </c>
    </row>
    <row r="140" spans="2:30" ht="15.75" x14ac:dyDescent="0.25">
      <c r="B140" s="39" t="s">
        <v>28</v>
      </c>
      <c r="C140" s="13"/>
      <c r="D140" s="13"/>
      <c r="E140" s="13"/>
      <c r="F140" s="13"/>
      <c r="G140" s="18"/>
      <c r="H140" s="18"/>
      <c r="I140" s="19"/>
      <c r="J140" s="17"/>
      <c r="K140" s="17"/>
      <c r="L140" s="17"/>
      <c r="M140" s="17"/>
      <c r="N140" s="17"/>
      <c r="O140" s="17"/>
      <c r="P140" s="17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14"/>
      <c r="AD140" s="15">
        <f t="shared" si="6"/>
        <v>0</v>
      </c>
    </row>
    <row r="141" spans="2:30" ht="15.75" x14ac:dyDescent="0.25">
      <c r="B141" s="3" t="s">
        <v>30</v>
      </c>
      <c r="C141" s="41">
        <f>SUM(C114:C140)</f>
        <v>23819</v>
      </c>
      <c r="D141" s="41">
        <f t="shared" ref="D141:AD141" si="7">SUM(D114:D140)</f>
        <v>11512</v>
      </c>
      <c r="E141" s="41">
        <f t="shared" si="7"/>
        <v>11847</v>
      </c>
      <c r="F141" s="41">
        <f t="shared" si="7"/>
        <v>7826</v>
      </c>
      <c r="G141" s="41">
        <f t="shared" si="7"/>
        <v>11901</v>
      </c>
      <c r="H141" s="41">
        <f t="shared" si="7"/>
        <v>304101</v>
      </c>
      <c r="I141" s="42">
        <f t="shared" si="7"/>
        <v>27325</v>
      </c>
      <c r="J141" s="41">
        <f t="shared" si="7"/>
        <v>8428</v>
      </c>
      <c r="K141" s="41">
        <f t="shared" si="7"/>
        <v>14274</v>
      </c>
      <c r="L141" s="41">
        <f t="shared" si="7"/>
        <v>12909</v>
      </c>
      <c r="M141" s="41">
        <f t="shared" si="7"/>
        <v>12596</v>
      </c>
      <c r="N141" s="41">
        <f t="shared" si="7"/>
        <v>7664</v>
      </c>
      <c r="O141" s="41">
        <f t="shared" si="7"/>
        <v>10801</v>
      </c>
      <c r="P141" s="41">
        <f t="shared" si="7"/>
        <v>43940</v>
      </c>
      <c r="Q141" s="41">
        <f t="shared" si="7"/>
        <v>35645</v>
      </c>
      <c r="R141" s="41">
        <f t="shared" si="7"/>
        <v>13183</v>
      </c>
      <c r="S141" s="41">
        <f t="shared" si="7"/>
        <v>55045</v>
      </c>
      <c r="T141" s="41">
        <f t="shared" si="7"/>
        <v>24264</v>
      </c>
      <c r="U141" s="41">
        <f t="shared" si="7"/>
        <v>69630</v>
      </c>
      <c r="V141" s="41">
        <f t="shared" si="7"/>
        <v>45806</v>
      </c>
      <c r="W141" s="41">
        <f t="shared" si="7"/>
        <v>32425</v>
      </c>
      <c r="X141" s="41">
        <f t="shared" si="7"/>
        <v>75608</v>
      </c>
      <c r="Y141" s="41">
        <f t="shared" si="7"/>
        <v>43132</v>
      </c>
      <c r="Z141" s="41">
        <f t="shared" si="7"/>
        <v>65361</v>
      </c>
      <c r="AA141" s="41">
        <f t="shared" si="7"/>
        <v>62211</v>
      </c>
      <c r="AB141" s="41">
        <f t="shared" si="7"/>
        <v>71347</v>
      </c>
      <c r="AC141" s="41">
        <f t="shared" si="7"/>
        <v>0</v>
      </c>
      <c r="AD141" s="43">
        <f t="shared" si="7"/>
        <v>1102600</v>
      </c>
    </row>
    <row r="142" spans="2:30" x14ac:dyDescent="0.25"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 spans="2:30" x14ac:dyDescent="0.25"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</row>
    <row r="144" spans="2:30" x14ac:dyDescent="0.25"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 spans="2:30" x14ac:dyDescent="0.25">
      <c r="B145" t="s">
        <v>35</v>
      </c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</row>
    <row r="148" spans="2:30" ht="16.5" thickBot="1" x14ac:dyDescent="0.3">
      <c r="B148" s="3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5" t="s">
        <v>8</v>
      </c>
      <c r="J148" s="4" t="s">
        <v>9</v>
      </c>
      <c r="K148" s="4" t="s">
        <v>10</v>
      </c>
      <c r="L148" s="4" t="s">
        <v>11</v>
      </c>
      <c r="M148" s="4" t="s">
        <v>12</v>
      </c>
      <c r="N148" s="4" t="s">
        <v>13</v>
      </c>
      <c r="O148" s="4" t="s">
        <v>14</v>
      </c>
      <c r="P148" s="4" t="s">
        <v>15</v>
      </c>
      <c r="Q148" s="4" t="s">
        <v>16</v>
      </c>
      <c r="R148" s="4" t="s">
        <v>17</v>
      </c>
      <c r="S148" s="4" t="s">
        <v>18</v>
      </c>
      <c r="T148" s="6" t="s">
        <v>19</v>
      </c>
      <c r="U148" s="6" t="s">
        <v>20</v>
      </c>
      <c r="V148" s="6" t="s">
        <v>21</v>
      </c>
      <c r="W148" s="6" t="s">
        <v>22</v>
      </c>
      <c r="X148" s="6" t="s">
        <v>23</v>
      </c>
      <c r="Y148" s="6" t="s">
        <v>24</v>
      </c>
      <c r="Z148" s="6" t="s">
        <v>25</v>
      </c>
      <c r="AA148" s="6" t="s">
        <v>26</v>
      </c>
      <c r="AB148" s="6" t="s">
        <v>27</v>
      </c>
      <c r="AC148" s="6" t="s">
        <v>28</v>
      </c>
      <c r="AD148" s="3" t="s">
        <v>29</v>
      </c>
    </row>
    <row r="149" spans="2:30" ht="15.75" x14ac:dyDescent="0.25">
      <c r="B149" s="4" t="s">
        <v>2</v>
      </c>
      <c r="C149" s="7">
        <v>157</v>
      </c>
      <c r="D149" s="8">
        <v>178</v>
      </c>
      <c r="E149" s="8">
        <v>510</v>
      </c>
      <c r="F149" s="8">
        <v>460</v>
      </c>
      <c r="G149" s="9">
        <v>507</v>
      </c>
      <c r="H149" s="9">
        <v>6317</v>
      </c>
      <c r="I149" s="10">
        <v>918</v>
      </c>
      <c r="J149" s="9">
        <v>598</v>
      </c>
      <c r="K149" s="9">
        <v>1121</v>
      </c>
      <c r="L149" s="9">
        <v>759</v>
      </c>
      <c r="M149" s="9">
        <v>720</v>
      </c>
      <c r="N149" s="9">
        <v>409</v>
      </c>
      <c r="O149" s="9">
        <v>584</v>
      </c>
      <c r="P149" s="9">
        <v>513</v>
      </c>
      <c r="Q149" s="9">
        <v>143</v>
      </c>
      <c r="R149" s="9">
        <v>105</v>
      </c>
      <c r="S149" s="9">
        <v>299</v>
      </c>
      <c r="T149" s="9">
        <v>312</v>
      </c>
      <c r="U149" s="9">
        <v>183</v>
      </c>
      <c r="V149" s="11">
        <v>113</v>
      </c>
      <c r="W149" s="12">
        <v>148</v>
      </c>
      <c r="X149" s="13">
        <v>192</v>
      </c>
      <c r="Y149" s="13">
        <v>88</v>
      </c>
      <c r="Z149" s="13">
        <v>133</v>
      </c>
      <c r="AA149" s="13">
        <v>83</v>
      </c>
      <c r="AB149" s="13">
        <v>199</v>
      </c>
      <c r="AC149" s="14"/>
      <c r="AD149" s="15">
        <f>SUM(C149:AC149)</f>
        <v>15749</v>
      </c>
    </row>
    <row r="150" spans="2:30" ht="15.75" x14ac:dyDescent="0.25">
      <c r="B150" s="4" t="s">
        <v>3</v>
      </c>
      <c r="C150" s="16">
        <v>487</v>
      </c>
      <c r="D150" s="17">
        <v>81</v>
      </c>
      <c r="E150" s="17">
        <v>44</v>
      </c>
      <c r="F150" s="17">
        <v>112</v>
      </c>
      <c r="G150" s="18">
        <v>235</v>
      </c>
      <c r="H150" s="18">
        <v>2840</v>
      </c>
      <c r="I150" s="19">
        <v>661</v>
      </c>
      <c r="J150" s="18">
        <v>439</v>
      </c>
      <c r="K150" s="18">
        <v>960</v>
      </c>
      <c r="L150" s="18">
        <v>660</v>
      </c>
      <c r="M150" s="18">
        <v>497</v>
      </c>
      <c r="N150" s="18">
        <v>417</v>
      </c>
      <c r="O150" s="20">
        <v>612</v>
      </c>
      <c r="P150" s="18">
        <v>535</v>
      </c>
      <c r="Q150" s="18">
        <v>246</v>
      </c>
      <c r="R150" s="18">
        <v>137</v>
      </c>
      <c r="S150" s="18">
        <v>263</v>
      </c>
      <c r="T150" s="18">
        <v>447</v>
      </c>
      <c r="U150" s="18">
        <v>415</v>
      </c>
      <c r="V150" s="21">
        <v>167</v>
      </c>
      <c r="W150" s="17">
        <v>193</v>
      </c>
      <c r="X150" s="18">
        <v>166</v>
      </c>
      <c r="Y150" s="18">
        <v>104</v>
      </c>
      <c r="Z150" s="18">
        <v>215</v>
      </c>
      <c r="AA150" s="18">
        <v>164</v>
      </c>
      <c r="AB150" s="18">
        <v>278</v>
      </c>
      <c r="AC150" s="22"/>
      <c r="AD150" s="15">
        <f>SUM(C150:AC150)</f>
        <v>11375</v>
      </c>
    </row>
    <row r="151" spans="2:30" ht="15.75" x14ac:dyDescent="0.25">
      <c r="B151" s="4" t="s">
        <v>4</v>
      </c>
      <c r="C151" s="16">
        <v>1019</v>
      </c>
      <c r="D151" s="17">
        <v>75</v>
      </c>
      <c r="E151" s="17">
        <v>84</v>
      </c>
      <c r="F151" s="17">
        <v>119</v>
      </c>
      <c r="G151" s="18">
        <v>286</v>
      </c>
      <c r="H151" s="18">
        <v>3448</v>
      </c>
      <c r="I151" s="19">
        <v>763</v>
      </c>
      <c r="J151" s="18">
        <v>619</v>
      </c>
      <c r="K151" s="18">
        <v>550</v>
      </c>
      <c r="L151" s="18">
        <v>466</v>
      </c>
      <c r="M151" s="18">
        <v>595</v>
      </c>
      <c r="N151" s="18">
        <v>284</v>
      </c>
      <c r="O151" s="18">
        <v>532</v>
      </c>
      <c r="P151" s="18">
        <v>505</v>
      </c>
      <c r="Q151" s="18">
        <v>197</v>
      </c>
      <c r="R151" s="18">
        <v>64</v>
      </c>
      <c r="S151" s="18">
        <v>137</v>
      </c>
      <c r="T151" s="18">
        <v>193</v>
      </c>
      <c r="U151" s="18">
        <v>234</v>
      </c>
      <c r="V151" s="21">
        <v>105</v>
      </c>
      <c r="W151" s="17">
        <v>104</v>
      </c>
      <c r="X151" s="18">
        <v>112</v>
      </c>
      <c r="Y151" s="18">
        <v>59</v>
      </c>
      <c r="Z151" s="18">
        <v>64</v>
      </c>
      <c r="AA151" s="18">
        <v>134</v>
      </c>
      <c r="AB151" s="18">
        <v>233</v>
      </c>
      <c r="AC151" s="22"/>
      <c r="AD151" s="15">
        <f>SUM(C151:AC151)</f>
        <v>10981</v>
      </c>
    </row>
    <row r="152" spans="2:30" ht="15.75" x14ac:dyDescent="0.25">
      <c r="B152" s="4" t="s">
        <v>5</v>
      </c>
      <c r="C152" s="16">
        <v>1103</v>
      </c>
      <c r="D152" s="17">
        <v>64</v>
      </c>
      <c r="E152" s="17">
        <v>141</v>
      </c>
      <c r="F152" s="17">
        <v>87</v>
      </c>
      <c r="G152" s="18">
        <v>77</v>
      </c>
      <c r="H152" s="18">
        <v>1401</v>
      </c>
      <c r="I152" s="19">
        <v>350</v>
      </c>
      <c r="J152" s="18">
        <v>351</v>
      </c>
      <c r="K152" s="18">
        <v>513</v>
      </c>
      <c r="L152" s="18">
        <v>323</v>
      </c>
      <c r="M152" s="18">
        <v>493</v>
      </c>
      <c r="N152" s="18">
        <v>199</v>
      </c>
      <c r="O152" s="18">
        <v>351</v>
      </c>
      <c r="P152" s="18">
        <v>293</v>
      </c>
      <c r="Q152" s="18">
        <v>119</v>
      </c>
      <c r="R152" s="18">
        <v>88</v>
      </c>
      <c r="S152" s="18">
        <v>272</v>
      </c>
      <c r="T152" s="18">
        <v>164</v>
      </c>
      <c r="U152" s="18">
        <v>204</v>
      </c>
      <c r="V152" s="21">
        <v>193</v>
      </c>
      <c r="W152" s="17">
        <v>124</v>
      </c>
      <c r="X152" s="18">
        <v>189</v>
      </c>
      <c r="Y152" s="18">
        <v>91</v>
      </c>
      <c r="Z152" s="18">
        <v>58</v>
      </c>
      <c r="AA152" s="18">
        <v>87</v>
      </c>
      <c r="AB152" s="18">
        <v>170</v>
      </c>
      <c r="AC152" s="22"/>
      <c r="AD152" s="15">
        <f t="shared" ref="AD152:AD175" si="8">SUM(C152:AC152)</f>
        <v>7505</v>
      </c>
    </row>
    <row r="153" spans="2:30" ht="15.75" x14ac:dyDescent="0.25">
      <c r="B153" s="4" t="s">
        <v>6</v>
      </c>
      <c r="C153" s="16">
        <v>1239</v>
      </c>
      <c r="D153" s="17">
        <v>204</v>
      </c>
      <c r="E153" s="17">
        <v>415</v>
      </c>
      <c r="F153" s="17">
        <v>76</v>
      </c>
      <c r="G153" s="18">
        <v>187</v>
      </c>
      <c r="H153" s="18">
        <v>2266</v>
      </c>
      <c r="I153" s="19">
        <v>597</v>
      </c>
      <c r="J153" s="18">
        <v>476</v>
      </c>
      <c r="K153" s="18">
        <v>915</v>
      </c>
      <c r="L153" s="18">
        <v>683</v>
      </c>
      <c r="M153" s="18">
        <v>795</v>
      </c>
      <c r="N153" s="18">
        <v>393</v>
      </c>
      <c r="O153" s="18">
        <v>877</v>
      </c>
      <c r="P153" s="18">
        <v>446</v>
      </c>
      <c r="Q153" s="18">
        <v>274</v>
      </c>
      <c r="R153" s="18">
        <v>98</v>
      </c>
      <c r="S153" s="18">
        <v>445</v>
      </c>
      <c r="T153" s="18">
        <v>169</v>
      </c>
      <c r="U153" s="18">
        <v>335</v>
      </c>
      <c r="V153" s="21">
        <v>154</v>
      </c>
      <c r="W153" s="17">
        <v>79</v>
      </c>
      <c r="X153" s="17">
        <v>238</v>
      </c>
      <c r="Y153" s="17">
        <v>84</v>
      </c>
      <c r="Z153" s="17">
        <v>150</v>
      </c>
      <c r="AA153" s="17">
        <v>143</v>
      </c>
      <c r="AB153" s="17">
        <v>296</v>
      </c>
      <c r="AC153" s="23"/>
      <c r="AD153" s="15">
        <f t="shared" si="8"/>
        <v>12034</v>
      </c>
    </row>
    <row r="154" spans="2:30" ht="15.75" x14ac:dyDescent="0.25">
      <c r="B154" s="4" t="s">
        <v>7</v>
      </c>
      <c r="C154" s="16">
        <v>8694</v>
      </c>
      <c r="D154" s="17">
        <v>2857</v>
      </c>
      <c r="E154" s="17">
        <v>3281</v>
      </c>
      <c r="F154" s="17">
        <v>1268</v>
      </c>
      <c r="G154" s="18">
        <v>2335</v>
      </c>
      <c r="H154" s="18">
        <v>3942</v>
      </c>
      <c r="I154" s="19">
        <v>7437</v>
      </c>
      <c r="J154" s="18">
        <v>436</v>
      </c>
      <c r="K154" s="18">
        <v>1399</v>
      </c>
      <c r="L154" s="18">
        <v>2977</v>
      </c>
      <c r="M154" s="18">
        <v>2360</v>
      </c>
      <c r="N154" s="18">
        <v>1520</v>
      </c>
      <c r="O154" s="18">
        <v>1438</v>
      </c>
      <c r="P154" s="18">
        <v>2214</v>
      </c>
      <c r="Q154" s="18">
        <v>3336</v>
      </c>
      <c r="R154" s="18">
        <v>3366</v>
      </c>
      <c r="S154" s="18">
        <v>15461</v>
      </c>
      <c r="T154" s="18">
        <v>6494</v>
      </c>
      <c r="U154" s="18">
        <v>29929</v>
      </c>
      <c r="V154" s="21">
        <v>21134</v>
      </c>
      <c r="W154" s="17">
        <v>14466</v>
      </c>
      <c r="X154" s="17">
        <v>38902</v>
      </c>
      <c r="Y154" s="17">
        <v>21837</v>
      </c>
      <c r="Z154" s="17">
        <v>34197</v>
      </c>
      <c r="AA154" s="17">
        <v>30363</v>
      </c>
      <c r="AB154" s="17">
        <v>34131</v>
      </c>
      <c r="AC154" s="23"/>
      <c r="AD154" s="15">
        <f t="shared" si="8"/>
        <v>295774</v>
      </c>
    </row>
    <row r="155" spans="2:30" ht="15.75" x14ac:dyDescent="0.25">
      <c r="B155" s="5" t="s">
        <v>8</v>
      </c>
      <c r="C155" s="24">
        <v>1661</v>
      </c>
      <c r="D155" s="25">
        <v>975</v>
      </c>
      <c r="E155" s="25">
        <v>1023</v>
      </c>
      <c r="F155" s="25">
        <v>587</v>
      </c>
      <c r="G155" s="19">
        <v>931</v>
      </c>
      <c r="H155" s="19">
        <v>4959</v>
      </c>
      <c r="I155" s="19">
        <v>379</v>
      </c>
      <c r="J155" s="19">
        <v>235</v>
      </c>
      <c r="K155" s="19">
        <v>420</v>
      </c>
      <c r="L155" s="19">
        <v>737</v>
      </c>
      <c r="M155" s="19">
        <v>608</v>
      </c>
      <c r="N155" s="19">
        <v>474</v>
      </c>
      <c r="O155" s="19">
        <v>533</v>
      </c>
      <c r="P155" s="19">
        <v>398</v>
      </c>
      <c r="Q155" s="19">
        <v>670</v>
      </c>
      <c r="R155" s="19">
        <v>507</v>
      </c>
      <c r="S155" s="19">
        <v>2561</v>
      </c>
      <c r="T155" s="19">
        <v>905</v>
      </c>
      <c r="U155" s="19">
        <v>2940</v>
      </c>
      <c r="V155" s="26">
        <v>2144</v>
      </c>
      <c r="W155" s="25">
        <v>1093</v>
      </c>
      <c r="X155" s="25">
        <v>2544</v>
      </c>
      <c r="Y155" s="25">
        <v>1471</v>
      </c>
      <c r="Z155" s="25">
        <v>2223</v>
      </c>
      <c r="AA155" s="25">
        <v>2045</v>
      </c>
      <c r="AB155" s="25">
        <v>2402</v>
      </c>
      <c r="AC155" s="27"/>
      <c r="AD155" s="28">
        <f t="shared" si="8"/>
        <v>35425</v>
      </c>
    </row>
    <row r="156" spans="2:30" ht="15.75" x14ac:dyDescent="0.25">
      <c r="B156" s="4" t="s">
        <v>9</v>
      </c>
      <c r="C156" s="16">
        <v>737</v>
      </c>
      <c r="D156" s="17">
        <v>398</v>
      </c>
      <c r="E156" s="17">
        <v>483</v>
      </c>
      <c r="F156" s="17">
        <v>340</v>
      </c>
      <c r="G156" s="18">
        <v>461</v>
      </c>
      <c r="H156" s="18">
        <v>589</v>
      </c>
      <c r="I156" s="19">
        <v>204</v>
      </c>
      <c r="J156" s="18">
        <v>45</v>
      </c>
      <c r="K156" s="18">
        <v>168</v>
      </c>
      <c r="L156" s="18">
        <v>424</v>
      </c>
      <c r="M156" s="18">
        <v>546</v>
      </c>
      <c r="N156" s="18">
        <v>415</v>
      </c>
      <c r="O156" s="18">
        <v>465</v>
      </c>
      <c r="P156" s="18">
        <v>88</v>
      </c>
      <c r="Q156" s="18">
        <v>99</v>
      </c>
      <c r="R156" s="18">
        <v>85</v>
      </c>
      <c r="S156" s="18">
        <v>355</v>
      </c>
      <c r="T156" s="18">
        <v>50</v>
      </c>
      <c r="U156" s="18">
        <v>270</v>
      </c>
      <c r="V156" s="21">
        <v>176</v>
      </c>
      <c r="W156" s="17">
        <v>158</v>
      </c>
      <c r="X156" s="17">
        <v>265</v>
      </c>
      <c r="Y156" s="17">
        <v>141</v>
      </c>
      <c r="Z156" s="17">
        <v>320</v>
      </c>
      <c r="AA156" s="17">
        <v>207</v>
      </c>
      <c r="AB156" s="17">
        <v>275</v>
      </c>
      <c r="AC156" s="23"/>
      <c r="AD156" s="15">
        <f t="shared" si="8"/>
        <v>7764</v>
      </c>
    </row>
    <row r="157" spans="2:30" ht="15.75" x14ac:dyDescent="0.25">
      <c r="B157" s="4" t="s">
        <v>10</v>
      </c>
      <c r="C157" s="16">
        <v>996</v>
      </c>
      <c r="D157" s="17">
        <v>840</v>
      </c>
      <c r="E157" s="17">
        <v>556</v>
      </c>
      <c r="F157" s="17">
        <v>441</v>
      </c>
      <c r="G157" s="18">
        <v>877</v>
      </c>
      <c r="H157" s="18">
        <v>1701</v>
      </c>
      <c r="I157" s="19">
        <v>324</v>
      </c>
      <c r="J157" s="18">
        <v>229</v>
      </c>
      <c r="K157" s="18">
        <v>111</v>
      </c>
      <c r="L157" s="18">
        <v>389</v>
      </c>
      <c r="M157" s="18">
        <v>737</v>
      </c>
      <c r="N157" s="18">
        <v>299</v>
      </c>
      <c r="O157" s="18">
        <v>567</v>
      </c>
      <c r="P157" s="18">
        <v>189</v>
      </c>
      <c r="Q157" s="18">
        <v>283</v>
      </c>
      <c r="R157" s="18">
        <v>179</v>
      </c>
      <c r="S157" s="18">
        <v>604</v>
      </c>
      <c r="T157" s="18">
        <v>179</v>
      </c>
      <c r="U157" s="18">
        <v>405</v>
      </c>
      <c r="V157" s="21">
        <v>461</v>
      </c>
      <c r="W157" s="17">
        <v>314</v>
      </c>
      <c r="X157" s="17">
        <v>501</v>
      </c>
      <c r="Y157" s="17">
        <v>338</v>
      </c>
      <c r="Z157" s="17">
        <v>550</v>
      </c>
      <c r="AA157" s="17">
        <v>530</v>
      </c>
      <c r="AB157" s="17">
        <v>733</v>
      </c>
      <c r="AC157" s="23"/>
      <c r="AD157" s="15">
        <f t="shared" si="8"/>
        <v>13333</v>
      </c>
    </row>
    <row r="158" spans="2:30" ht="15.75" x14ac:dyDescent="0.25">
      <c r="B158" s="4" t="s">
        <v>11</v>
      </c>
      <c r="C158" s="16">
        <v>732</v>
      </c>
      <c r="D158" s="17">
        <v>712</v>
      </c>
      <c r="E158" s="17">
        <v>591</v>
      </c>
      <c r="F158" s="17">
        <v>458</v>
      </c>
      <c r="G158" s="18">
        <v>779</v>
      </c>
      <c r="H158" s="18">
        <v>3843</v>
      </c>
      <c r="I158" s="19">
        <v>595</v>
      </c>
      <c r="J158" s="18">
        <v>462</v>
      </c>
      <c r="K158" s="18">
        <v>426</v>
      </c>
      <c r="L158" s="18">
        <v>117</v>
      </c>
      <c r="M158" s="18">
        <v>153</v>
      </c>
      <c r="N158" s="18">
        <v>182</v>
      </c>
      <c r="O158" s="18">
        <v>240</v>
      </c>
      <c r="P158" s="18">
        <v>360</v>
      </c>
      <c r="Q158" s="18">
        <v>244</v>
      </c>
      <c r="R158" s="18">
        <v>236</v>
      </c>
      <c r="S158" s="18">
        <v>397</v>
      </c>
      <c r="T158" s="18">
        <v>328</v>
      </c>
      <c r="U158" s="18">
        <v>542</v>
      </c>
      <c r="V158" s="21">
        <v>294</v>
      </c>
      <c r="W158" s="17">
        <v>306</v>
      </c>
      <c r="X158" s="17">
        <v>476</v>
      </c>
      <c r="Y158" s="17">
        <v>165</v>
      </c>
      <c r="Z158" s="17">
        <v>278</v>
      </c>
      <c r="AA158" s="17">
        <v>310</v>
      </c>
      <c r="AB158" s="17">
        <v>691</v>
      </c>
      <c r="AC158" s="23"/>
      <c r="AD158" s="15">
        <f t="shared" si="8"/>
        <v>13917</v>
      </c>
    </row>
    <row r="159" spans="2:30" ht="15.75" x14ac:dyDescent="0.25">
      <c r="B159" s="4" t="s">
        <v>12</v>
      </c>
      <c r="C159" s="16">
        <v>766</v>
      </c>
      <c r="D159" s="17">
        <v>543</v>
      </c>
      <c r="E159" s="17">
        <v>589</v>
      </c>
      <c r="F159" s="17">
        <v>531</v>
      </c>
      <c r="G159" s="18">
        <v>679</v>
      </c>
      <c r="H159" s="18">
        <v>3054</v>
      </c>
      <c r="I159" s="19">
        <v>575</v>
      </c>
      <c r="J159" s="18">
        <v>568</v>
      </c>
      <c r="K159" s="18">
        <v>479</v>
      </c>
      <c r="L159" s="18">
        <v>127</v>
      </c>
      <c r="M159" s="18">
        <v>71</v>
      </c>
      <c r="N159" s="18">
        <v>143</v>
      </c>
      <c r="O159" s="18">
        <v>412</v>
      </c>
      <c r="P159" s="18">
        <v>341</v>
      </c>
      <c r="Q159" s="18">
        <v>286</v>
      </c>
      <c r="R159" s="18">
        <v>161</v>
      </c>
      <c r="S159" s="18">
        <v>455</v>
      </c>
      <c r="T159" s="18">
        <v>156</v>
      </c>
      <c r="U159" s="18">
        <v>649</v>
      </c>
      <c r="V159" s="21">
        <v>294</v>
      </c>
      <c r="W159" s="17">
        <v>181</v>
      </c>
      <c r="X159" s="17">
        <v>402</v>
      </c>
      <c r="Y159" s="17">
        <v>254</v>
      </c>
      <c r="Z159" s="17">
        <v>325</v>
      </c>
      <c r="AA159" s="17">
        <v>283</v>
      </c>
      <c r="AB159" s="17">
        <v>488</v>
      </c>
      <c r="AC159" s="23"/>
      <c r="AD159" s="15">
        <f t="shared" si="8"/>
        <v>12812</v>
      </c>
    </row>
    <row r="160" spans="2:30" ht="15.75" x14ac:dyDescent="0.25">
      <c r="B160" s="4" t="s">
        <v>13</v>
      </c>
      <c r="C160" s="16">
        <v>485</v>
      </c>
      <c r="D160" s="17">
        <v>338</v>
      </c>
      <c r="E160" s="17">
        <v>280</v>
      </c>
      <c r="F160" s="17">
        <v>190</v>
      </c>
      <c r="G160" s="18">
        <v>399</v>
      </c>
      <c r="H160" s="18">
        <v>2132</v>
      </c>
      <c r="I160" s="19">
        <v>450</v>
      </c>
      <c r="J160" s="18">
        <v>353</v>
      </c>
      <c r="K160" s="18">
        <v>303</v>
      </c>
      <c r="L160" s="18">
        <v>152</v>
      </c>
      <c r="M160" s="18">
        <v>122</v>
      </c>
      <c r="N160" s="18">
        <v>88</v>
      </c>
      <c r="O160" s="18">
        <v>65</v>
      </c>
      <c r="P160" s="18">
        <v>322</v>
      </c>
      <c r="Q160" s="29">
        <v>143</v>
      </c>
      <c r="R160" s="29">
        <v>111</v>
      </c>
      <c r="S160" s="29">
        <v>333</v>
      </c>
      <c r="T160" s="29">
        <v>183</v>
      </c>
      <c r="U160" s="29">
        <v>230</v>
      </c>
      <c r="V160" s="30">
        <v>167</v>
      </c>
      <c r="W160" s="31">
        <v>153</v>
      </c>
      <c r="X160" s="29">
        <v>221</v>
      </c>
      <c r="Y160" s="29">
        <v>152</v>
      </c>
      <c r="Z160" s="29">
        <v>157</v>
      </c>
      <c r="AA160" s="29">
        <v>135</v>
      </c>
      <c r="AB160" s="29">
        <v>328</v>
      </c>
      <c r="AC160" s="14"/>
      <c r="AD160" s="15">
        <f t="shared" si="8"/>
        <v>7992</v>
      </c>
    </row>
    <row r="161" spans="2:30" ht="15.75" x14ac:dyDescent="0.25">
      <c r="B161" s="4" t="s">
        <v>14</v>
      </c>
      <c r="C161" s="16">
        <v>672</v>
      </c>
      <c r="D161" s="17">
        <v>663</v>
      </c>
      <c r="E161" s="17">
        <v>510</v>
      </c>
      <c r="F161" s="17">
        <v>491</v>
      </c>
      <c r="G161" s="18">
        <v>834</v>
      </c>
      <c r="H161" s="18">
        <v>2087</v>
      </c>
      <c r="I161" s="19">
        <v>734</v>
      </c>
      <c r="J161" s="18">
        <v>445</v>
      </c>
      <c r="K161" s="18">
        <v>541</v>
      </c>
      <c r="L161" s="18">
        <v>247</v>
      </c>
      <c r="M161" s="18">
        <v>367</v>
      </c>
      <c r="N161" s="18">
        <v>51</v>
      </c>
      <c r="O161" s="18">
        <v>84</v>
      </c>
      <c r="P161" s="18">
        <v>318</v>
      </c>
      <c r="Q161" s="29">
        <v>226</v>
      </c>
      <c r="R161" s="29">
        <v>106</v>
      </c>
      <c r="S161" s="29">
        <v>556</v>
      </c>
      <c r="T161" s="29">
        <v>147</v>
      </c>
      <c r="U161" s="29">
        <v>449</v>
      </c>
      <c r="V161" s="30">
        <v>423</v>
      </c>
      <c r="W161" s="31">
        <v>231</v>
      </c>
      <c r="X161" s="29">
        <v>449</v>
      </c>
      <c r="Y161" s="29">
        <v>156</v>
      </c>
      <c r="Z161" s="29">
        <v>342</v>
      </c>
      <c r="AA161" s="29">
        <v>269</v>
      </c>
      <c r="AB161" s="29">
        <v>475</v>
      </c>
      <c r="AC161" s="14"/>
      <c r="AD161" s="15">
        <f t="shared" si="8"/>
        <v>11873</v>
      </c>
    </row>
    <row r="162" spans="2:30" ht="15.75" x14ac:dyDescent="0.25">
      <c r="B162" s="4" t="s">
        <v>15</v>
      </c>
      <c r="C162" s="16">
        <v>447</v>
      </c>
      <c r="D162" s="17">
        <v>380</v>
      </c>
      <c r="E162" s="17">
        <v>415</v>
      </c>
      <c r="F162" s="17">
        <v>295</v>
      </c>
      <c r="G162" s="18">
        <v>309</v>
      </c>
      <c r="H162" s="18">
        <v>2111</v>
      </c>
      <c r="I162" s="19">
        <v>307</v>
      </c>
      <c r="J162" s="18">
        <v>87</v>
      </c>
      <c r="K162" s="18">
        <v>181</v>
      </c>
      <c r="L162" s="18">
        <v>221</v>
      </c>
      <c r="M162" s="18">
        <v>282</v>
      </c>
      <c r="N162" s="18">
        <v>217</v>
      </c>
      <c r="O162" s="18">
        <v>273</v>
      </c>
      <c r="P162" s="18">
        <v>232</v>
      </c>
      <c r="Q162" s="29">
        <v>487</v>
      </c>
      <c r="R162" s="29">
        <v>593</v>
      </c>
      <c r="S162" s="29">
        <v>2981</v>
      </c>
      <c r="T162" s="29">
        <v>834</v>
      </c>
      <c r="U162" s="29">
        <v>4360</v>
      </c>
      <c r="V162" s="30">
        <v>2632</v>
      </c>
      <c r="W162" s="31">
        <v>1712</v>
      </c>
      <c r="X162" s="29">
        <v>3415</v>
      </c>
      <c r="Y162" s="29">
        <v>1714</v>
      </c>
      <c r="Z162" s="29">
        <v>2784</v>
      </c>
      <c r="AA162" s="29">
        <v>2298</v>
      </c>
      <c r="AB162" s="29">
        <v>3137</v>
      </c>
      <c r="AC162" s="14"/>
      <c r="AD162" s="15">
        <f t="shared" si="8"/>
        <v>32704</v>
      </c>
    </row>
    <row r="163" spans="2:30" ht="15.75" x14ac:dyDescent="0.25">
      <c r="B163" s="4" t="s">
        <v>16</v>
      </c>
      <c r="C163" s="16">
        <v>174</v>
      </c>
      <c r="D163" s="17">
        <v>254</v>
      </c>
      <c r="E163" s="17">
        <v>157</v>
      </c>
      <c r="F163" s="17">
        <v>151</v>
      </c>
      <c r="G163" s="18">
        <v>340</v>
      </c>
      <c r="H163" s="18">
        <v>3055</v>
      </c>
      <c r="I163" s="19">
        <v>438</v>
      </c>
      <c r="J163" s="18">
        <v>120</v>
      </c>
      <c r="K163" s="18">
        <v>247</v>
      </c>
      <c r="L163" s="18">
        <v>241</v>
      </c>
      <c r="M163" s="18">
        <v>234</v>
      </c>
      <c r="N163" s="18">
        <v>168</v>
      </c>
      <c r="O163" s="18">
        <v>167</v>
      </c>
      <c r="P163" s="18">
        <v>431</v>
      </c>
      <c r="Q163" s="29">
        <v>423</v>
      </c>
      <c r="R163" s="29">
        <v>964</v>
      </c>
      <c r="S163" s="29">
        <v>3308</v>
      </c>
      <c r="T163" s="29">
        <v>1096</v>
      </c>
      <c r="U163" s="29">
        <v>4134</v>
      </c>
      <c r="V163" s="30">
        <v>2674</v>
      </c>
      <c r="W163" s="31">
        <v>1343</v>
      </c>
      <c r="X163" s="29">
        <v>2520</v>
      </c>
      <c r="Y163" s="29">
        <v>1478</v>
      </c>
      <c r="Z163" s="29">
        <v>1965</v>
      </c>
      <c r="AA163" s="29">
        <v>1719</v>
      </c>
      <c r="AB163" s="29">
        <v>2718</v>
      </c>
      <c r="AC163" s="14"/>
      <c r="AD163" s="15">
        <f t="shared" si="8"/>
        <v>30519</v>
      </c>
    </row>
    <row r="164" spans="2:30" ht="15.75" x14ac:dyDescent="0.25">
      <c r="B164" s="4" t="s">
        <v>17</v>
      </c>
      <c r="C164" s="16">
        <v>141</v>
      </c>
      <c r="D164" s="17">
        <v>109</v>
      </c>
      <c r="E164" s="17">
        <v>81</v>
      </c>
      <c r="F164" s="17">
        <v>95</v>
      </c>
      <c r="G164" s="18">
        <v>77</v>
      </c>
      <c r="H164" s="18">
        <v>3240</v>
      </c>
      <c r="I164" s="19">
        <v>241</v>
      </c>
      <c r="J164" s="18">
        <v>34</v>
      </c>
      <c r="K164" s="18">
        <v>100</v>
      </c>
      <c r="L164" s="18">
        <v>160</v>
      </c>
      <c r="M164" s="18">
        <v>195</v>
      </c>
      <c r="N164" s="18">
        <v>81</v>
      </c>
      <c r="O164" s="18">
        <v>62</v>
      </c>
      <c r="P164" s="18">
        <v>814</v>
      </c>
      <c r="Q164" s="29">
        <v>1147</v>
      </c>
      <c r="R164" s="29">
        <v>216</v>
      </c>
      <c r="S164" s="29">
        <v>172</v>
      </c>
      <c r="T164" s="29">
        <v>224</v>
      </c>
      <c r="U164" s="29">
        <v>1162</v>
      </c>
      <c r="V164" s="30">
        <v>628</v>
      </c>
      <c r="W164" s="31">
        <v>391</v>
      </c>
      <c r="X164" s="29">
        <v>638</v>
      </c>
      <c r="Y164" s="29">
        <v>605</v>
      </c>
      <c r="Z164" s="29">
        <v>580</v>
      </c>
      <c r="AA164" s="29">
        <v>570</v>
      </c>
      <c r="AB164" s="29">
        <v>742</v>
      </c>
      <c r="AC164" s="14"/>
      <c r="AD164" s="15">
        <f t="shared" si="8"/>
        <v>12505</v>
      </c>
    </row>
    <row r="165" spans="2:30" ht="16.5" thickBot="1" x14ac:dyDescent="0.3">
      <c r="B165" s="4" t="s">
        <v>18</v>
      </c>
      <c r="C165" s="32">
        <v>306</v>
      </c>
      <c r="D165" s="33">
        <v>279</v>
      </c>
      <c r="E165" s="33">
        <v>134</v>
      </c>
      <c r="F165" s="33">
        <v>292</v>
      </c>
      <c r="G165" s="34">
        <v>456</v>
      </c>
      <c r="H165" s="34">
        <v>15926</v>
      </c>
      <c r="I165" s="35">
        <v>1725</v>
      </c>
      <c r="J165" s="34">
        <v>614</v>
      </c>
      <c r="K165" s="34">
        <v>822</v>
      </c>
      <c r="L165" s="34">
        <v>385</v>
      </c>
      <c r="M165" s="34">
        <v>540</v>
      </c>
      <c r="N165" s="34">
        <v>377</v>
      </c>
      <c r="O165" s="34">
        <v>496</v>
      </c>
      <c r="P165" s="34">
        <v>3394</v>
      </c>
      <c r="Q165" s="36">
        <v>3702</v>
      </c>
      <c r="R165" s="36">
        <v>233</v>
      </c>
      <c r="S165" s="36">
        <v>752</v>
      </c>
      <c r="T165" s="36">
        <v>908</v>
      </c>
      <c r="U165" s="36">
        <v>4303</v>
      </c>
      <c r="V165" s="37">
        <v>2207</v>
      </c>
      <c r="W165" s="31">
        <v>1811</v>
      </c>
      <c r="X165" s="29">
        <v>4627</v>
      </c>
      <c r="Y165" s="29">
        <v>2736</v>
      </c>
      <c r="Z165" s="29">
        <v>4049</v>
      </c>
      <c r="AA165" s="29">
        <v>4614</v>
      </c>
      <c r="AB165" s="29">
        <v>4845</v>
      </c>
      <c r="AC165" s="14"/>
      <c r="AD165" s="15">
        <f t="shared" si="8"/>
        <v>60533</v>
      </c>
    </row>
    <row r="166" spans="2:30" ht="15.75" x14ac:dyDescent="0.25">
      <c r="B166" s="6" t="s">
        <v>19</v>
      </c>
      <c r="C166" s="12">
        <v>288</v>
      </c>
      <c r="D166" s="12">
        <v>333</v>
      </c>
      <c r="E166" s="12">
        <v>141</v>
      </c>
      <c r="F166" s="12">
        <v>138</v>
      </c>
      <c r="G166" s="17">
        <v>238</v>
      </c>
      <c r="H166" s="17">
        <v>7331</v>
      </c>
      <c r="I166" s="25">
        <v>962</v>
      </c>
      <c r="J166" s="17">
        <v>133</v>
      </c>
      <c r="K166" s="17">
        <v>237</v>
      </c>
      <c r="L166" s="17">
        <v>271</v>
      </c>
      <c r="M166" s="17">
        <v>198</v>
      </c>
      <c r="N166" s="17">
        <v>210</v>
      </c>
      <c r="O166" s="17">
        <v>195</v>
      </c>
      <c r="P166" s="17">
        <v>1155</v>
      </c>
      <c r="Q166" s="31">
        <v>1312</v>
      </c>
      <c r="R166" s="31">
        <v>171</v>
      </c>
      <c r="S166" s="31">
        <v>832</v>
      </c>
      <c r="T166" s="31">
        <v>242</v>
      </c>
      <c r="U166" s="31">
        <v>1384</v>
      </c>
      <c r="V166" s="31">
        <v>707</v>
      </c>
      <c r="W166" s="29">
        <v>537</v>
      </c>
      <c r="X166" s="29">
        <v>1781</v>
      </c>
      <c r="Y166" s="29">
        <v>1149</v>
      </c>
      <c r="Z166" s="29">
        <v>1803</v>
      </c>
      <c r="AA166" s="29">
        <v>1866</v>
      </c>
      <c r="AB166" s="29">
        <v>1782</v>
      </c>
      <c r="AC166" s="14"/>
      <c r="AD166" s="15">
        <f t="shared" si="8"/>
        <v>25396</v>
      </c>
    </row>
    <row r="167" spans="2:30" ht="15.75" x14ac:dyDescent="0.25">
      <c r="B167" s="6" t="s">
        <v>20</v>
      </c>
      <c r="C167" s="13">
        <v>197</v>
      </c>
      <c r="D167" s="13">
        <v>388</v>
      </c>
      <c r="E167" s="13">
        <v>245</v>
      </c>
      <c r="F167" s="13">
        <v>186</v>
      </c>
      <c r="G167" s="18">
        <v>379</v>
      </c>
      <c r="H167" s="18">
        <v>30072</v>
      </c>
      <c r="I167" s="19">
        <v>2261</v>
      </c>
      <c r="J167" s="17">
        <v>303</v>
      </c>
      <c r="K167" s="17">
        <v>510</v>
      </c>
      <c r="L167" s="17">
        <v>534</v>
      </c>
      <c r="M167" s="17">
        <v>715</v>
      </c>
      <c r="N167" s="17">
        <v>357</v>
      </c>
      <c r="O167" s="17">
        <v>441</v>
      </c>
      <c r="P167" s="17">
        <v>5251</v>
      </c>
      <c r="Q167" s="29">
        <v>4408</v>
      </c>
      <c r="R167" s="29">
        <v>855</v>
      </c>
      <c r="S167" s="29">
        <v>3406</v>
      </c>
      <c r="T167" s="29">
        <v>1047</v>
      </c>
      <c r="U167" s="29">
        <v>694</v>
      </c>
      <c r="V167" s="29">
        <v>1517</v>
      </c>
      <c r="W167" s="29">
        <v>1164</v>
      </c>
      <c r="X167" s="29">
        <v>3460</v>
      </c>
      <c r="Y167" s="29">
        <v>2306</v>
      </c>
      <c r="Z167" s="29">
        <v>2608</v>
      </c>
      <c r="AA167" s="29">
        <v>2734</v>
      </c>
      <c r="AB167" s="29">
        <v>4121</v>
      </c>
      <c r="AC167" s="14"/>
      <c r="AD167" s="15">
        <f t="shared" si="8"/>
        <v>70159</v>
      </c>
    </row>
    <row r="168" spans="2:30" ht="15.75" x14ac:dyDescent="0.25">
      <c r="B168" s="6" t="s">
        <v>21</v>
      </c>
      <c r="C168" s="13">
        <v>148</v>
      </c>
      <c r="D168" s="13">
        <v>190</v>
      </c>
      <c r="E168" s="13">
        <v>78</v>
      </c>
      <c r="F168" s="13">
        <v>133</v>
      </c>
      <c r="G168" s="18">
        <v>197</v>
      </c>
      <c r="H168" s="18">
        <v>19297</v>
      </c>
      <c r="I168" s="19">
        <v>1502</v>
      </c>
      <c r="J168" s="17">
        <v>402</v>
      </c>
      <c r="K168" s="17">
        <v>549</v>
      </c>
      <c r="L168" s="17">
        <v>325</v>
      </c>
      <c r="M168" s="17">
        <v>413</v>
      </c>
      <c r="N168" s="17">
        <v>198</v>
      </c>
      <c r="O168" s="17">
        <v>485</v>
      </c>
      <c r="P168" s="17">
        <v>3639</v>
      </c>
      <c r="Q168" s="29">
        <v>3095</v>
      </c>
      <c r="R168" s="29">
        <v>474</v>
      </c>
      <c r="S168" s="29">
        <v>1709</v>
      </c>
      <c r="T168" s="29">
        <v>648</v>
      </c>
      <c r="U168" s="29">
        <v>1537</v>
      </c>
      <c r="V168" s="29">
        <v>560</v>
      </c>
      <c r="W168" s="29">
        <v>602</v>
      </c>
      <c r="X168" s="29">
        <v>1991</v>
      </c>
      <c r="Y168" s="29">
        <v>1108</v>
      </c>
      <c r="Z168" s="29">
        <v>1466</v>
      </c>
      <c r="AA168" s="29">
        <v>1698</v>
      </c>
      <c r="AB168" s="29">
        <v>2491</v>
      </c>
      <c r="AC168" s="14"/>
      <c r="AD168" s="15">
        <f t="shared" si="8"/>
        <v>44935</v>
      </c>
    </row>
    <row r="169" spans="2:30" ht="15.75" x14ac:dyDescent="0.25">
      <c r="B169" s="6" t="s">
        <v>22</v>
      </c>
      <c r="C169" s="13">
        <v>151</v>
      </c>
      <c r="D169" s="13">
        <v>124</v>
      </c>
      <c r="E169" s="13">
        <v>81</v>
      </c>
      <c r="F169" s="13">
        <v>153</v>
      </c>
      <c r="G169" s="18">
        <v>102</v>
      </c>
      <c r="H169" s="18">
        <v>13956</v>
      </c>
      <c r="I169" s="19">
        <v>899</v>
      </c>
      <c r="J169" s="17">
        <v>193</v>
      </c>
      <c r="K169" s="17">
        <v>324</v>
      </c>
      <c r="L169" s="17">
        <v>277</v>
      </c>
      <c r="M169" s="17">
        <v>178</v>
      </c>
      <c r="N169" s="17">
        <v>166</v>
      </c>
      <c r="O169" s="17">
        <v>279</v>
      </c>
      <c r="P169" s="17">
        <v>1974</v>
      </c>
      <c r="Q169" s="29">
        <v>1360</v>
      </c>
      <c r="R169" s="29">
        <v>432</v>
      </c>
      <c r="S169" s="29">
        <v>1556</v>
      </c>
      <c r="T169" s="29">
        <v>432</v>
      </c>
      <c r="U169" s="29">
        <v>910</v>
      </c>
      <c r="V169" s="29">
        <v>549</v>
      </c>
      <c r="W169" s="29">
        <v>225</v>
      </c>
      <c r="X169" s="29">
        <v>1239</v>
      </c>
      <c r="Y169" s="29">
        <v>858</v>
      </c>
      <c r="Z169" s="29">
        <v>1664</v>
      </c>
      <c r="AA169" s="29">
        <v>1821</v>
      </c>
      <c r="AB169" s="29">
        <v>1313</v>
      </c>
      <c r="AC169" s="14"/>
      <c r="AD169" s="15">
        <f t="shared" si="8"/>
        <v>31216</v>
      </c>
    </row>
    <row r="170" spans="2:30" ht="15.75" x14ac:dyDescent="0.25">
      <c r="B170" s="6" t="s">
        <v>23</v>
      </c>
      <c r="C170" s="13">
        <v>157</v>
      </c>
      <c r="D170" s="13">
        <v>168</v>
      </c>
      <c r="E170" s="13">
        <v>129</v>
      </c>
      <c r="F170" s="13">
        <v>150</v>
      </c>
      <c r="G170" s="18">
        <v>218</v>
      </c>
      <c r="H170" s="18">
        <v>35945</v>
      </c>
      <c r="I170" s="19">
        <v>1896</v>
      </c>
      <c r="J170" s="17">
        <v>379</v>
      </c>
      <c r="K170" s="17">
        <v>579</v>
      </c>
      <c r="L170" s="17">
        <v>522</v>
      </c>
      <c r="M170" s="17">
        <v>462</v>
      </c>
      <c r="N170" s="17">
        <v>298</v>
      </c>
      <c r="O170" s="17">
        <v>430</v>
      </c>
      <c r="P170" s="17">
        <v>4815</v>
      </c>
      <c r="Q170" s="29">
        <v>2959</v>
      </c>
      <c r="R170" s="29">
        <v>658</v>
      </c>
      <c r="S170" s="29">
        <v>4358</v>
      </c>
      <c r="T170" s="29">
        <v>1674</v>
      </c>
      <c r="U170" s="29">
        <v>3313</v>
      </c>
      <c r="V170" s="29">
        <v>1754</v>
      </c>
      <c r="W170" s="29">
        <v>1646</v>
      </c>
      <c r="X170" s="29">
        <v>1112</v>
      </c>
      <c r="Y170" s="29">
        <v>603</v>
      </c>
      <c r="Z170" s="29">
        <v>2172</v>
      </c>
      <c r="AA170" s="29">
        <v>3491</v>
      </c>
      <c r="AB170" s="29">
        <v>3911</v>
      </c>
      <c r="AC170" s="14"/>
      <c r="AD170" s="15">
        <f t="shared" si="8"/>
        <v>73799</v>
      </c>
    </row>
    <row r="171" spans="2:30" ht="15.75" x14ac:dyDescent="0.25">
      <c r="B171" s="6" t="s">
        <v>24</v>
      </c>
      <c r="C171" s="13">
        <v>101</v>
      </c>
      <c r="D171" s="13">
        <v>63</v>
      </c>
      <c r="E171" s="13">
        <v>62</v>
      </c>
      <c r="F171" s="13">
        <v>42</v>
      </c>
      <c r="G171" s="18">
        <v>87</v>
      </c>
      <c r="H171" s="18">
        <v>21807</v>
      </c>
      <c r="I171" s="19">
        <v>1147</v>
      </c>
      <c r="J171" s="17">
        <v>223</v>
      </c>
      <c r="K171" s="17">
        <v>401</v>
      </c>
      <c r="L171" s="17">
        <v>194</v>
      </c>
      <c r="M171" s="17">
        <v>262</v>
      </c>
      <c r="N171" s="17">
        <v>159</v>
      </c>
      <c r="O171" s="17">
        <v>134</v>
      </c>
      <c r="P171" s="17">
        <v>3034</v>
      </c>
      <c r="Q171" s="29">
        <v>1995</v>
      </c>
      <c r="R171" s="29">
        <v>437</v>
      </c>
      <c r="S171" s="29">
        <v>2583</v>
      </c>
      <c r="T171" s="29">
        <v>1133</v>
      </c>
      <c r="U171" s="29">
        <v>2048</v>
      </c>
      <c r="V171" s="29">
        <v>933</v>
      </c>
      <c r="W171" s="29">
        <v>1197</v>
      </c>
      <c r="X171" s="29">
        <v>705</v>
      </c>
      <c r="Y171" s="29">
        <v>504</v>
      </c>
      <c r="Z171" s="29">
        <v>719</v>
      </c>
      <c r="AA171" s="29">
        <v>1815</v>
      </c>
      <c r="AB171" s="29">
        <v>2081</v>
      </c>
      <c r="AC171" s="14"/>
      <c r="AD171" s="15">
        <f t="shared" si="8"/>
        <v>43866</v>
      </c>
    </row>
    <row r="172" spans="2:30" ht="15.75" x14ac:dyDescent="0.25">
      <c r="B172" s="6" t="s">
        <v>25</v>
      </c>
      <c r="C172" s="13">
        <v>108</v>
      </c>
      <c r="D172" s="13">
        <v>159</v>
      </c>
      <c r="E172" s="13">
        <v>77</v>
      </c>
      <c r="F172" s="13">
        <v>62</v>
      </c>
      <c r="G172" s="18">
        <v>218</v>
      </c>
      <c r="H172" s="18">
        <v>35832</v>
      </c>
      <c r="I172" s="19">
        <v>1665</v>
      </c>
      <c r="J172" s="17">
        <v>373</v>
      </c>
      <c r="K172" s="17">
        <v>706</v>
      </c>
      <c r="L172" s="17">
        <v>308</v>
      </c>
      <c r="M172" s="17">
        <v>397</v>
      </c>
      <c r="N172" s="17">
        <v>180</v>
      </c>
      <c r="O172" s="17">
        <v>431</v>
      </c>
      <c r="P172" s="17">
        <v>4400</v>
      </c>
      <c r="Q172" s="29">
        <v>2526</v>
      </c>
      <c r="R172" s="29">
        <v>693</v>
      </c>
      <c r="S172" s="29">
        <v>3748</v>
      </c>
      <c r="T172" s="29">
        <v>1864</v>
      </c>
      <c r="U172" s="29">
        <v>2753</v>
      </c>
      <c r="V172" s="29">
        <v>1384</v>
      </c>
      <c r="W172" s="29">
        <v>2013</v>
      </c>
      <c r="X172" s="29">
        <v>2480</v>
      </c>
      <c r="Y172" s="29">
        <v>826</v>
      </c>
      <c r="Z172" s="29">
        <v>864</v>
      </c>
      <c r="AA172" s="29">
        <v>2201</v>
      </c>
      <c r="AB172" s="29">
        <v>2718</v>
      </c>
      <c r="AC172" s="14"/>
      <c r="AD172" s="15">
        <f t="shared" si="8"/>
        <v>68986</v>
      </c>
    </row>
    <row r="173" spans="2:30" ht="15.75" x14ac:dyDescent="0.25">
      <c r="B173" s="6" t="s">
        <v>26</v>
      </c>
      <c r="C173" s="13">
        <v>94</v>
      </c>
      <c r="D173" s="13">
        <v>141</v>
      </c>
      <c r="E173" s="13">
        <v>118</v>
      </c>
      <c r="F173" s="13">
        <v>89</v>
      </c>
      <c r="G173" s="18">
        <v>115</v>
      </c>
      <c r="H173" s="18">
        <v>29511</v>
      </c>
      <c r="I173" s="19">
        <v>1523</v>
      </c>
      <c r="J173" s="17">
        <v>290</v>
      </c>
      <c r="K173" s="17">
        <v>543</v>
      </c>
      <c r="L173" s="17">
        <v>325</v>
      </c>
      <c r="M173" s="17">
        <v>338</v>
      </c>
      <c r="N173" s="17">
        <v>154</v>
      </c>
      <c r="O173" s="17">
        <v>254</v>
      </c>
      <c r="P173" s="17">
        <v>3008</v>
      </c>
      <c r="Q173" s="29">
        <v>1789</v>
      </c>
      <c r="R173" s="29">
        <v>513</v>
      </c>
      <c r="S173" s="29">
        <v>4118</v>
      </c>
      <c r="T173" s="29">
        <v>1565</v>
      </c>
      <c r="U173" s="29">
        <v>2579</v>
      </c>
      <c r="V173" s="29">
        <v>1423</v>
      </c>
      <c r="W173" s="29">
        <v>2166</v>
      </c>
      <c r="X173" s="29">
        <v>4002</v>
      </c>
      <c r="Y173" s="29">
        <v>1951</v>
      </c>
      <c r="Z173" s="29">
        <v>2555</v>
      </c>
      <c r="AA173" s="29">
        <v>713</v>
      </c>
      <c r="AB173" s="29">
        <v>1346</v>
      </c>
      <c r="AC173" s="14"/>
      <c r="AD173" s="15">
        <f t="shared" si="8"/>
        <v>61223</v>
      </c>
    </row>
    <row r="174" spans="2:30" ht="15.75" x14ac:dyDescent="0.25">
      <c r="B174" s="6" t="s">
        <v>27</v>
      </c>
      <c r="C174" s="13">
        <v>267</v>
      </c>
      <c r="D174" s="13">
        <v>340</v>
      </c>
      <c r="E174" s="13">
        <v>215</v>
      </c>
      <c r="F174" s="13">
        <v>179</v>
      </c>
      <c r="G174" s="18">
        <v>342</v>
      </c>
      <c r="H174" s="18">
        <v>44354</v>
      </c>
      <c r="I174" s="19">
        <v>2374</v>
      </c>
      <c r="J174" s="17">
        <v>252</v>
      </c>
      <c r="K174" s="17">
        <v>950</v>
      </c>
      <c r="L174" s="17">
        <v>603</v>
      </c>
      <c r="M174" s="17">
        <v>613</v>
      </c>
      <c r="N174" s="17">
        <v>432</v>
      </c>
      <c r="O174" s="17">
        <v>409</v>
      </c>
      <c r="P174" s="17">
        <v>4880</v>
      </c>
      <c r="Q174" s="29">
        <v>3112</v>
      </c>
      <c r="R174" s="29">
        <v>722</v>
      </c>
      <c r="S174" s="29">
        <v>4277</v>
      </c>
      <c r="T174" s="29">
        <v>1719</v>
      </c>
      <c r="U174" s="29">
        <v>3551</v>
      </c>
      <c r="V174" s="29">
        <v>2382</v>
      </c>
      <c r="W174" s="29">
        <v>1352</v>
      </c>
      <c r="X174" s="29">
        <v>3606</v>
      </c>
      <c r="Y174" s="29">
        <v>2189</v>
      </c>
      <c r="Z174" s="29">
        <v>3227</v>
      </c>
      <c r="AA174" s="29">
        <v>2370</v>
      </c>
      <c r="AB174" s="29">
        <v>635</v>
      </c>
      <c r="AC174" s="14"/>
      <c r="AD174" s="15">
        <f t="shared" si="8"/>
        <v>85352</v>
      </c>
    </row>
    <row r="175" spans="2:30" ht="15.75" x14ac:dyDescent="0.25">
      <c r="B175" s="39" t="s">
        <v>28</v>
      </c>
      <c r="C175" s="13"/>
      <c r="D175" s="13"/>
      <c r="E175" s="13"/>
      <c r="F175" s="13"/>
      <c r="G175" s="18"/>
      <c r="H175" s="18"/>
      <c r="I175" s="19"/>
      <c r="J175" s="17"/>
      <c r="K175" s="17"/>
      <c r="L175" s="17"/>
      <c r="M175" s="17"/>
      <c r="N175" s="17"/>
      <c r="O175" s="17"/>
      <c r="P175" s="17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14"/>
      <c r="AD175" s="15">
        <f t="shared" si="8"/>
        <v>0</v>
      </c>
    </row>
    <row r="176" spans="2:30" ht="15.75" x14ac:dyDescent="0.25">
      <c r="B176" s="3" t="s">
        <v>30</v>
      </c>
      <c r="C176" s="41">
        <f>SUM(C149:C175)</f>
        <v>21327</v>
      </c>
      <c r="D176" s="41">
        <f t="shared" ref="D176:AD176" si="9">SUM(D149:D175)</f>
        <v>10856</v>
      </c>
      <c r="E176" s="41">
        <f t="shared" si="9"/>
        <v>10440</v>
      </c>
      <c r="F176" s="41">
        <f t="shared" si="9"/>
        <v>7125</v>
      </c>
      <c r="G176" s="41">
        <f t="shared" si="9"/>
        <v>11665</v>
      </c>
      <c r="H176" s="41">
        <f t="shared" si="9"/>
        <v>301016</v>
      </c>
      <c r="I176" s="42">
        <f t="shared" si="9"/>
        <v>30927</v>
      </c>
      <c r="J176" s="41">
        <f t="shared" si="9"/>
        <v>8659</v>
      </c>
      <c r="K176" s="41">
        <f t="shared" si="9"/>
        <v>14055</v>
      </c>
      <c r="L176" s="41">
        <f t="shared" si="9"/>
        <v>12427</v>
      </c>
      <c r="M176" s="41">
        <f t="shared" si="9"/>
        <v>12891</v>
      </c>
      <c r="N176" s="41">
        <f t="shared" si="9"/>
        <v>7871</v>
      </c>
      <c r="O176" s="41">
        <f t="shared" si="9"/>
        <v>10816</v>
      </c>
      <c r="P176" s="41">
        <f t="shared" si="9"/>
        <v>43549</v>
      </c>
      <c r="Q176" s="41">
        <f t="shared" si="9"/>
        <v>34581</v>
      </c>
      <c r="R176" s="41">
        <f t="shared" si="9"/>
        <v>12204</v>
      </c>
      <c r="S176" s="41">
        <f t="shared" si="9"/>
        <v>55938</v>
      </c>
      <c r="T176" s="41">
        <f t="shared" si="9"/>
        <v>23113</v>
      </c>
      <c r="U176" s="41">
        <f t="shared" si="9"/>
        <v>69513</v>
      </c>
      <c r="V176" s="41">
        <f t="shared" si="9"/>
        <v>45175</v>
      </c>
      <c r="W176" s="41">
        <f t="shared" si="9"/>
        <v>33709</v>
      </c>
      <c r="X176" s="41">
        <f t="shared" si="9"/>
        <v>76233</v>
      </c>
      <c r="Y176" s="41">
        <f t="shared" si="9"/>
        <v>42967</v>
      </c>
      <c r="Z176" s="41">
        <f t="shared" si="9"/>
        <v>65468</v>
      </c>
      <c r="AA176" s="41">
        <f t="shared" si="9"/>
        <v>62663</v>
      </c>
      <c r="AB176" s="41">
        <f t="shared" si="9"/>
        <v>72539</v>
      </c>
      <c r="AC176" s="41">
        <f t="shared" si="9"/>
        <v>0</v>
      </c>
      <c r="AD176" s="43">
        <f t="shared" si="9"/>
        <v>1097727</v>
      </c>
    </row>
    <row r="180" spans="2:30" x14ac:dyDescent="0.25">
      <c r="B180" t="s">
        <v>36</v>
      </c>
    </row>
    <row r="182" spans="2:30" ht="16.5" thickBot="1" x14ac:dyDescent="0.3">
      <c r="B182" s="3" t="s">
        <v>1</v>
      </c>
      <c r="C182" s="4" t="s">
        <v>2</v>
      </c>
      <c r="D182" s="4" t="s">
        <v>3</v>
      </c>
      <c r="E182" s="4" t="s">
        <v>4</v>
      </c>
      <c r="F182" s="4" t="s">
        <v>5</v>
      </c>
      <c r="G182" s="4" t="s">
        <v>6</v>
      </c>
      <c r="H182" s="4" t="s">
        <v>7</v>
      </c>
      <c r="I182" s="5" t="s">
        <v>8</v>
      </c>
      <c r="J182" s="4" t="s">
        <v>9</v>
      </c>
      <c r="K182" s="4" t="s">
        <v>10</v>
      </c>
      <c r="L182" s="4" t="s">
        <v>11</v>
      </c>
      <c r="M182" s="4" t="s">
        <v>12</v>
      </c>
      <c r="N182" s="4" t="s">
        <v>13</v>
      </c>
      <c r="O182" s="4" t="s">
        <v>14</v>
      </c>
      <c r="P182" s="4" t="s">
        <v>15</v>
      </c>
      <c r="Q182" s="4" t="s">
        <v>16</v>
      </c>
      <c r="R182" s="4" t="s">
        <v>17</v>
      </c>
      <c r="S182" s="4" t="s">
        <v>18</v>
      </c>
      <c r="T182" s="6" t="s">
        <v>19</v>
      </c>
      <c r="U182" s="6" t="s">
        <v>20</v>
      </c>
      <c r="V182" s="6" t="s">
        <v>21</v>
      </c>
      <c r="W182" s="6" t="s">
        <v>22</v>
      </c>
      <c r="X182" s="6" t="s">
        <v>23</v>
      </c>
      <c r="Y182" s="6" t="s">
        <v>24</v>
      </c>
      <c r="Z182" s="6" t="s">
        <v>25</v>
      </c>
      <c r="AA182" s="6" t="s">
        <v>26</v>
      </c>
      <c r="AB182" s="6" t="s">
        <v>27</v>
      </c>
      <c r="AC182" s="6" t="s">
        <v>28</v>
      </c>
      <c r="AD182" s="3" t="s">
        <v>29</v>
      </c>
    </row>
    <row r="183" spans="2:30" ht="15.75" x14ac:dyDescent="0.25">
      <c r="B183" s="4" t="s">
        <v>2</v>
      </c>
      <c r="C183" s="7">
        <v>161</v>
      </c>
      <c r="D183" s="8">
        <v>135</v>
      </c>
      <c r="E183" s="8">
        <v>509</v>
      </c>
      <c r="F183" s="8">
        <v>369</v>
      </c>
      <c r="G183" s="9">
        <v>323</v>
      </c>
      <c r="H183" s="9">
        <v>5084</v>
      </c>
      <c r="I183" s="10">
        <v>594</v>
      </c>
      <c r="J183" s="9">
        <v>524</v>
      </c>
      <c r="K183" s="9">
        <v>768</v>
      </c>
      <c r="L183" s="9">
        <v>571</v>
      </c>
      <c r="M183" s="9">
        <v>531</v>
      </c>
      <c r="N183" s="9">
        <v>357</v>
      </c>
      <c r="O183" s="9">
        <v>573</v>
      </c>
      <c r="P183" s="9">
        <v>328</v>
      </c>
      <c r="Q183" s="9">
        <v>133</v>
      </c>
      <c r="R183" s="9">
        <v>104</v>
      </c>
      <c r="S183" s="9">
        <v>230</v>
      </c>
      <c r="T183" s="9">
        <v>180</v>
      </c>
      <c r="U183" s="9">
        <v>168</v>
      </c>
      <c r="V183" s="11">
        <v>114</v>
      </c>
      <c r="W183" s="12">
        <v>97</v>
      </c>
      <c r="X183" s="13">
        <v>162</v>
      </c>
      <c r="Y183" s="13">
        <v>56</v>
      </c>
      <c r="Z183" s="13">
        <v>92</v>
      </c>
      <c r="AA183" s="13">
        <v>63</v>
      </c>
      <c r="AB183" s="13">
        <v>208</v>
      </c>
      <c r="AC183" s="14"/>
      <c r="AD183" s="15">
        <f>SUM(C183:AC183)</f>
        <v>12434</v>
      </c>
    </row>
    <row r="184" spans="2:30" ht="15.75" x14ac:dyDescent="0.25">
      <c r="B184" s="4" t="s">
        <v>3</v>
      </c>
      <c r="C184" s="16">
        <v>345</v>
      </c>
      <c r="D184" s="17">
        <v>67</v>
      </c>
      <c r="E184" s="17">
        <v>36</v>
      </c>
      <c r="F184" s="17">
        <v>90</v>
      </c>
      <c r="G184" s="18">
        <v>141</v>
      </c>
      <c r="H184" s="18">
        <v>2075</v>
      </c>
      <c r="I184" s="19">
        <v>388</v>
      </c>
      <c r="J184" s="18">
        <v>329</v>
      </c>
      <c r="K184" s="18">
        <v>701</v>
      </c>
      <c r="L184" s="18">
        <v>489</v>
      </c>
      <c r="M184" s="18">
        <v>387</v>
      </c>
      <c r="N184" s="18">
        <v>305</v>
      </c>
      <c r="O184" s="20">
        <v>514</v>
      </c>
      <c r="P184" s="18">
        <v>372</v>
      </c>
      <c r="Q184" s="18">
        <v>180</v>
      </c>
      <c r="R184" s="18">
        <v>108</v>
      </c>
      <c r="S184" s="18">
        <v>216</v>
      </c>
      <c r="T184" s="18">
        <v>362</v>
      </c>
      <c r="U184" s="18">
        <v>296</v>
      </c>
      <c r="V184" s="21">
        <v>110</v>
      </c>
      <c r="W184" s="17">
        <v>142</v>
      </c>
      <c r="X184" s="18">
        <v>140</v>
      </c>
      <c r="Y184" s="18">
        <v>75</v>
      </c>
      <c r="Z184" s="18">
        <v>141</v>
      </c>
      <c r="AA184" s="18">
        <v>156</v>
      </c>
      <c r="AB184" s="18">
        <v>228</v>
      </c>
      <c r="AC184" s="22"/>
      <c r="AD184" s="15">
        <f>SUM(C184:AC184)</f>
        <v>8393</v>
      </c>
    </row>
    <row r="185" spans="2:30" ht="15.75" x14ac:dyDescent="0.25">
      <c r="B185" s="4" t="s">
        <v>4</v>
      </c>
      <c r="C185" s="16">
        <v>831</v>
      </c>
      <c r="D185" s="17">
        <v>66</v>
      </c>
      <c r="E185" s="17">
        <v>102</v>
      </c>
      <c r="F185" s="17">
        <v>88</v>
      </c>
      <c r="G185" s="18">
        <v>206</v>
      </c>
      <c r="H185" s="18">
        <v>2472</v>
      </c>
      <c r="I185" s="19">
        <v>479</v>
      </c>
      <c r="J185" s="18">
        <v>495</v>
      </c>
      <c r="K185" s="18">
        <v>422</v>
      </c>
      <c r="L185" s="18">
        <v>405</v>
      </c>
      <c r="M185" s="18">
        <v>496</v>
      </c>
      <c r="N185" s="18">
        <v>199</v>
      </c>
      <c r="O185" s="18">
        <v>466</v>
      </c>
      <c r="P185" s="18">
        <v>422</v>
      </c>
      <c r="Q185" s="18">
        <v>112</v>
      </c>
      <c r="R185" s="18">
        <v>44</v>
      </c>
      <c r="S185" s="18">
        <v>117</v>
      </c>
      <c r="T185" s="18">
        <v>142</v>
      </c>
      <c r="U185" s="18">
        <v>195</v>
      </c>
      <c r="V185" s="21">
        <v>75</v>
      </c>
      <c r="W185" s="17">
        <v>124</v>
      </c>
      <c r="X185" s="18">
        <v>107</v>
      </c>
      <c r="Y185" s="18">
        <v>31</v>
      </c>
      <c r="Z185" s="18">
        <v>38</v>
      </c>
      <c r="AA185" s="18">
        <v>105</v>
      </c>
      <c r="AB185" s="18">
        <v>167</v>
      </c>
      <c r="AC185" s="22"/>
      <c r="AD185" s="15">
        <f>SUM(C185:AC185)</f>
        <v>8406</v>
      </c>
    </row>
    <row r="186" spans="2:30" ht="15.75" x14ac:dyDescent="0.25">
      <c r="B186" s="4" t="s">
        <v>5</v>
      </c>
      <c r="C186" s="16">
        <v>872</v>
      </c>
      <c r="D186" s="17">
        <v>80</v>
      </c>
      <c r="E186" s="17">
        <v>94</v>
      </c>
      <c r="F186" s="17">
        <v>71</v>
      </c>
      <c r="G186" s="18">
        <v>45</v>
      </c>
      <c r="H186" s="18">
        <v>1106</v>
      </c>
      <c r="I186" s="19">
        <v>247</v>
      </c>
      <c r="J186" s="18">
        <v>221</v>
      </c>
      <c r="K186" s="18">
        <v>330</v>
      </c>
      <c r="L186" s="18">
        <v>282</v>
      </c>
      <c r="M186" s="18">
        <v>348</v>
      </c>
      <c r="N186" s="18">
        <v>143</v>
      </c>
      <c r="O186" s="18">
        <v>313</v>
      </c>
      <c r="P186" s="18">
        <v>227</v>
      </c>
      <c r="Q186" s="18">
        <v>104</v>
      </c>
      <c r="R186" s="18">
        <v>44</v>
      </c>
      <c r="S186" s="18">
        <v>171</v>
      </c>
      <c r="T186" s="18">
        <v>122</v>
      </c>
      <c r="U186" s="18">
        <v>142</v>
      </c>
      <c r="V186" s="21">
        <v>114</v>
      </c>
      <c r="W186" s="17">
        <v>77</v>
      </c>
      <c r="X186" s="18">
        <v>102</v>
      </c>
      <c r="Y186" s="18">
        <v>47</v>
      </c>
      <c r="Z186" s="18">
        <v>46</v>
      </c>
      <c r="AA186" s="18">
        <v>53</v>
      </c>
      <c r="AB186" s="18">
        <v>108</v>
      </c>
      <c r="AC186" s="22"/>
      <c r="AD186" s="15">
        <f t="shared" ref="AD186:AD209" si="10">SUM(C186:AC186)</f>
        <v>5509</v>
      </c>
    </row>
    <row r="187" spans="2:30" ht="15.75" x14ac:dyDescent="0.25">
      <c r="B187" s="4" t="s">
        <v>6</v>
      </c>
      <c r="C187" s="16">
        <v>993</v>
      </c>
      <c r="D187" s="17">
        <v>130</v>
      </c>
      <c r="E187" s="17">
        <v>296</v>
      </c>
      <c r="F187" s="17">
        <v>47</v>
      </c>
      <c r="G187" s="18">
        <v>179</v>
      </c>
      <c r="H187" s="18">
        <v>1701</v>
      </c>
      <c r="I187" s="19">
        <v>493</v>
      </c>
      <c r="J187" s="18">
        <v>382</v>
      </c>
      <c r="K187" s="18">
        <v>606</v>
      </c>
      <c r="L187" s="18">
        <v>523</v>
      </c>
      <c r="M187" s="18">
        <v>547</v>
      </c>
      <c r="N187" s="18">
        <v>301</v>
      </c>
      <c r="O187" s="18">
        <v>657</v>
      </c>
      <c r="P187" s="18">
        <v>353</v>
      </c>
      <c r="Q187" s="18">
        <v>183</v>
      </c>
      <c r="R187" s="18">
        <v>80</v>
      </c>
      <c r="S187" s="18">
        <v>366</v>
      </c>
      <c r="T187" s="18">
        <v>150</v>
      </c>
      <c r="U187" s="18">
        <v>233</v>
      </c>
      <c r="V187" s="21">
        <v>118</v>
      </c>
      <c r="W187" s="17">
        <v>45</v>
      </c>
      <c r="X187" s="17">
        <v>160</v>
      </c>
      <c r="Y187" s="17">
        <v>65</v>
      </c>
      <c r="Z187" s="17">
        <v>112</v>
      </c>
      <c r="AA187" s="17">
        <v>89</v>
      </c>
      <c r="AB187" s="17">
        <v>263</v>
      </c>
      <c r="AC187" s="23"/>
      <c r="AD187" s="15">
        <f t="shared" si="10"/>
        <v>9072</v>
      </c>
    </row>
    <row r="188" spans="2:30" ht="15.75" x14ac:dyDescent="0.25">
      <c r="B188" s="4" t="s">
        <v>7</v>
      </c>
      <c r="C188" s="16">
        <v>7095</v>
      </c>
      <c r="D188" s="17">
        <v>2163</v>
      </c>
      <c r="E188" s="17">
        <v>2666</v>
      </c>
      <c r="F188" s="17">
        <v>975</v>
      </c>
      <c r="G188" s="18">
        <v>1747</v>
      </c>
      <c r="H188" s="18">
        <v>3909</v>
      </c>
      <c r="I188" s="19">
        <v>6239</v>
      </c>
      <c r="J188" s="18">
        <v>404</v>
      </c>
      <c r="K188" s="18">
        <v>1285</v>
      </c>
      <c r="L188" s="18">
        <v>2741</v>
      </c>
      <c r="M188" s="18">
        <v>2032</v>
      </c>
      <c r="N188" s="18">
        <v>1313</v>
      </c>
      <c r="O188" s="18">
        <v>1235</v>
      </c>
      <c r="P188" s="18">
        <v>2056</v>
      </c>
      <c r="Q188" s="18">
        <v>3262</v>
      </c>
      <c r="R188" s="18">
        <v>3356</v>
      </c>
      <c r="S188" s="18">
        <v>14775</v>
      </c>
      <c r="T188" s="18">
        <v>6430</v>
      </c>
      <c r="U188" s="18">
        <v>27662</v>
      </c>
      <c r="V188" s="21">
        <v>19535</v>
      </c>
      <c r="W188" s="17">
        <v>12868</v>
      </c>
      <c r="X188" s="17">
        <v>35086</v>
      </c>
      <c r="Y188" s="17">
        <v>19209</v>
      </c>
      <c r="Z188" s="17">
        <v>30035</v>
      </c>
      <c r="AA188" s="17">
        <v>27524</v>
      </c>
      <c r="AB188" s="17">
        <v>30412</v>
      </c>
      <c r="AC188" s="23"/>
      <c r="AD188" s="15">
        <f t="shared" si="10"/>
        <v>266014</v>
      </c>
    </row>
    <row r="189" spans="2:30" ht="15.75" x14ac:dyDescent="0.25">
      <c r="B189" s="5" t="s">
        <v>8</v>
      </c>
      <c r="C189" s="24">
        <v>1349</v>
      </c>
      <c r="D189" s="25">
        <v>730</v>
      </c>
      <c r="E189" s="25">
        <v>777</v>
      </c>
      <c r="F189" s="25">
        <v>395</v>
      </c>
      <c r="G189" s="19">
        <v>641</v>
      </c>
      <c r="H189" s="19">
        <v>4568</v>
      </c>
      <c r="I189" s="19">
        <v>333</v>
      </c>
      <c r="J189" s="19">
        <v>179</v>
      </c>
      <c r="K189" s="19">
        <v>350</v>
      </c>
      <c r="L189" s="19">
        <v>556</v>
      </c>
      <c r="M189" s="19">
        <v>480</v>
      </c>
      <c r="N189" s="19">
        <v>432</v>
      </c>
      <c r="O189" s="19">
        <v>515</v>
      </c>
      <c r="P189" s="19">
        <v>410</v>
      </c>
      <c r="Q189" s="19">
        <v>646</v>
      </c>
      <c r="R189" s="19">
        <v>449</v>
      </c>
      <c r="S189" s="19">
        <v>2481</v>
      </c>
      <c r="T189" s="19">
        <v>826</v>
      </c>
      <c r="U189" s="19">
        <v>2696</v>
      </c>
      <c r="V189" s="26">
        <v>1907</v>
      </c>
      <c r="W189" s="25">
        <v>902</v>
      </c>
      <c r="X189" s="25">
        <v>2255</v>
      </c>
      <c r="Y189" s="25">
        <v>1328</v>
      </c>
      <c r="Z189" s="25">
        <v>1980</v>
      </c>
      <c r="AA189" s="25">
        <v>1779</v>
      </c>
      <c r="AB189" s="25">
        <v>2070</v>
      </c>
      <c r="AC189" s="27"/>
      <c r="AD189" s="28">
        <f t="shared" si="10"/>
        <v>31034</v>
      </c>
    </row>
    <row r="190" spans="2:30" ht="15.75" x14ac:dyDescent="0.25">
      <c r="B190" s="4" t="s">
        <v>9</v>
      </c>
      <c r="C190" s="16">
        <v>646</v>
      </c>
      <c r="D190" s="17">
        <v>293</v>
      </c>
      <c r="E190" s="17">
        <v>400</v>
      </c>
      <c r="F190" s="17">
        <v>256</v>
      </c>
      <c r="G190" s="18">
        <v>326</v>
      </c>
      <c r="H190" s="18">
        <v>491</v>
      </c>
      <c r="I190" s="19">
        <v>160</v>
      </c>
      <c r="J190" s="18">
        <v>54</v>
      </c>
      <c r="K190" s="18">
        <v>166</v>
      </c>
      <c r="L190" s="18">
        <v>369</v>
      </c>
      <c r="M190" s="18">
        <v>492</v>
      </c>
      <c r="N190" s="18">
        <v>418</v>
      </c>
      <c r="O190" s="18">
        <v>464</v>
      </c>
      <c r="P190" s="18">
        <v>93</v>
      </c>
      <c r="Q190" s="18">
        <v>120</v>
      </c>
      <c r="R190" s="18">
        <v>65</v>
      </c>
      <c r="S190" s="18">
        <v>335</v>
      </c>
      <c r="T190" s="18">
        <v>73</v>
      </c>
      <c r="U190" s="18">
        <v>243</v>
      </c>
      <c r="V190" s="21">
        <v>171</v>
      </c>
      <c r="W190" s="17">
        <v>146</v>
      </c>
      <c r="X190" s="17">
        <v>249</v>
      </c>
      <c r="Y190" s="17">
        <v>75</v>
      </c>
      <c r="Z190" s="17">
        <v>266</v>
      </c>
      <c r="AA190" s="17">
        <v>150</v>
      </c>
      <c r="AB190" s="17">
        <v>220</v>
      </c>
      <c r="AC190" s="23"/>
      <c r="AD190" s="15">
        <f t="shared" si="10"/>
        <v>6741</v>
      </c>
    </row>
    <row r="191" spans="2:30" ht="15.75" x14ac:dyDescent="0.25">
      <c r="B191" s="4" t="s">
        <v>10</v>
      </c>
      <c r="C191" s="16">
        <v>723</v>
      </c>
      <c r="D191" s="17">
        <v>622</v>
      </c>
      <c r="E191" s="17">
        <v>398</v>
      </c>
      <c r="F191" s="17">
        <v>356</v>
      </c>
      <c r="G191" s="18">
        <v>603</v>
      </c>
      <c r="H191" s="18">
        <v>1506</v>
      </c>
      <c r="I191" s="19">
        <v>384</v>
      </c>
      <c r="J191" s="18">
        <v>210</v>
      </c>
      <c r="K191" s="18">
        <v>127</v>
      </c>
      <c r="L191" s="18">
        <v>338</v>
      </c>
      <c r="M191" s="18">
        <v>611</v>
      </c>
      <c r="N191" s="18">
        <v>238</v>
      </c>
      <c r="O191" s="18">
        <v>413</v>
      </c>
      <c r="P191" s="18">
        <v>151</v>
      </c>
      <c r="Q191" s="18">
        <v>246</v>
      </c>
      <c r="R191" s="18">
        <v>118</v>
      </c>
      <c r="S191" s="18">
        <v>454</v>
      </c>
      <c r="T191" s="18">
        <v>179</v>
      </c>
      <c r="U191" s="18">
        <v>334</v>
      </c>
      <c r="V191" s="21">
        <v>361</v>
      </c>
      <c r="W191" s="17">
        <v>246</v>
      </c>
      <c r="X191" s="17">
        <v>379</v>
      </c>
      <c r="Y191" s="17">
        <v>310</v>
      </c>
      <c r="Z191" s="17">
        <v>406</v>
      </c>
      <c r="AA191" s="17">
        <v>419</v>
      </c>
      <c r="AB191" s="17">
        <v>564</v>
      </c>
      <c r="AC191" s="23"/>
      <c r="AD191" s="15">
        <f t="shared" si="10"/>
        <v>10696</v>
      </c>
    </row>
    <row r="192" spans="2:30" ht="15.75" x14ac:dyDescent="0.25">
      <c r="B192" s="4" t="s">
        <v>11</v>
      </c>
      <c r="C192" s="16">
        <v>576</v>
      </c>
      <c r="D192" s="17">
        <v>575</v>
      </c>
      <c r="E192" s="17">
        <v>505</v>
      </c>
      <c r="F192" s="17">
        <v>370</v>
      </c>
      <c r="G192" s="18">
        <v>598</v>
      </c>
      <c r="H192" s="18">
        <v>3364</v>
      </c>
      <c r="I192" s="19">
        <v>492</v>
      </c>
      <c r="J192" s="18">
        <v>372</v>
      </c>
      <c r="K192" s="18">
        <v>310</v>
      </c>
      <c r="L192" s="18">
        <v>116</v>
      </c>
      <c r="M192" s="18">
        <v>141</v>
      </c>
      <c r="N192" s="18">
        <v>166</v>
      </c>
      <c r="O192" s="18">
        <v>186</v>
      </c>
      <c r="P192" s="18">
        <v>302</v>
      </c>
      <c r="Q192" s="18">
        <v>204</v>
      </c>
      <c r="R192" s="18">
        <v>213</v>
      </c>
      <c r="S192" s="18">
        <v>394</v>
      </c>
      <c r="T192" s="18">
        <v>307</v>
      </c>
      <c r="U192" s="18">
        <v>493</v>
      </c>
      <c r="V192" s="21">
        <v>274</v>
      </c>
      <c r="W192" s="17">
        <v>257</v>
      </c>
      <c r="X192" s="17">
        <v>418</v>
      </c>
      <c r="Y192" s="17">
        <v>146</v>
      </c>
      <c r="Z192" s="17">
        <v>253</v>
      </c>
      <c r="AA192" s="17">
        <v>255</v>
      </c>
      <c r="AB192" s="17">
        <v>635</v>
      </c>
      <c r="AC192" s="23"/>
      <c r="AD192" s="15">
        <f t="shared" si="10"/>
        <v>11922</v>
      </c>
    </row>
    <row r="193" spans="2:30" ht="15.75" x14ac:dyDescent="0.25">
      <c r="B193" s="4" t="s">
        <v>12</v>
      </c>
      <c r="C193" s="16">
        <v>595</v>
      </c>
      <c r="D193" s="17">
        <v>377</v>
      </c>
      <c r="E193" s="17">
        <v>517</v>
      </c>
      <c r="F193" s="17">
        <v>359</v>
      </c>
      <c r="G193" s="18">
        <v>521</v>
      </c>
      <c r="H193" s="18">
        <v>2704</v>
      </c>
      <c r="I193" s="19">
        <v>542</v>
      </c>
      <c r="J193" s="18">
        <v>535</v>
      </c>
      <c r="K193" s="18">
        <v>387</v>
      </c>
      <c r="L193" s="18">
        <v>104</v>
      </c>
      <c r="M193" s="18">
        <v>93</v>
      </c>
      <c r="N193" s="18">
        <v>117</v>
      </c>
      <c r="O193" s="18">
        <v>348</v>
      </c>
      <c r="P193" s="18">
        <v>307</v>
      </c>
      <c r="Q193" s="18">
        <v>243</v>
      </c>
      <c r="R193" s="18">
        <v>134</v>
      </c>
      <c r="S193" s="18">
        <v>378</v>
      </c>
      <c r="T193" s="18">
        <v>193</v>
      </c>
      <c r="U193" s="18">
        <v>529</v>
      </c>
      <c r="V193" s="21">
        <v>291</v>
      </c>
      <c r="W193" s="17">
        <v>170</v>
      </c>
      <c r="X193" s="17">
        <v>294</v>
      </c>
      <c r="Y193" s="17">
        <v>174</v>
      </c>
      <c r="Z193" s="17">
        <v>264</v>
      </c>
      <c r="AA193" s="17">
        <v>278</v>
      </c>
      <c r="AB193" s="17">
        <v>412</v>
      </c>
      <c r="AC193" s="23"/>
      <c r="AD193" s="15">
        <f t="shared" si="10"/>
        <v>10866</v>
      </c>
    </row>
    <row r="194" spans="2:30" ht="15.75" x14ac:dyDescent="0.25">
      <c r="B194" s="4" t="s">
        <v>13</v>
      </c>
      <c r="C194" s="16">
        <v>403</v>
      </c>
      <c r="D194" s="17">
        <v>286</v>
      </c>
      <c r="E194" s="17">
        <v>196</v>
      </c>
      <c r="F194" s="17">
        <v>154</v>
      </c>
      <c r="G194" s="18">
        <v>297</v>
      </c>
      <c r="H194" s="18">
        <v>1834</v>
      </c>
      <c r="I194" s="19">
        <v>375</v>
      </c>
      <c r="J194" s="18">
        <v>339</v>
      </c>
      <c r="K194" s="18">
        <v>288</v>
      </c>
      <c r="L194" s="18">
        <v>105</v>
      </c>
      <c r="M194" s="18">
        <v>112</v>
      </c>
      <c r="N194" s="18">
        <v>61</v>
      </c>
      <c r="O194" s="18">
        <v>29</v>
      </c>
      <c r="P194" s="18">
        <v>279</v>
      </c>
      <c r="Q194" s="29">
        <v>117</v>
      </c>
      <c r="R194" s="29">
        <v>95</v>
      </c>
      <c r="S194" s="29">
        <v>316</v>
      </c>
      <c r="T194" s="29">
        <v>166</v>
      </c>
      <c r="U194" s="29">
        <v>212</v>
      </c>
      <c r="V194" s="30">
        <v>117</v>
      </c>
      <c r="W194" s="31">
        <v>147</v>
      </c>
      <c r="X194" s="29">
        <v>210</v>
      </c>
      <c r="Y194" s="29">
        <v>145</v>
      </c>
      <c r="Z194" s="29">
        <v>155</v>
      </c>
      <c r="AA194" s="29">
        <v>143</v>
      </c>
      <c r="AB194" s="29">
        <v>354</v>
      </c>
      <c r="AC194" s="14"/>
      <c r="AD194" s="15">
        <f t="shared" si="10"/>
        <v>6935</v>
      </c>
    </row>
    <row r="195" spans="2:30" ht="15.75" x14ac:dyDescent="0.25">
      <c r="B195" s="4" t="s">
        <v>14</v>
      </c>
      <c r="C195" s="16">
        <v>538</v>
      </c>
      <c r="D195" s="17">
        <v>577</v>
      </c>
      <c r="E195" s="17">
        <v>437</v>
      </c>
      <c r="F195" s="17">
        <v>376</v>
      </c>
      <c r="G195" s="18">
        <v>664</v>
      </c>
      <c r="H195" s="18">
        <v>1984</v>
      </c>
      <c r="I195" s="19">
        <v>621</v>
      </c>
      <c r="J195" s="18">
        <v>467</v>
      </c>
      <c r="K195" s="18">
        <v>464</v>
      </c>
      <c r="L195" s="18">
        <v>230</v>
      </c>
      <c r="M195" s="18">
        <v>273</v>
      </c>
      <c r="N195" s="18">
        <v>56</v>
      </c>
      <c r="O195" s="18">
        <v>90</v>
      </c>
      <c r="P195" s="18">
        <v>252</v>
      </c>
      <c r="Q195" s="29">
        <v>201</v>
      </c>
      <c r="R195" s="29">
        <v>105</v>
      </c>
      <c r="S195" s="29">
        <v>428</v>
      </c>
      <c r="T195" s="29">
        <v>157</v>
      </c>
      <c r="U195" s="29">
        <v>391</v>
      </c>
      <c r="V195" s="30">
        <v>416</v>
      </c>
      <c r="W195" s="31">
        <v>208</v>
      </c>
      <c r="X195" s="29">
        <v>404</v>
      </c>
      <c r="Y195" s="29">
        <v>129</v>
      </c>
      <c r="Z195" s="29">
        <v>313</v>
      </c>
      <c r="AA195" s="29">
        <v>292</v>
      </c>
      <c r="AB195" s="29">
        <v>453</v>
      </c>
      <c r="AC195" s="14"/>
      <c r="AD195" s="15">
        <f t="shared" si="10"/>
        <v>10526</v>
      </c>
    </row>
    <row r="196" spans="2:30" ht="15.75" x14ac:dyDescent="0.25">
      <c r="B196" s="4" t="s">
        <v>15</v>
      </c>
      <c r="C196" s="16">
        <v>311</v>
      </c>
      <c r="D196" s="17">
        <v>284</v>
      </c>
      <c r="E196" s="17">
        <v>302</v>
      </c>
      <c r="F196" s="17">
        <v>201</v>
      </c>
      <c r="G196" s="18">
        <v>221</v>
      </c>
      <c r="H196" s="18">
        <v>1960</v>
      </c>
      <c r="I196" s="19">
        <v>264</v>
      </c>
      <c r="J196" s="18">
        <v>66</v>
      </c>
      <c r="K196" s="18">
        <v>169</v>
      </c>
      <c r="L196" s="18">
        <v>189</v>
      </c>
      <c r="M196" s="18">
        <v>238</v>
      </c>
      <c r="N196" s="18">
        <v>168</v>
      </c>
      <c r="O196" s="18">
        <v>149</v>
      </c>
      <c r="P196" s="18">
        <v>212</v>
      </c>
      <c r="Q196" s="29">
        <v>401</v>
      </c>
      <c r="R196" s="29">
        <v>638</v>
      </c>
      <c r="S196" s="29">
        <v>2917</v>
      </c>
      <c r="T196" s="29">
        <v>854</v>
      </c>
      <c r="U196" s="29">
        <v>4084</v>
      </c>
      <c r="V196" s="30">
        <v>2478</v>
      </c>
      <c r="W196" s="31">
        <v>1592</v>
      </c>
      <c r="X196" s="29">
        <v>3256</v>
      </c>
      <c r="Y196" s="29">
        <v>1750</v>
      </c>
      <c r="Z196" s="29">
        <v>2513</v>
      </c>
      <c r="AA196" s="29">
        <v>2204</v>
      </c>
      <c r="AB196" s="29">
        <v>2896</v>
      </c>
      <c r="AC196" s="14"/>
      <c r="AD196" s="15">
        <f t="shared" si="10"/>
        <v>30317</v>
      </c>
    </row>
    <row r="197" spans="2:30" ht="15.75" x14ac:dyDescent="0.25">
      <c r="B197" s="4" t="s">
        <v>16</v>
      </c>
      <c r="C197" s="16">
        <v>106</v>
      </c>
      <c r="D197" s="17">
        <v>177</v>
      </c>
      <c r="E197" s="17">
        <v>121</v>
      </c>
      <c r="F197" s="17">
        <v>116</v>
      </c>
      <c r="G197" s="18">
        <v>242</v>
      </c>
      <c r="H197" s="18">
        <v>2817</v>
      </c>
      <c r="I197" s="19">
        <v>360</v>
      </c>
      <c r="J197" s="18">
        <v>105</v>
      </c>
      <c r="K197" s="18">
        <v>238</v>
      </c>
      <c r="L197" s="18">
        <v>163</v>
      </c>
      <c r="M197" s="18">
        <v>206</v>
      </c>
      <c r="N197" s="18">
        <v>129</v>
      </c>
      <c r="O197" s="18">
        <v>172</v>
      </c>
      <c r="P197" s="18">
        <v>368</v>
      </c>
      <c r="Q197" s="29">
        <v>293</v>
      </c>
      <c r="R197" s="29">
        <v>953</v>
      </c>
      <c r="S197" s="29">
        <v>2888</v>
      </c>
      <c r="T197" s="29">
        <v>1135</v>
      </c>
      <c r="U197" s="29">
        <v>3751</v>
      </c>
      <c r="V197" s="30">
        <v>2470</v>
      </c>
      <c r="W197" s="31">
        <v>1334</v>
      </c>
      <c r="X197" s="29">
        <v>2277</v>
      </c>
      <c r="Y197" s="29">
        <v>1385</v>
      </c>
      <c r="Z197" s="29">
        <v>1922</v>
      </c>
      <c r="AA197" s="29">
        <v>1493</v>
      </c>
      <c r="AB197" s="29">
        <v>2523</v>
      </c>
      <c r="AC197" s="14"/>
      <c r="AD197" s="15">
        <f t="shared" si="10"/>
        <v>27744</v>
      </c>
    </row>
    <row r="198" spans="2:30" ht="15.75" x14ac:dyDescent="0.25">
      <c r="B198" s="4" t="s">
        <v>17</v>
      </c>
      <c r="C198" s="16">
        <v>114</v>
      </c>
      <c r="D198" s="17">
        <v>97</v>
      </c>
      <c r="E198" s="17">
        <v>60</v>
      </c>
      <c r="F198" s="17">
        <v>64</v>
      </c>
      <c r="G198" s="18">
        <v>83</v>
      </c>
      <c r="H198" s="18">
        <v>3114</v>
      </c>
      <c r="I198" s="19">
        <v>228</v>
      </c>
      <c r="J198" s="18">
        <v>44</v>
      </c>
      <c r="K198" s="18">
        <v>89</v>
      </c>
      <c r="L198" s="18">
        <v>102</v>
      </c>
      <c r="M198" s="18">
        <v>116</v>
      </c>
      <c r="N198" s="18">
        <v>84</v>
      </c>
      <c r="O198" s="18">
        <v>82</v>
      </c>
      <c r="P198" s="18">
        <v>759</v>
      </c>
      <c r="Q198" s="29">
        <v>1030</v>
      </c>
      <c r="R198" s="29">
        <v>174</v>
      </c>
      <c r="S198" s="29">
        <v>197</v>
      </c>
      <c r="T198" s="29">
        <v>216</v>
      </c>
      <c r="U198" s="29">
        <v>1085</v>
      </c>
      <c r="V198" s="30">
        <v>654</v>
      </c>
      <c r="W198" s="31">
        <v>441</v>
      </c>
      <c r="X198" s="29">
        <v>644</v>
      </c>
      <c r="Y198" s="29">
        <v>532</v>
      </c>
      <c r="Z198" s="29">
        <v>592</v>
      </c>
      <c r="AA198" s="29">
        <v>524</v>
      </c>
      <c r="AB198" s="29">
        <v>691</v>
      </c>
      <c r="AC198" s="14"/>
      <c r="AD198" s="15">
        <f t="shared" si="10"/>
        <v>11816</v>
      </c>
    </row>
    <row r="199" spans="2:30" ht="16.5" thickBot="1" x14ac:dyDescent="0.3">
      <c r="B199" s="4" t="s">
        <v>18</v>
      </c>
      <c r="C199" s="32">
        <v>240</v>
      </c>
      <c r="D199" s="33">
        <v>248</v>
      </c>
      <c r="E199" s="33">
        <v>121</v>
      </c>
      <c r="F199" s="33">
        <v>194</v>
      </c>
      <c r="G199" s="34">
        <v>338</v>
      </c>
      <c r="H199" s="34">
        <v>14931</v>
      </c>
      <c r="I199" s="35">
        <v>1612</v>
      </c>
      <c r="J199" s="34">
        <v>478</v>
      </c>
      <c r="K199" s="34">
        <v>617</v>
      </c>
      <c r="L199" s="34">
        <v>302</v>
      </c>
      <c r="M199" s="34">
        <v>461</v>
      </c>
      <c r="N199" s="34">
        <v>344</v>
      </c>
      <c r="O199" s="34">
        <v>378</v>
      </c>
      <c r="P199" s="34">
        <v>3339</v>
      </c>
      <c r="Q199" s="36">
        <v>3175</v>
      </c>
      <c r="R199" s="36">
        <v>235</v>
      </c>
      <c r="S199" s="36">
        <v>613</v>
      </c>
      <c r="T199" s="36">
        <v>824</v>
      </c>
      <c r="U199" s="36">
        <v>3944</v>
      </c>
      <c r="V199" s="37">
        <v>2220</v>
      </c>
      <c r="W199" s="31">
        <v>1653</v>
      </c>
      <c r="X199" s="29">
        <v>4050</v>
      </c>
      <c r="Y199" s="29">
        <v>2508</v>
      </c>
      <c r="Z199" s="29">
        <v>3645</v>
      </c>
      <c r="AA199" s="29">
        <v>4293</v>
      </c>
      <c r="AB199" s="29">
        <v>4512</v>
      </c>
      <c r="AC199" s="14"/>
      <c r="AD199" s="15">
        <f t="shared" si="10"/>
        <v>55275</v>
      </c>
    </row>
    <row r="200" spans="2:30" ht="15.75" x14ac:dyDescent="0.25">
      <c r="B200" s="6" t="s">
        <v>19</v>
      </c>
      <c r="C200" s="12">
        <v>232</v>
      </c>
      <c r="D200" s="12">
        <v>277</v>
      </c>
      <c r="E200" s="12">
        <v>122</v>
      </c>
      <c r="F200" s="12">
        <v>128</v>
      </c>
      <c r="G200" s="17">
        <v>168</v>
      </c>
      <c r="H200" s="17">
        <v>7003</v>
      </c>
      <c r="I200" s="25">
        <v>1057</v>
      </c>
      <c r="J200" s="17">
        <v>133</v>
      </c>
      <c r="K200" s="17">
        <v>190</v>
      </c>
      <c r="L200" s="17">
        <v>225</v>
      </c>
      <c r="M200" s="17">
        <v>219</v>
      </c>
      <c r="N200" s="17">
        <v>192</v>
      </c>
      <c r="O200" s="17">
        <v>147</v>
      </c>
      <c r="P200" s="17">
        <v>1172</v>
      </c>
      <c r="Q200" s="31">
        <v>1349</v>
      </c>
      <c r="R200" s="31">
        <v>202</v>
      </c>
      <c r="S200" s="31">
        <v>747</v>
      </c>
      <c r="T200" s="31">
        <v>224</v>
      </c>
      <c r="U200" s="31">
        <v>1429</v>
      </c>
      <c r="V200" s="31">
        <v>698</v>
      </c>
      <c r="W200" s="29">
        <v>521</v>
      </c>
      <c r="X200" s="29">
        <v>1810</v>
      </c>
      <c r="Y200" s="29">
        <v>1083</v>
      </c>
      <c r="Z200" s="29">
        <v>1738</v>
      </c>
      <c r="AA200" s="29">
        <v>1983</v>
      </c>
      <c r="AB200" s="29">
        <v>1804</v>
      </c>
      <c r="AC200" s="14"/>
      <c r="AD200" s="15">
        <f t="shared" si="10"/>
        <v>24853</v>
      </c>
    </row>
    <row r="201" spans="2:30" ht="15.75" x14ac:dyDescent="0.25">
      <c r="B201" s="6" t="s">
        <v>20</v>
      </c>
      <c r="C201" s="13">
        <v>191</v>
      </c>
      <c r="D201" s="13">
        <v>269</v>
      </c>
      <c r="E201" s="13">
        <v>197</v>
      </c>
      <c r="F201" s="13">
        <v>141</v>
      </c>
      <c r="G201" s="18">
        <v>277</v>
      </c>
      <c r="H201" s="18">
        <v>26213</v>
      </c>
      <c r="I201" s="19">
        <v>2089</v>
      </c>
      <c r="J201" s="17">
        <v>295</v>
      </c>
      <c r="K201" s="17">
        <v>369</v>
      </c>
      <c r="L201" s="17">
        <v>495</v>
      </c>
      <c r="M201" s="17">
        <v>566</v>
      </c>
      <c r="N201" s="17">
        <v>284</v>
      </c>
      <c r="O201" s="17">
        <v>383</v>
      </c>
      <c r="P201" s="17">
        <v>4764</v>
      </c>
      <c r="Q201" s="29">
        <v>3905</v>
      </c>
      <c r="R201" s="29">
        <v>771</v>
      </c>
      <c r="S201" s="29">
        <v>3210</v>
      </c>
      <c r="T201" s="29">
        <v>1136</v>
      </c>
      <c r="U201" s="29">
        <v>646</v>
      </c>
      <c r="V201" s="29">
        <v>1442</v>
      </c>
      <c r="W201" s="29">
        <v>1177</v>
      </c>
      <c r="X201" s="29">
        <v>3075</v>
      </c>
      <c r="Y201" s="29">
        <v>1911</v>
      </c>
      <c r="Z201" s="29">
        <v>2484</v>
      </c>
      <c r="AA201" s="29">
        <v>2561</v>
      </c>
      <c r="AB201" s="29">
        <v>3647</v>
      </c>
      <c r="AC201" s="14"/>
      <c r="AD201" s="15">
        <f t="shared" si="10"/>
        <v>62498</v>
      </c>
    </row>
    <row r="202" spans="2:30" ht="15.75" x14ac:dyDescent="0.25">
      <c r="B202" s="6" t="s">
        <v>21</v>
      </c>
      <c r="C202" s="13">
        <v>142</v>
      </c>
      <c r="D202" s="13">
        <v>135</v>
      </c>
      <c r="E202" s="13">
        <v>71</v>
      </c>
      <c r="F202" s="13">
        <v>88</v>
      </c>
      <c r="G202" s="18">
        <v>154</v>
      </c>
      <c r="H202" s="18">
        <v>18033</v>
      </c>
      <c r="I202" s="19">
        <v>1442</v>
      </c>
      <c r="J202" s="17">
        <v>323</v>
      </c>
      <c r="K202" s="17">
        <v>445</v>
      </c>
      <c r="L202" s="17">
        <v>293</v>
      </c>
      <c r="M202" s="17">
        <v>361</v>
      </c>
      <c r="N202" s="17">
        <v>194</v>
      </c>
      <c r="O202" s="17">
        <v>459</v>
      </c>
      <c r="P202" s="17">
        <v>3346</v>
      </c>
      <c r="Q202" s="29">
        <v>2857</v>
      </c>
      <c r="R202" s="29">
        <v>457</v>
      </c>
      <c r="S202" s="29">
        <v>1703</v>
      </c>
      <c r="T202" s="29">
        <v>653</v>
      </c>
      <c r="U202" s="29">
        <v>1247</v>
      </c>
      <c r="V202" s="29">
        <v>489</v>
      </c>
      <c r="W202" s="29">
        <v>602</v>
      </c>
      <c r="X202" s="29">
        <v>1761</v>
      </c>
      <c r="Y202" s="29">
        <v>973</v>
      </c>
      <c r="Z202" s="29">
        <v>1327</v>
      </c>
      <c r="AA202" s="29">
        <v>1567</v>
      </c>
      <c r="AB202" s="29">
        <v>2284</v>
      </c>
      <c r="AC202" s="14"/>
      <c r="AD202" s="15">
        <f t="shared" si="10"/>
        <v>41406</v>
      </c>
    </row>
    <row r="203" spans="2:30" ht="15.75" x14ac:dyDescent="0.25">
      <c r="B203" s="6" t="s">
        <v>22</v>
      </c>
      <c r="C203" s="13">
        <v>104</v>
      </c>
      <c r="D203" s="13">
        <v>91</v>
      </c>
      <c r="E203" s="13">
        <v>93</v>
      </c>
      <c r="F203" s="13">
        <v>117</v>
      </c>
      <c r="G203" s="18">
        <v>66</v>
      </c>
      <c r="H203" s="18">
        <v>11901</v>
      </c>
      <c r="I203" s="19">
        <v>743</v>
      </c>
      <c r="J203" s="17">
        <v>197</v>
      </c>
      <c r="K203" s="17">
        <v>275</v>
      </c>
      <c r="L203" s="17">
        <v>234</v>
      </c>
      <c r="M203" s="17">
        <v>186</v>
      </c>
      <c r="N203" s="17">
        <v>134</v>
      </c>
      <c r="O203" s="17">
        <v>248</v>
      </c>
      <c r="P203" s="17">
        <v>1843</v>
      </c>
      <c r="Q203" s="29">
        <v>1330</v>
      </c>
      <c r="R203" s="29">
        <v>440</v>
      </c>
      <c r="S203" s="29">
        <v>1528</v>
      </c>
      <c r="T203" s="29">
        <v>417</v>
      </c>
      <c r="U203" s="29">
        <v>881</v>
      </c>
      <c r="V203" s="29">
        <v>543</v>
      </c>
      <c r="W203" s="29">
        <v>234</v>
      </c>
      <c r="X203" s="29">
        <v>1105</v>
      </c>
      <c r="Y203" s="29">
        <v>833</v>
      </c>
      <c r="Z203" s="29">
        <v>1523</v>
      </c>
      <c r="AA203" s="29">
        <v>1861</v>
      </c>
      <c r="AB203" s="29">
        <v>1185</v>
      </c>
      <c r="AC203" s="14"/>
      <c r="AD203" s="15">
        <f t="shared" si="10"/>
        <v>28112</v>
      </c>
    </row>
    <row r="204" spans="2:30" ht="15.75" x14ac:dyDescent="0.25">
      <c r="B204" s="6" t="s">
        <v>23</v>
      </c>
      <c r="C204" s="13">
        <v>146</v>
      </c>
      <c r="D204" s="13">
        <v>160</v>
      </c>
      <c r="E204" s="13">
        <v>102</v>
      </c>
      <c r="F204" s="13">
        <v>102</v>
      </c>
      <c r="G204" s="18">
        <v>192</v>
      </c>
      <c r="H204" s="18">
        <v>32666</v>
      </c>
      <c r="I204" s="19">
        <v>1774</v>
      </c>
      <c r="J204" s="17">
        <v>340</v>
      </c>
      <c r="K204" s="17">
        <v>428</v>
      </c>
      <c r="L204" s="17">
        <v>443</v>
      </c>
      <c r="M204" s="17">
        <v>367</v>
      </c>
      <c r="N204" s="17">
        <v>299</v>
      </c>
      <c r="O204" s="17">
        <v>390</v>
      </c>
      <c r="P204" s="17">
        <v>4480</v>
      </c>
      <c r="Q204" s="29">
        <v>2671</v>
      </c>
      <c r="R204" s="29">
        <v>592</v>
      </c>
      <c r="S204" s="29">
        <v>3818</v>
      </c>
      <c r="T204" s="29">
        <v>1699</v>
      </c>
      <c r="U204" s="29">
        <v>3008</v>
      </c>
      <c r="V204" s="29">
        <v>1587</v>
      </c>
      <c r="W204" s="29">
        <v>1719</v>
      </c>
      <c r="X204" s="29">
        <v>913</v>
      </c>
      <c r="Y204" s="29">
        <v>576</v>
      </c>
      <c r="Z204" s="29">
        <v>2018</v>
      </c>
      <c r="AA204" s="29">
        <v>3412</v>
      </c>
      <c r="AB204" s="29">
        <v>3463</v>
      </c>
      <c r="AC204" s="14"/>
      <c r="AD204" s="15">
        <f t="shared" si="10"/>
        <v>67365</v>
      </c>
    </row>
    <row r="205" spans="2:30" ht="15.75" x14ac:dyDescent="0.25">
      <c r="B205" s="6" t="s">
        <v>24</v>
      </c>
      <c r="C205" s="13">
        <v>60</v>
      </c>
      <c r="D205" s="13">
        <v>57</v>
      </c>
      <c r="E205" s="13">
        <v>39</v>
      </c>
      <c r="F205" s="13">
        <v>45</v>
      </c>
      <c r="G205" s="18">
        <v>68</v>
      </c>
      <c r="H205" s="18">
        <v>19057</v>
      </c>
      <c r="I205" s="19">
        <v>1118</v>
      </c>
      <c r="J205" s="17">
        <v>137</v>
      </c>
      <c r="K205" s="17">
        <v>299</v>
      </c>
      <c r="L205" s="17">
        <v>155</v>
      </c>
      <c r="M205" s="17">
        <v>195</v>
      </c>
      <c r="N205" s="17">
        <v>120</v>
      </c>
      <c r="O205" s="17">
        <v>141</v>
      </c>
      <c r="P205" s="17">
        <v>2855</v>
      </c>
      <c r="Q205" s="29">
        <v>1676</v>
      </c>
      <c r="R205" s="29">
        <v>435</v>
      </c>
      <c r="S205" s="29">
        <v>2240</v>
      </c>
      <c r="T205" s="29">
        <v>1074</v>
      </c>
      <c r="U205" s="29">
        <v>1858</v>
      </c>
      <c r="V205" s="29">
        <v>815</v>
      </c>
      <c r="W205" s="29">
        <v>1119</v>
      </c>
      <c r="X205" s="29">
        <v>596</v>
      </c>
      <c r="Y205" s="29">
        <v>458</v>
      </c>
      <c r="Z205" s="29">
        <v>650</v>
      </c>
      <c r="AA205" s="29">
        <v>1794</v>
      </c>
      <c r="AB205" s="29">
        <v>1880</v>
      </c>
      <c r="AC205" s="14"/>
      <c r="AD205" s="15">
        <f t="shared" si="10"/>
        <v>38941</v>
      </c>
    </row>
    <row r="206" spans="2:30" ht="15.75" x14ac:dyDescent="0.25">
      <c r="B206" s="6" t="s">
        <v>25</v>
      </c>
      <c r="C206" s="13">
        <v>95</v>
      </c>
      <c r="D206" s="13">
        <v>103</v>
      </c>
      <c r="E206" s="13">
        <v>79</v>
      </c>
      <c r="F206" s="13">
        <v>42</v>
      </c>
      <c r="G206" s="18">
        <v>143</v>
      </c>
      <c r="H206" s="18">
        <v>31812</v>
      </c>
      <c r="I206" s="19">
        <v>1550</v>
      </c>
      <c r="J206" s="17">
        <v>360</v>
      </c>
      <c r="K206" s="17">
        <v>543</v>
      </c>
      <c r="L206" s="17">
        <v>263</v>
      </c>
      <c r="M206" s="17">
        <v>290</v>
      </c>
      <c r="N206" s="17">
        <v>169</v>
      </c>
      <c r="O206" s="17">
        <v>395</v>
      </c>
      <c r="P206" s="17">
        <v>3961</v>
      </c>
      <c r="Q206" s="29">
        <v>2302</v>
      </c>
      <c r="R206" s="29">
        <v>683</v>
      </c>
      <c r="S206" s="29">
        <v>3319</v>
      </c>
      <c r="T206" s="29">
        <v>1858</v>
      </c>
      <c r="U206" s="29">
        <v>2623</v>
      </c>
      <c r="V206" s="29">
        <v>1248</v>
      </c>
      <c r="W206" s="29">
        <v>1990</v>
      </c>
      <c r="X206" s="29">
        <v>2225</v>
      </c>
      <c r="Y206" s="29">
        <v>734</v>
      </c>
      <c r="Z206" s="29">
        <v>762</v>
      </c>
      <c r="AA206" s="29">
        <v>2239</v>
      </c>
      <c r="AB206" s="29">
        <v>2615</v>
      </c>
      <c r="AC206" s="14"/>
      <c r="AD206" s="15">
        <f t="shared" si="10"/>
        <v>62403</v>
      </c>
    </row>
    <row r="207" spans="2:30" ht="15.75" x14ac:dyDescent="0.25">
      <c r="B207" s="6" t="s">
        <v>26</v>
      </c>
      <c r="C207" s="13">
        <v>90</v>
      </c>
      <c r="D207" s="13">
        <v>138</v>
      </c>
      <c r="E207" s="13">
        <v>86</v>
      </c>
      <c r="F207" s="13">
        <v>49</v>
      </c>
      <c r="G207" s="18">
        <v>81</v>
      </c>
      <c r="H207" s="18">
        <v>26214</v>
      </c>
      <c r="I207" s="19">
        <v>1444</v>
      </c>
      <c r="J207" s="17">
        <v>269</v>
      </c>
      <c r="K207" s="17">
        <v>393</v>
      </c>
      <c r="L207" s="17">
        <v>256</v>
      </c>
      <c r="M207" s="17">
        <v>335</v>
      </c>
      <c r="N207" s="17">
        <v>153</v>
      </c>
      <c r="O207" s="17">
        <v>277</v>
      </c>
      <c r="P207" s="17">
        <v>2842</v>
      </c>
      <c r="Q207" s="29">
        <v>1702</v>
      </c>
      <c r="R207" s="29">
        <v>429</v>
      </c>
      <c r="S207" s="29">
        <v>3704</v>
      </c>
      <c r="T207" s="29">
        <v>1717</v>
      </c>
      <c r="U207" s="29">
        <v>2501</v>
      </c>
      <c r="V207" s="29">
        <v>1346</v>
      </c>
      <c r="W207" s="29">
        <v>2330</v>
      </c>
      <c r="X207" s="29">
        <v>4056</v>
      </c>
      <c r="Y207" s="29">
        <v>1946</v>
      </c>
      <c r="Z207" s="29">
        <v>2598</v>
      </c>
      <c r="AA207" s="29">
        <v>781</v>
      </c>
      <c r="AB207" s="29">
        <v>1210</v>
      </c>
      <c r="AC207" s="14"/>
      <c r="AD207" s="15">
        <f t="shared" si="10"/>
        <v>56947</v>
      </c>
    </row>
    <row r="208" spans="2:30" ht="15.75" x14ac:dyDescent="0.25">
      <c r="B208" s="6" t="s">
        <v>27</v>
      </c>
      <c r="C208" s="13">
        <v>232</v>
      </c>
      <c r="D208" s="13">
        <v>290</v>
      </c>
      <c r="E208" s="13">
        <v>199</v>
      </c>
      <c r="F208" s="13">
        <v>146</v>
      </c>
      <c r="G208" s="18">
        <v>276</v>
      </c>
      <c r="H208" s="18">
        <v>38620</v>
      </c>
      <c r="I208" s="19">
        <v>2184</v>
      </c>
      <c r="J208" s="17">
        <v>229</v>
      </c>
      <c r="K208" s="17">
        <v>643</v>
      </c>
      <c r="L208" s="17">
        <v>567</v>
      </c>
      <c r="M208" s="17">
        <v>532</v>
      </c>
      <c r="N208" s="17">
        <v>444</v>
      </c>
      <c r="O208" s="17">
        <v>346</v>
      </c>
      <c r="P208" s="17">
        <v>4367</v>
      </c>
      <c r="Q208" s="29">
        <v>2793</v>
      </c>
      <c r="R208" s="29">
        <v>722</v>
      </c>
      <c r="S208" s="29">
        <v>3928</v>
      </c>
      <c r="T208" s="29">
        <v>1724</v>
      </c>
      <c r="U208" s="29">
        <v>3240</v>
      </c>
      <c r="V208" s="29">
        <v>2163</v>
      </c>
      <c r="W208" s="29">
        <v>1197</v>
      </c>
      <c r="X208" s="29">
        <v>3279</v>
      </c>
      <c r="Y208" s="29">
        <v>2009</v>
      </c>
      <c r="Z208" s="29">
        <v>2945</v>
      </c>
      <c r="AA208" s="29">
        <v>2186</v>
      </c>
      <c r="AB208" s="29">
        <v>581</v>
      </c>
      <c r="AC208" s="14"/>
      <c r="AD208" s="15">
        <f t="shared" si="10"/>
        <v>75842</v>
      </c>
    </row>
    <row r="209" spans="2:30" ht="15.75" x14ac:dyDescent="0.25">
      <c r="B209" s="39" t="s">
        <v>28</v>
      </c>
      <c r="C209" s="13"/>
      <c r="D209" s="13"/>
      <c r="E209" s="13"/>
      <c r="F209" s="13"/>
      <c r="G209" s="18"/>
      <c r="H209" s="18"/>
      <c r="I209" s="19"/>
      <c r="J209" s="17"/>
      <c r="K209" s="17"/>
      <c r="L209" s="17"/>
      <c r="M209" s="17"/>
      <c r="N209" s="17"/>
      <c r="O209" s="17"/>
      <c r="P209" s="17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14"/>
      <c r="AD209" s="15">
        <f t="shared" si="10"/>
        <v>0</v>
      </c>
    </row>
    <row r="210" spans="2:30" ht="15.75" x14ac:dyDescent="0.25">
      <c r="B210" s="3" t="s">
        <v>30</v>
      </c>
      <c r="C210" s="41">
        <f>SUM(C183:C209)</f>
        <v>17190</v>
      </c>
      <c r="D210" s="41">
        <f t="shared" ref="D210:AD210" si="11">SUM(D183:D209)</f>
        <v>8427</v>
      </c>
      <c r="E210" s="41">
        <f t="shared" si="11"/>
        <v>8525</v>
      </c>
      <c r="F210" s="41">
        <f t="shared" si="11"/>
        <v>5339</v>
      </c>
      <c r="G210" s="41">
        <f t="shared" si="11"/>
        <v>8600</v>
      </c>
      <c r="H210" s="41">
        <f t="shared" si="11"/>
        <v>267139</v>
      </c>
      <c r="I210" s="42">
        <f t="shared" si="11"/>
        <v>27212</v>
      </c>
      <c r="J210" s="41">
        <f t="shared" si="11"/>
        <v>7487</v>
      </c>
      <c r="K210" s="41">
        <f t="shared" si="11"/>
        <v>10902</v>
      </c>
      <c r="L210" s="41">
        <f t="shared" si="11"/>
        <v>10516</v>
      </c>
      <c r="M210" s="41">
        <f t="shared" si="11"/>
        <v>10615</v>
      </c>
      <c r="N210" s="41">
        <f t="shared" si="11"/>
        <v>6820</v>
      </c>
      <c r="O210" s="41">
        <f t="shared" si="11"/>
        <v>9370</v>
      </c>
      <c r="P210" s="41">
        <f t="shared" si="11"/>
        <v>39860</v>
      </c>
      <c r="Q210" s="41">
        <f t="shared" si="11"/>
        <v>31235</v>
      </c>
      <c r="R210" s="41">
        <f t="shared" si="11"/>
        <v>11646</v>
      </c>
      <c r="S210" s="41">
        <f t="shared" si="11"/>
        <v>51473</v>
      </c>
      <c r="T210" s="41">
        <f t="shared" si="11"/>
        <v>22818</v>
      </c>
      <c r="U210" s="41">
        <f t="shared" si="11"/>
        <v>63891</v>
      </c>
      <c r="V210" s="41">
        <f t="shared" si="11"/>
        <v>41756</v>
      </c>
      <c r="W210" s="41">
        <f t="shared" si="11"/>
        <v>31338</v>
      </c>
      <c r="X210" s="41">
        <f t="shared" si="11"/>
        <v>69013</v>
      </c>
      <c r="Y210" s="41">
        <f t="shared" si="11"/>
        <v>38488</v>
      </c>
      <c r="Z210" s="41">
        <f t="shared" si="11"/>
        <v>58818</v>
      </c>
      <c r="AA210" s="41">
        <f t="shared" si="11"/>
        <v>58204</v>
      </c>
      <c r="AB210" s="41">
        <f t="shared" si="11"/>
        <v>65385</v>
      </c>
      <c r="AC210" s="41">
        <f t="shared" si="11"/>
        <v>0</v>
      </c>
      <c r="AD210" s="43">
        <f t="shared" si="11"/>
        <v>982067</v>
      </c>
    </row>
    <row r="214" spans="2:30" x14ac:dyDescent="0.25">
      <c r="B214" t="s">
        <v>37</v>
      </c>
    </row>
    <row r="216" spans="2:30" ht="16.5" thickBot="1" x14ac:dyDescent="0.3">
      <c r="B216" s="3" t="s">
        <v>1</v>
      </c>
      <c r="C216" s="4" t="s">
        <v>2</v>
      </c>
      <c r="D216" s="4" t="s">
        <v>3</v>
      </c>
      <c r="E216" s="4" t="s">
        <v>4</v>
      </c>
      <c r="F216" s="4" t="s">
        <v>5</v>
      </c>
      <c r="G216" s="4" t="s">
        <v>6</v>
      </c>
      <c r="H216" s="4" t="s">
        <v>7</v>
      </c>
      <c r="I216" s="5" t="s">
        <v>8</v>
      </c>
      <c r="J216" s="4" t="s">
        <v>9</v>
      </c>
      <c r="K216" s="4" t="s">
        <v>10</v>
      </c>
      <c r="L216" s="4" t="s">
        <v>11</v>
      </c>
      <c r="M216" s="4" t="s">
        <v>12</v>
      </c>
      <c r="N216" s="4" t="s">
        <v>13</v>
      </c>
      <c r="O216" s="4" t="s">
        <v>14</v>
      </c>
      <c r="P216" s="4" t="s">
        <v>15</v>
      </c>
      <c r="Q216" s="4" t="s">
        <v>16</v>
      </c>
      <c r="R216" s="4" t="s">
        <v>17</v>
      </c>
      <c r="S216" s="4" t="s">
        <v>18</v>
      </c>
      <c r="T216" s="6" t="s">
        <v>19</v>
      </c>
      <c r="U216" s="6" t="s">
        <v>20</v>
      </c>
      <c r="V216" s="6" t="s">
        <v>21</v>
      </c>
      <c r="W216" s="6" t="s">
        <v>22</v>
      </c>
      <c r="X216" s="6" t="s">
        <v>23</v>
      </c>
      <c r="Y216" s="6" t="s">
        <v>24</v>
      </c>
      <c r="Z216" s="6" t="s">
        <v>25</v>
      </c>
      <c r="AA216" s="6" t="s">
        <v>26</v>
      </c>
      <c r="AB216" s="6" t="s">
        <v>27</v>
      </c>
      <c r="AC216" s="6" t="s">
        <v>28</v>
      </c>
      <c r="AD216" s="3" t="s">
        <v>29</v>
      </c>
    </row>
    <row r="217" spans="2:30" ht="15.75" x14ac:dyDescent="0.25">
      <c r="B217" s="4" t="s">
        <v>2</v>
      </c>
      <c r="C217" s="7"/>
      <c r="D217" s="8"/>
      <c r="E217" s="8"/>
      <c r="F217" s="8"/>
      <c r="G217" s="9"/>
      <c r="H217" s="9"/>
      <c r="I217" s="10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1"/>
      <c r="W217" s="12"/>
      <c r="X217" s="13"/>
      <c r="Y217" s="13"/>
      <c r="Z217" s="13"/>
      <c r="AA217" s="13"/>
      <c r="AB217" s="13"/>
      <c r="AC217" s="14"/>
      <c r="AD217" s="15">
        <f>SUM(C217:AC217)</f>
        <v>0</v>
      </c>
    </row>
    <row r="218" spans="2:30" ht="15.75" x14ac:dyDescent="0.25">
      <c r="B218" s="4" t="s">
        <v>3</v>
      </c>
      <c r="C218" s="16"/>
      <c r="D218" s="17"/>
      <c r="E218" s="17"/>
      <c r="F218" s="17"/>
      <c r="G218" s="18"/>
      <c r="H218" s="18"/>
      <c r="I218" s="19"/>
      <c r="J218" s="18"/>
      <c r="K218" s="18"/>
      <c r="L218" s="18"/>
      <c r="M218" s="18"/>
      <c r="N218" s="18"/>
      <c r="O218" s="20"/>
      <c r="P218" s="18"/>
      <c r="Q218" s="18"/>
      <c r="R218" s="18"/>
      <c r="S218" s="18"/>
      <c r="T218" s="18"/>
      <c r="U218" s="18"/>
      <c r="V218" s="21"/>
      <c r="W218" s="17"/>
      <c r="X218" s="18"/>
      <c r="Y218" s="18"/>
      <c r="Z218" s="18"/>
      <c r="AA218" s="18"/>
      <c r="AB218" s="18"/>
      <c r="AC218" s="22"/>
      <c r="AD218" s="15">
        <f t="shared" ref="AD218:AD243" si="12">SUM(C218:AC218)</f>
        <v>0</v>
      </c>
    </row>
    <row r="219" spans="2:30" ht="15.75" x14ac:dyDescent="0.25">
      <c r="B219" s="4" t="s">
        <v>4</v>
      </c>
      <c r="C219" s="16"/>
      <c r="D219" s="17"/>
      <c r="E219" s="17"/>
      <c r="F219" s="17"/>
      <c r="G219" s="18"/>
      <c r="H219" s="18"/>
      <c r="I219" s="19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21"/>
      <c r="W219" s="17"/>
      <c r="X219" s="18"/>
      <c r="Y219" s="18"/>
      <c r="Z219" s="18"/>
      <c r="AA219" s="18"/>
      <c r="AB219" s="18"/>
      <c r="AC219" s="22"/>
      <c r="AD219" s="15">
        <f t="shared" si="12"/>
        <v>0</v>
      </c>
    </row>
    <row r="220" spans="2:30" ht="15.75" x14ac:dyDescent="0.25">
      <c r="B220" s="4" t="s">
        <v>5</v>
      </c>
      <c r="C220" s="16"/>
      <c r="D220" s="17"/>
      <c r="E220" s="17"/>
      <c r="F220" s="17"/>
      <c r="G220" s="18"/>
      <c r="H220" s="18"/>
      <c r="I220" s="19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21"/>
      <c r="W220" s="17"/>
      <c r="X220" s="18"/>
      <c r="Y220" s="18"/>
      <c r="Z220" s="18"/>
      <c r="AA220" s="18"/>
      <c r="AB220" s="18"/>
      <c r="AC220" s="22"/>
      <c r="AD220" s="15">
        <f t="shared" si="12"/>
        <v>0</v>
      </c>
    </row>
    <row r="221" spans="2:30" ht="15.75" x14ac:dyDescent="0.25">
      <c r="B221" s="4" t="s">
        <v>6</v>
      </c>
      <c r="C221" s="16"/>
      <c r="D221" s="17"/>
      <c r="E221" s="17"/>
      <c r="F221" s="17"/>
      <c r="G221" s="18"/>
      <c r="H221" s="18"/>
      <c r="I221" s="19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21"/>
      <c r="W221" s="17"/>
      <c r="X221" s="17"/>
      <c r="Y221" s="17"/>
      <c r="Z221" s="17"/>
      <c r="AA221" s="17"/>
      <c r="AB221" s="17"/>
      <c r="AC221" s="23"/>
      <c r="AD221" s="15">
        <f t="shared" si="12"/>
        <v>0</v>
      </c>
    </row>
    <row r="222" spans="2:30" ht="15.75" x14ac:dyDescent="0.25">
      <c r="B222" s="4" t="s">
        <v>7</v>
      </c>
      <c r="C222" s="16"/>
      <c r="D222" s="17"/>
      <c r="E222" s="17"/>
      <c r="F222" s="17"/>
      <c r="G222" s="18"/>
      <c r="H222" s="18"/>
      <c r="I222" s="19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21"/>
      <c r="W222" s="17"/>
      <c r="X222" s="17"/>
      <c r="Y222" s="17"/>
      <c r="Z222" s="17"/>
      <c r="AA222" s="17"/>
      <c r="AB222" s="17"/>
      <c r="AC222" s="23"/>
      <c r="AD222" s="15">
        <f t="shared" si="12"/>
        <v>0</v>
      </c>
    </row>
    <row r="223" spans="2:30" ht="15.75" x14ac:dyDescent="0.25">
      <c r="B223" s="5" t="s">
        <v>8</v>
      </c>
      <c r="C223" s="24"/>
      <c r="D223" s="25"/>
      <c r="E223" s="25"/>
      <c r="F223" s="25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26"/>
      <c r="W223" s="25"/>
      <c r="X223" s="25"/>
      <c r="Y223" s="25"/>
      <c r="Z223" s="25"/>
      <c r="AA223" s="25"/>
      <c r="AB223" s="25"/>
      <c r="AC223" s="27"/>
      <c r="AD223" s="15">
        <f t="shared" si="12"/>
        <v>0</v>
      </c>
    </row>
    <row r="224" spans="2:30" ht="15.75" x14ac:dyDescent="0.25">
      <c r="B224" s="4" t="s">
        <v>9</v>
      </c>
      <c r="C224" s="16"/>
      <c r="D224" s="17"/>
      <c r="E224" s="17"/>
      <c r="F224" s="17"/>
      <c r="G224" s="18"/>
      <c r="H224" s="18"/>
      <c r="I224" s="19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21"/>
      <c r="W224" s="17"/>
      <c r="X224" s="17"/>
      <c r="Y224" s="17"/>
      <c r="Z224" s="17"/>
      <c r="AA224" s="17"/>
      <c r="AB224" s="17"/>
      <c r="AC224" s="23"/>
      <c r="AD224" s="15">
        <f t="shared" si="12"/>
        <v>0</v>
      </c>
    </row>
    <row r="225" spans="2:30" ht="15.75" x14ac:dyDescent="0.25">
      <c r="B225" s="4" t="s">
        <v>10</v>
      </c>
      <c r="C225" s="16"/>
      <c r="D225" s="17"/>
      <c r="E225" s="17"/>
      <c r="F225" s="17"/>
      <c r="G225" s="18"/>
      <c r="H225" s="18"/>
      <c r="I225" s="19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21"/>
      <c r="W225" s="17"/>
      <c r="X225" s="17"/>
      <c r="Y225" s="17"/>
      <c r="Z225" s="17"/>
      <c r="AA225" s="17"/>
      <c r="AB225" s="17"/>
      <c r="AC225" s="23"/>
      <c r="AD225" s="15">
        <f t="shared" si="12"/>
        <v>0</v>
      </c>
    </row>
    <row r="226" spans="2:30" ht="15.75" x14ac:dyDescent="0.25">
      <c r="B226" s="4" t="s">
        <v>11</v>
      </c>
      <c r="C226" s="16"/>
      <c r="D226" s="17"/>
      <c r="E226" s="17"/>
      <c r="F226" s="17"/>
      <c r="G226" s="18"/>
      <c r="H226" s="18"/>
      <c r="I226" s="19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21"/>
      <c r="W226" s="17"/>
      <c r="X226" s="17"/>
      <c r="Y226" s="17"/>
      <c r="Z226" s="17"/>
      <c r="AA226" s="17"/>
      <c r="AB226" s="17"/>
      <c r="AC226" s="23"/>
      <c r="AD226" s="15">
        <f t="shared" si="12"/>
        <v>0</v>
      </c>
    </row>
    <row r="227" spans="2:30" ht="15.75" x14ac:dyDescent="0.25">
      <c r="B227" s="4" t="s">
        <v>12</v>
      </c>
      <c r="C227" s="16"/>
      <c r="D227" s="17"/>
      <c r="E227" s="17"/>
      <c r="F227" s="17"/>
      <c r="G227" s="18"/>
      <c r="H227" s="18"/>
      <c r="I227" s="19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21"/>
      <c r="W227" s="17"/>
      <c r="X227" s="17"/>
      <c r="Y227" s="17"/>
      <c r="Z227" s="17"/>
      <c r="AA227" s="17"/>
      <c r="AB227" s="17"/>
      <c r="AC227" s="23"/>
      <c r="AD227" s="15">
        <f t="shared" si="12"/>
        <v>0</v>
      </c>
    </row>
    <row r="228" spans="2:30" ht="15.75" x14ac:dyDescent="0.25">
      <c r="B228" s="4" t="s">
        <v>13</v>
      </c>
      <c r="C228" s="16"/>
      <c r="D228" s="17"/>
      <c r="E228" s="17"/>
      <c r="F228" s="17"/>
      <c r="G228" s="18"/>
      <c r="H228" s="18"/>
      <c r="I228" s="19"/>
      <c r="J228" s="18"/>
      <c r="K228" s="18"/>
      <c r="L228" s="18"/>
      <c r="M228" s="18"/>
      <c r="N228" s="18"/>
      <c r="O228" s="18"/>
      <c r="P228" s="18"/>
      <c r="Q228" s="29"/>
      <c r="R228" s="29"/>
      <c r="S228" s="29"/>
      <c r="T228" s="29"/>
      <c r="U228" s="29"/>
      <c r="V228" s="30"/>
      <c r="W228" s="31"/>
      <c r="X228" s="29"/>
      <c r="Y228" s="29"/>
      <c r="Z228" s="29"/>
      <c r="AA228" s="29"/>
      <c r="AB228" s="29"/>
      <c r="AC228" s="14"/>
      <c r="AD228" s="15">
        <f t="shared" si="12"/>
        <v>0</v>
      </c>
    </row>
    <row r="229" spans="2:30" ht="15.75" x14ac:dyDescent="0.25">
      <c r="B229" s="4" t="s">
        <v>14</v>
      </c>
      <c r="C229" s="16"/>
      <c r="D229" s="17"/>
      <c r="E229" s="17"/>
      <c r="F229" s="17"/>
      <c r="G229" s="18"/>
      <c r="H229" s="18"/>
      <c r="I229" s="19"/>
      <c r="J229" s="18"/>
      <c r="K229" s="18"/>
      <c r="L229" s="18"/>
      <c r="M229" s="18"/>
      <c r="N229" s="18"/>
      <c r="O229" s="18"/>
      <c r="P229" s="18"/>
      <c r="Q229" s="29"/>
      <c r="R229" s="29"/>
      <c r="S229" s="29"/>
      <c r="T229" s="29"/>
      <c r="U229" s="29"/>
      <c r="V229" s="30"/>
      <c r="W229" s="31"/>
      <c r="X229" s="29"/>
      <c r="Y229" s="29"/>
      <c r="Z229" s="29"/>
      <c r="AA229" s="29"/>
      <c r="AB229" s="29"/>
      <c r="AC229" s="14"/>
      <c r="AD229" s="15">
        <f t="shared" si="12"/>
        <v>0</v>
      </c>
    </row>
    <row r="230" spans="2:30" ht="15.75" x14ac:dyDescent="0.25">
      <c r="B230" s="4" t="s">
        <v>15</v>
      </c>
      <c r="C230" s="16"/>
      <c r="D230" s="17"/>
      <c r="E230" s="17"/>
      <c r="F230" s="17"/>
      <c r="G230" s="18"/>
      <c r="H230" s="18"/>
      <c r="I230" s="19"/>
      <c r="J230" s="18"/>
      <c r="K230" s="18"/>
      <c r="L230" s="18"/>
      <c r="M230" s="18"/>
      <c r="N230" s="18"/>
      <c r="O230" s="18"/>
      <c r="P230" s="18"/>
      <c r="Q230" s="29"/>
      <c r="R230" s="29"/>
      <c r="S230" s="29"/>
      <c r="T230" s="29"/>
      <c r="U230" s="29"/>
      <c r="V230" s="30"/>
      <c r="W230" s="31"/>
      <c r="X230" s="29"/>
      <c r="Y230" s="29"/>
      <c r="Z230" s="29"/>
      <c r="AA230" s="29"/>
      <c r="AB230" s="29"/>
      <c r="AC230" s="14"/>
      <c r="AD230" s="15">
        <f t="shared" si="12"/>
        <v>0</v>
      </c>
    </row>
    <row r="231" spans="2:30" ht="15.75" x14ac:dyDescent="0.25">
      <c r="B231" s="4" t="s">
        <v>16</v>
      </c>
      <c r="C231" s="16"/>
      <c r="D231" s="17"/>
      <c r="E231" s="17"/>
      <c r="F231" s="17"/>
      <c r="G231" s="18"/>
      <c r="H231" s="18"/>
      <c r="I231" s="19"/>
      <c r="J231" s="18"/>
      <c r="K231" s="18"/>
      <c r="L231" s="18"/>
      <c r="M231" s="18"/>
      <c r="N231" s="18"/>
      <c r="O231" s="18"/>
      <c r="P231" s="18"/>
      <c r="Q231" s="29"/>
      <c r="R231" s="29"/>
      <c r="S231" s="29"/>
      <c r="T231" s="29"/>
      <c r="U231" s="29"/>
      <c r="V231" s="30"/>
      <c r="W231" s="31"/>
      <c r="X231" s="29"/>
      <c r="Y231" s="29"/>
      <c r="Z231" s="29"/>
      <c r="AA231" s="29"/>
      <c r="AB231" s="29"/>
      <c r="AC231" s="14"/>
      <c r="AD231" s="15">
        <f t="shared" si="12"/>
        <v>0</v>
      </c>
    </row>
    <row r="232" spans="2:30" ht="15.75" x14ac:dyDescent="0.25">
      <c r="B232" s="4" t="s">
        <v>17</v>
      </c>
      <c r="C232" s="16"/>
      <c r="D232" s="17"/>
      <c r="E232" s="17"/>
      <c r="F232" s="17"/>
      <c r="G232" s="18"/>
      <c r="H232" s="18"/>
      <c r="I232" s="19"/>
      <c r="J232" s="18"/>
      <c r="K232" s="18"/>
      <c r="L232" s="18"/>
      <c r="M232" s="18"/>
      <c r="N232" s="18"/>
      <c r="O232" s="18"/>
      <c r="P232" s="18"/>
      <c r="Q232" s="29"/>
      <c r="R232" s="29"/>
      <c r="S232" s="29"/>
      <c r="T232" s="29"/>
      <c r="U232" s="29"/>
      <c r="V232" s="30"/>
      <c r="W232" s="31"/>
      <c r="X232" s="29"/>
      <c r="Y232" s="29"/>
      <c r="Z232" s="29"/>
      <c r="AA232" s="29"/>
      <c r="AB232" s="29"/>
      <c r="AC232" s="14"/>
      <c r="AD232" s="15">
        <f t="shared" si="12"/>
        <v>0</v>
      </c>
    </row>
    <row r="233" spans="2:30" ht="16.5" thickBot="1" x14ac:dyDescent="0.3">
      <c r="B233" s="4" t="s">
        <v>18</v>
      </c>
      <c r="C233" s="32"/>
      <c r="D233" s="33"/>
      <c r="E233" s="33"/>
      <c r="F233" s="33"/>
      <c r="G233" s="34"/>
      <c r="H233" s="34"/>
      <c r="I233" s="35"/>
      <c r="J233" s="34"/>
      <c r="K233" s="34"/>
      <c r="L233" s="34"/>
      <c r="M233" s="34"/>
      <c r="N233" s="34"/>
      <c r="O233" s="34"/>
      <c r="P233" s="34"/>
      <c r="Q233" s="36"/>
      <c r="R233" s="36"/>
      <c r="S233" s="36"/>
      <c r="T233" s="36"/>
      <c r="U233" s="36"/>
      <c r="V233" s="37"/>
      <c r="W233" s="31"/>
      <c r="X233" s="29"/>
      <c r="Y233" s="29"/>
      <c r="Z233" s="29"/>
      <c r="AA233" s="29"/>
      <c r="AB233" s="29"/>
      <c r="AC233" s="14"/>
      <c r="AD233" s="15">
        <f t="shared" si="12"/>
        <v>0</v>
      </c>
    </row>
    <row r="234" spans="2:30" ht="15.75" x14ac:dyDescent="0.25">
      <c r="B234" s="6" t="s">
        <v>19</v>
      </c>
      <c r="C234" s="12"/>
      <c r="D234" s="12"/>
      <c r="E234" s="12"/>
      <c r="F234" s="12"/>
      <c r="G234" s="17"/>
      <c r="H234" s="17"/>
      <c r="I234" s="25"/>
      <c r="J234" s="17"/>
      <c r="K234" s="17"/>
      <c r="L234" s="17"/>
      <c r="M234" s="17"/>
      <c r="N234" s="17"/>
      <c r="O234" s="17"/>
      <c r="P234" s="17"/>
      <c r="Q234" s="31"/>
      <c r="R234" s="31"/>
      <c r="S234" s="31"/>
      <c r="T234" s="31"/>
      <c r="U234" s="31"/>
      <c r="V234" s="31"/>
      <c r="W234" s="29"/>
      <c r="X234" s="29"/>
      <c r="Y234" s="29"/>
      <c r="Z234" s="29"/>
      <c r="AA234" s="29"/>
      <c r="AB234" s="29"/>
      <c r="AC234" s="14"/>
      <c r="AD234" s="15">
        <f t="shared" si="12"/>
        <v>0</v>
      </c>
    </row>
    <row r="235" spans="2:30" ht="15.75" x14ac:dyDescent="0.25">
      <c r="B235" s="6" t="s">
        <v>20</v>
      </c>
      <c r="C235" s="13"/>
      <c r="D235" s="13"/>
      <c r="E235" s="13"/>
      <c r="F235" s="13"/>
      <c r="G235" s="18"/>
      <c r="H235" s="18"/>
      <c r="I235" s="19"/>
      <c r="J235" s="17"/>
      <c r="K235" s="17"/>
      <c r="L235" s="17"/>
      <c r="M235" s="17"/>
      <c r="N235" s="17"/>
      <c r="O235" s="17"/>
      <c r="P235" s="17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14"/>
      <c r="AD235" s="15">
        <f t="shared" si="12"/>
        <v>0</v>
      </c>
    </row>
    <row r="236" spans="2:30" ht="15.75" x14ac:dyDescent="0.25">
      <c r="B236" s="6" t="s">
        <v>21</v>
      </c>
      <c r="C236" s="13"/>
      <c r="D236" s="13"/>
      <c r="E236" s="13"/>
      <c r="F236" s="13"/>
      <c r="G236" s="18"/>
      <c r="H236" s="18"/>
      <c r="I236" s="19"/>
      <c r="J236" s="17"/>
      <c r="K236" s="17"/>
      <c r="L236" s="17"/>
      <c r="M236" s="17"/>
      <c r="N236" s="17"/>
      <c r="O236" s="17"/>
      <c r="P236" s="17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14"/>
      <c r="AD236" s="15">
        <f t="shared" si="12"/>
        <v>0</v>
      </c>
    </row>
    <row r="237" spans="2:30" ht="15.75" x14ac:dyDescent="0.25">
      <c r="B237" s="6" t="s">
        <v>22</v>
      </c>
      <c r="C237" s="13"/>
      <c r="D237" s="13"/>
      <c r="E237" s="13"/>
      <c r="F237" s="13"/>
      <c r="G237" s="18"/>
      <c r="H237" s="18"/>
      <c r="I237" s="19"/>
      <c r="J237" s="17"/>
      <c r="K237" s="17"/>
      <c r="L237" s="17"/>
      <c r="M237" s="17"/>
      <c r="N237" s="17"/>
      <c r="O237" s="17"/>
      <c r="P237" s="17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14"/>
      <c r="AD237" s="15">
        <f t="shared" si="12"/>
        <v>0</v>
      </c>
    </row>
    <row r="238" spans="2:30" ht="15.75" x14ac:dyDescent="0.25">
      <c r="B238" s="6" t="s">
        <v>23</v>
      </c>
      <c r="C238" s="13"/>
      <c r="D238" s="13"/>
      <c r="E238" s="13"/>
      <c r="F238" s="13"/>
      <c r="G238" s="18"/>
      <c r="H238" s="18"/>
      <c r="I238" s="19"/>
      <c r="J238" s="17"/>
      <c r="K238" s="17"/>
      <c r="L238" s="17"/>
      <c r="M238" s="17"/>
      <c r="N238" s="17"/>
      <c r="O238" s="17"/>
      <c r="P238" s="17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14"/>
      <c r="AD238" s="15">
        <f t="shared" si="12"/>
        <v>0</v>
      </c>
    </row>
    <row r="239" spans="2:30" ht="15.75" x14ac:dyDescent="0.25">
      <c r="B239" s="6" t="s">
        <v>24</v>
      </c>
      <c r="C239" s="13"/>
      <c r="D239" s="13"/>
      <c r="E239" s="13"/>
      <c r="F239" s="13"/>
      <c r="G239" s="18"/>
      <c r="H239" s="18"/>
      <c r="I239" s="19"/>
      <c r="J239" s="17"/>
      <c r="K239" s="17"/>
      <c r="L239" s="17"/>
      <c r="M239" s="17"/>
      <c r="N239" s="17"/>
      <c r="O239" s="17"/>
      <c r="P239" s="17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14"/>
      <c r="AD239" s="15">
        <f t="shared" si="12"/>
        <v>0</v>
      </c>
    </row>
    <row r="240" spans="2:30" ht="15.75" x14ac:dyDescent="0.25">
      <c r="B240" s="6" t="s">
        <v>25</v>
      </c>
      <c r="C240" s="13"/>
      <c r="D240" s="13"/>
      <c r="E240" s="13"/>
      <c r="F240" s="13"/>
      <c r="G240" s="18"/>
      <c r="H240" s="18"/>
      <c r="I240" s="19"/>
      <c r="J240" s="17"/>
      <c r="K240" s="17"/>
      <c r="L240" s="17"/>
      <c r="M240" s="17"/>
      <c r="N240" s="17"/>
      <c r="O240" s="17"/>
      <c r="P240" s="17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14"/>
      <c r="AD240" s="15">
        <f t="shared" si="12"/>
        <v>0</v>
      </c>
    </row>
    <row r="241" spans="2:30" ht="15.75" x14ac:dyDescent="0.25">
      <c r="B241" s="6" t="s">
        <v>26</v>
      </c>
      <c r="C241" s="13"/>
      <c r="D241" s="13"/>
      <c r="E241" s="13"/>
      <c r="F241" s="13"/>
      <c r="G241" s="18"/>
      <c r="H241" s="18"/>
      <c r="I241" s="19"/>
      <c r="J241" s="17"/>
      <c r="K241" s="17"/>
      <c r="L241" s="17"/>
      <c r="M241" s="17"/>
      <c r="N241" s="17"/>
      <c r="O241" s="17"/>
      <c r="P241" s="17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14"/>
      <c r="AD241" s="15">
        <f t="shared" si="12"/>
        <v>0</v>
      </c>
    </row>
    <row r="242" spans="2:30" ht="15.75" x14ac:dyDescent="0.25">
      <c r="B242" s="6" t="s">
        <v>27</v>
      </c>
      <c r="C242" s="13"/>
      <c r="D242" s="13"/>
      <c r="E242" s="13"/>
      <c r="F242" s="13"/>
      <c r="G242" s="18"/>
      <c r="H242" s="18"/>
      <c r="I242" s="19"/>
      <c r="J242" s="17"/>
      <c r="K242" s="17"/>
      <c r="L242" s="17"/>
      <c r="M242" s="17"/>
      <c r="N242" s="17"/>
      <c r="O242" s="17"/>
      <c r="P242" s="17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14"/>
      <c r="AD242" s="15">
        <f t="shared" si="12"/>
        <v>0</v>
      </c>
    </row>
    <row r="243" spans="2:30" ht="15.75" x14ac:dyDescent="0.25">
      <c r="B243" s="39" t="s">
        <v>28</v>
      </c>
      <c r="C243" s="13"/>
      <c r="D243" s="13"/>
      <c r="E243" s="13"/>
      <c r="F243" s="13"/>
      <c r="G243" s="18"/>
      <c r="H243" s="18"/>
      <c r="I243" s="19"/>
      <c r="J243" s="17"/>
      <c r="K243" s="17"/>
      <c r="L243" s="17"/>
      <c r="M243" s="17"/>
      <c r="N243" s="17"/>
      <c r="O243" s="17"/>
      <c r="P243" s="17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14"/>
      <c r="AD243" s="15">
        <f t="shared" si="12"/>
        <v>0</v>
      </c>
    </row>
    <row r="244" spans="2:30" ht="15.75" x14ac:dyDescent="0.25">
      <c r="B244" s="3" t="s">
        <v>30</v>
      </c>
      <c r="C244" s="41">
        <f>SUM(C217:C243)</f>
        <v>0</v>
      </c>
      <c r="D244" s="41">
        <f t="shared" ref="D244:AD244" si="13">SUM(D217:D243)</f>
        <v>0</v>
      </c>
      <c r="E244" s="41">
        <f t="shared" si="13"/>
        <v>0</v>
      </c>
      <c r="F244" s="41">
        <f t="shared" si="13"/>
        <v>0</v>
      </c>
      <c r="G244" s="41">
        <f t="shared" si="13"/>
        <v>0</v>
      </c>
      <c r="H244" s="41">
        <f t="shared" si="13"/>
        <v>0</v>
      </c>
      <c r="I244" s="42">
        <f t="shared" si="13"/>
        <v>0</v>
      </c>
      <c r="J244" s="41">
        <f t="shared" si="13"/>
        <v>0</v>
      </c>
      <c r="K244" s="41">
        <f t="shared" si="13"/>
        <v>0</v>
      </c>
      <c r="L244" s="41">
        <f t="shared" si="13"/>
        <v>0</v>
      </c>
      <c r="M244" s="41">
        <f t="shared" si="13"/>
        <v>0</v>
      </c>
      <c r="N244" s="41">
        <f t="shared" si="13"/>
        <v>0</v>
      </c>
      <c r="O244" s="41">
        <f t="shared" si="13"/>
        <v>0</v>
      </c>
      <c r="P244" s="41">
        <f t="shared" si="13"/>
        <v>0</v>
      </c>
      <c r="Q244" s="41">
        <f t="shared" si="13"/>
        <v>0</v>
      </c>
      <c r="R244" s="41">
        <f t="shared" si="13"/>
        <v>0</v>
      </c>
      <c r="S244" s="41">
        <f t="shared" si="13"/>
        <v>0</v>
      </c>
      <c r="T244" s="41">
        <f t="shared" si="13"/>
        <v>0</v>
      </c>
      <c r="U244" s="41">
        <f t="shared" si="13"/>
        <v>0</v>
      </c>
      <c r="V244" s="41">
        <f t="shared" si="13"/>
        <v>0</v>
      </c>
      <c r="W244" s="41">
        <f t="shared" si="13"/>
        <v>0</v>
      </c>
      <c r="X244" s="41">
        <f t="shared" si="13"/>
        <v>0</v>
      </c>
      <c r="Y244" s="41">
        <f t="shared" si="13"/>
        <v>0</v>
      </c>
      <c r="Z244" s="41">
        <f t="shared" si="13"/>
        <v>0</v>
      </c>
      <c r="AA244" s="41">
        <f t="shared" si="13"/>
        <v>0</v>
      </c>
      <c r="AB244" s="41">
        <f t="shared" si="13"/>
        <v>0</v>
      </c>
      <c r="AC244" s="41">
        <f t="shared" si="13"/>
        <v>0</v>
      </c>
      <c r="AD244" s="43">
        <f t="shared" si="13"/>
        <v>0</v>
      </c>
    </row>
    <row r="247" spans="2:30" ht="15.75" x14ac:dyDescent="0.25">
      <c r="B247" s="46" t="s">
        <v>38</v>
      </c>
    </row>
    <row r="249" spans="2:30" ht="16.5" thickBot="1" x14ac:dyDescent="0.3">
      <c r="B249" s="3" t="s">
        <v>1</v>
      </c>
      <c r="C249" s="4" t="s">
        <v>2</v>
      </c>
      <c r="D249" s="4" t="s">
        <v>3</v>
      </c>
      <c r="E249" s="4" t="s">
        <v>4</v>
      </c>
      <c r="F249" s="4" t="s">
        <v>5</v>
      </c>
      <c r="G249" s="4" t="s">
        <v>6</v>
      </c>
      <c r="H249" s="4" t="s">
        <v>7</v>
      </c>
      <c r="I249" s="5" t="s">
        <v>8</v>
      </c>
      <c r="J249" s="4" t="s">
        <v>9</v>
      </c>
      <c r="K249" s="4" t="s">
        <v>10</v>
      </c>
      <c r="L249" s="4" t="s">
        <v>11</v>
      </c>
      <c r="M249" s="4" t="s">
        <v>12</v>
      </c>
      <c r="N249" s="4" t="s">
        <v>13</v>
      </c>
      <c r="O249" s="4" t="s">
        <v>14</v>
      </c>
      <c r="P249" s="4" t="s">
        <v>15</v>
      </c>
      <c r="Q249" s="4" t="s">
        <v>16</v>
      </c>
      <c r="R249" s="4" t="s">
        <v>17</v>
      </c>
      <c r="S249" s="4" t="s">
        <v>18</v>
      </c>
      <c r="T249" s="6" t="s">
        <v>19</v>
      </c>
      <c r="U249" s="6" t="s">
        <v>20</v>
      </c>
      <c r="V249" s="6" t="s">
        <v>21</v>
      </c>
      <c r="W249" s="6" t="s">
        <v>22</v>
      </c>
      <c r="X249" s="6" t="s">
        <v>23</v>
      </c>
      <c r="Y249" s="6" t="s">
        <v>24</v>
      </c>
      <c r="Z249" s="6" t="s">
        <v>25</v>
      </c>
      <c r="AA249" s="6" t="s">
        <v>26</v>
      </c>
      <c r="AB249" s="6" t="s">
        <v>27</v>
      </c>
      <c r="AC249" s="6" t="s">
        <v>28</v>
      </c>
      <c r="AD249" s="3" t="s">
        <v>29</v>
      </c>
    </row>
    <row r="250" spans="2:30" ht="15.75" x14ac:dyDescent="0.25">
      <c r="B250" s="4" t="s">
        <v>2</v>
      </c>
      <c r="C250" s="7"/>
      <c r="D250" s="8"/>
      <c r="E250" s="8"/>
      <c r="F250" s="8"/>
      <c r="G250" s="9"/>
      <c r="H250" s="9"/>
      <c r="I250" s="10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1"/>
      <c r="W250" s="12"/>
      <c r="X250" s="13"/>
      <c r="Y250" s="13"/>
      <c r="Z250" s="13"/>
      <c r="AA250" s="13"/>
      <c r="AB250" s="13"/>
      <c r="AC250" s="14"/>
      <c r="AD250" s="15">
        <f>SUM(C250:AC250)</f>
        <v>0</v>
      </c>
    </row>
    <row r="251" spans="2:30" ht="15.75" x14ac:dyDescent="0.25">
      <c r="B251" s="4" t="s">
        <v>3</v>
      </c>
      <c r="C251" s="16"/>
      <c r="D251" s="17"/>
      <c r="E251" s="17"/>
      <c r="F251" s="17"/>
      <c r="G251" s="18"/>
      <c r="H251" s="18"/>
      <c r="I251" s="19"/>
      <c r="J251" s="18"/>
      <c r="K251" s="18"/>
      <c r="L251" s="18"/>
      <c r="M251" s="18"/>
      <c r="N251" s="18"/>
      <c r="O251" s="20"/>
      <c r="P251" s="18"/>
      <c r="Q251" s="18"/>
      <c r="R251" s="18"/>
      <c r="S251" s="18"/>
      <c r="T251" s="18"/>
      <c r="U251" s="18"/>
      <c r="V251" s="21"/>
      <c r="W251" s="17"/>
      <c r="X251" s="18"/>
      <c r="Y251" s="18"/>
      <c r="Z251" s="18"/>
      <c r="AA251" s="18"/>
      <c r="AB251" s="18"/>
      <c r="AC251" s="22"/>
      <c r="AD251" s="15">
        <f>SUM(C251:AC251)</f>
        <v>0</v>
      </c>
    </row>
    <row r="252" spans="2:30" ht="15.75" x14ac:dyDescent="0.25">
      <c r="B252" s="4" t="s">
        <v>4</v>
      </c>
      <c r="C252" s="16"/>
      <c r="D252" s="17"/>
      <c r="E252" s="17"/>
      <c r="F252" s="17"/>
      <c r="G252" s="18"/>
      <c r="H252" s="18"/>
      <c r="I252" s="19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21"/>
      <c r="W252" s="17"/>
      <c r="X252" s="18"/>
      <c r="Y252" s="18"/>
      <c r="Z252" s="18"/>
      <c r="AA252" s="18"/>
      <c r="AB252" s="18"/>
      <c r="AC252" s="22"/>
      <c r="AD252" s="15">
        <f>SUM(C252:AC252)</f>
        <v>0</v>
      </c>
    </row>
    <row r="253" spans="2:30" ht="15.75" x14ac:dyDescent="0.25">
      <c r="B253" s="4" t="s">
        <v>5</v>
      </c>
      <c r="C253" s="16"/>
      <c r="D253" s="17"/>
      <c r="E253" s="17"/>
      <c r="F253" s="17"/>
      <c r="G253" s="18"/>
      <c r="H253" s="18"/>
      <c r="I253" s="19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21"/>
      <c r="W253" s="17"/>
      <c r="X253" s="18"/>
      <c r="Y253" s="18"/>
      <c r="Z253" s="18"/>
      <c r="AA253" s="18"/>
      <c r="AB253" s="18"/>
      <c r="AC253" s="22"/>
      <c r="AD253" s="15">
        <f t="shared" ref="AD253:AD276" si="14">SUM(C253:AC253)</f>
        <v>0</v>
      </c>
    </row>
    <row r="254" spans="2:30" ht="15.75" x14ac:dyDescent="0.25">
      <c r="B254" s="4" t="s">
        <v>6</v>
      </c>
      <c r="C254" s="16"/>
      <c r="D254" s="17"/>
      <c r="E254" s="17"/>
      <c r="F254" s="17"/>
      <c r="G254" s="18"/>
      <c r="H254" s="18"/>
      <c r="I254" s="19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21"/>
      <c r="W254" s="17"/>
      <c r="X254" s="17"/>
      <c r="Y254" s="17"/>
      <c r="Z254" s="17"/>
      <c r="AA254" s="17"/>
      <c r="AB254" s="17"/>
      <c r="AC254" s="23"/>
      <c r="AD254" s="15">
        <f t="shared" si="14"/>
        <v>0</v>
      </c>
    </row>
    <row r="255" spans="2:30" ht="15.75" x14ac:dyDescent="0.25">
      <c r="B255" s="4" t="s">
        <v>7</v>
      </c>
      <c r="C255" s="16"/>
      <c r="D255" s="17"/>
      <c r="E255" s="17"/>
      <c r="F255" s="17"/>
      <c r="G255" s="18"/>
      <c r="H255" s="18"/>
      <c r="I255" s="19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21"/>
      <c r="W255" s="17"/>
      <c r="X255" s="17"/>
      <c r="Y255" s="17"/>
      <c r="Z255" s="17"/>
      <c r="AA255" s="17"/>
      <c r="AB255" s="17"/>
      <c r="AC255" s="23"/>
      <c r="AD255" s="15">
        <f t="shared" si="14"/>
        <v>0</v>
      </c>
    </row>
    <row r="256" spans="2:30" ht="15.75" x14ac:dyDescent="0.25">
      <c r="B256" s="5" t="s">
        <v>8</v>
      </c>
      <c r="C256" s="24"/>
      <c r="D256" s="25"/>
      <c r="E256" s="25"/>
      <c r="F256" s="25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26"/>
      <c r="W256" s="25"/>
      <c r="X256" s="25"/>
      <c r="Y256" s="25"/>
      <c r="Z256" s="25"/>
      <c r="AA256" s="25"/>
      <c r="AB256" s="25"/>
      <c r="AC256" s="27"/>
      <c r="AD256" s="28">
        <f t="shared" si="14"/>
        <v>0</v>
      </c>
    </row>
    <row r="257" spans="2:30" ht="15.75" x14ac:dyDescent="0.25">
      <c r="B257" s="4" t="s">
        <v>9</v>
      </c>
      <c r="C257" s="16"/>
      <c r="D257" s="17"/>
      <c r="E257" s="17"/>
      <c r="F257" s="17"/>
      <c r="G257" s="18"/>
      <c r="H257" s="18"/>
      <c r="I257" s="19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21"/>
      <c r="W257" s="17"/>
      <c r="X257" s="17"/>
      <c r="Y257" s="17"/>
      <c r="Z257" s="17"/>
      <c r="AA257" s="17"/>
      <c r="AB257" s="17"/>
      <c r="AC257" s="23"/>
      <c r="AD257" s="15">
        <f t="shared" si="14"/>
        <v>0</v>
      </c>
    </row>
    <row r="258" spans="2:30" ht="15.75" x14ac:dyDescent="0.25">
      <c r="B258" s="4" t="s">
        <v>10</v>
      </c>
      <c r="C258" s="16"/>
      <c r="D258" s="17"/>
      <c r="E258" s="17"/>
      <c r="F258" s="17"/>
      <c r="G258" s="18"/>
      <c r="H258" s="18"/>
      <c r="I258" s="19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21"/>
      <c r="W258" s="17"/>
      <c r="X258" s="17"/>
      <c r="Y258" s="17"/>
      <c r="Z258" s="17"/>
      <c r="AA258" s="17"/>
      <c r="AB258" s="17"/>
      <c r="AC258" s="23"/>
      <c r="AD258" s="15">
        <f t="shared" si="14"/>
        <v>0</v>
      </c>
    </row>
    <row r="259" spans="2:30" ht="15.75" x14ac:dyDescent="0.25">
      <c r="B259" s="4" t="s">
        <v>11</v>
      </c>
      <c r="C259" s="16"/>
      <c r="D259" s="17"/>
      <c r="E259" s="17"/>
      <c r="F259" s="17"/>
      <c r="G259" s="18"/>
      <c r="H259" s="18"/>
      <c r="I259" s="19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21"/>
      <c r="W259" s="17"/>
      <c r="X259" s="17"/>
      <c r="Y259" s="17"/>
      <c r="Z259" s="17"/>
      <c r="AA259" s="17"/>
      <c r="AB259" s="17"/>
      <c r="AC259" s="23"/>
      <c r="AD259" s="15">
        <f t="shared" si="14"/>
        <v>0</v>
      </c>
    </row>
    <row r="260" spans="2:30" ht="15.75" x14ac:dyDescent="0.25">
      <c r="B260" s="4" t="s">
        <v>12</v>
      </c>
      <c r="C260" s="16"/>
      <c r="D260" s="17"/>
      <c r="E260" s="17"/>
      <c r="F260" s="17"/>
      <c r="G260" s="18"/>
      <c r="H260" s="18"/>
      <c r="I260" s="19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21"/>
      <c r="W260" s="17"/>
      <c r="X260" s="17"/>
      <c r="Y260" s="17"/>
      <c r="Z260" s="17"/>
      <c r="AA260" s="17"/>
      <c r="AB260" s="17"/>
      <c r="AC260" s="23"/>
      <c r="AD260" s="15">
        <f t="shared" si="14"/>
        <v>0</v>
      </c>
    </row>
    <row r="261" spans="2:30" ht="15.75" x14ac:dyDescent="0.25">
      <c r="B261" s="4" t="s">
        <v>13</v>
      </c>
      <c r="C261" s="16"/>
      <c r="D261" s="17"/>
      <c r="E261" s="17"/>
      <c r="F261" s="17"/>
      <c r="G261" s="18"/>
      <c r="H261" s="18"/>
      <c r="I261" s="19"/>
      <c r="J261" s="18"/>
      <c r="K261" s="18"/>
      <c r="L261" s="18"/>
      <c r="M261" s="18"/>
      <c r="N261" s="18"/>
      <c r="O261" s="18"/>
      <c r="P261" s="18"/>
      <c r="Q261" s="29"/>
      <c r="R261" s="29"/>
      <c r="S261" s="29"/>
      <c r="T261" s="29"/>
      <c r="U261" s="29"/>
      <c r="V261" s="30"/>
      <c r="W261" s="31"/>
      <c r="X261" s="29"/>
      <c r="Y261" s="29"/>
      <c r="Z261" s="29"/>
      <c r="AA261" s="29"/>
      <c r="AB261" s="29"/>
      <c r="AC261" s="14"/>
      <c r="AD261" s="15">
        <f t="shared" si="14"/>
        <v>0</v>
      </c>
    </row>
    <row r="262" spans="2:30" ht="15.75" x14ac:dyDescent="0.25">
      <c r="B262" s="4" t="s">
        <v>14</v>
      </c>
      <c r="C262" s="16"/>
      <c r="D262" s="17"/>
      <c r="E262" s="17"/>
      <c r="F262" s="17"/>
      <c r="G262" s="18"/>
      <c r="H262" s="18"/>
      <c r="I262" s="19"/>
      <c r="J262" s="18"/>
      <c r="K262" s="18"/>
      <c r="L262" s="18"/>
      <c r="M262" s="18"/>
      <c r="N262" s="18"/>
      <c r="O262" s="18"/>
      <c r="P262" s="18"/>
      <c r="Q262" s="29"/>
      <c r="R262" s="29"/>
      <c r="S262" s="29"/>
      <c r="T262" s="29"/>
      <c r="U262" s="29"/>
      <c r="V262" s="30"/>
      <c r="W262" s="31"/>
      <c r="X262" s="29"/>
      <c r="Y262" s="29"/>
      <c r="Z262" s="29"/>
      <c r="AA262" s="29"/>
      <c r="AB262" s="29"/>
      <c r="AC262" s="14"/>
      <c r="AD262" s="15">
        <f t="shared" si="14"/>
        <v>0</v>
      </c>
    </row>
    <row r="263" spans="2:30" ht="15.75" x14ac:dyDescent="0.25">
      <c r="B263" s="4" t="s">
        <v>15</v>
      </c>
      <c r="C263" s="16"/>
      <c r="D263" s="17"/>
      <c r="E263" s="17"/>
      <c r="F263" s="17"/>
      <c r="G263" s="18"/>
      <c r="H263" s="18"/>
      <c r="I263" s="19"/>
      <c r="J263" s="18"/>
      <c r="K263" s="18"/>
      <c r="L263" s="18"/>
      <c r="M263" s="18"/>
      <c r="N263" s="18"/>
      <c r="O263" s="18"/>
      <c r="P263" s="18"/>
      <c r="Q263" s="29"/>
      <c r="R263" s="29"/>
      <c r="S263" s="29"/>
      <c r="T263" s="29"/>
      <c r="U263" s="29"/>
      <c r="V263" s="30"/>
      <c r="W263" s="31"/>
      <c r="X263" s="29"/>
      <c r="Y263" s="29"/>
      <c r="Z263" s="29"/>
      <c r="AA263" s="29"/>
      <c r="AB263" s="29"/>
      <c r="AC263" s="14"/>
      <c r="AD263" s="15">
        <f t="shared" si="14"/>
        <v>0</v>
      </c>
    </row>
    <row r="264" spans="2:30" ht="15.75" x14ac:dyDescent="0.25">
      <c r="B264" s="4" t="s">
        <v>16</v>
      </c>
      <c r="C264" s="16"/>
      <c r="D264" s="17"/>
      <c r="E264" s="17"/>
      <c r="F264" s="17"/>
      <c r="G264" s="18"/>
      <c r="H264" s="18"/>
      <c r="I264" s="19"/>
      <c r="J264" s="18"/>
      <c r="K264" s="18"/>
      <c r="L264" s="18"/>
      <c r="M264" s="18"/>
      <c r="N264" s="18"/>
      <c r="O264" s="18"/>
      <c r="P264" s="18"/>
      <c r="Q264" s="29"/>
      <c r="R264" s="29"/>
      <c r="S264" s="29"/>
      <c r="T264" s="29"/>
      <c r="U264" s="29"/>
      <c r="V264" s="30"/>
      <c r="W264" s="31"/>
      <c r="X264" s="29"/>
      <c r="Y264" s="29"/>
      <c r="Z264" s="29"/>
      <c r="AA264" s="29"/>
      <c r="AB264" s="29"/>
      <c r="AC264" s="14"/>
      <c r="AD264" s="15">
        <f t="shared" si="14"/>
        <v>0</v>
      </c>
    </row>
    <row r="265" spans="2:30" ht="15.75" x14ac:dyDescent="0.25">
      <c r="B265" s="4" t="s">
        <v>17</v>
      </c>
      <c r="C265" s="16"/>
      <c r="D265" s="17"/>
      <c r="E265" s="17"/>
      <c r="F265" s="17"/>
      <c r="G265" s="18"/>
      <c r="H265" s="18"/>
      <c r="I265" s="19"/>
      <c r="J265" s="18"/>
      <c r="K265" s="18"/>
      <c r="L265" s="18"/>
      <c r="M265" s="18"/>
      <c r="N265" s="18"/>
      <c r="O265" s="18"/>
      <c r="P265" s="18"/>
      <c r="Q265" s="29"/>
      <c r="R265" s="29"/>
      <c r="S265" s="29"/>
      <c r="T265" s="29"/>
      <c r="U265" s="29"/>
      <c r="V265" s="30"/>
      <c r="W265" s="31"/>
      <c r="X265" s="29"/>
      <c r="Y265" s="29"/>
      <c r="Z265" s="29"/>
      <c r="AA265" s="29"/>
      <c r="AB265" s="29"/>
      <c r="AC265" s="14"/>
      <c r="AD265" s="15">
        <f t="shared" si="14"/>
        <v>0</v>
      </c>
    </row>
    <row r="266" spans="2:30" ht="16.5" thickBot="1" x14ac:dyDescent="0.3">
      <c r="B266" s="4" t="s">
        <v>18</v>
      </c>
      <c r="C266" s="32"/>
      <c r="D266" s="33"/>
      <c r="E266" s="33"/>
      <c r="F266" s="33"/>
      <c r="G266" s="34"/>
      <c r="H266" s="34"/>
      <c r="I266" s="35"/>
      <c r="J266" s="34"/>
      <c r="K266" s="34"/>
      <c r="L266" s="34"/>
      <c r="M266" s="34"/>
      <c r="N266" s="34"/>
      <c r="O266" s="34"/>
      <c r="P266" s="34"/>
      <c r="Q266" s="36"/>
      <c r="R266" s="36"/>
      <c r="S266" s="36"/>
      <c r="T266" s="36"/>
      <c r="U266" s="36"/>
      <c r="V266" s="37"/>
      <c r="W266" s="31"/>
      <c r="X266" s="29"/>
      <c r="Y266" s="29"/>
      <c r="Z266" s="29"/>
      <c r="AA266" s="29"/>
      <c r="AB266" s="29"/>
      <c r="AC266" s="14"/>
      <c r="AD266" s="15">
        <f t="shared" si="14"/>
        <v>0</v>
      </c>
    </row>
    <row r="267" spans="2:30" ht="15.75" x14ac:dyDescent="0.25">
      <c r="B267" s="6" t="s">
        <v>19</v>
      </c>
      <c r="C267" s="12"/>
      <c r="D267" s="12"/>
      <c r="E267" s="12"/>
      <c r="F267" s="12"/>
      <c r="G267" s="17"/>
      <c r="H267" s="17"/>
      <c r="I267" s="25"/>
      <c r="J267" s="17"/>
      <c r="K267" s="17"/>
      <c r="L267" s="17"/>
      <c r="M267" s="17"/>
      <c r="N267" s="17"/>
      <c r="O267" s="17"/>
      <c r="P267" s="17"/>
      <c r="Q267" s="31"/>
      <c r="R267" s="31"/>
      <c r="S267" s="31"/>
      <c r="T267" s="31"/>
      <c r="U267" s="31"/>
      <c r="V267" s="31"/>
      <c r="W267" s="29"/>
      <c r="X267" s="29"/>
      <c r="Y267" s="29"/>
      <c r="Z267" s="29"/>
      <c r="AA267" s="29"/>
      <c r="AB267" s="29"/>
      <c r="AC267" s="14"/>
      <c r="AD267" s="15">
        <f t="shared" si="14"/>
        <v>0</v>
      </c>
    </row>
    <row r="268" spans="2:30" ht="15.75" x14ac:dyDescent="0.25">
      <c r="B268" s="6" t="s">
        <v>20</v>
      </c>
      <c r="C268" s="13"/>
      <c r="D268" s="13"/>
      <c r="E268" s="13"/>
      <c r="F268" s="13"/>
      <c r="G268" s="18"/>
      <c r="H268" s="18"/>
      <c r="I268" s="19"/>
      <c r="J268" s="17"/>
      <c r="K268" s="17"/>
      <c r="L268" s="17"/>
      <c r="M268" s="17"/>
      <c r="N268" s="17"/>
      <c r="O268" s="17"/>
      <c r="P268" s="17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14"/>
      <c r="AD268" s="15">
        <f t="shared" si="14"/>
        <v>0</v>
      </c>
    </row>
    <row r="269" spans="2:30" ht="15.75" x14ac:dyDescent="0.25">
      <c r="B269" s="6" t="s">
        <v>21</v>
      </c>
      <c r="C269" s="13"/>
      <c r="D269" s="13"/>
      <c r="E269" s="13"/>
      <c r="F269" s="13"/>
      <c r="G269" s="18"/>
      <c r="H269" s="18"/>
      <c r="I269" s="19"/>
      <c r="J269" s="17"/>
      <c r="K269" s="17"/>
      <c r="L269" s="17"/>
      <c r="M269" s="17"/>
      <c r="N269" s="17"/>
      <c r="O269" s="17"/>
      <c r="P269" s="17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14"/>
      <c r="AD269" s="15">
        <f t="shared" si="14"/>
        <v>0</v>
      </c>
    </row>
    <row r="270" spans="2:30" ht="15.75" x14ac:dyDescent="0.25">
      <c r="B270" s="6" t="s">
        <v>22</v>
      </c>
      <c r="C270" s="13"/>
      <c r="D270" s="13"/>
      <c r="E270" s="13"/>
      <c r="F270" s="13"/>
      <c r="G270" s="18"/>
      <c r="H270" s="18"/>
      <c r="I270" s="19"/>
      <c r="J270" s="17"/>
      <c r="K270" s="17"/>
      <c r="L270" s="17"/>
      <c r="M270" s="17"/>
      <c r="N270" s="17"/>
      <c r="O270" s="17"/>
      <c r="P270" s="17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14"/>
      <c r="AD270" s="15">
        <f t="shared" si="14"/>
        <v>0</v>
      </c>
    </row>
    <row r="271" spans="2:30" ht="15.75" x14ac:dyDescent="0.25">
      <c r="B271" s="6" t="s">
        <v>23</v>
      </c>
      <c r="C271" s="13"/>
      <c r="D271" s="13"/>
      <c r="E271" s="13"/>
      <c r="F271" s="13"/>
      <c r="G271" s="18"/>
      <c r="H271" s="18"/>
      <c r="I271" s="19"/>
      <c r="J271" s="17"/>
      <c r="K271" s="17"/>
      <c r="L271" s="17"/>
      <c r="M271" s="17"/>
      <c r="N271" s="17"/>
      <c r="O271" s="17"/>
      <c r="P271" s="17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14"/>
      <c r="AD271" s="15">
        <f t="shared" si="14"/>
        <v>0</v>
      </c>
    </row>
    <row r="272" spans="2:30" ht="15.75" x14ac:dyDescent="0.25">
      <c r="B272" s="6" t="s">
        <v>24</v>
      </c>
      <c r="C272" s="13"/>
      <c r="D272" s="13"/>
      <c r="E272" s="13"/>
      <c r="F272" s="13"/>
      <c r="G272" s="18"/>
      <c r="H272" s="18"/>
      <c r="I272" s="19"/>
      <c r="J272" s="17"/>
      <c r="K272" s="17"/>
      <c r="L272" s="17"/>
      <c r="M272" s="17"/>
      <c r="N272" s="17"/>
      <c r="O272" s="17"/>
      <c r="P272" s="17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14"/>
      <c r="AD272" s="15">
        <f t="shared" si="14"/>
        <v>0</v>
      </c>
    </row>
    <row r="273" spans="2:30" ht="15.75" x14ac:dyDescent="0.25">
      <c r="B273" s="6" t="s">
        <v>25</v>
      </c>
      <c r="C273" s="13"/>
      <c r="D273" s="13"/>
      <c r="E273" s="13"/>
      <c r="F273" s="13"/>
      <c r="G273" s="18"/>
      <c r="H273" s="18"/>
      <c r="I273" s="19"/>
      <c r="J273" s="17"/>
      <c r="K273" s="17"/>
      <c r="L273" s="17"/>
      <c r="M273" s="17"/>
      <c r="N273" s="17"/>
      <c r="O273" s="17"/>
      <c r="P273" s="17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14"/>
      <c r="AD273" s="15">
        <f t="shared" si="14"/>
        <v>0</v>
      </c>
    </row>
    <row r="274" spans="2:30" ht="15.75" x14ac:dyDescent="0.25">
      <c r="B274" s="6" t="s">
        <v>26</v>
      </c>
      <c r="C274" s="13"/>
      <c r="D274" s="13"/>
      <c r="E274" s="13"/>
      <c r="F274" s="13"/>
      <c r="G274" s="18"/>
      <c r="H274" s="18"/>
      <c r="I274" s="19"/>
      <c r="J274" s="17"/>
      <c r="K274" s="17"/>
      <c r="L274" s="17"/>
      <c r="M274" s="17"/>
      <c r="N274" s="17"/>
      <c r="O274" s="17"/>
      <c r="P274" s="17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14"/>
      <c r="AD274" s="15">
        <f t="shared" si="14"/>
        <v>0</v>
      </c>
    </row>
    <row r="275" spans="2:30" ht="15.75" x14ac:dyDescent="0.25">
      <c r="B275" s="6" t="s">
        <v>27</v>
      </c>
      <c r="C275" s="13"/>
      <c r="D275" s="13"/>
      <c r="E275" s="13"/>
      <c r="F275" s="13"/>
      <c r="G275" s="18"/>
      <c r="H275" s="18"/>
      <c r="I275" s="19"/>
      <c r="J275" s="17"/>
      <c r="K275" s="17"/>
      <c r="L275" s="17"/>
      <c r="M275" s="17"/>
      <c r="N275" s="17"/>
      <c r="O275" s="17"/>
      <c r="P275" s="17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14"/>
      <c r="AD275" s="15">
        <f t="shared" si="14"/>
        <v>0</v>
      </c>
    </row>
    <row r="276" spans="2:30" ht="15.75" x14ac:dyDescent="0.25">
      <c r="B276" s="39" t="s">
        <v>28</v>
      </c>
      <c r="C276" s="13"/>
      <c r="D276" s="13"/>
      <c r="E276" s="13"/>
      <c r="F276" s="13"/>
      <c r="G276" s="18"/>
      <c r="H276" s="18"/>
      <c r="I276" s="19"/>
      <c r="J276" s="17"/>
      <c r="K276" s="17"/>
      <c r="L276" s="17"/>
      <c r="M276" s="17"/>
      <c r="N276" s="17"/>
      <c r="O276" s="17"/>
      <c r="P276" s="17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14"/>
      <c r="AD276" s="15">
        <f t="shared" si="14"/>
        <v>0</v>
      </c>
    </row>
    <row r="277" spans="2:30" ht="15.75" x14ac:dyDescent="0.25">
      <c r="B277" s="3" t="s">
        <v>30</v>
      </c>
      <c r="C277" s="41">
        <f>SUM(C250:C276)</f>
        <v>0</v>
      </c>
      <c r="D277" s="41">
        <f t="shared" ref="D277:AD277" si="15">SUM(D250:D276)</f>
        <v>0</v>
      </c>
      <c r="E277" s="41">
        <f t="shared" si="15"/>
        <v>0</v>
      </c>
      <c r="F277" s="41">
        <f t="shared" si="15"/>
        <v>0</v>
      </c>
      <c r="G277" s="41">
        <f t="shared" si="15"/>
        <v>0</v>
      </c>
      <c r="H277" s="41">
        <f t="shared" si="15"/>
        <v>0</v>
      </c>
      <c r="I277" s="42">
        <f t="shared" si="15"/>
        <v>0</v>
      </c>
      <c r="J277" s="41">
        <f t="shared" si="15"/>
        <v>0</v>
      </c>
      <c r="K277" s="41">
        <f t="shared" si="15"/>
        <v>0</v>
      </c>
      <c r="L277" s="41">
        <f t="shared" si="15"/>
        <v>0</v>
      </c>
      <c r="M277" s="41">
        <f t="shared" si="15"/>
        <v>0</v>
      </c>
      <c r="N277" s="41">
        <f t="shared" si="15"/>
        <v>0</v>
      </c>
      <c r="O277" s="41">
        <f t="shared" si="15"/>
        <v>0</v>
      </c>
      <c r="P277" s="41">
        <f t="shared" si="15"/>
        <v>0</v>
      </c>
      <c r="Q277" s="41">
        <f t="shared" si="15"/>
        <v>0</v>
      </c>
      <c r="R277" s="41">
        <f t="shared" si="15"/>
        <v>0</v>
      </c>
      <c r="S277" s="41">
        <f t="shared" si="15"/>
        <v>0</v>
      </c>
      <c r="T277" s="41">
        <f t="shared" si="15"/>
        <v>0</v>
      </c>
      <c r="U277" s="41">
        <f t="shared" si="15"/>
        <v>0</v>
      </c>
      <c r="V277" s="41">
        <f t="shared" si="15"/>
        <v>0</v>
      </c>
      <c r="W277" s="41">
        <f t="shared" si="15"/>
        <v>0</v>
      </c>
      <c r="X277" s="41">
        <f t="shared" si="15"/>
        <v>0</v>
      </c>
      <c r="Y277" s="41">
        <f t="shared" si="15"/>
        <v>0</v>
      </c>
      <c r="Z277" s="41">
        <f t="shared" si="15"/>
        <v>0</v>
      </c>
      <c r="AA277" s="41">
        <f t="shared" si="15"/>
        <v>0</v>
      </c>
      <c r="AB277" s="41">
        <f t="shared" si="15"/>
        <v>0</v>
      </c>
      <c r="AC277" s="41">
        <f t="shared" si="15"/>
        <v>0</v>
      </c>
      <c r="AD277" s="43">
        <f t="shared" si="15"/>
        <v>0</v>
      </c>
    </row>
    <row r="281" spans="2:30" x14ac:dyDescent="0.25">
      <c r="B281" t="s">
        <v>39</v>
      </c>
    </row>
    <row r="283" spans="2:30" ht="16.5" thickBot="1" x14ac:dyDescent="0.3">
      <c r="B283" s="3" t="s">
        <v>1</v>
      </c>
      <c r="C283" s="4" t="s">
        <v>2</v>
      </c>
      <c r="D283" s="4" t="s">
        <v>3</v>
      </c>
      <c r="E283" s="4" t="s">
        <v>4</v>
      </c>
      <c r="F283" s="4" t="s">
        <v>5</v>
      </c>
      <c r="G283" s="4" t="s">
        <v>6</v>
      </c>
      <c r="H283" s="4" t="s">
        <v>7</v>
      </c>
      <c r="I283" s="5" t="s">
        <v>8</v>
      </c>
      <c r="J283" s="4" t="s">
        <v>9</v>
      </c>
      <c r="K283" s="4" t="s">
        <v>10</v>
      </c>
      <c r="L283" s="4" t="s">
        <v>11</v>
      </c>
      <c r="M283" s="4" t="s">
        <v>12</v>
      </c>
      <c r="N283" s="4" t="s">
        <v>13</v>
      </c>
      <c r="O283" s="4" t="s">
        <v>14</v>
      </c>
      <c r="P283" s="4" t="s">
        <v>15</v>
      </c>
      <c r="Q283" s="4" t="s">
        <v>16</v>
      </c>
      <c r="R283" s="4" t="s">
        <v>17</v>
      </c>
      <c r="S283" s="4" t="s">
        <v>18</v>
      </c>
      <c r="T283" s="6" t="s">
        <v>19</v>
      </c>
      <c r="U283" s="6" t="s">
        <v>20</v>
      </c>
      <c r="V283" s="6" t="s">
        <v>21</v>
      </c>
      <c r="W283" s="6" t="s">
        <v>22</v>
      </c>
      <c r="X283" s="6" t="s">
        <v>23</v>
      </c>
      <c r="Y283" s="6" t="s">
        <v>24</v>
      </c>
      <c r="Z283" s="6" t="s">
        <v>25</v>
      </c>
      <c r="AA283" s="6" t="s">
        <v>26</v>
      </c>
      <c r="AB283" s="6" t="s">
        <v>27</v>
      </c>
      <c r="AC283" s="6" t="s">
        <v>28</v>
      </c>
      <c r="AD283" s="3" t="s">
        <v>29</v>
      </c>
    </row>
    <row r="284" spans="2:30" ht="15.75" x14ac:dyDescent="0.25">
      <c r="B284" s="4" t="s">
        <v>2</v>
      </c>
      <c r="C284" s="7"/>
      <c r="D284" s="8"/>
      <c r="E284" s="8"/>
      <c r="F284" s="8"/>
      <c r="G284" s="9"/>
      <c r="H284" s="9"/>
      <c r="I284" s="10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1"/>
      <c r="W284" s="12"/>
      <c r="X284" s="13"/>
      <c r="Y284" s="13"/>
      <c r="Z284" s="13"/>
      <c r="AA284" s="13"/>
      <c r="AB284" s="13"/>
      <c r="AC284" s="14"/>
      <c r="AD284" s="15">
        <f>SUM(C284:AC284)</f>
        <v>0</v>
      </c>
    </row>
    <row r="285" spans="2:30" ht="15.75" x14ac:dyDescent="0.25">
      <c r="B285" s="4" t="s">
        <v>3</v>
      </c>
      <c r="C285" s="16"/>
      <c r="D285" s="17"/>
      <c r="E285" s="17"/>
      <c r="F285" s="17"/>
      <c r="G285" s="18"/>
      <c r="H285" s="18"/>
      <c r="I285" s="19"/>
      <c r="J285" s="18"/>
      <c r="K285" s="18"/>
      <c r="L285" s="18"/>
      <c r="M285" s="18"/>
      <c r="N285" s="18"/>
      <c r="O285" s="20"/>
      <c r="P285" s="18"/>
      <c r="Q285" s="18"/>
      <c r="R285" s="18"/>
      <c r="S285" s="18"/>
      <c r="T285" s="18"/>
      <c r="U285" s="18"/>
      <c r="V285" s="21"/>
      <c r="W285" s="17"/>
      <c r="X285" s="18"/>
      <c r="Y285" s="18"/>
      <c r="Z285" s="18"/>
      <c r="AA285" s="18"/>
      <c r="AB285" s="18"/>
      <c r="AC285" s="22"/>
      <c r="AD285" s="15">
        <f>SUM(C285:AC285)</f>
        <v>0</v>
      </c>
    </row>
    <row r="286" spans="2:30" ht="15.75" x14ac:dyDescent="0.25">
      <c r="B286" s="4" t="s">
        <v>4</v>
      </c>
      <c r="C286" s="16"/>
      <c r="D286" s="17"/>
      <c r="E286" s="17"/>
      <c r="F286" s="17"/>
      <c r="G286" s="18"/>
      <c r="H286" s="18"/>
      <c r="I286" s="19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21"/>
      <c r="W286" s="17"/>
      <c r="X286" s="18"/>
      <c r="Y286" s="18"/>
      <c r="Z286" s="18"/>
      <c r="AA286" s="18"/>
      <c r="AB286" s="18"/>
      <c r="AC286" s="22"/>
      <c r="AD286" s="15">
        <f>SUM(C286:AC286)</f>
        <v>0</v>
      </c>
    </row>
    <row r="287" spans="2:30" ht="15.75" x14ac:dyDescent="0.25">
      <c r="B287" s="4" t="s">
        <v>5</v>
      </c>
      <c r="C287" s="16"/>
      <c r="D287" s="17"/>
      <c r="E287" s="17"/>
      <c r="F287" s="17"/>
      <c r="G287" s="18"/>
      <c r="H287" s="18"/>
      <c r="I287" s="19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21"/>
      <c r="W287" s="17"/>
      <c r="X287" s="18"/>
      <c r="Y287" s="18"/>
      <c r="Z287" s="18"/>
      <c r="AA287" s="18"/>
      <c r="AB287" s="18"/>
      <c r="AC287" s="22"/>
      <c r="AD287" s="15">
        <f t="shared" ref="AD287:AD310" si="16">SUM(C287:AC287)</f>
        <v>0</v>
      </c>
    </row>
    <row r="288" spans="2:30" ht="15.75" x14ac:dyDescent="0.25">
      <c r="B288" s="4" t="s">
        <v>6</v>
      </c>
      <c r="C288" s="16"/>
      <c r="D288" s="17"/>
      <c r="E288" s="17"/>
      <c r="F288" s="17"/>
      <c r="G288" s="18"/>
      <c r="H288" s="18"/>
      <c r="I288" s="19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21"/>
      <c r="W288" s="17"/>
      <c r="X288" s="17"/>
      <c r="Y288" s="17"/>
      <c r="Z288" s="17"/>
      <c r="AA288" s="17"/>
      <c r="AB288" s="17"/>
      <c r="AC288" s="23"/>
      <c r="AD288" s="15">
        <f t="shared" si="16"/>
        <v>0</v>
      </c>
    </row>
    <row r="289" spans="2:30" ht="15.75" x14ac:dyDescent="0.25">
      <c r="B289" s="4" t="s">
        <v>7</v>
      </c>
      <c r="C289" s="16"/>
      <c r="D289" s="17"/>
      <c r="E289" s="17"/>
      <c r="F289" s="17"/>
      <c r="G289" s="18"/>
      <c r="H289" s="18"/>
      <c r="I289" s="19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21"/>
      <c r="W289" s="17"/>
      <c r="X289" s="17"/>
      <c r="Y289" s="17"/>
      <c r="Z289" s="17"/>
      <c r="AA289" s="17"/>
      <c r="AB289" s="17"/>
      <c r="AC289" s="23"/>
      <c r="AD289" s="15">
        <f t="shared" si="16"/>
        <v>0</v>
      </c>
    </row>
    <row r="290" spans="2:30" ht="15.75" x14ac:dyDescent="0.25">
      <c r="B290" s="5" t="s">
        <v>8</v>
      </c>
      <c r="C290" s="24"/>
      <c r="D290" s="25"/>
      <c r="E290" s="25"/>
      <c r="F290" s="25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26"/>
      <c r="W290" s="25"/>
      <c r="X290" s="25"/>
      <c r="Y290" s="25"/>
      <c r="Z290" s="25"/>
      <c r="AA290" s="25"/>
      <c r="AB290" s="25"/>
      <c r="AC290" s="27"/>
      <c r="AD290" s="28">
        <f t="shared" si="16"/>
        <v>0</v>
      </c>
    </row>
    <row r="291" spans="2:30" ht="15.75" x14ac:dyDescent="0.25">
      <c r="B291" s="4" t="s">
        <v>9</v>
      </c>
      <c r="C291" s="16"/>
      <c r="D291" s="17"/>
      <c r="E291" s="17"/>
      <c r="F291" s="17"/>
      <c r="G291" s="18"/>
      <c r="H291" s="18"/>
      <c r="I291" s="19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21"/>
      <c r="W291" s="17"/>
      <c r="X291" s="17"/>
      <c r="Y291" s="17"/>
      <c r="Z291" s="17"/>
      <c r="AA291" s="17"/>
      <c r="AB291" s="17"/>
      <c r="AC291" s="23"/>
      <c r="AD291" s="15">
        <f t="shared" si="16"/>
        <v>0</v>
      </c>
    </row>
    <row r="292" spans="2:30" ht="15.75" x14ac:dyDescent="0.25">
      <c r="B292" s="4" t="s">
        <v>10</v>
      </c>
      <c r="C292" s="16"/>
      <c r="D292" s="17"/>
      <c r="E292" s="17"/>
      <c r="F292" s="17"/>
      <c r="G292" s="18"/>
      <c r="H292" s="18"/>
      <c r="I292" s="19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21"/>
      <c r="W292" s="17"/>
      <c r="X292" s="17"/>
      <c r="Y292" s="17"/>
      <c r="Z292" s="17"/>
      <c r="AA292" s="17"/>
      <c r="AB292" s="17"/>
      <c r="AC292" s="23"/>
      <c r="AD292" s="15">
        <f t="shared" si="16"/>
        <v>0</v>
      </c>
    </row>
    <row r="293" spans="2:30" ht="15.75" x14ac:dyDescent="0.25">
      <c r="B293" s="4" t="s">
        <v>11</v>
      </c>
      <c r="C293" s="16"/>
      <c r="D293" s="17"/>
      <c r="E293" s="17"/>
      <c r="F293" s="17"/>
      <c r="G293" s="18"/>
      <c r="H293" s="18"/>
      <c r="I293" s="19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21"/>
      <c r="W293" s="17"/>
      <c r="X293" s="17"/>
      <c r="Y293" s="17"/>
      <c r="Z293" s="17"/>
      <c r="AA293" s="17"/>
      <c r="AB293" s="17"/>
      <c r="AC293" s="23"/>
      <c r="AD293" s="15">
        <f t="shared" si="16"/>
        <v>0</v>
      </c>
    </row>
    <row r="294" spans="2:30" ht="15.75" x14ac:dyDescent="0.25">
      <c r="B294" s="4" t="s">
        <v>12</v>
      </c>
      <c r="C294" s="16"/>
      <c r="D294" s="17"/>
      <c r="E294" s="17"/>
      <c r="F294" s="17"/>
      <c r="G294" s="18"/>
      <c r="H294" s="18"/>
      <c r="I294" s="19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21"/>
      <c r="W294" s="17"/>
      <c r="X294" s="17"/>
      <c r="Y294" s="17"/>
      <c r="Z294" s="17"/>
      <c r="AA294" s="17"/>
      <c r="AB294" s="17"/>
      <c r="AC294" s="23"/>
      <c r="AD294" s="15">
        <f t="shared" si="16"/>
        <v>0</v>
      </c>
    </row>
    <row r="295" spans="2:30" ht="15.75" x14ac:dyDescent="0.25">
      <c r="B295" s="4" t="s">
        <v>13</v>
      </c>
      <c r="C295" s="16"/>
      <c r="D295" s="17"/>
      <c r="E295" s="17"/>
      <c r="F295" s="17"/>
      <c r="G295" s="18"/>
      <c r="H295" s="18"/>
      <c r="I295" s="19"/>
      <c r="J295" s="18"/>
      <c r="K295" s="18"/>
      <c r="L295" s="18"/>
      <c r="M295" s="18"/>
      <c r="N295" s="18"/>
      <c r="O295" s="18"/>
      <c r="P295" s="18"/>
      <c r="Q295" s="29"/>
      <c r="R295" s="29"/>
      <c r="S295" s="29"/>
      <c r="T295" s="29"/>
      <c r="U295" s="29"/>
      <c r="V295" s="30"/>
      <c r="W295" s="31"/>
      <c r="X295" s="29"/>
      <c r="Y295" s="29"/>
      <c r="Z295" s="29"/>
      <c r="AA295" s="29"/>
      <c r="AB295" s="29"/>
      <c r="AC295" s="14"/>
      <c r="AD295" s="15">
        <f t="shared" si="16"/>
        <v>0</v>
      </c>
    </row>
    <row r="296" spans="2:30" ht="15.75" x14ac:dyDescent="0.25">
      <c r="B296" s="4" t="s">
        <v>14</v>
      </c>
      <c r="C296" s="16"/>
      <c r="D296" s="17"/>
      <c r="E296" s="17"/>
      <c r="F296" s="17"/>
      <c r="G296" s="18"/>
      <c r="H296" s="18"/>
      <c r="I296" s="19"/>
      <c r="J296" s="18"/>
      <c r="K296" s="18"/>
      <c r="L296" s="18"/>
      <c r="M296" s="18"/>
      <c r="N296" s="18"/>
      <c r="O296" s="18"/>
      <c r="P296" s="18"/>
      <c r="Q296" s="29"/>
      <c r="R296" s="29"/>
      <c r="S296" s="29"/>
      <c r="T296" s="29"/>
      <c r="U296" s="29"/>
      <c r="V296" s="30"/>
      <c r="W296" s="31"/>
      <c r="X296" s="29"/>
      <c r="Y296" s="29"/>
      <c r="Z296" s="29"/>
      <c r="AA296" s="29"/>
      <c r="AB296" s="29"/>
      <c r="AC296" s="14"/>
      <c r="AD296" s="15">
        <f t="shared" si="16"/>
        <v>0</v>
      </c>
    </row>
    <row r="297" spans="2:30" ht="15.75" x14ac:dyDescent="0.25">
      <c r="B297" s="4" t="s">
        <v>15</v>
      </c>
      <c r="C297" s="16"/>
      <c r="D297" s="17"/>
      <c r="E297" s="17"/>
      <c r="F297" s="17"/>
      <c r="G297" s="18"/>
      <c r="H297" s="18"/>
      <c r="I297" s="19"/>
      <c r="J297" s="18"/>
      <c r="K297" s="18"/>
      <c r="L297" s="18"/>
      <c r="M297" s="18"/>
      <c r="N297" s="18"/>
      <c r="O297" s="18"/>
      <c r="P297" s="18"/>
      <c r="Q297" s="29"/>
      <c r="R297" s="29"/>
      <c r="S297" s="29"/>
      <c r="T297" s="29"/>
      <c r="U297" s="29"/>
      <c r="V297" s="30"/>
      <c r="W297" s="31"/>
      <c r="X297" s="29"/>
      <c r="Y297" s="29"/>
      <c r="Z297" s="29"/>
      <c r="AA297" s="29"/>
      <c r="AB297" s="29"/>
      <c r="AC297" s="14"/>
      <c r="AD297" s="15">
        <f t="shared" si="16"/>
        <v>0</v>
      </c>
    </row>
    <row r="298" spans="2:30" ht="15.75" x14ac:dyDescent="0.25">
      <c r="B298" s="4" t="s">
        <v>16</v>
      </c>
      <c r="C298" s="16"/>
      <c r="D298" s="17"/>
      <c r="E298" s="17"/>
      <c r="F298" s="17"/>
      <c r="G298" s="18"/>
      <c r="H298" s="18"/>
      <c r="I298" s="19"/>
      <c r="J298" s="18"/>
      <c r="K298" s="18"/>
      <c r="L298" s="18"/>
      <c r="M298" s="18"/>
      <c r="N298" s="18"/>
      <c r="O298" s="18"/>
      <c r="P298" s="18"/>
      <c r="Q298" s="29"/>
      <c r="R298" s="29"/>
      <c r="S298" s="29"/>
      <c r="T298" s="29"/>
      <c r="U298" s="29"/>
      <c r="V298" s="30"/>
      <c r="W298" s="31"/>
      <c r="X298" s="29"/>
      <c r="Y298" s="29"/>
      <c r="Z298" s="29"/>
      <c r="AA298" s="29"/>
      <c r="AB298" s="29"/>
      <c r="AC298" s="14"/>
      <c r="AD298" s="15">
        <f t="shared" si="16"/>
        <v>0</v>
      </c>
    </row>
    <row r="299" spans="2:30" ht="15.75" x14ac:dyDescent="0.25">
      <c r="B299" s="4" t="s">
        <v>17</v>
      </c>
      <c r="C299" s="16"/>
      <c r="D299" s="17"/>
      <c r="E299" s="17"/>
      <c r="F299" s="17"/>
      <c r="G299" s="18"/>
      <c r="H299" s="18"/>
      <c r="I299" s="19"/>
      <c r="J299" s="18"/>
      <c r="K299" s="18"/>
      <c r="L299" s="18"/>
      <c r="M299" s="18"/>
      <c r="N299" s="18"/>
      <c r="O299" s="18"/>
      <c r="P299" s="18"/>
      <c r="Q299" s="29"/>
      <c r="R299" s="29"/>
      <c r="S299" s="29"/>
      <c r="T299" s="29"/>
      <c r="U299" s="29"/>
      <c r="V299" s="30"/>
      <c r="W299" s="31"/>
      <c r="X299" s="29"/>
      <c r="Y299" s="29"/>
      <c r="Z299" s="29"/>
      <c r="AA299" s="29"/>
      <c r="AB299" s="29"/>
      <c r="AC299" s="14"/>
      <c r="AD299" s="15">
        <f t="shared" si="16"/>
        <v>0</v>
      </c>
    </row>
    <row r="300" spans="2:30" ht="16.5" thickBot="1" x14ac:dyDescent="0.3">
      <c r="B300" s="4" t="s">
        <v>18</v>
      </c>
      <c r="C300" s="32"/>
      <c r="D300" s="33"/>
      <c r="E300" s="33"/>
      <c r="F300" s="33"/>
      <c r="G300" s="34"/>
      <c r="H300" s="34"/>
      <c r="I300" s="35"/>
      <c r="J300" s="34"/>
      <c r="K300" s="34"/>
      <c r="L300" s="34"/>
      <c r="M300" s="34"/>
      <c r="N300" s="34"/>
      <c r="O300" s="34"/>
      <c r="P300" s="34"/>
      <c r="Q300" s="36"/>
      <c r="R300" s="36"/>
      <c r="S300" s="36"/>
      <c r="T300" s="36"/>
      <c r="U300" s="36"/>
      <c r="V300" s="37"/>
      <c r="W300" s="31"/>
      <c r="X300" s="29"/>
      <c r="Y300" s="29"/>
      <c r="Z300" s="29"/>
      <c r="AA300" s="29"/>
      <c r="AB300" s="29"/>
      <c r="AC300" s="14"/>
      <c r="AD300" s="15">
        <f t="shared" si="16"/>
        <v>0</v>
      </c>
    </row>
    <row r="301" spans="2:30" ht="15.75" x14ac:dyDescent="0.25">
      <c r="B301" s="6" t="s">
        <v>19</v>
      </c>
      <c r="C301" s="12"/>
      <c r="D301" s="12"/>
      <c r="E301" s="12"/>
      <c r="F301" s="12"/>
      <c r="G301" s="17"/>
      <c r="H301" s="17"/>
      <c r="I301" s="25"/>
      <c r="J301" s="17"/>
      <c r="K301" s="17"/>
      <c r="L301" s="17"/>
      <c r="M301" s="17"/>
      <c r="N301" s="17"/>
      <c r="O301" s="17"/>
      <c r="P301" s="17"/>
      <c r="Q301" s="31"/>
      <c r="R301" s="31"/>
      <c r="S301" s="31"/>
      <c r="T301" s="31"/>
      <c r="U301" s="31"/>
      <c r="V301" s="31"/>
      <c r="W301" s="29"/>
      <c r="X301" s="29"/>
      <c r="Y301" s="29"/>
      <c r="Z301" s="29"/>
      <c r="AA301" s="29"/>
      <c r="AB301" s="29"/>
      <c r="AC301" s="14"/>
      <c r="AD301" s="15">
        <f t="shared" si="16"/>
        <v>0</v>
      </c>
    </row>
    <row r="302" spans="2:30" ht="15.75" x14ac:dyDescent="0.25">
      <c r="B302" s="6" t="s">
        <v>20</v>
      </c>
      <c r="C302" s="13"/>
      <c r="D302" s="13"/>
      <c r="E302" s="13"/>
      <c r="F302" s="13"/>
      <c r="G302" s="18"/>
      <c r="H302" s="18"/>
      <c r="I302" s="19"/>
      <c r="J302" s="17"/>
      <c r="K302" s="17"/>
      <c r="L302" s="17"/>
      <c r="M302" s="17"/>
      <c r="N302" s="17"/>
      <c r="O302" s="17"/>
      <c r="P302" s="17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14"/>
      <c r="AD302" s="15">
        <f t="shared" si="16"/>
        <v>0</v>
      </c>
    </row>
    <row r="303" spans="2:30" ht="15.75" x14ac:dyDescent="0.25">
      <c r="B303" s="6" t="s">
        <v>21</v>
      </c>
      <c r="C303" s="13"/>
      <c r="D303" s="13"/>
      <c r="E303" s="13"/>
      <c r="F303" s="13"/>
      <c r="G303" s="18"/>
      <c r="H303" s="18"/>
      <c r="I303" s="19"/>
      <c r="J303" s="17"/>
      <c r="K303" s="17"/>
      <c r="L303" s="17"/>
      <c r="M303" s="17"/>
      <c r="N303" s="17"/>
      <c r="O303" s="17"/>
      <c r="P303" s="17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14"/>
      <c r="AD303" s="15">
        <f t="shared" si="16"/>
        <v>0</v>
      </c>
    </row>
    <row r="304" spans="2:30" ht="15.75" x14ac:dyDescent="0.25">
      <c r="B304" s="6" t="s">
        <v>22</v>
      </c>
      <c r="C304" s="13"/>
      <c r="D304" s="13"/>
      <c r="E304" s="13"/>
      <c r="F304" s="13"/>
      <c r="G304" s="18"/>
      <c r="H304" s="18"/>
      <c r="I304" s="19"/>
      <c r="J304" s="17"/>
      <c r="K304" s="17"/>
      <c r="L304" s="17"/>
      <c r="M304" s="17"/>
      <c r="N304" s="17"/>
      <c r="O304" s="17"/>
      <c r="P304" s="17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14"/>
      <c r="AD304" s="15">
        <f t="shared" si="16"/>
        <v>0</v>
      </c>
    </row>
    <row r="305" spans="2:30" ht="15.75" x14ac:dyDescent="0.25">
      <c r="B305" s="6" t="s">
        <v>23</v>
      </c>
      <c r="C305" s="13"/>
      <c r="D305" s="13"/>
      <c r="E305" s="13"/>
      <c r="F305" s="13"/>
      <c r="G305" s="18"/>
      <c r="H305" s="18"/>
      <c r="I305" s="19"/>
      <c r="J305" s="17"/>
      <c r="K305" s="17"/>
      <c r="L305" s="17"/>
      <c r="M305" s="17"/>
      <c r="N305" s="17"/>
      <c r="O305" s="17"/>
      <c r="P305" s="17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14"/>
      <c r="AD305" s="15">
        <f t="shared" si="16"/>
        <v>0</v>
      </c>
    </row>
    <row r="306" spans="2:30" ht="15.75" x14ac:dyDescent="0.25">
      <c r="B306" s="6" t="s">
        <v>24</v>
      </c>
      <c r="C306" s="13"/>
      <c r="D306" s="13"/>
      <c r="E306" s="13"/>
      <c r="F306" s="13"/>
      <c r="G306" s="18"/>
      <c r="H306" s="18"/>
      <c r="I306" s="19"/>
      <c r="J306" s="17"/>
      <c r="K306" s="17"/>
      <c r="L306" s="17"/>
      <c r="M306" s="17"/>
      <c r="N306" s="17"/>
      <c r="O306" s="17"/>
      <c r="P306" s="17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14"/>
      <c r="AD306" s="15">
        <f t="shared" si="16"/>
        <v>0</v>
      </c>
    </row>
    <row r="307" spans="2:30" ht="15.75" x14ac:dyDescent="0.25">
      <c r="B307" s="6" t="s">
        <v>25</v>
      </c>
      <c r="C307" s="13"/>
      <c r="D307" s="13"/>
      <c r="E307" s="13"/>
      <c r="F307" s="13"/>
      <c r="G307" s="18"/>
      <c r="H307" s="18"/>
      <c r="I307" s="19"/>
      <c r="J307" s="17"/>
      <c r="K307" s="17"/>
      <c r="L307" s="17"/>
      <c r="M307" s="17"/>
      <c r="N307" s="17"/>
      <c r="O307" s="17"/>
      <c r="P307" s="17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14"/>
      <c r="AD307" s="15">
        <f t="shared" si="16"/>
        <v>0</v>
      </c>
    </row>
    <row r="308" spans="2:30" ht="15.75" x14ac:dyDescent="0.25">
      <c r="B308" s="6" t="s">
        <v>26</v>
      </c>
      <c r="C308" s="13"/>
      <c r="D308" s="13"/>
      <c r="E308" s="13"/>
      <c r="F308" s="13"/>
      <c r="G308" s="18"/>
      <c r="H308" s="18"/>
      <c r="I308" s="19"/>
      <c r="J308" s="17"/>
      <c r="K308" s="17"/>
      <c r="L308" s="17"/>
      <c r="M308" s="17"/>
      <c r="N308" s="17"/>
      <c r="O308" s="17"/>
      <c r="P308" s="17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14"/>
      <c r="AD308" s="15">
        <f t="shared" si="16"/>
        <v>0</v>
      </c>
    </row>
    <row r="309" spans="2:30" ht="15.75" x14ac:dyDescent="0.25">
      <c r="B309" s="6" t="s">
        <v>27</v>
      </c>
      <c r="C309" s="13"/>
      <c r="D309" s="13"/>
      <c r="E309" s="13"/>
      <c r="F309" s="13"/>
      <c r="G309" s="18"/>
      <c r="H309" s="18"/>
      <c r="I309" s="19"/>
      <c r="J309" s="17"/>
      <c r="K309" s="17"/>
      <c r="L309" s="17"/>
      <c r="M309" s="17"/>
      <c r="N309" s="17"/>
      <c r="O309" s="17"/>
      <c r="P309" s="17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14"/>
      <c r="AD309" s="15">
        <f t="shared" si="16"/>
        <v>0</v>
      </c>
    </row>
    <row r="310" spans="2:30" ht="15.75" x14ac:dyDescent="0.25">
      <c r="B310" s="39" t="s">
        <v>28</v>
      </c>
      <c r="C310" s="13"/>
      <c r="D310" s="13"/>
      <c r="E310" s="13"/>
      <c r="F310" s="13"/>
      <c r="G310" s="18"/>
      <c r="H310" s="18"/>
      <c r="I310" s="19"/>
      <c r="J310" s="17"/>
      <c r="K310" s="17"/>
      <c r="L310" s="17"/>
      <c r="M310" s="17"/>
      <c r="N310" s="17"/>
      <c r="O310" s="17"/>
      <c r="P310" s="17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14"/>
      <c r="AD310" s="15">
        <f t="shared" si="16"/>
        <v>0</v>
      </c>
    </row>
    <row r="311" spans="2:30" ht="15.75" x14ac:dyDescent="0.25">
      <c r="B311" s="3" t="s">
        <v>30</v>
      </c>
      <c r="C311" s="41">
        <f>SUM(C284:C310)</f>
        <v>0</v>
      </c>
      <c r="D311" s="41">
        <f t="shared" ref="D311:AD311" si="17">SUM(D284:D310)</f>
        <v>0</v>
      </c>
      <c r="E311" s="41">
        <f t="shared" si="17"/>
        <v>0</v>
      </c>
      <c r="F311" s="41">
        <f t="shared" si="17"/>
        <v>0</v>
      </c>
      <c r="G311" s="41">
        <f t="shared" si="17"/>
        <v>0</v>
      </c>
      <c r="H311" s="41">
        <f t="shared" si="17"/>
        <v>0</v>
      </c>
      <c r="I311" s="42">
        <f t="shared" si="17"/>
        <v>0</v>
      </c>
      <c r="J311" s="41">
        <f t="shared" si="17"/>
        <v>0</v>
      </c>
      <c r="K311" s="41">
        <f t="shared" si="17"/>
        <v>0</v>
      </c>
      <c r="L311" s="41">
        <f t="shared" si="17"/>
        <v>0</v>
      </c>
      <c r="M311" s="41">
        <f t="shared" si="17"/>
        <v>0</v>
      </c>
      <c r="N311" s="41">
        <f t="shared" si="17"/>
        <v>0</v>
      </c>
      <c r="O311" s="41">
        <f t="shared" si="17"/>
        <v>0</v>
      </c>
      <c r="P311" s="41">
        <f t="shared" si="17"/>
        <v>0</v>
      </c>
      <c r="Q311" s="41">
        <f t="shared" si="17"/>
        <v>0</v>
      </c>
      <c r="R311" s="41">
        <f t="shared" si="17"/>
        <v>0</v>
      </c>
      <c r="S311" s="41">
        <f t="shared" si="17"/>
        <v>0</v>
      </c>
      <c r="T311" s="41">
        <f t="shared" si="17"/>
        <v>0</v>
      </c>
      <c r="U311" s="41">
        <f t="shared" si="17"/>
        <v>0</v>
      </c>
      <c r="V311" s="41">
        <f t="shared" si="17"/>
        <v>0</v>
      </c>
      <c r="W311" s="41">
        <f t="shared" si="17"/>
        <v>0</v>
      </c>
      <c r="X311" s="41">
        <f t="shared" si="17"/>
        <v>0</v>
      </c>
      <c r="Y311" s="41">
        <f t="shared" si="17"/>
        <v>0</v>
      </c>
      <c r="Z311" s="41">
        <f t="shared" si="17"/>
        <v>0</v>
      </c>
      <c r="AA311" s="41">
        <f t="shared" si="17"/>
        <v>0</v>
      </c>
      <c r="AB311" s="41">
        <f t="shared" si="17"/>
        <v>0</v>
      </c>
      <c r="AC311" s="41">
        <f t="shared" si="17"/>
        <v>0</v>
      </c>
      <c r="AD311" s="43">
        <f t="shared" si="17"/>
        <v>0</v>
      </c>
    </row>
    <row r="314" spans="2:30" ht="15.75" x14ac:dyDescent="0.25">
      <c r="B314" s="46" t="s">
        <v>40</v>
      </c>
    </row>
    <row r="316" spans="2:30" ht="16.5" thickBot="1" x14ac:dyDescent="0.3">
      <c r="B316" s="3" t="s">
        <v>1</v>
      </c>
      <c r="C316" s="4" t="s">
        <v>2</v>
      </c>
      <c r="D316" s="4" t="s">
        <v>3</v>
      </c>
      <c r="E316" s="4" t="s">
        <v>4</v>
      </c>
      <c r="F316" s="4" t="s">
        <v>5</v>
      </c>
      <c r="G316" s="4" t="s">
        <v>6</v>
      </c>
      <c r="H316" s="4" t="s">
        <v>7</v>
      </c>
      <c r="I316" s="5" t="s">
        <v>8</v>
      </c>
      <c r="J316" s="4" t="s">
        <v>9</v>
      </c>
      <c r="K316" s="4" t="s">
        <v>10</v>
      </c>
      <c r="L316" s="4" t="s">
        <v>11</v>
      </c>
      <c r="M316" s="4" t="s">
        <v>12</v>
      </c>
      <c r="N316" s="4" t="s">
        <v>13</v>
      </c>
      <c r="O316" s="4" t="s">
        <v>14</v>
      </c>
      <c r="P316" s="4" t="s">
        <v>15</v>
      </c>
      <c r="Q316" s="4" t="s">
        <v>16</v>
      </c>
      <c r="R316" s="4" t="s">
        <v>17</v>
      </c>
      <c r="S316" s="4" t="s">
        <v>18</v>
      </c>
      <c r="T316" s="6" t="s">
        <v>19</v>
      </c>
      <c r="U316" s="6" t="s">
        <v>20</v>
      </c>
      <c r="V316" s="6" t="s">
        <v>21</v>
      </c>
      <c r="W316" s="6" t="s">
        <v>22</v>
      </c>
      <c r="X316" s="6" t="s">
        <v>23</v>
      </c>
      <c r="Y316" s="6" t="s">
        <v>24</v>
      </c>
      <c r="Z316" s="6" t="s">
        <v>25</v>
      </c>
      <c r="AA316" s="6" t="s">
        <v>26</v>
      </c>
      <c r="AB316" s="6" t="s">
        <v>27</v>
      </c>
      <c r="AC316" s="6" t="s">
        <v>28</v>
      </c>
      <c r="AD316" s="3" t="s">
        <v>29</v>
      </c>
    </row>
    <row r="317" spans="2:30" ht="15.75" x14ac:dyDescent="0.25">
      <c r="B317" s="4" t="s">
        <v>2</v>
      </c>
      <c r="C317" s="7"/>
      <c r="D317" s="8"/>
      <c r="E317" s="8"/>
      <c r="F317" s="8"/>
      <c r="G317" s="9"/>
      <c r="H317" s="9"/>
      <c r="I317" s="10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1"/>
      <c r="W317" s="12"/>
      <c r="X317" s="13"/>
      <c r="Y317" s="13"/>
      <c r="Z317" s="13"/>
      <c r="AA317" s="13"/>
      <c r="AB317" s="13"/>
      <c r="AC317" s="14"/>
      <c r="AD317" s="15">
        <f>SUM(C317:AC317)</f>
        <v>0</v>
      </c>
    </row>
    <row r="318" spans="2:30" ht="15.75" x14ac:dyDescent="0.25">
      <c r="B318" s="4" t="s">
        <v>3</v>
      </c>
      <c r="C318" s="16"/>
      <c r="D318" s="17"/>
      <c r="E318" s="17"/>
      <c r="F318" s="17"/>
      <c r="G318" s="18"/>
      <c r="H318" s="18"/>
      <c r="I318" s="19"/>
      <c r="J318" s="18"/>
      <c r="K318" s="18"/>
      <c r="L318" s="18"/>
      <c r="M318" s="18"/>
      <c r="N318" s="18"/>
      <c r="O318" s="20"/>
      <c r="P318" s="18"/>
      <c r="Q318" s="18"/>
      <c r="R318" s="18"/>
      <c r="S318" s="18"/>
      <c r="T318" s="18"/>
      <c r="U318" s="18"/>
      <c r="V318" s="21"/>
      <c r="W318" s="17"/>
      <c r="X318" s="18"/>
      <c r="Y318" s="18"/>
      <c r="Z318" s="18"/>
      <c r="AA318" s="18"/>
      <c r="AB318" s="18"/>
      <c r="AC318" s="22"/>
      <c r="AD318" s="15">
        <f>SUM(C318:AC318)</f>
        <v>0</v>
      </c>
    </row>
    <row r="319" spans="2:30" ht="15.75" x14ac:dyDescent="0.25">
      <c r="B319" s="4" t="s">
        <v>4</v>
      </c>
      <c r="C319" s="16"/>
      <c r="D319" s="17"/>
      <c r="E319" s="17"/>
      <c r="F319" s="17"/>
      <c r="G319" s="18"/>
      <c r="H319" s="18"/>
      <c r="I319" s="19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21"/>
      <c r="W319" s="17"/>
      <c r="X319" s="18"/>
      <c r="Y319" s="18"/>
      <c r="Z319" s="18"/>
      <c r="AA319" s="18"/>
      <c r="AB319" s="18"/>
      <c r="AC319" s="22"/>
      <c r="AD319" s="15">
        <f>SUM(C319:AC319)</f>
        <v>0</v>
      </c>
    </row>
    <row r="320" spans="2:30" ht="15.75" x14ac:dyDescent="0.25">
      <c r="B320" s="4" t="s">
        <v>5</v>
      </c>
      <c r="C320" s="16"/>
      <c r="D320" s="17"/>
      <c r="E320" s="17"/>
      <c r="F320" s="17"/>
      <c r="G320" s="18"/>
      <c r="H320" s="18"/>
      <c r="I320" s="19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21"/>
      <c r="W320" s="17"/>
      <c r="X320" s="18"/>
      <c r="Y320" s="18"/>
      <c r="Z320" s="18"/>
      <c r="AA320" s="18"/>
      <c r="AB320" s="18"/>
      <c r="AC320" s="22"/>
      <c r="AD320" s="15">
        <f t="shared" ref="AD320:AD343" si="18">SUM(C320:AC320)</f>
        <v>0</v>
      </c>
    </row>
    <row r="321" spans="2:30" ht="15.75" x14ac:dyDescent="0.25">
      <c r="B321" s="4" t="s">
        <v>6</v>
      </c>
      <c r="C321" s="16"/>
      <c r="D321" s="17"/>
      <c r="E321" s="17"/>
      <c r="F321" s="17"/>
      <c r="G321" s="18"/>
      <c r="H321" s="18"/>
      <c r="I321" s="19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21"/>
      <c r="W321" s="17"/>
      <c r="X321" s="17"/>
      <c r="Y321" s="17"/>
      <c r="Z321" s="17"/>
      <c r="AA321" s="17"/>
      <c r="AB321" s="17"/>
      <c r="AC321" s="23"/>
      <c r="AD321" s="15">
        <f t="shared" si="18"/>
        <v>0</v>
      </c>
    </row>
    <row r="322" spans="2:30" ht="15.75" x14ac:dyDescent="0.25">
      <c r="B322" s="4" t="s">
        <v>7</v>
      </c>
      <c r="C322" s="16"/>
      <c r="D322" s="17"/>
      <c r="E322" s="17"/>
      <c r="F322" s="17"/>
      <c r="G322" s="18"/>
      <c r="H322" s="18"/>
      <c r="I322" s="19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21"/>
      <c r="W322" s="17"/>
      <c r="X322" s="17"/>
      <c r="Y322" s="17"/>
      <c r="Z322" s="17"/>
      <c r="AA322" s="17"/>
      <c r="AB322" s="17"/>
      <c r="AC322" s="23"/>
      <c r="AD322" s="15">
        <f t="shared" si="18"/>
        <v>0</v>
      </c>
    </row>
    <row r="323" spans="2:30" ht="15.75" x14ac:dyDescent="0.25">
      <c r="B323" s="5" t="s">
        <v>8</v>
      </c>
      <c r="C323" s="24"/>
      <c r="D323" s="25"/>
      <c r="E323" s="25"/>
      <c r="F323" s="25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26"/>
      <c r="W323" s="25"/>
      <c r="X323" s="25"/>
      <c r="Y323" s="25"/>
      <c r="Z323" s="25"/>
      <c r="AA323" s="25"/>
      <c r="AB323" s="25"/>
      <c r="AC323" s="27"/>
      <c r="AD323" s="28">
        <f t="shared" si="18"/>
        <v>0</v>
      </c>
    </row>
    <row r="324" spans="2:30" ht="15.75" x14ac:dyDescent="0.25">
      <c r="B324" s="4" t="s">
        <v>9</v>
      </c>
      <c r="C324" s="16"/>
      <c r="D324" s="17"/>
      <c r="E324" s="17"/>
      <c r="F324" s="17"/>
      <c r="G324" s="18"/>
      <c r="H324" s="18"/>
      <c r="I324" s="19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21"/>
      <c r="W324" s="17"/>
      <c r="X324" s="17"/>
      <c r="Y324" s="17"/>
      <c r="Z324" s="17"/>
      <c r="AA324" s="17"/>
      <c r="AB324" s="17"/>
      <c r="AC324" s="23"/>
      <c r="AD324" s="15">
        <f t="shared" si="18"/>
        <v>0</v>
      </c>
    </row>
    <row r="325" spans="2:30" ht="15.75" x14ac:dyDescent="0.25">
      <c r="B325" s="4" t="s">
        <v>10</v>
      </c>
      <c r="C325" s="16"/>
      <c r="D325" s="17"/>
      <c r="E325" s="17"/>
      <c r="F325" s="17"/>
      <c r="G325" s="18"/>
      <c r="H325" s="18"/>
      <c r="I325" s="19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21"/>
      <c r="W325" s="17"/>
      <c r="X325" s="17"/>
      <c r="Y325" s="17"/>
      <c r="Z325" s="17"/>
      <c r="AA325" s="17"/>
      <c r="AB325" s="17"/>
      <c r="AC325" s="23"/>
      <c r="AD325" s="15">
        <f t="shared" si="18"/>
        <v>0</v>
      </c>
    </row>
    <row r="326" spans="2:30" ht="15.75" x14ac:dyDescent="0.25">
      <c r="B326" s="4" t="s">
        <v>11</v>
      </c>
      <c r="C326" s="16"/>
      <c r="D326" s="17"/>
      <c r="E326" s="17"/>
      <c r="F326" s="17"/>
      <c r="G326" s="18"/>
      <c r="H326" s="18"/>
      <c r="I326" s="19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21"/>
      <c r="W326" s="17"/>
      <c r="X326" s="17"/>
      <c r="Y326" s="17"/>
      <c r="Z326" s="17"/>
      <c r="AA326" s="17"/>
      <c r="AB326" s="17"/>
      <c r="AC326" s="23"/>
      <c r="AD326" s="15">
        <f t="shared" si="18"/>
        <v>0</v>
      </c>
    </row>
    <row r="327" spans="2:30" ht="15.75" x14ac:dyDescent="0.25">
      <c r="B327" s="4" t="s">
        <v>12</v>
      </c>
      <c r="C327" s="16"/>
      <c r="D327" s="17"/>
      <c r="E327" s="17"/>
      <c r="F327" s="17"/>
      <c r="G327" s="18"/>
      <c r="H327" s="18"/>
      <c r="I327" s="19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21"/>
      <c r="W327" s="17"/>
      <c r="X327" s="17"/>
      <c r="Y327" s="17"/>
      <c r="Z327" s="17"/>
      <c r="AA327" s="17"/>
      <c r="AB327" s="17"/>
      <c r="AC327" s="23"/>
      <c r="AD327" s="15">
        <f t="shared" si="18"/>
        <v>0</v>
      </c>
    </row>
    <row r="328" spans="2:30" ht="15.75" x14ac:dyDescent="0.25">
      <c r="B328" s="4" t="s">
        <v>13</v>
      </c>
      <c r="C328" s="16"/>
      <c r="D328" s="17"/>
      <c r="E328" s="17"/>
      <c r="F328" s="17"/>
      <c r="G328" s="18"/>
      <c r="H328" s="18"/>
      <c r="I328" s="19"/>
      <c r="J328" s="18"/>
      <c r="K328" s="18"/>
      <c r="L328" s="18"/>
      <c r="M328" s="18"/>
      <c r="N328" s="18"/>
      <c r="O328" s="18"/>
      <c r="P328" s="18"/>
      <c r="Q328" s="29"/>
      <c r="R328" s="29"/>
      <c r="S328" s="29"/>
      <c r="T328" s="29"/>
      <c r="U328" s="29"/>
      <c r="V328" s="30"/>
      <c r="W328" s="31"/>
      <c r="X328" s="29"/>
      <c r="Y328" s="29"/>
      <c r="Z328" s="29"/>
      <c r="AA328" s="29"/>
      <c r="AB328" s="29"/>
      <c r="AC328" s="14"/>
      <c r="AD328" s="15">
        <f t="shared" si="18"/>
        <v>0</v>
      </c>
    </row>
    <row r="329" spans="2:30" ht="15.75" x14ac:dyDescent="0.25">
      <c r="B329" s="4" t="s">
        <v>14</v>
      </c>
      <c r="C329" s="16"/>
      <c r="D329" s="17"/>
      <c r="E329" s="17"/>
      <c r="F329" s="17"/>
      <c r="G329" s="18"/>
      <c r="H329" s="18"/>
      <c r="I329" s="19"/>
      <c r="J329" s="18"/>
      <c r="K329" s="18"/>
      <c r="L329" s="18"/>
      <c r="M329" s="18"/>
      <c r="N329" s="18"/>
      <c r="O329" s="18"/>
      <c r="P329" s="18"/>
      <c r="Q329" s="29"/>
      <c r="R329" s="29"/>
      <c r="S329" s="29"/>
      <c r="T329" s="29"/>
      <c r="U329" s="29"/>
      <c r="V329" s="30"/>
      <c r="W329" s="31"/>
      <c r="X329" s="29"/>
      <c r="Y329" s="29"/>
      <c r="Z329" s="29"/>
      <c r="AA329" s="29"/>
      <c r="AB329" s="29"/>
      <c r="AC329" s="14"/>
      <c r="AD329" s="15">
        <f t="shared" si="18"/>
        <v>0</v>
      </c>
    </row>
    <row r="330" spans="2:30" ht="15.75" x14ac:dyDescent="0.25">
      <c r="B330" s="4" t="s">
        <v>15</v>
      </c>
      <c r="C330" s="16"/>
      <c r="D330" s="17"/>
      <c r="E330" s="17"/>
      <c r="F330" s="17"/>
      <c r="G330" s="18"/>
      <c r="H330" s="18"/>
      <c r="I330" s="19"/>
      <c r="J330" s="18"/>
      <c r="K330" s="18"/>
      <c r="L330" s="18"/>
      <c r="M330" s="18"/>
      <c r="N330" s="18"/>
      <c r="O330" s="18"/>
      <c r="P330" s="18"/>
      <c r="Q330" s="29"/>
      <c r="R330" s="29"/>
      <c r="S330" s="29"/>
      <c r="T330" s="29"/>
      <c r="U330" s="29"/>
      <c r="V330" s="30"/>
      <c r="W330" s="31"/>
      <c r="X330" s="29"/>
      <c r="Y330" s="29"/>
      <c r="Z330" s="29"/>
      <c r="AA330" s="29"/>
      <c r="AB330" s="29"/>
      <c r="AC330" s="14"/>
      <c r="AD330" s="15">
        <f t="shared" si="18"/>
        <v>0</v>
      </c>
    </row>
    <row r="331" spans="2:30" ht="15.75" x14ac:dyDescent="0.25">
      <c r="B331" s="4" t="s">
        <v>16</v>
      </c>
      <c r="C331" s="16"/>
      <c r="D331" s="17"/>
      <c r="E331" s="17"/>
      <c r="F331" s="17"/>
      <c r="G331" s="18"/>
      <c r="H331" s="18"/>
      <c r="I331" s="19"/>
      <c r="J331" s="18"/>
      <c r="K331" s="18"/>
      <c r="L331" s="18"/>
      <c r="M331" s="18"/>
      <c r="N331" s="18"/>
      <c r="O331" s="18"/>
      <c r="P331" s="18"/>
      <c r="Q331" s="29"/>
      <c r="R331" s="29"/>
      <c r="S331" s="29"/>
      <c r="T331" s="29"/>
      <c r="U331" s="29"/>
      <c r="V331" s="30"/>
      <c r="W331" s="31"/>
      <c r="X331" s="29"/>
      <c r="Y331" s="29"/>
      <c r="Z331" s="29"/>
      <c r="AA331" s="29"/>
      <c r="AB331" s="29"/>
      <c r="AC331" s="14"/>
      <c r="AD331" s="15">
        <f t="shared" si="18"/>
        <v>0</v>
      </c>
    </row>
    <row r="332" spans="2:30" ht="15.75" x14ac:dyDescent="0.25">
      <c r="B332" s="4" t="s">
        <v>17</v>
      </c>
      <c r="C332" s="16"/>
      <c r="D332" s="17"/>
      <c r="E332" s="17"/>
      <c r="F332" s="17"/>
      <c r="G332" s="18"/>
      <c r="H332" s="18"/>
      <c r="I332" s="19"/>
      <c r="J332" s="18"/>
      <c r="K332" s="18"/>
      <c r="L332" s="18"/>
      <c r="M332" s="18"/>
      <c r="N332" s="18"/>
      <c r="O332" s="18"/>
      <c r="P332" s="18"/>
      <c r="Q332" s="29"/>
      <c r="R332" s="29"/>
      <c r="S332" s="29"/>
      <c r="T332" s="29"/>
      <c r="U332" s="29"/>
      <c r="V332" s="30"/>
      <c r="W332" s="31"/>
      <c r="X332" s="29"/>
      <c r="Y332" s="29"/>
      <c r="Z332" s="29"/>
      <c r="AA332" s="29"/>
      <c r="AB332" s="29"/>
      <c r="AC332" s="14"/>
      <c r="AD332" s="15">
        <f t="shared" si="18"/>
        <v>0</v>
      </c>
    </row>
    <row r="333" spans="2:30" ht="16.5" thickBot="1" x14ac:dyDescent="0.3">
      <c r="B333" s="4" t="s">
        <v>18</v>
      </c>
      <c r="C333" s="32"/>
      <c r="D333" s="33"/>
      <c r="E333" s="33"/>
      <c r="F333" s="33"/>
      <c r="G333" s="34"/>
      <c r="H333" s="34"/>
      <c r="I333" s="35"/>
      <c r="J333" s="34"/>
      <c r="K333" s="34"/>
      <c r="L333" s="34"/>
      <c r="M333" s="34"/>
      <c r="N333" s="34"/>
      <c r="O333" s="34"/>
      <c r="P333" s="34"/>
      <c r="Q333" s="36"/>
      <c r="R333" s="36"/>
      <c r="S333" s="36"/>
      <c r="T333" s="36"/>
      <c r="U333" s="36"/>
      <c r="V333" s="37"/>
      <c r="W333" s="31"/>
      <c r="X333" s="29"/>
      <c r="Y333" s="29"/>
      <c r="Z333" s="29"/>
      <c r="AA333" s="29"/>
      <c r="AB333" s="29"/>
      <c r="AC333" s="14"/>
      <c r="AD333" s="15">
        <f t="shared" si="18"/>
        <v>0</v>
      </c>
    </row>
    <row r="334" spans="2:30" ht="15.75" x14ac:dyDescent="0.25">
      <c r="B334" s="6" t="s">
        <v>19</v>
      </c>
      <c r="C334" s="12"/>
      <c r="D334" s="12"/>
      <c r="E334" s="12"/>
      <c r="F334" s="12"/>
      <c r="G334" s="17"/>
      <c r="H334" s="17"/>
      <c r="I334" s="25"/>
      <c r="J334" s="17"/>
      <c r="K334" s="17"/>
      <c r="L334" s="17"/>
      <c r="M334" s="17"/>
      <c r="N334" s="17"/>
      <c r="O334" s="17"/>
      <c r="P334" s="17"/>
      <c r="Q334" s="31"/>
      <c r="R334" s="31"/>
      <c r="S334" s="31"/>
      <c r="T334" s="31"/>
      <c r="U334" s="31"/>
      <c r="V334" s="31"/>
      <c r="W334" s="29"/>
      <c r="X334" s="29"/>
      <c r="Y334" s="29"/>
      <c r="Z334" s="29"/>
      <c r="AA334" s="29"/>
      <c r="AB334" s="29"/>
      <c r="AC334" s="14"/>
      <c r="AD334" s="15">
        <f t="shared" si="18"/>
        <v>0</v>
      </c>
    </row>
    <row r="335" spans="2:30" ht="15.75" x14ac:dyDescent="0.25">
      <c r="B335" s="6" t="s">
        <v>20</v>
      </c>
      <c r="C335" s="13"/>
      <c r="D335" s="13"/>
      <c r="E335" s="13"/>
      <c r="F335" s="13"/>
      <c r="G335" s="18"/>
      <c r="H335" s="18"/>
      <c r="I335" s="19"/>
      <c r="J335" s="17"/>
      <c r="K335" s="17"/>
      <c r="L335" s="17"/>
      <c r="M335" s="17"/>
      <c r="N335" s="17"/>
      <c r="O335" s="17"/>
      <c r="P335" s="17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14"/>
      <c r="AD335" s="15">
        <f t="shared" si="18"/>
        <v>0</v>
      </c>
    </row>
    <row r="336" spans="2:30" ht="15.75" x14ac:dyDescent="0.25">
      <c r="B336" s="6" t="s">
        <v>21</v>
      </c>
      <c r="C336" s="13"/>
      <c r="D336" s="13"/>
      <c r="E336" s="13"/>
      <c r="F336" s="13"/>
      <c r="G336" s="18"/>
      <c r="H336" s="18"/>
      <c r="I336" s="19"/>
      <c r="J336" s="17"/>
      <c r="K336" s="17"/>
      <c r="L336" s="17"/>
      <c r="M336" s="17"/>
      <c r="N336" s="17"/>
      <c r="O336" s="17"/>
      <c r="P336" s="17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14"/>
      <c r="AD336" s="15">
        <f t="shared" si="18"/>
        <v>0</v>
      </c>
    </row>
    <row r="337" spans="2:30" ht="15.75" x14ac:dyDescent="0.25">
      <c r="B337" s="6" t="s">
        <v>22</v>
      </c>
      <c r="C337" s="13"/>
      <c r="D337" s="13"/>
      <c r="E337" s="13"/>
      <c r="F337" s="13"/>
      <c r="G337" s="18"/>
      <c r="H337" s="18"/>
      <c r="I337" s="19"/>
      <c r="J337" s="17"/>
      <c r="K337" s="17"/>
      <c r="L337" s="17"/>
      <c r="M337" s="17"/>
      <c r="N337" s="17"/>
      <c r="O337" s="17"/>
      <c r="P337" s="17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14"/>
      <c r="AD337" s="15">
        <f t="shared" si="18"/>
        <v>0</v>
      </c>
    </row>
    <row r="338" spans="2:30" ht="15.75" x14ac:dyDescent="0.25">
      <c r="B338" s="6" t="s">
        <v>23</v>
      </c>
      <c r="C338" s="13"/>
      <c r="D338" s="13"/>
      <c r="E338" s="13"/>
      <c r="F338" s="13"/>
      <c r="G338" s="18"/>
      <c r="H338" s="18"/>
      <c r="I338" s="19"/>
      <c r="J338" s="17"/>
      <c r="K338" s="17"/>
      <c r="L338" s="17"/>
      <c r="M338" s="17"/>
      <c r="N338" s="17"/>
      <c r="O338" s="17"/>
      <c r="P338" s="17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14"/>
      <c r="AD338" s="15">
        <f t="shared" si="18"/>
        <v>0</v>
      </c>
    </row>
    <row r="339" spans="2:30" ht="15.75" x14ac:dyDescent="0.25">
      <c r="B339" s="6" t="s">
        <v>24</v>
      </c>
      <c r="C339" s="13"/>
      <c r="D339" s="13"/>
      <c r="E339" s="13"/>
      <c r="F339" s="13"/>
      <c r="G339" s="18"/>
      <c r="H339" s="18"/>
      <c r="I339" s="19"/>
      <c r="J339" s="17"/>
      <c r="K339" s="17"/>
      <c r="L339" s="17"/>
      <c r="M339" s="17"/>
      <c r="N339" s="17"/>
      <c r="O339" s="17"/>
      <c r="P339" s="17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14"/>
      <c r="AD339" s="15">
        <f t="shared" si="18"/>
        <v>0</v>
      </c>
    </row>
    <row r="340" spans="2:30" ht="15.75" x14ac:dyDescent="0.25">
      <c r="B340" s="6" t="s">
        <v>25</v>
      </c>
      <c r="C340" s="13"/>
      <c r="D340" s="13"/>
      <c r="E340" s="13"/>
      <c r="F340" s="13"/>
      <c r="G340" s="18"/>
      <c r="H340" s="18"/>
      <c r="I340" s="19"/>
      <c r="J340" s="17"/>
      <c r="K340" s="17"/>
      <c r="L340" s="17"/>
      <c r="M340" s="17"/>
      <c r="N340" s="17"/>
      <c r="O340" s="17"/>
      <c r="P340" s="17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14"/>
      <c r="AD340" s="15">
        <f t="shared" si="18"/>
        <v>0</v>
      </c>
    </row>
    <row r="341" spans="2:30" ht="15.75" x14ac:dyDescent="0.25">
      <c r="B341" s="6" t="s">
        <v>26</v>
      </c>
      <c r="C341" s="13"/>
      <c r="D341" s="13"/>
      <c r="E341" s="13"/>
      <c r="F341" s="13"/>
      <c r="G341" s="18"/>
      <c r="H341" s="18"/>
      <c r="I341" s="19"/>
      <c r="J341" s="17"/>
      <c r="K341" s="17"/>
      <c r="L341" s="17"/>
      <c r="M341" s="17"/>
      <c r="N341" s="17"/>
      <c r="O341" s="17"/>
      <c r="P341" s="17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14"/>
      <c r="AD341" s="15">
        <f t="shared" si="18"/>
        <v>0</v>
      </c>
    </row>
    <row r="342" spans="2:30" ht="15.75" x14ac:dyDescent="0.25">
      <c r="B342" s="6" t="s">
        <v>27</v>
      </c>
      <c r="C342" s="13"/>
      <c r="D342" s="13"/>
      <c r="E342" s="13"/>
      <c r="F342" s="13"/>
      <c r="G342" s="18"/>
      <c r="H342" s="18"/>
      <c r="I342" s="19"/>
      <c r="J342" s="17"/>
      <c r="K342" s="17"/>
      <c r="L342" s="17"/>
      <c r="M342" s="17"/>
      <c r="N342" s="17"/>
      <c r="O342" s="17"/>
      <c r="P342" s="17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14"/>
      <c r="AD342" s="15">
        <f t="shared" si="18"/>
        <v>0</v>
      </c>
    </row>
    <row r="343" spans="2:30" ht="15.75" x14ac:dyDescent="0.25">
      <c r="B343" s="39" t="s">
        <v>28</v>
      </c>
      <c r="C343" s="13"/>
      <c r="D343" s="13"/>
      <c r="E343" s="13"/>
      <c r="F343" s="13"/>
      <c r="G343" s="18"/>
      <c r="H343" s="18"/>
      <c r="I343" s="19"/>
      <c r="J343" s="17"/>
      <c r="K343" s="17"/>
      <c r="L343" s="17"/>
      <c r="M343" s="17"/>
      <c r="N343" s="17"/>
      <c r="O343" s="17"/>
      <c r="P343" s="17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14"/>
      <c r="AD343" s="15">
        <f t="shared" si="18"/>
        <v>0</v>
      </c>
    </row>
    <row r="344" spans="2:30" ht="15.75" x14ac:dyDescent="0.25">
      <c r="B344" s="3" t="s">
        <v>30</v>
      </c>
      <c r="C344" s="41">
        <f>SUM(C317:C343)</f>
        <v>0</v>
      </c>
      <c r="D344" s="41">
        <f t="shared" ref="D344:AD344" si="19">SUM(D317:D343)</f>
        <v>0</v>
      </c>
      <c r="E344" s="41">
        <f t="shared" si="19"/>
        <v>0</v>
      </c>
      <c r="F344" s="41">
        <f t="shared" si="19"/>
        <v>0</v>
      </c>
      <c r="G344" s="41">
        <f t="shared" si="19"/>
        <v>0</v>
      </c>
      <c r="H344" s="41">
        <f t="shared" si="19"/>
        <v>0</v>
      </c>
      <c r="I344" s="42">
        <f t="shared" si="19"/>
        <v>0</v>
      </c>
      <c r="J344" s="41">
        <f t="shared" si="19"/>
        <v>0</v>
      </c>
      <c r="K344" s="41">
        <f t="shared" si="19"/>
        <v>0</v>
      </c>
      <c r="L344" s="41">
        <f t="shared" si="19"/>
        <v>0</v>
      </c>
      <c r="M344" s="41">
        <f t="shared" si="19"/>
        <v>0</v>
      </c>
      <c r="N344" s="41">
        <f t="shared" si="19"/>
        <v>0</v>
      </c>
      <c r="O344" s="41">
        <f t="shared" si="19"/>
        <v>0</v>
      </c>
      <c r="P344" s="41">
        <f t="shared" si="19"/>
        <v>0</v>
      </c>
      <c r="Q344" s="41">
        <f t="shared" si="19"/>
        <v>0</v>
      </c>
      <c r="R344" s="41">
        <f t="shared" si="19"/>
        <v>0</v>
      </c>
      <c r="S344" s="41">
        <f t="shared" si="19"/>
        <v>0</v>
      </c>
      <c r="T344" s="41">
        <f t="shared" si="19"/>
        <v>0</v>
      </c>
      <c r="U344" s="41">
        <f t="shared" si="19"/>
        <v>0</v>
      </c>
      <c r="V344" s="41">
        <f t="shared" si="19"/>
        <v>0</v>
      </c>
      <c r="W344" s="41">
        <f t="shared" si="19"/>
        <v>0</v>
      </c>
      <c r="X344" s="41">
        <f t="shared" si="19"/>
        <v>0</v>
      </c>
      <c r="Y344" s="41">
        <f t="shared" si="19"/>
        <v>0</v>
      </c>
      <c r="Z344" s="41">
        <f t="shared" si="19"/>
        <v>0</v>
      </c>
      <c r="AA344" s="41">
        <f t="shared" si="19"/>
        <v>0</v>
      </c>
      <c r="AB344" s="41">
        <f t="shared" si="19"/>
        <v>0</v>
      </c>
      <c r="AC344" s="41">
        <f t="shared" si="19"/>
        <v>0</v>
      </c>
      <c r="AD344" s="43">
        <f t="shared" si="19"/>
        <v>0</v>
      </c>
    </row>
    <row r="349" spans="2:30" x14ac:dyDescent="0.25">
      <c r="B349" t="s">
        <v>41</v>
      </c>
    </row>
    <row r="351" spans="2:30" ht="16.5" thickBot="1" x14ac:dyDescent="0.3">
      <c r="B351" s="3" t="s">
        <v>1</v>
      </c>
      <c r="C351" s="4" t="s">
        <v>2</v>
      </c>
      <c r="D351" s="4" t="s">
        <v>3</v>
      </c>
      <c r="E351" s="4" t="s">
        <v>4</v>
      </c>
      <c r="F351" s="4" t="s">
        <v>5</v>
      </c>
      <c r="G351" s="4" t="s">
        <v>6</v>
      </c>
      <c r="H351" s="4" t="s">
        <v>7</v>
      </c>
      <c r="I351" s="5" t="s">
        <v>8</v>
      </c>
      <c r="J351" s="4" t="s">
        <v>9</v>
      </c>
      <c r="K351" s="4" t="s">
        <v>10</v>
      </c>
      <c r="L351" s="4" t="s">
        <v>11</v>
      </c>
      <c r="M351" s="4" t="s">
        <v>12</v>
      </c>
      <c r="N351" s="4" t="s">
        <v>13</v>
      </c>
      <c r="O351" s="4" t="s">
        <v>14</v>
      </c>
      <c r="P351" s="4" t="s">
        <v>15</v>
      </c>
      <c r="Q351" s="4" t="s">
        <v>16</v>
      </c>
      <c r="R351" s="4" t="s">
        <v>17</v>
      </c>
      <c r="S351" s="4" t="s">
        <v>18</v>
      </c>
      <c r="T351" s="6" t="s">
        <v>19</v>
      </c>
      <c r="U351" s="6" t="s">
        <v>20</v>
      </c>
      <c r="V351" s="6" t="s">
        <v>21</v>
      </c>
      <c r="W351" s="6" t="s">
        <v>22</v>
      </c>
      <c r="X351" s="6" t="s">
        <v>23</v>
      </c>
      <c r="Y351" s="6" t="s">
        <v>24</v>
      </c>
      <c r="Z351" s="6" t="s">
        <v>25</v>
      </c>
      <c r="AA351" s="6" t="s">
        <v>26</v>
      </c>
      <c r="AB351" s="6" t="s">
        <v>27</v>
      </c>
      <c r="AC351" s="6" t="s">
        <v>28</v>
      </c>
      <c r="AD351" s="3" t="s">
        <v>29</v>
      </c>
    </row>
    <row r="352" spans="2:30" ht="15.75" x14ac:dyDescent="0.25">
      <c r="B352" s="4" t="s">
        <v>2</v>
      </c>
      <c r="C352" s="7"/>
      <c r="D352" s="8"/>
      <c r="E352" s="8"/>
      <c r="F352" s="8"/>
      <c r="G352" s="9"/>
      <c r="H352" s="9"/>
      <c r="I352" s="10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1"/>
      <c r="W352" s="12"/>
      <c r="X352" s="13"/>
      <c r="Y352" s="13"/>
      <c r="Z352" s="13"/>
      <c r="AA352" s="13"/>
      <c r="AB352" s="13"/>
      <c r="AC352" s="14"/>
      <c r="AD352" s="15">
        <f>SUM(C352:AC352)</f>
        <v>0</v>
      </c>
    </row>
    <row r="353" spans="2:30" ht="15.75" x14ac:dyDescent="0.25">
      <c r="B353" s="4" t="s">
        <v>3</v>
      </c>
      <c r="C353" s="16"/>
      <c r="D353" s="17"/>
      <c r="E353" s="17"/>
      <c r="F353" s="17"/>
      <c r="G353" s="18"/>
      <c r="H353" s="18"/>
      <c r="I353" s="19"/>
      <c r="J353" s="18"/>
      <c r="K353" s="18"/>
      <c r="L353" s="18"/>
      <c r="M353" s="18"/>
      <c r="N353" s="18"/>
      <c r="O353" s="20"/>
      <c r="P353" s="18"/>
      <c r="Q353" s="18"/>
      <c r="R353" s="18"/>
      <c r="S353" s="18"/>
      <c r="T353" s="18"/>
      <c r="U353" s="18"/>
      <c r="V353" s="21"/>
      <c r="W353" s="17"/>
      <c r="X353" s="18"/>
      <c r="Y353" s="18"/>
      <c r="Z353" s="18"/>
      <c r="AA353" s="18"/>
      <c r="AB353" s="18"/>
      <c r="AC353" s="22"/>
      <c r="AD353" s="15">
        <f>SUM(C353:AC353)</f>
        <v>0</v>
      </c>
    </row>
    <row r="354" spans="2:30" ht="15.75" x14ac:dyDescent="0.25">
      <c r="B354" s="4" t="s">
        <v>4</v>
      </c>
      <c r="C354" s="16"/>
      <c r="D354" s="17"/>
      <c r="E354" s="17"/>
      <c r="F354" s="17"/>
      <c r="G354" s="18"/>
      <c r="H354" s="18"/>
      <c r="I354" s="19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21"/>
      <c r="W354" s="17"/>
      <c r="X354" s="18"/>
      <c r="Y354" s="18"/>
      <c r="Z354" s="18"/>
      <c r="AA354" s="18"/>
      <c r="AB354" s="18"/>
      <c r="AC354" s="22"/>
      <c r="AD354" s="15">
        <f>SUM(C354:AC354)</f>
        <v>0</v>
      </c>
    </row>
    <row r="355" spans="2:30" ht="15.75" x14ac:dyDescent="0.25">
      <c r="B355" s="4" t="s">
        <v>5</v>
      </c>
      <c r="C355" s="16"/>
      <c r="D355" s="17"/>
      <c r="E355" s="17"/>
      <c r="F355" s="17"/>
      <c r="G355" s="18"/>
      <c r="H355" s="18"/>
      <c r="I355" s="19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21"/>
      <c r="W355" s="17"/>
      <c r="X355" s="18"/>
      <c r="Y355" s="18"/>
      <c r="Z355" s="18"/>
      <c r="AA355" s="18"/>
      <c r="AB355" s="18"/>
      <c r="AC355" s="22"/>
      <c r="AD355" s="15">
        <f t="shared" ref="AD355:AD377" si="20">SUM(C355:AC355)</f>
        <v>0</v>
      </c>
    </row>
    <row r="356" spans="2:30" ht="15.75" x14ac:dyDescent="0.25">
      <c r="B356" s="4" t="s">
        <v>6</v>
      </c>
      <c r="C356" s="16"/>
      <c r="D356" s="17"/>
      <c r="E356" s="17"/>
      <c r="F356" s="17"/>
      <c r="G356" s="18"/>
      <c r="H356" s="18"/>
      <c r="I356" s="19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21"/>
      <c r="W356" s="17"/>
      <c r="X356" s="17"/>
      <c r="Y356" s="17"/>
      <c r="Z356" s="17"/>
      <c r="AA356" s="17"/>
      <c r="AB356" s="17"/>
      <c r="AC356" s="23"/>
      <c r="AD356" s="15">
        <f t="shared" si="20"/>
        <v>0</v>
      </c>
    </row>
    <row r="357" spans="2:30" ht="15.75" x14ac:dyDescent="0.25">
      <c r="B357" s="4" t="s">
        <v>7</v>
      </c>
      <c r="C357" s="16"/>
      <c r="D357" s="17"/>
      <c r="E357" s="17"/>
      <c r="F357" s="17"/>
      <c r="G357" s="18"/>
      <c r="H357" s="18"/>
      <c r="I357" s="19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21"/>
      <c r="W357" s="17"/>
      <c r="X357" s="17"/>
      <c r="Y357" s="17"/>
      <c r="Z357" s="17"/>
      <c r="AA357" s="17"/>
      <c r="AB357" s="17"/>
      <c r="AC357" s="23"/>
      <c r="AD357" s="15">
        <f t="shared" si="20"/>
        <v>0</v>
      </c>
    </row>
    <row r="358" spans="2:30" ht="15.75" x14ac:dyDescent="0.25">
      <c r="B358" s="5" t="s">
        <v>8</v>
      </c>
      <c r="C358" s="24"/>
      <c r="D358" s="25"/>
      <c r="E358" s="25"/>
      <c r="F358" s="25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26"/>
      <c r="W358" s="25"/>
      <c r="X358" s="25"/>
      <c r="Y358" s="25"/>
      <c r="Z358" s="25"/>
      <c r="AA358" s="25"/>
      <c r="AB358" s="25"/>
      <c r="AC358" s="27"/>
      <c r="AD358" s="28">
        <f t="shared" si="20"/>
        <v>0</v>
      </c>
    </row>
    <row r="359" spans="2:30" ht="15.75" x14ac:dyDescent="0.25">
      <c r="B359" s="4" t="s">
        <v>9</v>
      </c>
      <c r="C359" s="16"/>
      <c r="D359" s="17"/>
      <c r="E359" s="17"/>
      <c r="F359" s="17"/>
      <c r="G359" s="18"/>
      <c r="H359" s="18"/>
      <c r="I359" s="19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21"/>
      <c r="W359" s="17"/>
      <c r="X359" s="17"/>
      <c r="Y359" s="17"/>
      <c r="Z359" s="17"/>
      <c r="AA359" s="17"/>
      <c r="AB359" s="17"/>
      <c r="AC359" s="23"/>
      <c r="AD359" s="15">
        <f t="shared" si="20"/>
        <v>0</v>
      </c>
    </row>
    <row r="360" spans="2:30" ht="15.75" x14ac:dyDescent="0.25">
      <c r="B360" s="4" t="s">
        <v>10</v>
      </c>
      <c r="C360" s="16"/>
      <c r="D360" s="17"/>
      <c r="E360" s="17"/>
      <c r="F360" s="17"/>
      <c r="G360" s="18"/>
      <c r="H360" s="18"/>
      <c r="I360" s="19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21"/>
      <c r="W360" s="17"/>
      <c r="X360" s="17"/>
      <c r="Y360" s="17"/>
      <c r="Z360" s="17"/>
      <c r="AA360" s="17"/>
      <c r="AB360" s="17"/>
      <c r="AC360" s="23"/>
      <c r="AD360" s="15">
        <f t="shared" si="20"/>
        <v>0</v>
      </c>
    </row>
    <row r="361" spans="2:30" ht="15.75" x14ac:dyDescent="0.25">
      <c r="B361" s="4" t="s">
        <v>11</v>
      </c>
      <c r="C361" s="16"/>
      <c r="D361" s="17"/>
      <c r="E361" s="17"/>
      <c r="F361" s="17"/>
      <c r="G361" s="18"/>
      <c r="H361" s="18"/>
      <c r="I361" s="19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21"/>
      <c r="W361" s="17"/>
      <c r="X361" s="17"/>
      <c r="Y361" s="17"/>
      <c r="Z361" s="17"/>
      <c r="AA361" s="17"/>
      <c r="AB361" s="17"/>
      <c r="AC361" s="23"/>
      <c r="AD361" s="15">
        <f t="shared" si="20"/>
        <v>0</v>
      </c>
    </row>
    <row r="362" spans="2:30" ht="15.75" x14ac:dyDescent="0.25">
      <c r="B362" s="4" t="s">
        <v>12</v>
      </c>
      <c r="C362" s="16"/>
      <c r="D362" s="17"/>
      <c r="E362" s="17"/>
      <c r="F362" s="17"/>
      <c r="G362" s="18"/>
      <c r="H362" s="18"/>
      <c r="I362" s="19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21"/>
      <c r="W362" s="17"/>
      <c r="X362" s="17"/>
      <c r="Y362" s="17"/>
      <c r="Z362" s="17"/>
      <c r="AA362" s="17"/>
      <c r="AB362" s="17"/>
      <c r="AC362" s="23"/>
      <c r="AD362" s="15">
        <f t="shared" si="20"/>
        <v>0</v>
      </c>
    </row>
    <row r="363" spans="2:30" ht="15.75" x14ac:dyDescent="0.25">
      <c r="B363" s="4" t="s">
        <v>13</v>
      </c>
      <c r="C363" s="16"/>
      <c r="D363" s="17"/>
      <c r="E363" s="17"/>
      <c r="F363" s="17"/>
      <c r="G363" s="18"/>
      <c r="H363" s="18"/>
      <c r="I363" s="19"/>
      <c r="J363" s="18"/>
      <c r="K363" s="18"/>
      <c r="L363" s="18"/>
      <c r="M363" s="18"/>
      <c r="N363" s="18"/>
      <c r="O363" s="18"/>
      <c r="P363" s="18"/>
      <c r="Q363" s="29"/>
      <c r="R363" s="29"/>
      <c r="S363" s="29"/>
      <c r="T363" s="29"/>
      <c r="U363" s="29"/>
      <c r="V363" s="30"/>
      <c r="W363" s="31"/>
      <c r="X363" s="29"/>
      <c r="Y363" s="29"/>
      <c r="Z363" s="29"/>
      <c r="AA363" s="29"/>
      <c r="AB363" s="29"/>
      <c r="AC363" s="14"/>
      <c r="AD363" s="15">
        <f t="shared" si="20"/>
        <v>0</v>
      </c>
    </row>
    <row r="364" spans="2:30" ht="15.75" x14ac:dyDescent="0.25">
      <c r="B364" s="4" t="s">
        <v>14</v>
      </c>
      <c r="C364" s="16"/>
      <c r="D364" s="17"/>
      <c r="E364" s="17"/>
      <c r="F364" s="17"/>
      <c r="G364" s="18"/>
      <c r="H364" s="18"/>
      <c r="I364" s="19"/>
      <c r="J364" s="18"/>
      <c r="K364" s="18"/>
      <c r="L364" s="18"/>
      <c r="M364" s="18"/>
      <c r="N364" s="18"/>
      <c r="O364" s="18"/>
      <c r="P364" s="18"/>
      <c r="Q364" s="29"/>
      <c r="R364" s="29"/>
      <c r="S364" s="29"/>
      <c r="T364" s="29"/>
      <c r="U364" s="29"/>
      <c r="V364" s="30"/>
      <c r="W364" s="31"/>
      <c r="X364" s="29"/>
      <c r="Y364" s="29"/>
      <c r="Z364" s="29"/>
      <c r="AA364" s="29"/>
      <c r="AB364" s="29"/>
      <c r="AC364" s="14"/>
      <c r="AD364" s="15">
        <f t="shared" si="20"/>
        <v>0</v>
      </c>
    </row>
    <row r="365" spans="2:30" ht="15.75" x14ac:dyDescent="0.25">
      <c r="B365" s="4" t="s">
        <v>15</v>
      </c>
      <c r="C365" s="16"/>
      <c r="D365" s="17"/>
      <c r="E365" s="17"/>
      <c r="F365" s="17"/>
      <c r="G365" s="18"/>
      <c r="H365" s="18"/>
      <c r="I365" s="19"/>
      <c r="J365" s="18"/>
      <c r="K365" s="18"/>
      <c r="L365" s="18"/>
      <c r="M365" s="18"/>
      <c r="N365" s="18"/>
      <c r="O365" s="18"/>
      <c r="P365" s="18"/>
      <c r="Q365" s="29"/>
      <c r="R365" s="29"/>
      <c r="S365" s="29"/>
      <c r="T365" s="29"/>
      <c r="U365" s="29"/>
      <c r="V365" s="30"/>
      <c r="W365" s="31"/>
      <c r="X365" s="29"/>
      <c r="Y365" s="29"/>
      <c r="Z365" s="29"/>
      <c r="AA365" s="29"/>
      <c r="AB365" s="29"/>
      <c r="AC365" s="14"/>
      <c r="AD365" s="15">
        <f t="shared" si="20"/>
        <v>0</v>
      </c>
    </row>
    <row r="366" spans="2:30" ht="15.75" x14ac:dyDescent="0.25">
      <c r="B366" s="4" t="s">
        <v>16</v>
      </c>
      <c r="C366" s="16"/>
      <c r="D366" s="17"/>
      <c r="E366" s="17"/>
      <c r="F366" s="17"/>
      <c r="G366" s="18"/>
      <c r="H366" s="18"/>
      <c r="I366" s="19"/>
      <c r="J366" s="18"/>
      <c r="K366" s="18"/>
      <c r="L366" s="18"/>
      <c r="M366" s="18"/>
      <c r="N366" s="18"/>
      <c r="O366" s="18"/>
      <c r="P366" s="18"/>
      <c r="Q366" s="29"/>
      <c r="R366" s="29"/>
      <c r="S366" s="29"/>
      <c r="T366" s="29"/>
      <c r="U366" s="29"/>
      <c r="V366" s="30"/>
      <c r="W366" s="31"/>
      <c r="X366" s="29"/>
      <c r="Y366" s="29"/>
      <c r="Z366" s="29"/>
      <c r="AA366" s="29"/>
      <c r="AB366" s="29"/>
      <c r="AC366" s="14"/>
      <c r="AD366" s="15">
        <f t="shared" si="20"/>
        <v>0</v>
      </c>
    </row>
    <row r="367" spans="2:30" ht="15.75" x14ac:dyDescent="0.25">
      <c r="B367" s="4" t="s">
        <v>17</v>
      </c>
      <c r="C367" s="16"/>
      <c r="D367" s="17"/>
      <c r="E367" s="17"/>
      <c r="F367" s="17"/>
      <c r="G367" s="18"/>
      <c r="H367" s="18"/>
      <c r="I367" s="19"/>
      <c r="J367" s="18"/>
      <c r="K367" s="18"/>
      <c r="L367" s="18"/>
      <c r="M367" s="18"/>
      <c r="N367" s="18"/>
      <c r="O367" s="18"/>
      <c r="P367" s="18"/>
      <c r="Q367" s="29"/>
      <c r="R367" s="29"/>
      <c r="S367" s="29"/>
      <c r="T367" s="29"/>
      <c r="U367" s="29"/>
      <c r="V367" s="30"/>
      <c r="W367" s="31"/>
      <c r="X367" s="29"/>
      <c r="Y367" s="29"/>
      <c r="Z367" s="29"/>
      <c r="AA367" s="29"/>
      <c r="AB367" s="29"/>
      <c r="AC367" s="14"/>
      <c r="AD367" s="15">
        <f t="shared" si="20"/>
        <v>0</v>
      </c>
    </row>
    <row r="368" spans="2:30" ht="16.5" thickBot="1" x14ac:dyDescent="0.3">
      <c r="B368" s="4" t="s">
        <v>18</v>
      </c>
      <c r="C368" s="32"/>
      <c r="D368" s="33"/>
      <c r="E368" s="33"/>
      <c r="F368" s="33"/>
      <c r="G368" s="34"/>
      <c r="H368" s="34"/>
      <c r="I368" s="35"/>
      <c r="J368" s="34"/>
      <c r="K368" s="34"/>
      <c r="L368" s="34"/>
      <c r="M368" s="34"/>
      <c r="N368" s="34"/>
      <c r="O368" s="34"/>
      <c r="P368" s="34"/>
      <c r="Q368" s="36"/>
      <c r="R368" s="36"/>
      <c r="S368" s="36"/>
      <c r="T368" s="36"/>
      <c r="U368" s="36"/>
      <c r="V368" s="37"/>
      <c r="W368" s="31"/>
      <c r="X368" s="29"/>
      <c r="Y368" s="29"/>
      <c r="Z368" s="29"/>
      <c r="AA368" s="29"/>
      <c r="AB368" s="29"/>
      <c r="AC368" s="14"/>
      <c r="AD368" s="15">
        <f t="shared" si="20"/>
        <v>0</v>
      </c>
    </row>
    <row r="369" spans="2:30" ht="15.75" x14ac:dyDescent="0.25">
      <c r="B369" s="6" t="s">
        <v>19</v>
      </c>
      <c r="C369" s="12"/>
      <c r="D369" s="12"/>
      <c r="E369" s="12"/>
      <c r="F369" s="12"/>
      <c r="G369" s="17"/>
      <c r="H369" s="17"/>
      <c r="I369" s="25"/>
      <c r="J369" s="17"/>
      <c r="K369" s="17"/>
      <c r="L369" s="17"/>
      <c r="M369" s="17"/>
      <c r="N369" s="17"/>
      <c r="O369" s="17"/>
      <c r="P369" s="17"/>
      <c r="Q369" s="31"/>
      <c r="R369" s="31"/>
      <c r="S369" s="31"/>
      <c r="T369" s="31"/>
      <c r="U369" s="31"/>
      <c r="V369" s="31"/>
      <c r="W369" s="29"/>
      <c r="X369" s="29"/>
      <c r="Y369" s="29"/>
      <c r="Z369" s="29"/>
      <c r="AA369" s="29"/>
      <c r="AB369" s="29"/>
      <c r="AC369" s="14"/>
      <c r="AD369" s="15">
        <f t="shared" si="20"/>
        <v>0</v>
      </c>
    </row>
    <row r="370" spans="2:30" ht="15.75" x14ac:dyDescent="0.25">
      <c r="B370" s="6" t="s">
        <v>20</v>
      </c>
      <c r="C370" s="13"/>
      <c r="D370" s="13"/>
      <c r="E370" s="13"/>
      <c r="F370" s="13"/>
      <c r="G370" s="18"/>
      <c r="H370" s="18"/>
      <c r="I370" s="19"/>
      <c r="J370" s="17"/>
      <c r="K370" s="17"/>
      <c r="L370" s="17"/>
      <c r="M370" s="17"/>
      <c r="N370" s="17"/>
      <c r="O370" s="17"/>
      <c r="P370" s="17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14"/>
      <c r="AD370" s="15">
        <f t="shared" si="20"/>
        <v>0</v>
      </c>
    </row>
    <row r="371" spans="2:30" ht="15.75" x14ac:dyDescent="0.25">
      <c r="B371" s="6" t="s">
        <v>21</v>
      </c>
      <c r="C371" s="13"/>
      <c r="D371" s="13"/>
      <c r="E371" s="13"/>
      <c r="F371" s="13"/>
      <c r="G371" s="18"/>
      <c r="H371" s="18"/>
      <c r="I371" s="19"/>
      <c r="J371" s="17"/>
      <c r="K371" s="17"/>
      <c r="L371" s="17"/>
      <c r="M371" s="17"/>
      <c r="N371" s="17"/>
      <c r="O371" s="17"/>
      <c r="P371" s="17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14"/>
      <c r="AD371" s="15">
        <f t="shared" si="20"/>
        <v>0</v>
      </c>
    </row>
    <row r="372" spans="2:30" ht="15.75" x14ac:dyDescent="0.25">
      <c r="B372" s="6" t="s">
        <v>22</v>
      </c>
      <c r="C372" s="13"/>
      <c r="D372" s="13"/>
      <c r="E372" s="13"/>
      <c r="F372" s="13"/>
      <c r="G372" s="18"/>
      <c r="H372" s="18"/>
      <c r="I372" s="19"/>
      <c r="J372" s="17"/>
      <c r="K372" s="17"/>
      <c r="L372" s="17"/>
      <c r="M372" s="17"/>
      <c r="N372" s="17"/>
      <c r="O372" s="17"/>
      <c r="P372" s="17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14"/>
      <c r="AD372" s="15">
        <f t="shared" si="20"/>
        <v>0</v>
      </c>
    </row>
    <row r="373" spans="2:30" ht="15.75" x14ac:dyDescent="0.25">
      <c r="B373" s="6" t="s">
        <v>23</v>
      </c>
      <c r="C373" s="13"/>
      <c r="D373" s="13"/>
      <c r="E373" s="13"/>
      <c r="F373" s="13"/>
      <c r="G373" s="18"/>
      <c r="H373" s="18"/>
      <c r="I373" s="19"/>
      <c r="J373" s="17"/>
      <c r="K373" s="17"/>
      <c r="L373" s="17"/>
      <c r="M373" s="17"/>
      <c r="N373" s="17"/>
      <c r="O373" s="17"/>
      <c r="P373" s="17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14"/>
      <c r="AD373" s="15">
        <f t="shared" si="20"/>
        <v>0</v>
      </c>
    </row>
    <row r="374" spans="2:30" ht="15.75" x14ac:dyDescent="0.25">
      <c r="B374" s="6" t="s">
        <v>24</v>
      </c>
      <c r="C374" s="13"/>
      <c r="D374" s="13"/>
      <c r="E374" s="13"/>
      <c r="F374" s="13"/>
      <c r="G374" s="18"/>
      <c r="H374" s="18"/>
      <c r="I374" s="19"/>
      <c r="J374" s="17"/>
      <c r="K374" s="17"/>
      <c r="L374" s="17"/>
      <c r="M374" s="17"/>
      <c r="N374" s="17"/>
      <c r="O374" s="17"/>
      <c r="P374" s="17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14"/>
      <c r="AD374" s="15">
        <f t="shared" si="20"/>
        <v>0</v>
      </c>
    </row>
    <row r="375" spans="2:30" ht="15.75" x14ac:dyDescent="0.25">
      <c r="B375" s="6" t="s">
        <v>25</v>
      </c>
      <c r="C375" s="13"/>
      <c r="D375" s="13"/>
      <c r="E375" s="13"/>
      <c r="F375" s="13"/>
      <c r="G375" s="18"/>
      <c r="H375" s="18"/>
      <c r="I375" s="19"/>
      <c r="J375" s="17"/>
      <c r="K375" s="17"/>
      <c r="L375" s="17"/>
      <c r="M375" s="17"/>
      <c r="N375" s="17"/>
      <c r="O375" s="17"/>
      <c r="P375" s="17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14"/>
      <c r="AD375" s="15">
        <f t="shared" si="20"/>
        <v>0</v>
      </c>
    </row>
    <row r="376" spans="2:30" ht="15.75" x14ac:dyDescent="0.25">
      <c r="B376" s="6" t="s">
        <v>26</v>
      </c>
      <c r="C376" s="13"/>
      <c r="D376" s="13"/>
      <c r="E376" s="13"/>
      <c r="F376" s="13"/>
      <c r="G376" s="18"/>
      <c r="H376" s="18"/>
      <c r="I376" s="19"/>
      <c r="J376" s="17"/>
      <c r="K376" s="17"/>
      <c r="L376" s="17"/>
      <c r="M376" s="17"/>
      <c r="N376" s="17"/>
      <c r="O376" s="17"/>
      <c r="P376" s="17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14"/>
      <c r="AD376" s="15">
        <f t="shared" si="20"/>
        <v>0</v>
      </c>
    </row>
    <row r="377" spans="2:30" ht="15.75" x14ac:dyDescent="0.25">
      <c r="B377" s="6" t="s">
        <v>27</v>
      </c>
      <c r="C377" s="13"/>
      <c r="D377" s="13"/>
      <c r="E377" s="13"/>
      <c r="F377" s="13"/>
      <c r="G377" s="18"/>
      <c r="H377" s="18"/>
      <c r="I377" s="19"/>
      <c r="J377" s="17"/>
      <c r="K377" s="17"/>
      <c r="L377" s="17"/>
      <c r="M377" s="17"/>
      <c r="N377" s="17"/>
      <c r="O377" s="17"/>
      <c r="P377" s="17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14"/>
      <c r="AD377" s="15">
        <f t="shared" si="20"/>
        <v>0</v>
      </c>
    </row>
    <row r="378" spans="2:30" ht="15.75" x14ac:dyDescent="0.25">
      <c r="B378" s="39" t="s">
        <v>28</v>
      </c>
      <c r="C378" s="13"/>
      <c r="D378" s="13"/>
      <c r="E378" s="13"/>
      <c r="F378" s="13"/>
      <c r="G378" s="18"/>
      <c r="H378" s="18"/>
      <c r="I378" s="19"/>
      <c r="J378" s="17"/>
      <c r="K378" s="17"/>
      <c r="L378" s="17"/>
      <c r="M378" s="17"/>
      <c r="N378" s="17"/>
      <c r="O378" s="17"/>
      <c r="P378" s="17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14"/>
      <c r="AD378" s="15">
        <f>SUM(C378:AC378)</f>
        <v>0</v>
      </c>
    </row>
    <row r="379" spans="2:30" ht="15.75" x14ac:dyDescent="0.25">
      <c r="B379" s="3" t="s">
        <v>30</v>
      </c>
      <c r="C379" s="41">
        <f t="shared" ref="C379:AD379" si="21">SUM(C352:C378)</f>
        <v>0</v>
      </c>
      <c r="D379" s="41">
        <f t="shared" si="21"/>
        <v>0</v>
      </c>
      <c r="E379" s="41">
        <f t="shared" si="21"/>
        <v>0</v>
      </c>
      <c r="F379" s="41">
        <f t="shared" si="21"/>
        <v>0</v>
      </c>
      <c r="G379" s="41">
        <f t="shared" si="21"/>
        <v>0</v>
      </c>
      <c r="H379" s="41">
        <f t="shared" si="21"/>
        <v>0</v>
      </c>
      <c r="I379" s="42">
        <f t="shared" si="21"/>
        <v>0</v>
      </c>
      <c r="J379" s="41">
        <f t="shared" si="21"/>
        <v>0</v>
      </c>
      <c r="K379" s="41">
        <f t="shared" si="21"/>
        <v>0</v>
      </c>
      <c r="L379" s="41">
        <f t="shared" si="21"/>
        <v>0</v>
      </c>
      <c r="M379" s="41">
        <f t="shared" si="21"/>
        <v>0</v>
      </c>
      <c r="N379" s="41">
        <f t="shared" si="21"/>
        <v>0</v>
      </c>
      <c r="O379" s="41">
        <f t="shared" si="21"/>
        <v>0</v>
      </c>
      <c r="P379" s="41">
        <f t="shared" si="21"/>
        <v>0</v>
      </c>
      <c r="Q379" s="41">
        <f t="shared" si="21"/>
        <v>0</v>
      </c>
      <c r="R379" s="41">
        <f t="shared" si="21"/>
        <v>0</v>
      </c>
      <c r="S379" s="41">
        <f t="shared" si="21"/>
        <v>0</v>
      </c>
      <c r="T379" s="41">
        <f t="shared" si="21"/>
        <v>0</v>
      </c>
      <c r="U379" s="41">
        <f t="shared" si="21"/>
        <v>0</v>
      </c>
      <c r="V379" s="41">
        <f t="shared" si="21"/>
        <v>0</v>
      </c>
      <c r="W379" s="41">
        <f t="shared" si="21"/>
        <v>0</v>
      </c>
      <c r="X379" s="41">
        <f t="shared" si="21"/>
        <v>0</v>
      </c>
      <c r="Y379" s="41">
        <f t="shared" si="21"/>
        <v>0</v>
      </c>
      <c r="Z379" s="41">
        <f t="shared" si="21"/>
        <v>0</v>
      </c>
      <c r="AA379" s="41">
        <f t="shared" si="21"/>
        <v>0</v>
      </c>
      <c r="AB379" s="41">
        <f t="shared" si="21"/>
        <v>0</v>
      </c>
      <c r="AC379" s="41">
        <f t="shared" si="21"/>
        <v>0</v>
      </c>
      <c r="AD379" s="43">
        <f t="shared" si="21"/>
        <v>0</v>
      </c>
    </row>
    <row r="384" spans="2:30" x14ac:dyDescent="0.25">
      <c r="B384" t="s">
        <v>42</v>
      </c>
    </row>
    <row r="386" spans="2:30" ht="16.5" thickBot="1" x14ac:dyDescent="0.3">
      <c r="B386" s="3" t="s">
        <v>1</v>
      </c>
      <c r="C386" s="4" t="s">
        <v>2</v>
      </c>
      <c r="D386" s="4" t="s">
        <v>3</v>
      </c>
      <c r="E386" s="4" t="s">
        <v>4</v>
      </c>
      <c r="F386" s="4" t="s">
        <v>5</v>
      </c>
      <c r="G386" s="4" t="s">
        <v>6</v>
      </c>
      <c r="H386" s="4" t="s">
        <v>7</v>
      </c>
      <c r="I386" s="5" t="s">
        <v>8</v>
      </c>
      <c r="J386" s="4" t="s">
        <v>9</v>
      </c>
      <c r="K386" s="4" t="s">
        <v>10</v>
      </c>
      <c r="L386" s="4" t="s">
        <v>11</v>
      </c>
      <c r="M386" s="4" t="s">
        <v>12</v>
      </c>
      <c r="N386" s="4" t="s">
        <v>13</v>
      </c>
      <c r="O386" s="4" t="s">
        <v>14</v>
      </c>
      <c r="P386" s="4" t="s">
        <v>15</v>
      </c>
      <c r="Q386" s="4" t="s">
        <v>16</v>
      </c>
      <c r="R386" s="4" t="s">
        <v>17</v>
      </c>
      <c r="S386" s="4" t="s">
        <v>18</v>
      </c>
      <c r="T386" s="6" t="s">
        <v>19</v>
      </c>
      <c r="U386" s="6" t="s">
        <v>20</v>
      </c>
      <c r="V386" s="6" t="s">
        <v>21</v>
      </c>
      <c r="W386" s="6" t="s">
        <v>22</v>
      </c>
      <c r="X386" s="6" t="s">
        <v>23</v>
      </c>
      <c r="Y386" s="6" t="s">
        <v>24</v>
      </c>
      <c r="Z386" s="6" t="s">
        <v>25</v>
      </c>
      <c r="AA386" s="6" t="s">
        <v>26</v>
      </c>
      <c r="AB386" s="6" t="s">
        <v>27</v>
      </c>
      <c r="AC386" s="6" t="s">
        <v>28</v>
      </c>
      <c r="AD386" s="3" t="s">
        <v>29</v>
      </c>
    </row>
    <row r="387" spans="2:30" ht="15.75" x14ac:dyDescent="0.25">
      <c r="B387" s="4" t="s">
        <v>2</v>
      </c>
      <c r="C387" s="7"/>
      <c r="D387" s="8"/>
      <c r="E387" s="8"/>
      <c r="F387" s="8"/>
      <c r="G387" s="9"/>
      <c r="H387" s="9"/>
      <c r="I387" s="10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1"/>
      <c r="W387" s="12"/>
      <c r="X387" s="13"/>
      <c r="Y387" s="13"/>
      <c r="Z387" s="13"/>
      <c r="AA387" s="13"/>
      <c r="AB387" s="13"/>
      <c r="AC387" s="14"/>
      <c r="AD387" s="15">
        <f>SUM(C387:AC387)</f>
        <v>0</v>
      </c>
    </row>
    <row r="388" spans="2:30" ht="15.75" x14ac:dyDescent="0.25">
      <c r="B388" s="4" t="s">
        <v>3</v>
      </c>
      <c r="C388" s="16"/>
      <c r="D388" s="17"/>
      <c r="E388" s="17"/>
      <c r="F388" s="17"/>
      <c r="G388" s="18"/>
      <c r="H388" s="18"/>
      <c r="I388" s="19"/>
      <c r="J388" s="18"/>
      <c r="K388" s="18"/>
      <c r="L388" s="18"/>
      <c r="M388" s="18"/>
      <c r="N388" s="18"/>
      <c r="O388" s="20"/>
      <c r="P388" s="18"/>
      <c r="Q388" s="18"/>
      <c r="R388" s="18"/>
      <c r="S388" s="18"/>
      <c r="T388" s="18"/>
      <c r="U388" s="18"/>
      <c r="V388" s="21"/>
      <c r="W388" s="17"/>
      <c r="X388" s="18"/>
      <c r="Y388" s="18"/>
      <c r="Z388" s="18"/>
      <c r="AA388" s="18"/>
      <c r="AB388" s="18"/>
      <c r="AC388" s="22"/>
      <c r="AD388" s="15">
        <f>SUM(C388:AC388)</f>
        <v>0</v>
      </c>
    </row>
    <row r="389" spans="2:30" ht="15.75" x14ac:dyDescent="0.25">
      <c r="B389" s="4" t="s">
        <v>4</v>
      </c>
      <c r="C389" s="16"/>
      <c r="D389" s="17"/>
      <c r="E389" s="17"/>
      <c r="F389" s="17"/>
      <c r="G389" s="18"/>
      <c r="H389" s="18"/>
      <c r="I389" s="19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21"/>
      <c r="W389" s="17"/>
      <c r="X389" s="18"/>
      <c r="Y389" s="18"/>
      <c r="Z389" s="18"/>
      <c r="AA389" s="18"/>
      <c r="AB389" s="18"/>
      <c r="AC389" s="22"/>
      <c r="AD389" s="15">
        <f>SUM(C389:AC389)</f>
        <v>0</v>
      </c>
    </row>
    <row r="390" spans="2:30" ht="15.75" x14ac:dyDescent="0.25">
      <c r="B390" s="4" t="s">
        <v>5</v>
      </c>
      <c r="C390" s="16"/>
      <c r="D390" s="17"/>
      <c r="E390" s="17"/>
      <c r="F390" s="17"/>
      <c r="G390" s="18"/>
      <c r="H390" s="18"/>
      <c r="I390" s="19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21"/>
      <c r="W390" s="17"/>
      <c r="X390" s="18"/>
      <c r="Y390" s="18"/>
      <c r="Z390" s="18"/>
      <c r="AA390" s="18"/>
      <c r="AB390" s="18"/>
      <c r="AC390" s="22"/>
      <c r="AD390" s="15">
        <f t="shared" ref="AD390:AD413" si="22">SUM(C390:AC390)</f>
        <v>0</v>
      </c>
    </row>
    <row r="391" spans="2:30" ht="15.75" x14ac:dyDescent="0.25">
      <c r="B391" s="4" t="s">
        <v>6</v>
      </c>
      <c r="C391" s="16"/>
      <c r="D391" s="17"/>
      <c r="E391" s="17"/>
      <c r="F391" s="17"/>
      <c r="G391" s="18"/>
      <c r="H391" s="18"/>
      <c r="I391" s="19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21"/>
      <c r="W391" s="17"/>
      <c r="X391" s="17"/>
      <c r="Y391" s="17"/>
      <c r="Z391" s="17"/>
      <c r="AA391" s="17"/>
      <c r="AB391" s="17"/>
      <c r="AC391" s="23"/>
      <c r="AD391" s="15">
        <f t="shared" si="22"/>
        <v>0</v>
      </c>
    </row>
    <row r="392" spans="2:30" ht="15.75" x14ac:dyDescent="0.25">
      <c r="B392" s="4" t="s">
        <v>7</v>
      </c>
      <c r="C392" s="16"/>
      <c r="D392" s="17"/>
      <c r="E392" s="17"/>
      <c r="F392" s="17"/>
      <c r="G392" s="18"/>
      <c r="H392" s="18"/>
      <c r="I392" s="19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21"/>
      <c r="W392" s="17"/>
      <c r="X392" s="17"/>
      <c r="Y392" s="17"/>
      <c r="Z392" s="17"/>
      <c r="AA392" s="17"/>
      <c r="AB392" s="17"/>
      <c r="AC392" s="23"/>
      <c r="AD392" s="15">
        <f t="shared" si="22"/>
        <v>0</v>
      </c>
    </row>
    <row r="393" spans="2:30" ht="15.75" x14ac:dyDescent="0.25">
      <c r="B393" s="5" t="s">
        <v>8</v>
      </c>
      <c r="C393" s="24"/>
      <c r="D393" s="25"/>
      <c r="E393" s="25"/>
      <c r="F393" s="25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26"/>
      <c r="W393" s="25"/>
      <c r="X393" s="25"/>
      <c r="Y393" s="25"/>
      <c r="Z393" s="25"/>
      <c r="AA393" s="25"/>
      <c r="AB393" s="25"/>
      <c r="AC393" s="27"/>
      <c r="AD393" s="28">
        <f t="shared" si="22"/>
        <v>0</v>
      </c>
    </row>
    <row r="394" spans="2:30" ht="15.75" x14ac:dyDescent="0.25">
      <c r="B394" s="4" t="s">
        <v>9</v>
      </c>
      <c r="C394" s="16"/>
      <c r="D394" s="17"/>
      <c r="E394" s="17"/>
      <c r="F394" s="17"/>
      <c r="G394" s="18"/>
      <c r="H394" s="18"/>
      <c r="I394" s="19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21"/>
      <c r="W394" s="17"/>
      <c r="X394" s="17"/>
      <c r="Y394" s="17"/>
      <c r="Z394" s="17"/>
      <c r="AA394" s="17"/>
      <c r="AB394" s="17"/>
      <c r="AC394" s="23"/>
      <c r="AD394" s="15">
        <f t="shared" si="22"/>
        <v>0</v>
      </c>
    </row>
    <row r="395" spans="2:30" ht="15.75" x14ac:dyDescent="0.25">
      <c r="B395" s="4" t="s">
        <v>10</v>
      </c>
      <c r="C395" s="16"/>
      <c r="D395" s="17"/>
      <c r="E395" s="17"/>
      <c r="F395" s="17"/>
      <c r="G395" s="18"/>
      <c r="H395" s="18"/>
      <c r="I395" s="19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21"/>
      <c r="W395" s="17"/>
      <c r="X395" s="17"/>
      <c r="Y395" s="17"/>
      <c r="Z395" s="17"/>
      <c r="AA395" s="17"/>
      <c r="AB395" s="17"/>
      <c r="AC395" s="23"/>
      <c r="AD395" s="15">
        <f t="shared" si="22"/>
        <v>0</v>
      </c>
    </row>
    <row r="396" spans="2:30" ht="15.75" x14ac:dyDescent="0.25">
      <c r="B396" s="4" t="s">
        <v>11</v>
      </c>
      <c r="C396" s="16"/>
      <c r="D396" s="17"/>
      <c r="E396" s="17"/>
      <c r="F396" s="17"/>
      <c r="G396" s="18"/>
      <c r="H396" s="18"/>
      <c r="I396" s="19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21"/>
      <c r="W396" s="17"/>
      <c r="X396" s="17"/>
      <c r="Y396" s="17"/>
      <c r="Z396" s="17"/>
      <c r="AA396" s="17"/>
      <c r="AB396" s="17"/>
      <c r="AC396" s="23"/>
      <c r="AD396" s="15">
        <f t="shared" si="22"/>
        <v>0</v>
      </c>
    </row>
    <row r="397" spans="2:30" ht="15.75" x14ac:dyDescent="0.25">
      <c r="B397" s="4" t="s">
        <v>12</v>
      </c>
      <c r="C397" s="16"/>
      <c r="D397" s="17"/>
      <c r="E397" s="17"/>
      <c r="F397" s="17"/>
      <c r="G397" s="18"/>
      <c r="H397" s="18"/>
      <c r="I397" s="19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21"/>
      <c r="W397" s="17"/>
      <c r="X397" s="17"/>
      <c r="Y397" s="17"/>
      <c r="Z397" s="17"/>
      <c r="AA397" s="17"/>
      <c r="AB397" s="17"/>
      <c r="AC397" s="23"/>
      <c r="AD397" s="15">
        <f t="shared" si="22"/>
        <v>0</v>
      </c>
    </row>
    <row r="398" spans="2:30" ht="15.75" x14ac:dyDescent="0.25">
      <c r="B398" s="4" t="s">
        <v>13</v>
      </c>
      <c r="C398" s="16"/>
      <c r="D398" s="17"/>
      <c r="E398" s="17"/>
      <c r="F398" s="17"/>
      <c r="G398" s="18"/>
      <c r="H398" s="18"/>
      <c r="I398" s="19"/>
      <c r="J398" s="18"/>
      <c r="K398" s="18"/>
      <c r="L398" s="18"/>
      <c r="M398" s="18"/>
      <c r="N398" s="18"/>
      <c r="O398" s="18"/>
      <c r="P398" s="18"/>
      <c r="Q398" s="29"/>
      <c r="R398" s="29"/>
      <c r="S398" s="29"/>
      <c r="T398" s="29"/>
      <c r="U398" s="29"/>
      <c r="V398" s="30"/>
      <c r="W398" s="31"/>
      <c r="X398" s="29"/>
      <c r="Y398" s="29"/>
      <c r="Z398" s="29"/>
      <c r="AA398" s="29"/>
      <c r="AB398" s="29"/>
      <c r="AC398" s="14"/>
      <c r="AD398" s="15">
        <f t="shared" si="22"/>
        <v>0</v>
      </c>
    </row>
    <row r="399" spans="2:30" ht="15.75" x14ac:dyDescent="0.25">
      <c r="B399" s="4" t="s">
        <v>14</v>
      </c>
      <c r="C399" s="16"/>
      <c r="D399" s="17"/>
      <c r="E399" s="17"/>
      <c r="F399" s="17"/>
      <c r="G399" s="18"/>
      <c r="H399" s="18"/>
      <c r="I399" s="19"/>
      <c r="J399" s="18"/>
      <c r="K399" s="18"/>
      <c r="L399" s="18"/>
      <c r="M399" s="18"/>
      <c r="N399" s="18"/>
      <c r="O399" s="18"/>
      <c r="P399" s="18"/>
      <c r="Q399" s="29"/>
      <c r="R399" s="29"/>
      <c r="S399" s="29"/>
      <c r="T399" s="29"/>
      <c r="U399" s="29"/>
      <c r="V399" s="30"/>
      <c r="W399" s="31"/>
      <c r="X399" s="29"/>
      <c r="Y399" s="29"/>
      <c r="Z399" s="29"/>
      <c r="AA399" s="29"/>
      <c r="AB399" s="29"/>
      <c r="AC399" s="14"/>
      <c r="AD399" s="15">
        <f t="shared" si="22"/>
        <v>0</v>
      </c>
    </row>
    <row r="400" spans="2:30" ht="15.75" x14ac:dyDescent="0.25">
      <c r="B400" s="4" t="s">
        <v>15</v>
      </c>
      <c r="C400" s="16"/>
      <c r="D400" s="17"/>
      <c r="E400" s="17"/>
      <c r="F400" s="17"/>
      <c r="G400" s="18"/>
      <c r="H400" s="18"/>
      <c r="I400" s="19"/>
      <c r="J400" s="18"/>
      <c r="K400" s="18"/>
      <c r="L400" s="18"/>
      <c r="M400" s="18"/>
      <c r="N400" s="18"/>
      <c r="O400" s="18"/>
      <c r="P400" s="18"/>
      <c r="Q400" s="29"/>
      <c r="R400" s="29"/>
      <c r="S400" s="29"/>
      <c r="T400" s="29"/>
      <c r="U400" s="29"/>
      <c r="V400" s="30"/>
      <c r="W400" s="31"/>
      <c r="X400" s="29"/>
      <c r="Y400" s="29"/>
      <c r="Z400" s="29"/>
      <c r="AA400" s="29"/>
      <c r="AB400" s="29"/>
      <c r="AC400" s="14"/>
      <c r="AD400" s="15">
        <f t="shared" si="22"/>
        <v>0</v>
      </c>
    </row>
    <row r="401" spans="2:30" ht="15.75" x14ac:dyDescent="0.25">
      <c r="B401" s="4" t="s">
        <v>16</v>
      </c>
      <c r="C401" s="16"/>
      <c r="D401" s="17"/>
      <c r="E401" s="17"/>
      <c r="F401" s="17"/>
      <c r="G401" s="18"/>
      <c r="H401" s="18"/>
      <c r="I401" s="19"/>
      <c r="J401" s="18"/>
      <c r="K401" s="18"/>
      <c r="L401" s="18"/>
      <c r="M401" s="18"/>
      <c r="N401" s="18"/>
      <c r="O401" s="18"/>
      <c r="P401" s="18"/>
      <c r="Q401" s="29"/>
      <c r="R401" s="29"/>
      <c r="S401" s="29"/>
      <c r="T401" s="29"/>
      <c r="U401" s="29"/>
      <c r="V401" s="30"/>
      <c r="W401" s="31"/>
      <c r="X401" s="29"/>
      <c r="Y401" s="29"/>
      <c r="Z401" s="29"/>
      <c r="AA401" s="29"/>
      <c r="AB401" s="29"/>
      <c r="AC401" s="14"/>
      <c r="AD401" s="15">
        <f t="shared" si="22"/>
        <v>0</v>
      </c>
    </row>
    <row r="402" spans="2:30" ht="15.75" x14ac:dyDescent="0.25">
      <c r="B402" s="4" t="s">
        <v>17</v>
      </c>
      <c r="C402" s="16"/>
      <c r="D402" s="17"/>
      <c r="E402" s="17"/>
      <c r="F402" s="17"/>
      <c r="G402" s="18"/>
      <c r="H402" s="18"/>
      <c r="I402" s="19"/>
      <c r="J402" s="18"/>
      <c r="K402" s="18"/>
      <c r="L402" s="18"/>
      <c r="M402" s="18"/>
      <c r="N402" s="18"/>
      <c r="O402" s="18"/>
      <c r="P402" s="18"/>
      <c r="Q402" s="29"/>
      <c r="R402" s="29"/>
      <c r="S402" s="29"/>
      <c r="T402" s="29"/>
      <c r="U402" s="29"/>
      <c r="V402" s="30"/>
      <c r="W402" s="31"/>
      <c r="X402" s="29"/>
      <c r="Y402" s="29"/>
      <c r="Z402" s="29"/>
      <c r="AA402" s="29"/>
      <c r="AB402" s="29"/>
      <c r="AC402" s="14"/>
      <c r="AD402" s="15">
        <f t="shared" si="22"/>
        <v>0</v>
      </c>
    </row>
    <row r="403" spans="2:30" ht="16.5" thickBot="1" x14ac:dyDescent="0.3">
      <c r="B403" s="4" t="s">
        <v>18</v>
      </c>
      <c r="C403" s="32"/>
      <c r="D403" s="33"/>
      <c r="E403" s="33"/>
      <c r="F403" s="33"/>
      <c r="G403" s="34"/>
      <c r="H403" s="34"/>
      <c r="I403" s="35"/>
      <c r="J403" s="34"/>
      <c r="K403" s="34"/>
      <c r="L403" s="34"/>
      <c r="M403" s="34"/>
      <c r="N403" s="34"/>
      <c r="O403" s="34"/>
      <c r="P403" s="34"/>
      <c r="Q403" s="36"/>
      <c r="R403" s="36"/>
      <c r="S403" s="36"/>
      <c r="T403" s="36"/>
      <c r="U403" s="36"/>
      <c r="V403" s="37"/>
      <c r="W403" s="31"/>
      <c r="X403" s="29"/>
      <c r="Y403" s="29"/>
      <c r="Z403" s="29"/>
      <c r="AA403" s="29"/>
      <c r="AB403" s="29"/>
      <c r="AC403" s="14"/>
      <c r="AD403" s="15">
        <f t="shared" si="22"/>
        <v>0</v>
      </c>
    </row>
    <row r="404" spans="2:30" ht="15.75" x14ac:dyDescent="0.25">
      <c r="B404" s="6" t="s">
        <v>19</v>
      </c>
      <c r="C404" s="12"/>
      <c r="D404" s="12"/>
      <c r="E404" s="12"/>
      <c r="F404" s="12"/>
      <c r="G404" s="17"/>
      <c r="H404" s="17"/>
      <c r="I404" s="25"/>
      <c r="J404" s="17"/>
      <c r="K404" s="17"/>
      <c r="L404" s="17"/>
      <c r="M404" s="17"/>
      <c r="N404" s="17"/>
      <c r="O404" s="17"/>
      <c r="P404" s="17"/>
      <c r="Q404" s="31"/>
      <c r="R404" s="31"/>
      <c r="S404" s="31"/>
      <c r="T404" s="31"/>
      <c r="U404" s="31"/>
      <c r="V404" s="31"/>
      <c r="W404" s="29"/>
      <c r="X404" s="29"/>
      <c r="Y404" s="29"/>
      <c r="Z404" s="29"/>
      <c r="AA404" s="29"/>
      <c r="AB404" s="29"/>
      <c r="AC404" s="14"/>
      <c r="AD404" s="15">
        <f t="shared" si="22"/>
        <v>0</v>
      </c>
    </row>
    <row r="405" spans="2:30" ht="15.75" x14ac:dyDescent="0.25">
      <c r="B405" s="6" t="s">
        <v>20</v>
      </c>
      <c r="C405" s="13"/>
      <c r="D405" s="13"/>
      <c r="E405" s="13"/>
      <c r="F405" s="13"/>
      <c r="G405" s="18"/>
      <c r="H405" s="18"/>
      <c r="I405" s="19"/>
      <c r="J405" s="17"/>
      <c r="K405" s="17"/>
      <c r="L405" s="17"/>
      <c r="M405" s="17"/>
      <c r="N405" s="17"/>
      <c r="O405" s="17"/>
      <c r="P405" s="17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14"/>
      <c r="AD405" s="15">
        <f t="shared" si="22"/>
        <v>0</v>
      </c>
    </row>
    <row r="406" spans="2:30" ht="15.75" x14ac:dyDescent="0.25">
      <c r="B406" s="6" t="s">
        <v>21</v>
      </c>
      <c r="C406" s="13"/>
      <c r="D406" s="13"/>
      <c r="E406" s="13"/>
      <c r="F406" s="13"/>
      <c r="G406" s="18"/>
      <c r="H406" s="18"/>
      <c r="I406" s="19"/>
      <c r="J406" s="17"/>
      <c r="K406" s="17"/>
      <c r="L406" s="17"/>
      <c r="M406" s="17"/>
      <c r="N406" s="17"/>
      <c r="O406" s="17"/>
      <c r="P406" s="17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14"/>
      <c r="AD406" s="15">
        <f t="shared" si="22"/>
        <v>0</v>
      </c>
    </row>
    <row r="407" spans="2:30" ht="15.75" x14ac:dyDescent="0.25">
      <c r="B407" s="6" t="s">
        <v>22</v>
      </c>
      <c r="C407" s="13"/>
      <c r="D407" s="13"/>
      <c r="E407" s="13"/>
      <c r="F407" s="13"/>
      <c r="G407" s="18"/>
      <c r="H407" s="18"/>
      <c r="I407" s="19"/>
      <c r="J407" s="17"/>
      <c r="K407" s="17"/>
      <c r="L407" s="17"/>
      <c r="M407" s="17"/>
      <c r="N407" s="17"/>
      <c r="O407" s="17"/>
      <c r="P407" s="17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14"/>
      <c r="AD407" s="15">
        <f t="shared" si="22"/>
        <v>0</v>
      </c>
    </row>
    <row r="408" spans="2:30" ht="15.75" x14ac:dyDescent="0.25">
      <c r="B408" s="6" t="s">
        <v>23</v>
      </c>
      <c r="C408" s="13"/>
      <c r="D408" s="13"/>
      <c r="E408" s="13"/>
      <c r="F408" s="13"/>
      <c r="G408" s="18"/>
      <c r="H408" s="18"/>
      <c r="I408" s="19"/>
      <c r="J408" s="17"/>
      <c r="K408" s="17"/>
      <c r="L408" s="17"/>
      <c r="M408" s="17"/>
      <c r="N408" s="17"/>
      <c r="O408" s="17"/>
      <c r="P408" s="17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14"/>
      <c r="AD408" s="15">
        <f t="shared" si="22"/>
        <v>0</v>
      </c>
    </row>
    <row r="409" spans="2:30" ht="15.75" x14ac:dyDescent="0.25">
      <c r="B409" s="6" t="s">
        <v>24</v>
      </c>
      <c r="C409" s="13"/>
      <c r="D409" s="13"/>
      <c r="E409" s="13"/>
      <c r="F409" s="13"/>
      <c r="G409" s="18"/>
      <c r="H409" s="18"/>
      <c r="I409" s="19"/>
      <c r="J409" s="17"/>
      <c r="K409" s="17"/>
      <c r="L409" s="17"/>
      <c r="M409" s="17"/>
      <c r="N409" s="17"/>
      <c r="O409" s="17"/>
      <c r="P409" s="17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14"/>
      <c r="AD409" s="15">
        <f t="shared" si="22"/>
        <v>0</v>
      </c>
    </row>
    <row r="410" spans="2:30" ht="15.75" x14ac:dyDescent="0.25">
      <c r="B410" s="6" t="s">
        <v>25</v>
      </c>
      <c r="C410" s="13"/>
      <c r="D410" s="13"/>
      <c r="E410" s="13"/>
      <c r="F410" s="13"/>
      <c r="G410" s="18"/>
      <c r="H410" s="18"/>
      <c r="I410" s="19"/>
      <c r="J410" s="17"/>
      <c r="K410" s="17"/>
      <c r="L410" s="17"/>
      <c r="M410" s="17"/>
      <c r="N410" s="17"/>
      <c r="O410" s="17"/>
      <c r="P410" s="17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14"/>
      <c r="AD410" s="15">
        <f t="shared" si="22"/>
        <v>0</v>
      </c>
    </row>
    <row r="411" spans="2:30" ht="15.75" x14ac:dyDescent="0.25">
      <c r="B411" s="6" t="s">
        <v>26</v>
      </c>
      <c r="C411" s="13"/>
      <c r="D411" s="13"/>
      <c r="E411" s="13"/>
      <c r="F411" s="13"/>
      <c r="G411" s="18"/>
      <c r="H411" s="18"/>
      <c r="I411" s="19"/>
      <c r="J411" s="17"/>
      <c r="K411" s="17"/>
      <c r="L411" s="17"/>
      <c r="M411" s="17"/>
      <c r="N411" s="17"/>
      <c r="O411" s="17"/>
      <c r="P411" s="17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14"/>
      <c r="AD411" s="15">
        <f t="shared" si="22"/>
        <v>0</v>
      </c>
    </row>
    <row r="412" spans="2:30" ht="15.75" x14ac:dyDescent="0.25">
      <c r="B412" s="6" t="s">
        <v>27</v>
      </c>
      <c r="C412" s="13"/>
      <c r="D412" s="13"/>
      <c r="E412" s="13"/>
      <c r="F412" s="13"/>
      <c r="G412" s="18"/>
      <c r="H412" s="18"/>
      <c r="I412" s="19"/>
      <c r="J412" s="17"/>
      <c r="K412" s="17"/>
      <c r="L412" s="17"/>
      <c r="M412" s="17"/>
      <c r="N412" s="17"/>
      <c r="O412" s="17"/>
      <c r="P412" s="17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14"/>
      <c r="AD412" s="15">
        <f t="shared" si="22"/>
        <v>0</v>
      </c>
    </row>
    <row r="413" spans="2:30" ht="15.75" x14ac:dyDescent="0.25">
      <c r="B413" s="39" t="s">
        <v>28</v>
      </c>
      <c r="C413" s="13"/>
      <c r="D413" s="13"/>
      <c r="E413" s="13"/>
      <c r="F413" s="13"/>
      <c r="G413" s="18"/>
      <c r="H413" s="18"/>
      <c r="I413" s="19"/>
      <c r="J413" s="17"/>
      <c r="K413" s="17"/>
      <c r="L413" s="17"/>
      <c r="M413" s="17"/>
      <c r="N413" s="17"/>
      <c r="O413" s="17"/>
      <c r="P413" s="17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14"/>
      <c r="AD413" s="15">
        <f t="shared" si="22"/>
        <v>0</v>
      </c>
    </row>
    <row r="414" spans="2:30" ht="15.75" x14ac:dyDescent="0.25">
      <c r="B414" s="3" t="s">
        <v>30</v>
      </c>
      <c r="C414" s="41">
        <f>SUM(C387:C413)</f>
        <v>0</v>
      </c>
      <c r="D414" s="41">
        <f t="shared" ref="D414:AD414" si="23">SUM(D387:D413)</f>
        <v>0</v>
      </c>
      <c r="E414" s="41">
        <f t="shared" si="23"/>
        <v>0</v>
      </c>
      <c r="F414" s="41">
        <f t="shared" si="23"/>
        <v>0</v>
      </c>
      <c r="G414" s="41">
        <f t="shared" si="23"/>
        <v>0</v>
      </c>
      <c r="H414" s="41">
        <f t="shared" si="23"/>
        <v>0</v>
      </c>
      <c r="I414" s="42">
        <f t="shared" si="23"/>
        <v>0</v>
      </c>
      <c r="J414" s="41">
        <f t="shared" si="23"/>
        <v>0</v>
      </c>
      <c r="K414" s="41">
        <f t="shared" si="23"/>
        <v>0</v>
      </c>
      <c r="L414" s="41">
        <f t="shared" si="23"/>
        <v>0</v>
      </c>
      <c r="M414" s="41">
        <f t="shared" si="23"/>
        <v>0</v>
      </c>
      <c r="N414" s="41">
        <f t="shared" si="23"/>
        <v>0</v>
      </c>
      <c r="O414" s="41">
        <f t="shared" si="23"/>
        <v>0</v>
      </c>
      <c r="P414" s="41">
        <f t="shared" si="23"/>
        <v>0</v>
      </c>
      <c r="Q414" s="41">
        <f t="shared" si="23"/>
        <v>0</v>
      </c>
      <c r="R414" s="41">
        <f t="shared" si="23"/>
        <v>0</v>
      </c>
      <c r="S414" s="41">
        <f t="shared" si="23"/>
        <v>0</v>
      </c>
      <c r="T414" s="41">
        <f t="shared" si="23"/>
        <v>0</v>
      </c>
      <c r="U414" s="41">
        <f t="shared" si="23"/>
        <v>0</v>
      </c>
      <c r="V414" s="41">
        <f t="shared" si="23"/>
        <v>0</v>
      </c>
      <c r="W414" s="41">
        <f t="shared" si="23"/>
        <v>0</v>
      </c>
      <c r="X414" s="41">
        <f t="shared" si="23"/>
        <v>0</v>
      </c>
      <c r="Y414" s="41">
        <f t="shared" si="23"/>
        <v>0</v>
      </c>
      <c r="Z414" s="41">
        <f t="shared" si="23"/>
        <v>0</v>
      </c>
      <c r="AA414" s="41">
        <f t="shared" si="23"/>
        <v>0</v>
      </c>
      <c r="AB414" s="41">
        <f t="shared" si="23"/>
        <v>0</v>
      </c>
      <c r="AC414" s="41">
        <f t="shared" si="23"/>
        <v>0</v>
      </c>
      <c r="AD414" s="43">
        <f t="shared" si="23"/>
        <v>0</v>
      </c>
    </row>
    <row r="417" spans="2:30" ht="15.75" x14ac:dyDescent="0.25">
      <c r="B417" s="46" t="s">
        <v>43</v>
      </c>
    </row>
    <row r="419" spans="2:30" ht="16.5" thickBot="1" x14ac:dyDescent="0.3">
      <c r="B419" s="3" t="s">
        <v>1</v>
      </c>
      <c r="C419" s="4" t="s">
        <v>2</v>
      </c>
      <c r="D419" s="4" t="s">
        <v>3</v>
      </c>
      <c r="E419" s="4" t="s">
        <v>4</v>
      </c>
      <c r="F419" s="4" t="s">
        <v>5</v>
      </c>
      <c r="G419" s="4" t="s">
        <v>6</v>
      </c>
      <c r="H419" s="4" t="s">
        <v>7</v>
      </c>
      <c r="I419" s="5" t="s">
        <v>8</v>
      </c>
      <c r="J419" s="4" t="s">
        <v>9</v>
      </c>
      <c r="K419" s="4" t="s">
        <v>10</v>
      </c>
      <c r="L419" s="4" t="s">
        <v>11</v>
      </c>
      <c r="M419" s="4" t="s">
        <v>12</v>
      </c>
      <c r="N419" s="4" t="s">
        <v>13</v>
      </c>
      <c r="O419" s="4" t="s">
        <v>14</v>
      </c>
      <c r="P419" s="4" t="s">
        <v>15</v>
      </c>
      <c r="Q419" s="4" t="s">
        <v>16</v>
      </c>
      <c r="R419" s="4" t="s">
        <v>17</v>
      </c>
      <c r="S419" s="4" t="s">
        <v>18</v>
      </c>
      <c r="T419" s="6" t="s">
        <v>19</v>
      </c>
      <c r="U419" s="6" t="s">
        <v>20</v>
      </c>
      <c r="V419" s="6" t="s">
        <v>21</v>
      </c>
      <c r="W419" s="6" t="s">
        <v>22</v>
      </c>
      <c r="X419" s="6" t="s">
        <v>23</v>
      </c>
      <c r="Y419" s="6" t="s">
        <v>24</v>
      </c>
      <c r="Z419" s="6" t="s">
        <v>25</v>
      </c>
      <c r="AA419" s="6" t="s">
        <v>26</v>
      </c>
      <c r="AB419" s="6" t="s">
        <v>27</v>
      </c>
      <c r="AC419" s="6" t="s">
        <v>28</v>
      </c>
      <c r="AD419" s="3" t="s">
        <v>29</v>
      </c>
    </row>
    <row r="420" spans="2:30" ht="15.75" x14ac:dyDescent="0.25">
      <c r="B420" s="4" t="s">
        <v>2</v>
      </c>
      <c r="C420" s="7"/>
      <c r="D420" s="8"/>
      <c r="E420" s="8"/>
      <c r="F420" s="8"/>
      <c r="G420" s="9"/>
      <c r="H420" s="9"/>
      <c r="I420" s="10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1"/>
      <c r="W420" s="12"/>
      <c r="X420" s="13"/>
      <c r="Y420" s="13"/>
      <c r="Z420" s="13"/>
      <c r="AA420" s="13"/>
      <c r="AB420" s="13"/>
      <c r="AC420" s="14"/>
      <c r="AD420" s="15">
        <f>SUM(C420:AC420)</f>
        <v>0</v>
      </c>
    </row>
    <row r="421" spans="2:30" ht="15.75" x14ac:dyDescent="0.25">
      <c r="B421" s="4" t="s">
        <v>3</v>
      </c>
      <c r="C421" s="16"/>
      <c r="D421" s="17"/>
      <c r="E421" s="17"/>
      <c r="F421" s="17"/>
      <c r="G421" s="18"/>
      <c r="H421" s="18"/>
      <c r="I421" s="19"/>
      <c r="J421" s="18"/>
      <c r="K421" s="18"/>
      <c r="L421" s="18"/>
      <c r="M421" s="18"/>
      <c r="N421" s="18"/>
      <c r="O421" s="20"/>
      <c r="P421" s="18"/>
      <c r="Q421" s="18"/>
      <c r="R421" s="18"/>
      <c r="S421" s="18"/>
      <c r="T421" s="18"/>
      <c r="U421" s="18"/>
      <c r="V421" s="21"/>
      <c r="W421" s="17"/>
      <c r="X421" s="18"/>
      <c r="Y421" s="18"/>
      <c r="Z421" s="18"/>
      <c r="AA421" s="18"/>
      <c r="AB421" s="18"/>
      <c r="AC421" s="22"/>
      <c r="AD421" s="15">
        <f>SUM(C421:AC421)</f>
        <v>0</v>
      </c>
    </row>
    <row r="422" spans="2:30" ht="15.75" x14ac:dyDescent="0.25">
      <c r="B422" s="4" t="s">
        <v>4</v>
      </c>
      <c r="C422" s="16"/>
      <c r="D422" s="17"/>
      <c r="E422" s="17"/>
      <c r="F422" s="17"/>
      <c r="G422" s="18"/>
      <c r="H422" s="18"/>
      <c r="I422" s="19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21"/>
      <c r="W422" s="17"/>
      <c r="X422" s="18"/>
      <c r="Y422" s="18"/>
      <c r="Z422" s="18"/>
      <c r="AA422" s="18"/>
      <c r="AB422" s="18"/>
      <c r="AC422" s="22"/>
      <c r="AD422" s="15">
        <f>SUM(C422:AC422)</f>
        <v>0</v>
      </c>
    </row>
    <row r="423" spans="2:30" ht="15.75" x14ac:dyDescent="0.25">
      <c r="B423" s="4" t="s">
        <v>5</v>
      </c>
      <c r="C423" s="16"/>
      <c r="D423" s="17"/>
      <c r="E423" s="17"/>
      <c r="F423" s="17"/>
      <c r="G423" s="18"/>
      <c r="H423" s="18"/>
      <c r="I423" s="19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21"/>
      <c r="W423" s="17"/>
      <c r="X423" s="18"/>
      <c r="Y423" s="18"/>
      <c r="Z423" s="18"/>
      <c r="AA423" s="18"/>
      <c r="AB423" s="18"/>
      <c r="AC423" s="22"/>
      <c r="AD423" s="15">
        <f t="shared" ref="AD423:AD446" si="24">SUM(C423:AC423)</f>
        <v>0</v>
      </c>
    </row>
    <row r="424" spans="2:30" ht="15.75" x14ac:dyDescent="0.25">
      <c r="B424" s="4" t="s">
        <v>6</v>
      </c>
      <c r="C424" s="16"/>
      <c r="D424" s="17"/>
      <c r="E424" s="17"/>
      <c r="F424" s="17"/>
      <c r="G424" s="18"/>
      <c r="H424" s="18"/>
      <c r="I424" s="19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21"/>
      <c r="W424" s="17"/>
      <c r="X424" s="17"/>
      <c r="Y424" s="17"/>
      <c r="Z424" s="17"/>
      <c r="AA424" s="17"/>
      <c r="AB424" s="17"/>
      <c r="AC424" s="23"/>
      <c r="AD424" s="15">
        <f t="shared" si="24"/>
        <v>0</v>
      </c>
    </row>
    <row r="425" spans="2:30" ht="15.75" x14ac:dyDescent="0.25">
      <c r="B425" s="4" t="s">
        <v>7</v>
      </c>
      <c r="C425" s="16"/>
      <c r="D425" s="17"/>
      <c r="E425" s="17"/>
      <c r="F425" s="17"/>
      <c r="G425" s="18"/>
      <c r="H425" s="18"/>
      <c r="I425" s="19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21"/>
      <c r="W425" s="17"/>
      <c r="X425" s="17"/>
      <c r="Y425" s="17"/>
      <c r="Z425" s="17"/>
      <c r="AA425" s="17"/>
      <c r="AB425" s="17"/>
      <c r="AC425" s="23"/>
      <c r="AD425" s="15">
        <f t="shared" si="24"/>
        <v>0</v>
      </c>
    </row>
    <row r="426" spans="2:30" ht="15.75" x14ac:dyDescent="0.25">
      <c r="B426" s="5" t="s">
        <v>8</v>
      </c>
      <c r="C426" s="24"/>
      <c r="D426" s="25"/>
      <c r="E426" s="25"/>
      <c r="F426" s="25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26"/>
      <c r="W426" s="25"/>
      <c r="X426" s="25"/>
      <c r="Y426" s="25"/>
      <c r="Z426" s="25"/>
      <c r="AA426" s="25"/>
      <c r="AB426" s="25"/>
      <c r="AC426" s="27"/>
      <c r="AD426" s="28">
        <f t="shared" si="24"/>
        <v>0</v>
      </c>
    </row>
    <row r="427" spans="2:30" ht="15.75" x14ac:dyDescent="0.25">
      <c r="B427" s="4" t="s">
        <v>9</v>
      </c>
      <c r="C427" s="16"/>
      <c r="D427" s="17"/>
      <c r="E427" s="17"/>
      <c r="F427" s="17"/>
      <c r="G427" s="18"/>
      <c r="H427" s="18"/>
      <c r="I427" s="19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21"/>
      <c r="W427" s="17"/>
      <c r="X427" s="17"/>
      <c r="Y427" s="17"/>
      <c r="Z427" s="17"/>
      <c r="AA427" s="17"/>
      <c r="AB427" s="17"/>
      <c r="AC427" s="23"/>
      <c r="AD427" s="15">
        <f t="shared" si="24"/>
        <v>0</v>
      </c>
    </row>
    <row r="428" spans="2:30" ht="15.75" x14ac:dyDescent="0.25">
      <c r="B428" s="4" t="s">
        <v>10</v>
      </c>
      <c r="C428" s="16"/>
      <c r="D428" s="17"/>
      <c r="E428" s="17"/>
      <c r="F428" s="17"/>
      <c r="G428" s="18"/>
      <c r="H428" s="18"/>
      <c r="I428" s="19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21"/>
      <c r="W428" s="17"/>
      <c r="X428" s="17"/>
      <c r="Y428" s="17"/>
      <c r="Z428" s="17"/>
      <c r="AA428" s="17"/>
      <c r="AB428" s="17"/>
      <c r="AC428" s="23"/>
      <c r="AD428" s="15">
        <f t="shared" si="24"/>
        <v>0</v>
      </c>
    </row>
    <row r="429" spans="2:30" ht="15.75" x14ac:dyDescent="0.25">
      <c r="B429" s="4" t="s">
        <v>11</v>
      </c>
      <c r="C429" s="16"/>
      <c r="D429" s="17"/>
      <c r="E429" s="17"/>
      <c r="F429" s="17"/>
      <c r="G429" s="18"/>
      <c r="H429" s="18"/>
      <c r="I429" s="19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21"/>
      <c r="W429" s="17"/>
      <c r="X429" s="17"/>
      <c r="Y429" s="17"/>
      <c r="Z429" s="17"/>
      <c r="AA429" s="17"/>
      <c r="AB429" s="17"/>
      <c r="AC429" s="23"/>
      <c r="AD429" s="15">
        <f t="shared" si="24"/>
        <v>0</v>
      </c>
    </row>
    <row r="430" spans="2:30" ht="15.75" x14ac:dyDescent="0.25">
      <c r="B430" s="4" t="s">
        <v>12</v>
      </c>
      <c r="C430" s="16"/>
      <c r="D430" s="17"/>
      <c r="E430" s="17"/>
      <c r="F430" s="17"/>
      <c r="G430" s="18"/>
      <c r="H430" s="18"/>
      <c r="I430" s="19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21"/>
      <c r="W430" s="17"/>
      <c r="X430" s="17"/>
      <c r="Y430" s="17"/>
      <c r="Z430" s="17"/>
      <c r="AA430" s="17"/>
      <c r="AB430" s="17"/>
      <c r="AC430" s="23"/>
      <c r="AD430" s="15">
        <f t="shared" si="24"/>
        <v>0</v>
      </c>
    </row>
    <row r="431" spans="2:30" ht="15.75" x14ac:dyDescent="0.25">
      <c r="B431" s="4" t="s">
        <v>13</v>
      </c>
      <c r="C431" s="16"/>
      <c r="D431" s="17"/>
      <c r="E431" s="17"/>
      <c r="F431" s="17"/>
      <c r="G431" s="18"/>
      <c r="H431" s="18"/>
      <c r="I431" s="19"/>
      <c r="J431" s="18"/>
      <c r="K431" s="18"/>
      <c r="L431" s="18"/>
      <c r="M431" s="18"/>
      <c r="N431" s="18"/>
      <c r="O431" s="18"/>
      <c r="P431" s="18"/>
      <c r="Q431" s="29"/>
      <c r="R431" s="29"/>
      <c r="S431" s="29"/>
      <c r="T431" s="29"/>
      <c r="U431" s="29"/>
      <c r="V431" s="30"/>
      <c r="W431" s="31"/>
      <c r="X431" s="29"/>
      <c r="Y431" s="29"/>
      <c r="Z431" s="29"/>
      <c r="AA431" s="29"/>
      <c r="AB431" s="29"/>
      <c r="AC431" s="14"/>
      <c r="AD431" s="15">
        <f t="shared" si="24"/>
        <v>0</v>
      </c>
    </row>
    <row r="432" spans="2:30" ht="15.75" x14ac:dyDescent="0.25">
      <c r="B432" s="4" t="s">
        <v>14</v>
      </c>
      <c r="C432" s="16"/>
      <c r="D432" s="17"/>
      <c r="E432" s="17"/>
      <c r="F432" s="17"/>
      <c r="G432" s="18"/>
      <c r="H432" s="18"/>
      <c r="I432" s="19"/>
      <c r="J432" s="18"/>
      <c r="K432" s="18"/>
      <c r="L432" s="18"/>
      <c r="M432" s="18"/>
      <c r="N432" s="18"/>
      <c r="O432" s="18"/>
      <c r="P432" s="18"/>
      <c r="Q432" s="29"/>
      <c r="R432" s="29"/>
      <c r="S432" s="29"/>
      <c r="T432" s="29"/>
      <c r="U432" s="29"/>
      <c r="V432" s="30"/>
      <c r="W432" s="31"/>
      <c r="X432" s="29"/>
      <c r="Y432" s="29"/>
      <c r="Z432" s="29"/>
      <c r="AA432" s="29"/>
      <c r="AB432" s="29"/>
      <c r="AC432" s="14"/>
      <c r="AD432" s="15">
        <f t="shared" si="24"/>
        <v>0</v>
      </c>
    </row>
    <row r="433" spans="2:30" ht="15.75" x14ac:dyDescent="0.25">
      <c r="B433" s="4" t="s">
        <v>15</v>
      </c>
      <c r="C433" s="16"/>
      <c r="D433" s="17"/>
      <c r="E433" s="17"/>
      <c r="F433" s="17"/>
      <c r="G433" s="18"/>
      <c r="H433" s="18"/>
      <c r="I433" s="19"/>
      <c r="J433" s="18"/>
      <c r="K433" s="18"/>
      <c r="L433" s="18"/>
      <c r="M433" s="18"/>
      <c r="N433" s="18"/>
      <c r="O433" s="18"/>
      <c r="P433" s="18"/>
      <c r="Q433" s="29"/>
      <c r="R433" s="29"/>
      <c r="S433" s="29"/>
      <c r="T433" s="29"/>
      <c r="U433" s="29"/>
      <c r="V433" s="30"/>
      <c r="W433" s="31"/>
      <c r="X433" s="29"/>
      <c r="Y433" s="29"/>
      <c r="Z433" s="29"/>
      <c r="AA433" s="29"/>
      <c r="AB433" s="29"/>
      <c r="AC433" s="14"/>
      <c r="AD433" s="15">
        <f t="shared" si="24"/>
        <v>0</v>
      </c>
    </row>
    <row r="434" spans="2:30" ht="15.75" x14ac:dyDescent="0.25">
      <c r="B434" s="4" t="s">
        <v>16</v>
      </c>
      <c r="C434" s="16"/>
      <c r="D434" s="17"/>
      <c r="E434" s="17"/>
      <c r="F434" s="17"/>
      <c r="G434" s="18"/>
      <c r="H434" s="18"/>
      <c r="I434" s="19"/>
      <c r="J434" s="18"/>
      <c r="K434" s="18"/>
      <c r="L434" s="18"/>
      <c r="M434" s="18"/>
      <c r="N434" s="18"/>
      <c r="O434" s="18"/>
      <c r="P434" s="18"/>
      <c r="Q434" s="29"/>
      <c r="R434" s="29"/>
      <c r="S434" s="29"/>
      <c r="T434" s="29"/>
      <c r="U434" s="29"/>
      <c r="V434" s="30"/>
      <c r="W434" s="31"/>
      <c r="X434" s="29"/>
      <c r="Y434" s="29"/>
      <c r="Z434" s="29"/>
      <c r="AA434" s="29"/>
      <c r="AB434" s="29"/>
      <c r="AC434" s="14"/>
      <c r="AD434" s="15">
        <f t="shared" si="24"/>
        <v>0</v>
      </c>
    </row>
    <row r="435" spans="2:30" ht="15.75" x14ac:dyDescent="0.25">
      <c r="B435" s="4" t="s">
        <v>17</v>
      </c>
      <c r="C435" s="16"/>
      <c r="D435" s="17"/>
      <c r="E435" s="17"/>
      <c r="F435" s="17"/>
      <c r="G435" s="18"/>
      <c r="H435" s="18"/>
      <c r="I435" s="19"/>
      <c r="J435" s="18"/>
      <c r="K435" s="18"/>
      <c r="L435" s="18"/>
      <c r="M435" s="18"/>
      <c r="N435" s="18"/>
      <c r="O435" s="18"/>
      <c r="P435" s="18"/>
      <c r="Q435" s="29"/>
      <c r="R435" s="29"/>
      <c r="S435" s="29"/>
      <c r="T435" s="29"/>
      <c r="U435" s="29"/>
      <c r="V435" s="30"/>
      <c r="W435" s="31"/>
      <c r="X435" s="29"/>
      <c r="Y435" s="29"/>
      <c r="Z435" s="29"/>
      <c r="AA435" s="29"/>
      <c r="AB435" s="29"/>
      <c r="AC435" s="14"/>
      <c r="AD435" s="15">
        <f t="shared" si="24"/>
        <v>0</v>
      </c>
    </row>
    <row r="436" spans="2:30" ht="16.5" thickBot="1" x14ac:dyDescent="0.3">
      <c r="B436" s="4" t="s">
        <v>18</v>
      </c>
      <c r="C436" s="32"/>
      <c r="D436" s="33"/>
      <c r="E436" s="33"/>
      <c r="F436" s="33"/>
      <c r="G436" s="34"/>
      <c r="H436" s="34"/>
      <c r="I436" s="35"/>
      <c r="J436" s="34"/>
      <c r="K436" s="34"/>
      <c r="L436" s="34"/>
      <c r="M436" s="34"/>
      <c r="N436" s="34"/>
      <c r="O436" s="34"/>
      <c r="P436" s="34"/>
      <c r="Q436" s="36"/>
      <c r="R436" s="36"/>
      <c r="S436" s="36"/>
      <c r="T436" s="36"/>
      <c r="U436" s="36"/>
      <c r="V436" s="37"/>
      <c r="W436" s="31"/>
      <c r="X436" s="29"/>
      <c r="Y436" s="29"/>
      <c r="Z436" s="29"/>
      <c r="AA436" s="29"/>
      <c r="AB436" s="29"/>
      <c r="AC436" s="14"/>
      <c r="AD436" s="15">
        <f t="shared" si="24"/>
        <v>0</v>
      </c>
    </row>
    <row r="437" spans="2:30" ht="15.75" x14ac:dyDescent="0.25">
      <c r="B437" s="6" t="s">
        <v>19</v>
      </c>
      <c r="C437" s="12"/>
      <c r="D437" s="12"/>
      <c r="E437" s="12"/>
      <c r="F437" s="12"/>
      <c r="G437" s="17"/>
      <c r="H437" s="17"/>
      <c r="I437" s="25"/>
      <c r="J437" s="17"/>
      <c r="K437" s="17"/>
      <c r="L437" s="17"/>
      <c r="M437" s="17"/>
      <c r="N437" s="17"/>
      <c r="O437" s="17"/>
      <c r="P437" s="17"/>
      <c r="Q437" s="31"/>
      <c r="R437" s="31"/>
      <c r="S437" s="31"/>
      <c r="T437" s="31"/>
      <c r="U437" s="31"/>
      <c r="V437" s="31"/>
      <c r="W437" s="29"/>
      <c r="X437" s="29"/>
      <c r="Y437" s="29"/>
      <c r="Z437" s="29"/>
      <c r="AA437" s="29"/>
      <c r="AB437" s="29"/>
      <c r="AC437" s="14"/>
      <c r="AD437" s="15">
        <f t="shared" si="24"/>
        <v>0</v>
      </c>
    </row>
    <row r="438" spans="2:30" ht="15.75" x14ac:dyDescent="0.25">
      <c r="B438" s="6" t="s">
        <v>20</v>
      </c>
      <c r="C438" s="13"/>
      <c r="D438" s="13"/>
      <c r="E438" s="13"/>
      <c r="F438" s="13"/>
      <c r="G438" s="18"/>
      <c r="H438" s="18"/>
      <c r="I438" s="19"/>
      <c r="J438" s="17"/>
      <c r="K438" s="17"/>
      <c r="L438" s="17"/>
      <c r="M438" s="17"/>
      <c r="N438" s="17"/>
      <c r="O438" s="17"/>
      <c r="P438" s="17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14"/>
      <c r="AD438" s="15">
        <f t="shared" si="24"/>
        <v>0</v>
      </c>
    </row>
    <row r="439" spans="2:30" ht="15.75" x14ac:dyDescent="0.25">
      <c r="B439" s="6" t="s">
        <v>21</v>
      </c>
      <c r="C439" s="13"/>
      <c r="D439" s="13"/>
      <c r="E439" s="13"/>
      <c r="F439" s="13"/>
      <c r="G439" s="18"/>
      <c r="H439" s="18"/>
      <c r="I439" s="19"/>
      <c r="J439" s="17"/>
      <c r="K439" s="17"/>
      <c r="L439" s="17"/>
      <c r="M439" s="17"/>
      <c r="N439" s="17"/>
      <c r="O439" s="17"/>
      <c r="P439" s="17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14"/>
      <c r="AD439" s="15">
        <f t="shared" si="24"/>
        <v>0</v>
      </c>
    </row>
    <row r="440" spans="2:30" ht="15.75" x14ac:dyDescent="0.25">
      <c r="B440" s="6" t="s">
        <v>22</v>
      </c>
      <c r="C440" s="13"/>
      <c r="D440" s="13"/>
      <c r="E440" s="13"/>
      <c r="F440" s="13"/>
      <c r="G440" s="18"/>
      <c r="H440" s="18"/>
      <c r="I440" s="19"/>
      <c r="J440" s="17"/>
      <c r="K440" s="17"/>
      <c r="L440" s="17"/>
      <c r="M440" s="17"/>
      <c r="N440" s="17"/>
      <c r="O440" s="17"/>
      <c r="P440" s="17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14"/>
      <c r="AD440" s="15">
        <f t="shared" si="24"/>
        <v>0</v>
      </c>
    </row>
    <row r="441" spans="2:30" ht="15.75" x14ac:dyDescent="0.25">
      <c r="B441" s="6" t="s">
        <v>23</v>
      </c>
      <c r="C441" s="13"/>
      <c r="D441" s="13"/>
      <c r="E441" s="13"/>
      <c r="F441" s="13"/>
      <c r="G441" s="18"/>
      <c r="H441" s="18"/>
      <c r="I441" s="19"/>
      <c r="J441" s="17"/>
      <c r="K441" s="17"/>
      <c r="L441" s="17"/>
      <c r="M441" s="17"/>
      <c r="N441" s="17"/>
      <c r="O441" s="17"/>
      <c r="P441" s="17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14"/>
      <c r="AD441" s="15">
        <f t="shared" si="24"/>
        <v>0</v>
      </c>
    </row>
    <row r="442" spans="2:30" ht="15.75" x14ac:dyDescent="0.25">
      <c r="B442" s="6" t="s">
        <v>24</v>
      </c>
      <c r="C442" s="13"/>
      <c r="D442" s="13"/>
      <c r="E442" s="13"/>
      <c r="F442" s="13"/>
      <c r="G442" s="18"/>
      <c r="H442" s="18"/>
      <c r="I442" s="19"/>
      <c r="J442" s="17"/>
      <c r="K442" s="17"/>
      <c r="L442" s="17"/>
      <c r="M442" s="17"/>
      <c r="N442" s="17"/>
      <c r="O442" s="17"/>
      <c r="P442" s="17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14"/>
      <c r="AD442" s="15">
        <f t="shared" si="24"/>
        <v>0</v>
      </c>
    </row>
    <row r="443" spans="2:30" ht="15.75" x14ac:dyDescent="0.25">
      <c r="B443" s="6" t="s">
        <v>25</v>
      </c>
      <c r="C443" s="13"/>
      <c r="D443" s="13"/>
      <c r="E443" s="13"/>
      <c r="F443" s="13"/>
      <c r="G443" s="18"/>
      <c r="H443" s="18"/>
      <c r="I443" s="19"/>
      <c r="J443" s="17"/>
      <c r="K443" s="17"/>
      <c r="L443" s="17"/>
      <c r="M443" s="17"/>
      <c r="N443" s="17"/>
      <c r="O443" s="17"/>
      <c r="P443" s="17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14"/>
      <c r="AD443" s="15">
        <f t="shared" si="24"/>
        <v>0</v>
      </c>
    </row>
    <row r="444" spans="2:30" ht="15.75" x14ac:dyDescent="0.25">
      <c r="B444" s="6" t="s">
        <v>26</v>
      </c>
      <c r="C444" s="13"/>
      <c r="D444" s="13"/>
      <c r="E444" s="13"/>
      <c r="F444" s="13"/>
      <c r="G444" s="18"/>
      <c r="H444" s="18"/>
      <c r="I444" s="19"/>
      <c r="J444" s="17"/>
      <c r="K444" s="17"/>
      <c r="L444" s="17"/>
      <c r="M444" s="17"/>
      <c r="N444" s="17"/>
      <c r="O444" s="17"/>
      <c r="P444" s="17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14"/>
      <c r="AD444" s="15">
        <f t="shared" si="24"/>
        <v>0</v>
      </c>
    </row>
    <row r="445" spans="2:30" ht="15.75" x14ac:dyDescent="0.25">
      <c r="B445" s="6" t="s">
        <v>27</v>
      </c>
      <c r="C445" s="13"/>
      <c r="D445" s="13"/>
      <c r="E445" s="13"/>
      <c r="F445" s="13"/>
      <c r="G445" s="18"/>
      <c r="H445" s="18"/>
      <c r="I445" s="19"/>
      <c r="J445" s="17"/>
      <c r="K445" s="17"/>
      <c r="L445" s="17"/>
      <c r="M445" s="17"/>
      <c r="N445" s="17"/>
      <c r="O445" s="17"/>
      <c r="P445" s="17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14"/>
      <c r="AD445" s="15">
        <f t="shared" si="24"/>
        <v>0</v>
      </c>
    </row>
    <row r="446" spans="2:30" ht="15.75" x14ac:dyDescent="0.25">
      <c r="B446" s="39" t="s">
        <v>28</v>
      </c>
      <c r="C446" s="13"/>
      <c r="D446" s="13"/>
      <c r="E446" s="13"/>
      <c r="F446" s="13"/>
      <c r="G446" s="18"/>
      <c r="H446" s="18"/>
      <c r="I446" s="19"/>
      <c r="J446" s="17"/>
      <c r="K446" s="17"/>
      <c r="L446" s="17"/>
      <c r="M446" s="17"/>
      <c r="N446" s="17"/>
      <c r="O446" s="17"/>
      <c r="P446" s="17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14"/>
      <c r="AD446" s="15">
        <f t="shared" si="24"/>
        <v>0</v>
      </c>
    </row>
    <row r="447" spans="2:30" ht="15.75" x14ac:dyDescent="0.25">
      <c r="B447" s="3" t="s">
        <v>30</v>
      </c>
      <c r="C447" s="41">
        <f>SUM(C420:C446)</f>
        <v>0</v>
      </c>
      <c r="D447" s="41">
        <f t="shared" ref="D447:AD447" si="25">SUM(D420:D446)</f>
        <v>0</v>
      </c>
      <c r="E447" s="41">
        <f t="shared" si="25"/>
        <v>0</v>
      </c>
      <c r="F447" s="41">
        <f t="shared" si="25"/>
        <v>0</v>
      </c>
      <c r="G447" s="41">
        <f t="shared" si="25"/>
        <v>0</v>
      </c>
      <c r="H447" s="41">
        <f t="shared" si="25"/>
        <v>0</v>
      </c>
      <c r="I447" s="42">
        <f t="shared" si="25"/>
        <v>0</v>
      </c>
      <c r="J447" s="41">
        <f t="shared" si="25"/>
        <v>0</v>
      </c>
      <c r="K447" s="41">
        <f t="shared" si="25"/>
        <v>0</v>
      </c>
      <c r="L447" s="41">
        <f t="shared" si="25"/>
        <v>0</v>
      </c>
      <c r="M447" s="41">
        <f t="shared" si="25"/>
        <v>0</v>
      </c>
      <c r="N447" s="41">
        <f t="shared" si="25"/>
        <v>0</v>
      </c>
      <c r="O447" s="41">
        <f t="shared" si="25"/>
        <v>0</v>
      </c>
      <c r="P447" s="41">
        <f t="shared" si="25"/>
        <v>0</v>
      </c>
      <c r="Q447" s="41">
        <f t="shared" si="25"/>
        <v>0</v>
      </c>
      <c r="R447" s="41">
        <f t="shared" si="25"/>
        <v>0</v>
      </c>
      <c r="S447" s="41">
        <f t="shared" si="25"/>
        <v>0</v>
      </c>
      <c r="T447" s="41">
        <f t="shared" si="25"/>
        <v>0</v>
      </c>
      <c r="U447" s="41">
        <f t="shared" si="25"/>
        <v>0</v>
      </c>
      <c r="V447" s="41">
        <f t="shared" si="25"/>
        <v>0</v>
      </c>
      <c r="W447" s="41">
        <f t="shared" si="25"/>
        <v>0</v>
      </c>
      <c r="X447" s="41">
        <f t="shared" si="25"/>
        <v>0</v>
      </c>
      <c r="Y447" s="41">
        <f t="shared" si="25"/>
        <v>0</v>
      </c>
      <c r="Z447" s="41">
        <f t="shared" si="25"/>
        <v>0</v>
      </c>
      <c r="AA447" s="41">
        <f t="shared" si="25"/>
        <v>0</v>
      </c>
      <c r="AB447" s="41">
        <f t="shared" si="25"/>
        <v>0</v>
      </c>
      <c r="AC447" s="41">
        <f t="shared" si="25"/>
        <v>0</v>
      </c>
      <c r="AD447" s="43">
        <f t="shared" si="25"/>
        <v>0</v>
      </c>
    </row>
    <row r="452" spans="1:30" ht="15.75" x14ac:dyDescent="0.25">
      <c r="B452" s="46" t="s">
        <v>29</v>
      </c>
      <c r="D452" s="47">
        <f>+SUM(C455:U473)</f>
        <v>1577953</v>
      </c>
      <c r="E452" s="48">
        <f>+D452*0.03</f>
        <v>47338.59</v>
      </c>
      <c r="F452" s="48">
        <f>+E452/12</f>
        <v>3944.8824999999997</v>
      </c>
      <c r="G452" s="48">
        <f>+F452/4</f>
        <v>986.22062499999993</v>
      </c>
    </row>
    <row r="454" spans="1:30" ht="16.5" thickBot="1" x14ac:dyDescent="0.3">
      <c r="B454" s="3" t="s">
        <v>1</v>
      </c>
      <c r="C454" s="4" t="s">
        <v>2</v>
      </c>
      <c r="D454" s="4" t="s">
        <v>3</v>
      </c>
      <c r="E454" s="4" t="s">
        <v>4</v>
      </c>
      <c r="F454" s="4" t="s">
        <v>5</v>
      </c>
      <c r="G454" s="4" t="s">
        <v>6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9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6" t="s">
        <v>19</v>
      </c>
      <c r="U454" s="6" t="s">
        <v>20</v>
      </c>
      <c r="V454" s="6" t="s">
        <v>21</v>
      </c>
      <c r="W454" s="6" t="s">
        <v>22</v>
      </c>
      <c r="X454" s="6" t="s">
        <v>23</v>
      </c>
      <c r="Y454" s="6" t="s">
        <v>24</v>
      </c>
      <c r="Z454" s="6" t="s">
        <v>25</v>
      </c>
      <c r="AA454" s="6" t="s">
        <v>26</v>
      </c>
      <c r="AB454" s="6" t="s">
        <v>27</v>
      </c>
      <c r="AC454" s="6" t="s">
        <v>28</v>
      </c>
      <c r="AD454" s="3" t="s">
        <v>29</v>
      </c>
    </row>
    <row r="455" spans="1:30" ht="16.5" thickBot="1" x14ac:dyDescent="0.3">
      <c r="A455" t="s">
        <v>2</v>
      </c>
      <c r="B455" s="4" t="s">
        <v>2</v>
      </c>
      <c r="C455" s="7">
        <f>+C420+C387+C352+C317+C284+C250+C217+C183+C149+C114+C79+C43</f>
        <v>742</v>
      </c>
      <c r="D455" s="7">
        <f t="shared" ref="D455:AC455" si="26">+D420+D387+D352+D317+D284+D250+D217+D183+D149+D114+D79+D43</f>
        <v>823</v>
      </c>
      <c r="E455" s="7">
        <f t="shared" si="26"/>
        <v>1862</v>
      </c>
      <c r="F455" s="7">
        <f t="shared" si="26"/>
        <v>1687</v>
      </c>
      <c r="G455" s="7">
        <f t="shared" si="26"/>
        <v>1962</v>
      </c>
      <c r="H455" s="7">
        <f t="shared" si="26"/>
        <v>25632</v>
      </c>
      <c r="I455" s="7">
        <f t="shared" si="26"/>
        <v>3779</v>
      </c>
      <c r="J455" s="7">
        <f t="shared" si="26"/>
        <v>2654</v>
      </c>
      <c r="K455" s="7">
        <f t="shared" si="26"/>
        <v>4122</v>
      </c>
      <c r="L455" s="7">
        <f t="shared" si="26"/>
        <v>3045</v>
      </c>
      <c r="M455" s="7">
        <f t="shared" si="26"/>
        <v>2888</v>
      </c>
      <c r="N455" s="7">
        <f t="shared" si="26"/>
        <v>2070</v>
      </c>
      <c r="O455" s="7">
        <f t="shared" si="26"/>
        <v>3379</v>
      </c>
      <c r="P455" s="7">
        <f t="shared" si="26"/>
        <v>2124</v>
      </c>
      <c r="Q455" s="7">
        <f t="shared" si="26"/>
        <v>782</v>
      </c>
      <c r="R455" s="7">
        <f t="shared" si="26"/>
        <v>515</v>
      </c>
      <c r="S455" s="7">
        <f t="shared" si="26"/>
        <v>1214</v>
      </c>
      <c r="T455" s="7">
        <f t="shared" si="26"/>
        <v>1288</v>
      </c>
      <c r="U455" s="7">
        <f t="shared" si="26"/>
        <v>839</v>
      </c>
      <c r="V455" s="50">
        <f t="shared" si="26"/>
        <v>629</v>
      </c>
      <c r="W455" s="50">
        <f t="shared" si="26"/>
        <v>532</v>
      </c>
      <c r="X455" s="50">
        <f t="shared" si="26"/>
        <v>928</v>
      </c>
      <c r="Y455" s="50">
        <f t="shared" si="26"/>
        <v>456</v>
      </c>
      <c r="Z455" s="50">
        <f t="shared" si="26"/>
        <v>462</v>
      </c>
      <c r="AA455" s="50">
        <f t="shared" si="26"/>
        <v>501</v>
      </c>
      <c r="AB455" s="50">
        <f t="shared" si="26"/>
        <v>1152</v>
      </c>
      <c r="AC455" s="50">
        <f t="shared" si="26"/>
        <v>0</v>
      </c>
      <c r="AD455" s="15">
        <f>SUM(C455:AC455)</f>
        <v>66067</v>
      </c>
    </row>
    <row r="456" spans="1:30" ht="16.5" thickBot="1" x14ac:dyDescent="0.3">
      <c r="A456" t="s">
        <v>44</v>
      </c>
      <c r="B456" s="4" t="s">
        <v>3</v>
      </c>
      <c r="C456" s="7">
        <f t="shared" ref="C456:AC465" si="27">+C421+C388+C353+C318+C285+C251+C218+C184+C150+C115+C80+C44</f>
        <v>2145</v>
      </c>
      <c r="D456" s="7">
        <f t="shared" si="27"/>
        <v>394</v>
      </c>
      <c r="E456" s="7">
        <f t="shared" si="27"/>
        <v>264</v>
      </c>
      <c r="F456" s="7">
        <f t="shared" si="27"/>
        <v>430</v>
      </c>
      <c r="G456" s="7">
        <f t="shared" si="27"/>
        <v>951</v>
      </c>
      <c r="H456" s="7">
        <f t="shared" si="27"/>
        <v>11475</v>
      </c>
      <c r="I456" s="7">
        <f t="shared" si="27"/>
        <v>2757</v>
      </c>
      <c r="J456" s="7">
        <f t="shared" si="27"/>
        <v>1723</v>
      </c>
      <c r="K456" s="7">
        <f t="shared" si="27"/>
        <v>3509</v>
      </c>
      <c r="L456" s="7">
        <f t="shared" si="27"/>
        <v>2735</v>
      </c>
      <c r="M456" s="7">
        <f t="shared" si="27"/>
        <v>2016</v>
      </c>
      <c r="N456" s="7">
        <f t="shared" si="27"/>
        <v>1696</v>
      </c>
      <c r="O456" s="7">
        <f t="shared" si="27"/>
        <v>2635</v>
      </c>
      <c r="P456" s="7">
        <f t="shared" si="27"/>
        <v>2124</v>
      </c>
      <c r="Q456" s="7">
        <f t="shared" si="27"/>
        <v>1144</v>
      </c>
      <c r="R456" s="7">
        <f t="shared" si="27"/>
        <v>539</v>
      </c>
      <c r="S456" s="7">
        <f t="shared" si="27"/>
        <v>1302</v>
      </c>
      <c r="T456" s="7">
        <f t="shared" si="27"/>
        <v>1947</v>
      </c>
      <c r="U456" s="7">
        <f t="shared" si="27"/>
        <v>1829</v>
      </c>
      <c r="V456" s="50">
        <f t="shared" si="27"/>
        <v>840</v>
      </c>
      <c r="W456" s="50">
        <f t="shared" si="27"/>
        <v>823</v>
      </c>
      <c r="X456" s="50">
        <f t="shared" si="27"/>
        <v>801</v>
      </c>
      <c r="Y456" s="50">
        <f t="shared" si="27"/>
        <v>518</v>
      </c>
      <c r="Z456" s="50">
        <f t="shared" si="27"/>
        <v>773</v>
      </c>
      <c r="AA456" s="50">
        <f t="shared" si="27"/>
        <v>774</v>
      </c>
      <c r="AB456" s="50">
        <f t="shared" si="27"/>
        <v>1344</v>
      </c>
      <c r="AC456" s="50">
        <f t="shared" si="27"/>
        <v>0</v>
      </c>
      <c r="AD456" s="15">
        <f>SUM(C456:AC456)</f>
        <v>47488</v>
      </c>
    </row>
    <row r="457" spans="1:30" ht="16.5" thickBot="1" x14ac:dyDescent="0.3">
      <c r="A457" t="s">
        <v>4</v>
      </c>
      <c r="B457" s="4" t="s">
        <v>4</v>
      </c>
      <c r="C457" s="7">
        <f t="shared" si="27"/>
        <v>3277</v>
      </c>
      <c r="D457" s="7">
        <f t="shared" si="27"/>
        <v>293</v>
      </c>
      <c r="E457" s="7">
        <f t="shared" si="27"/>
        <v>428</v>
      </c>
      <c r="F457" s="7">
        <f t="shared" si="27"/>
        <v>458</v>
      </c>
      <c r="G457" s="7">
        <f t="shared" si="27"/>
        <v>1003</v>
      </c>
      <c r="H457" s="7">
        <f t="shared" si="27"/>
        <v>13962</v>
      </c>
      <c r="I457" s="7">
        <f t="shared" si="27"/>
        <v>2946</v>
      </c>
      <c r="J457" s="7">
        <f t="shared" si="27"/>
        <v>2614</v>
      </c>
      <c r="K457" s="7">
        <f t="shared" si="27"/>
        <v>2151</v>
      </c>
      <c r="L457" s="7">
        <f t="shared" si="27"/>
        <v>1949</v>
      </c>
      <c r="M457" s="7">
        <f t="shared" si="27"/>
        <v>2400</v>
      </c>
      <c r="N457" s="7">
        <f t="shared" si="27"/>
        <v>1208</v>
      </c>
      <c r="O457" s="7">
        <f t="shared" si="27"/>
        <v>2440</v>
      </c>
      <c r="P457" s="7">
        <f t="shared" si="27"/>
        <v>2190</v>
      </c>
      <c r="Q457" s="7">
        <f t="shared" si="27"/>
        <v>709</v>
      </c>
      <c r="R457" s="7">
        <f t="shared" si="27"/>
        <v>284</v>
      </c>
      <c r="S457" s="7">
        <f t="shared" si="27"/>
        <v>582</v>
      </c>
      <c r="T457" s="7">
        <f t="shared" si="27"/>
        <v>835</v>
      </c>
      <c r="U457" s="7">
        <f t="shared" si="27"/>
        <v>1027</v>
      </c>
      <c r="V457" s="50">
        <f t="shared" si="27"/>
        <v>485</v>
      </c>
      <c r="W457" s="50">
        <f t="shared" si="27"/>
        <v>520</v>
      </c>
      <c r="X457" s="50">
        <f t="shared" si="27"/>
        <v>553</v>
      </c>
      <c r="Y457" s="50">
        <f t="shared" si="27"/>
        <v>265</v>
      </c>
      <c r="Z457" s="50">
        <f t="shared" si="27"/>
        <v>243</v>
      </c>
      <c r="AA457" s="50">
        <f t="shared" si="27"/>
        <v>591</v>
      </c>
      <c r="AB457" s="50">
        <f t="shared" si="27"/>
        <v>1131</v>
      </c>
      <c r="AC457" s="50">
        <f t="shared" si="27"/>
        <v>0</v>
      </c>
      <c r="AD457" s="15">
        <f>SUM(C457:AC457)</f>
        <v>44544</v>
      </c>
    </row>
    <row r="458" spans="1:30" ht="16.5" thickBot="1" x14ac:dyDescent="0.3">
      <c r="A458" t="s">
        <v>5</v>
      </c>
      <c r="B458" s="4" t="s">
        <v>5</v>
      </c>
      <c r="C458" s="7">
        <f t="shared" si="27"/>
        <v>4025</v>
      </c>
      <c r="D458" s="7">
        <f t="shared" si="27"/>
        <v>303</v>
      </c>
      <c r="E458" s="7">
        <f t="shared" si="27"/>
        <v>463</v>
      </c>
      <c r="F458" s="7">
        <f t="shared" si="27"/>
        <v>430</v>
      </c>
      <c r="G458" s="7">
        <f t="shared" si="27"/>
        <v>246</v>
      </c>
      <c r="H458" s="7">
        <f t="shared" si="27"/>
        <v>5976</v>
      </c>
      <c r="I458" s="7">
        <f t="shared" si="27"/>
        <v>1616</v>
      </c>
      <c r="J458" s="7">
        <f t="shared" si="27"/>
        <v>1277</v>
      </c>
      <c r="K458" s="7">
        <f t="shared" si="27"/>
        <v>1843</v>
      </c>
      <c r="L458" s="7">
        <f t="shared" si="27"/>
        <v>1565</v>
      </c>
      <c r="M458" s="7">
        <f t="shared" si="27"/>
        <v>2270</v>
      </c>
      <c r="N458" s="7">
        <f t="shared" si="27"/>
        <v>828</v>
      </c>
      <c r="O458" s="7">
        <f t="shared" si="27"/>
        <v>1705</v>
      </c>
      <c r="P458" s="7">
        <f t="shared" si="27"/>
        <v>1325</v>
      </c>
      <c r="Q458" s="7">
        <f t="shared" si="27"/>
        <v>588</v>
      </c>
      <c r="R458" s="7">
        <f t="shared" si="27"/>
        <v>362</v>
      </c>
      <c r="S458" s="7">
        <f t="shared" si="27"/>
        <v>1208</v>
      </c>
      <c r="T458" s="7">
        <f t="shared" si="27"/>
        <v>615</v>
      </c>
      <c r="U458" s="7">
        <f t="shared" si="27"/>
        <v>820</v>
      </c>
      <c r="V458" s="50">
        <f t="shared" si="27"/>
        <v>718</v>
      </c>
      <c r="W458" s="50">
        <f t="shared" si="27"/>
        <v>495</v>
      </c>
      <c r="X458" s="50">
        <f t="shared" si="27"/>
        <v>835</v>
      </c>
      <c r="Y458" s="50">
        <f t="shared" si="27"/>
        <v>413</v>
      </c>
      <c r="Z458" s="50">
        <f t="shared" si="27"/>
        <v>343</v>
      </c>
      <c r="AA458" s="50">
        <f t="shared" si="27"/>
        <v>386</v>
      </c>
      <c r="AB458" s="50">
        <f t="shared" si="27"/>
        <v>884</v>
      </c>
      <c r="AC458" s="50">
        <f t="shared" si="27"/>
        <v>0</v>
      </c>
      <c r="AD458" s="15">
        <f t="shared" ref="AD458:AD481" si="28">SUM(C458:AC458)</f>
        <v>31539</v>
      </c>
    </row>
    <row r="459" spans="1:30" ht="16.5" thickBot="1" x14ac:dyDescent="0.3">
      <c r="A459" t="s">
        <v>6</v>
      </c>
      <c r="B459" s="4" t="s">
        <v>6</v>
      </c>
      <c r="C459" s="7">
        <f t="shared" si="27"/>
        <v>4536</v>
      </c>
      <c r="D459" s="7">
        <f t="shared" si="27"/>
        <v>779</v>
      </c>
      <c r="E459" s="7">
        <f t="shared" si="27"/>
        <v>1335</v>
      </c>
      <c r="F459" s="7">
        <f t="shared" si="27"/>
        <v>244</v>
      </c>
      <c r="G459" s="7">
        <f t="shared" si="27"/>
        <v>879</v>
      </c>
      <c r="H459" s="7">
        <f t="shared" si="27"/>
        <v>9472</v>
      </c>
      <c r="I459" s="7">
        <f t="shared" si="27"/>
        <v>2660</v>
      </c>
      <c r="J459" s="7">
        <f t="shared" si="27"/>
        <v>1980</v>
      </c>
      <c r="K459" s="7">
        <f t="shared" si="27"/>
        <v>3215</v>
      </c>
      <c r="L459" s="7">
        <f t="shared" si="27"/>
        <v>2506</v>
      </c>
      <c r="M459" s="7">
        <f t="shared" si="27"/>
        <v>3043</v>
      </c>
      <c r="N459" s="7">
        <f t="shared" si="27"/>
        <v>1496</v>
      </c>
      <c r="O459" s="7">
        <f t="shared" si="27"/>
        <v>3767</v>
      </c>
      <c r="P459" s="7">
        <f t="shared" si="27"/>
        <v>1823</v>
      </c>
      <c r="Q459" s="7">
        <f t="shared" si="27"/>
        <v>1097</v>
      </c>
      <c r="R459" s="7">
        <f t="shared" si="27"/>
        <v>412</v>
      </c>
      <c r="S459" s="7">
        <f t="shared" si="27"/>
        <v>1787</v>
      </c>
      <c r="T459" s="7">
        <f t="shared" si="27"/>
        <v>991</v>
      </c>
      <c r="U459" s="7">
        <f t="shared" si="27"/>
        <v>1354</v>
      </c>
      <c r="V459" s="50">
        <f t="shared" si="27"/>
        <v>644</v>
      </c>
      <c r="W459" s="50">
        <f t="shared" si="27"/>
        <v>368</v>
      </c>
      <c r="X459" s="50">
        <f t="shared" si="27"/>
        <v>948</v>
      </c>
      <c r="Y459" s="50">
        <f t="shared" si="27"/>
        <v>364</v>
      </c>
      <c r="Z459" s="50">
        <f t="shared" si="27"/>
        <v>640</v>
      </c>
      <c r="AA459" s="50">
        <f t="shared" si="27"/>
        <v>629</v>
      </c>
      <c r="AB459" s="50">
        <f t="shared" si="27"/>
        <v>1475</v>
      </c>
      <c r="AC459" s="50">
        <f t="shared" si="27"/>
        <v>0</v>
      </c>
      <c r="AD459" s="15">
        <f t="shared" si="28"/>
        <v>48444</v>
      </c>
    </row>
    <row r="460" spans="1:30" ht="16.5" thickBot="1" x14ac:dyDescent="0.3">
      <c r="A460" t="s">
        <v>7</v>
      </c>
      <c r="B460" s="4" t="s">
        <v>7</v>
      </c>
      <c r="C460" s="7">
        <f t="shared" si="27"/>
        <v>36855</v>
      </c>
      <c r="D460" s="7">
        <f t="shared" si="27"/>
        <v>11885</v>
      </c>
      <c r="E460" s="7">
        <f t="shared" si="27"/>
        <v>14178</v>
      </c>
      <c r="F460" s="7">
        <f t="shared" si="27"/>
        <v>5595</v>
      </c>
      <c r="G460" s="7">
        <f t="shared" si="27"/>
        <v>9828</v>
      </c>
      <c r="H460" s="7">
        <f t="shared" si="27"/>
        <v>19645</v>
      </c>
      <c r="I460" s="7">
        <f t="shared" si="27"/>
        <v>30870</v>
      </c>
      <c r="J460" s="7">
        <f t="shared" si="27"/>
        <v>2090</v>
      </c>
      <c r="K460" s="7">
        <f t="shared" si="27"/>
        <v>5864</v>
      </c>
      <c r="L460" s="7">
        <f t="shared" si="27"/>
        <v>13317</v>
      </c>
      <c r="M460" s="7">
        <f t="shared" si="27"/>
        <v>9618</v>
      </c>
      <c r="N460" s="7">
        <f t="shared" si="27"/>
        <v>6624</v>
      </c>
      <c r="O460" s="7">
        <f t="shared" si="27"/>
        <v>6764</v>
      </c>
      <c r="P460" s="7">
        <f t="shared" si="27"/>
        <v>10563</v>
      </c>
      <c r="Q460" s="7">
        <f t="shared" si="27"/>
        <v>14883</v>
      </c>
      <c r="R460" s="7">
        <f t="shared" si="27"/>
        <v>14563</v>
      </c>
      <c r="S460" s="7">
        <f t="shared" si="27"/>
        <v>65134</v>
      </c>
      <c r="T460" s="7">
        <f t="shared" si="27"/>
        <v>30774</v>
      </c>
      <c r="U460" s="7">
        <f t="shared" si="27"/>
        <v>122556</v>
      </c>
      <c r="V460" s="50">
        <f t="shared" si="27"/>
        <v>88975</v>
      </c>
      <c r="W460" s="50">
        <f t="shared" si="27"/>
        <v>56886</v>
      </c>
      <c r="X460" s="50">
        <f t="shared" si="27"/>
        <v>154965</v>
      </c>
      <c r="Y460" s="50">
        <f t="shared" si="27"/>
        <v>86259</v>
      </c>
      <c r="Z460" s="50">
        <f t="shared" si="27"/>
        <v>133530</v>
      </c>
      <c r="AA460" s="50">
        <f t="shared" si="27"/>
        <v>119364</v>
      </c>
      <c r="AB460" s="50">
        <f t="shared" si="27"/>
        <v>138016</v>
      </c>
      <c r="AC460" s="50">
        <f t="shared" si="27"/>
        <v>0</v>
      </c>
      <c r="AD460" s="15">
        <f t="shared" si="28"/>
        <v>1209601</v>
      </c>
    </row>
    <row r="461" spans="1:30" ht="16.5" thickBot="1" x14ac:dyDescent="0.3">
      <c r="A461" t="s">
        <v>8</v>
      </c>
      <c r="B461" s="4" t="s">
        <v>8</v>
      </c>
      <c r="C461" s="7">
        <f t="shared" si="27"/>
        <v>7473</v>
      </c>
      <c r="D461" s="7">
        <f t="shared" si="27"/>
        <v>4108</v>
      </c>
      <c r="E461" s="7">
        <f t="shared" si="27"/>
        <v>4423</v>
      </c>
      <c r="F461" s="7">
        <f t="shared" si="27"/>
        <v>2577</v>
      </c>
      <c r="G461" s="7">
        <f t="shared" si="27"/>
        <v>3663</v>
      </c>
      <c r="H461" s="7">
        <f t="shared" si="27"/>
        <v>22402</v>
      </c>
      <c r="I461" s="7">
        <f t="shared" si="27"/>
        <v>1692</v>
      </c>
      <c r="J461" s="7">
        <f t="shared" si="27"/>
        <v>916</v>
      </c>
      <c r="K461" s="7">
        <f t="shared" si="27"/>
        <v>1494</v>
      </c>
      <c r="L461" s="7">
        <f t="shared" si="27"/>
        <v>2935</v>
      </c>
      <c r="M461" s="7">
        <f t="shared" si="27"/>
        <v>2620</v>
      </c>
      <c r="N461" s="7">
        <f t="shared" si="27"/>
        <v>2307</v>
      </c>
      <c r="O461" s="7">
        <f t="shared" si="27"/>
        <v>2467</v>
      </c>
      <c r="P461" s="7">
        <f t="shared" si="27"/>
        <v>1913</v>
      </c>
      <c r="Q461" s="7">
        <f t="shared" si="27"/>
        <v>2994</v>
      </c>
      <c r="R461" s="7">
        <f t="shared" si="27"/>
        <v>2264</v>
      </c>
      <c r="S461" s="7">
        <f t="shared" si="27"/>
        <v>11282</v>
      </c>
      <c r="T461" s="7">
        <f t="shared" si="27"/>
        <v>4617</v>
      </c>
      <c r="U461" s="7">
        <f t="shared" si="27"/>
        <v>12882</v>
      </c>
      <c r="V461" s="50">
        <f t="shared" si="27"/>
        <v>9305</v>
      </c>
      <c r="W461" s="50">
        <f t="shared" si="27"/>
        <v>4569</v>
      </c>
      <c r="X461" s="50">
        <f t="shared" si="27"/>
        <v>11305</v>
      </c>
      <c r="Y461" s="50">
        <f t="shared" si="27"/>
        <v>6294</v>
      </c>
      <c r="Z461" s="50">
        <f t="shared" si="27"/>
        <v>9556</v>
      </c>
      <c r="AA461" s="50">
        <f t="shared" si="27"/>
        <v>8813</v>
      </c>
      <c r="AB461" s="50">
        <f t="shared" si="27"/>
        <v>10358</v>
      </c>
      <c r="AC461" s="50">
        <f t="shared" si="27"/>
        <v>0</v>
      </c>
      <c r="AD461" s="15">
        <f t="shared" si="28"/>
        <v>155229</v>
      </c>
    </row>
    <row r="462" spans="1:30" ht="16.5" thickBot="1" x14ac:dyDescent="0.3">
      <c r="A462" t="s">
        <v>9</v>
      </c>
      <c r="B462" s="4" t="s">
        <v>9</v>
      </c>
      <c r="C462" s="7">
        <f t="shared" si="27"/>
        <v>3277</v>
      </c>
      <c r="D462" s="7">
        <f t="shared" si="27"/>
        <v>1780</v>
      </c>
      <c r="E462" s="7">
        <f t="shared" si="27"/>
        <v>2040</v>
      </c>
      <c r="F462" s="7">
        <f t="shared" si="27"/>
        <v>1451</v>
      </c>
      <c r="G462" s="7">
        <f t="shared" si="27"/>
        <v>1752</v>
      </c>
      <c r="H462" s="7">
        <f t="shared" si="27"/>
        <v>2556</v>
      </c>
      <c r="I462" s="7">
        <f t="shared" si="27"/>
        <v>832</v>
      </c>
      <c r="J462" s="7">
        <f t="shared" si="27"/>
        <v>277</v>
      </c>
      <c r="K462" s="7">
        <f t="shared" si="27"/>
        <v>636</v>
      </c>
      <c r="L462" s="7">
        <f t="shared" si="27"/>
        <v>1729</v>
      </c>
      <c r="M462" s="7">
        <f t="shared" si="27"/>
        <v>2017</v>
      </c>
      <c r="N462" s="7">
        <f t="shared" si="27"/>
        <v>1659</v>
      </c>
      <c r="O462" s="7">
        <f t="shared" si="27"/>
        <v>2110</v>
      </c>
      <c r="P462" s="7">
        <f t="shared" si="27"/>
        <v>423</v>
      </c>
      <c r="Q462" s="7">
        <f t="shared" si="27"/>
        <v>450</v>
      </c>
      <c r="R462" s="7">
        <f t="shared" si="27"/>
        <v>354</v>
      </c>
      <c r="S462" s="7">
        <f t="shared" si="27"/>
        <v>1318</v>
      </c>
      <c r="T462" s="7">
        <f t="shared" si="27"/>
        <v>333</v>
      </c>
      <c r="U462" s="7">
        <f t="shared" si="27"/>
        <v>1012</v>
      </c>
      <c r="V462" s="50">
        <f t="shared" si="27"/>
        <v>733</v>
      </c>
      <c r="W462" s="50">
        <f t="shared" si="27"/>
        <v>703</v>
      </c>
      <c r="X462" s="50">
        <f t="shared" si="27"/>
        <v>1273</v>
      </c>
      <c r="Y462" s="50">
        <f t="shared" si="27"/>
        <v>486</v>
      </c>
      <c r="Z462" s="50">
        <f t="shared" si="27"/>
        <v>1305</v>
      </c>
      <c r="AA462" s="50">
        <f t="shared" si="27"/>
        <v>778</v>
      </c>
      <c r="AB462" s="50">
        <f t="shared" si="27"/>
        <v>1152</v>
      </c>
      <c r="AC462" s="50">
        <f t="shared" si="27"/>
        <v>0</v>
      </c>
      <c r="AD462" s="15">
        <f t="shared" si="28"/>
        <v>32436</v>
      </c>
    </row>
    <row r="463" spans="1:30" ht="16.5" thickBot="1" x14ac:dyDescent="0.3">
      <c r="A463" t="s">
        <v>10</v>
      </c>
      <c r="B463" s="4" t="s">
        <v>10</v>
      </c>
      <c r="C463" s="7">
        <f t="shared" si="27"/>
        <v>4100</v>
      </c>
      <c r="D463" s="7">
        <f t="shared" si="27"/>
        <v>3133</v>
      </c>
      <c r="E463" s="7">
        <f t="shared" si="27"/>
        <v>2085</v>
      </c>
      <c r="F463" s="7">
        <f t="shared" si="27"/>
        <v>1801</v>
      </c>
      <c r="G463" s="7">
        <f t="shared" si="27"/>
        <v>3269</v>
      </c>
      <c r="H463" s="7">
        <f t="shared" si="27"/>
        <v>6719</v>
      </c>
      <c r="I463" s="7">
        <f t="shared" si="27"/>
        <v>1353</v>
      </c>
      <c r="J463" s="7">
        <f t="shared" si="27"/>
        <v>815</v>
      </c>
      <c r="K463" s="7">
        <f t="shared" si="27"/>
        <v>567</v>
      </c>
      <c r="L463" s="7">
        <f t="shared" si="27"/>
        <v>1391</v>
      </c>
      <c r="M463" s="7">
        <f t="shared" si="27"/>
        <v>2691</v>
      </c>
      <c r="N463" s="7">
        <f t="shared" si="27"/>
        <v>1101</v>
      </c>
      <c r="O463" s="7">
        <f t="shared" si="27"/>
        <v>2037</v>
      </c>
      <c r="P463" s="7">
        <f t="shared" si="27"/>
        <v>777</v>
      </c>
      <c r="Q463" s="7">
        <f t="shared" si="27"/>
        <v>1086</v>
      </c>
      <c r="R463" s="7">
        <f t="shared" si="27"/>
        <v>717</v>
      </c>
      <c r="S463" s="7">
        <f t="shared" si="27"/>
        <v>2413</v>
      </c>
      <c r="T463" s="7">
        <f t="shared" si="27"/>
        <v>940</v>
      </c>
      <c r="U463" s="7">
        <f t="shared" si="27"/>
        <v>1680</v>
      </c>
      <c r="V463" s="50">
        <f t="shared" si="27"/>
        <v>1771</v>
      </c>
      <c r="W463" s="50">
        <f t="shared" si="27"/>
        <v>1096</v>
      </c>
      <c r="X463" s="50">
        <f t="shared" si="27"/>
        <v>1697</v>
      </c>
      <c r="Y463" s="50">
        <f t="shared" si="27"/>
        <v>1252</v>
      </c>
      <c r="Z463" s="50">
        <f t="shared" si="27"/>
        <v>1826</v>
      </c>
      <c r="AA463" s="50">
        <f t="shared" si="27"/>
        <v>1857</v>
      </c>
      <c r="AB463" s="50">
        <f t="shared" si="27"/>
        <v>2618</v>
      </c>
      <c r="AC463" s="50">
        <f t="shared" si="27"/>
        <v>0</v>
      </c>
      <c r="AD463" s="15">
        <f t="shared" si="28"/>
        <v>50792</v>
      </c>
    </row>
    <row r="464" spans="1:30" ht="16.5" thickBot="1" x14ac:dyDescent="0.3">
      <c r="A464" t="s">
        <v>11</v>
      </c>
      <c r="B464" s="4" t="s">
        <v>11</v>
      </c>
      <c r="C464" s="7">
        <f t="shared" si="27"/>
        <v>3249</v>
      </c>
      <c r="D464" s="7">
        <f t="shared" si="27"/>
        <v>2985</v>
      </c>
      <c r="E464" s="7">
        <f t="shared" si="27"/>
        <v>2375</v>
      </c>
      <c r="F464" s="7">
        <f t="shared" si="27"/>
        <v>1868</v>
      </c>
      <c r="G464" s="7">
        <f t="shared" si="27"/>
        <v>2912</v>
      </c>
      <c r="H464" s="7">
        <f t="shared" si="27"/>
        <v>16122</v>
      </c>
      <c r="I464" s="7">
        <f t="shared" si="27"/>
        <v>2513</v>
      </c>
      <c r="J464" s="7">
        <f t="shared" si="27"/>
        <v>1736</v>
      </c>
      <c r="K464" s="7">
        <f t="shared" si="27"/>
        <v>1509</v>
      </c>
      <c r="L464" s="7">
        <f t="shared" si="27"/>
        <v>580</v>
      </c>
      <c r="M464" s="7">
        <f t="shared" si="27"/>
        <v>612</v>
      </c>
      <c r="N464" s="7">
        <f t="shared" si="27"/>
        <v>693</v>
      </c>
      <c r="O464" s="7">
        <f t="shared" si="27"/>
        <v>992</v>
      </c>
      <c r="P464" s="7">
        <f t="shared" si="27"/>
        <v>1544</v>
      </c>
      <c r="Q464" s="7">
        <f t="shared" si="27"/>
        <v>922</v>
      </c>
      <c r="R464" s="7">
        <f t="shared" si="27"/>
        <v>899</v>
      </c>
      <c r="S464" s="7">
        <f t="shared" si="27"/>
        <v>1779</v>
      </c>
      <c r="T464" s="7">
        <f t="shared" si="27"/>
        <v>1613</v>
      </c>
      <c r="U464" s="7">
        <f t="shared" si="27"/>
        <v>2446</v>
      </c>
      <c r="V464" s="50">
        <f t="shared" si="27"/>
        <v>1383</v>
      </c>
      <c r="W464" s="50">
        <f t="shared" si="27"/>
        <v>1302</v>
      </c>
      <c r="X464" s="50">
        <f t="shared" si="27"/>
        <v>1908</v>
      </c>
      <c r="Y464" s="50">
        <f t="shared" si="27"/>
        <v>690</v>
      </c>
      <c r="Z464" s="50">
        <f t="shared" si="27"/>
        <v>1190</v>
      </c>
      <c r="AA464" s="50">
        <f t="shared" si="27"/>
        <v>1382</v>
      </c>
      <c r="AB464" s="50">
        <f t="shared" si="27"/>
        <v>3153</v>
      </c>
      <c r="AC464" s="50">
        <f t="shared" si="27"/>
        <v>0</v>
      </c>
      <c r="AD464" s="15">
        <f t="shared" si="28"/>
        <v>58357</v>
      </c>
    </row>
    <row r="465" spans="1:30" ht="16.5" thickBot="1" x14ac:dyDescent="0.3">
      <c r="A465" t="s">
        <v>12</v>
      </c>
      <c r="B465" s="4" t="s">
        <v>12</v>
      </c>
      <c r="C465" s="7">
        <f t="shared" si="27"/>
        <v>3491</v>
      </c>
      <c r="D465" s="7">
        <f t="shared" si="27"/>
        <v>2113</v>
      </c>
      <c r="E465" s="7">
        <f t="shared" si="27"/>
        <v>2549</v>
      </c>
      <c r="F465" s="7">
        <f t="shared" si="27"/>
        <v>2451</v>
      </c>
      <c r="G465" s="7">
        <f t="shared" si="27"/>
        <v>2735</v>
      </c>
      <c r="H465" s="7">
        <f t="shared" si="27"/>
        <v>12415</v>
      </c>
      <c r="I465" s="7">
        <f t="shared" si="27"/>
        <v>2637</v>
      </c>
      <c r="J465" s="7">
        <f t="shared" si="27"/>
        <v>2355</v>
      </c>
      <c r="K465" s="7">
        <f t="shared" si="27"/>
        <v>1764</v>
      </c>
      <c r="L465" s="7">
        <f t="shared" si="27"/>
        <v>478</v>
      </c>
      <c r="M465" s="7">
        <f t="shared" si="27"/>
        <v>385</v>
      </c>
      <c r="N465" s="7">
        <f t="shared" si="27"/>
        <v>559</v>
      </c>
      <c r="O465" s="7">
        <f t="shared" ref="O465:AC480" si="29">+O430+O397+O362+O327+O294+O260+O227+O193+O159+O124+O89+O53</f>
        <v>1660</v>
      </c>
      <c r="P465" s="7">
        <f t="shared" si="29"/>
        <v>1659</v>
      </c>
      <c r="Q465" s="7">
        <f t="shared" si="29"/>
        <v>1180</v>
      </c>
      <c r="R465" s="7">
        <f t="shared" si="29"/>
        <v>839</v>
      </c>
      <c r="S465" s="7">
        <f t="shared" si="29"/>
        <v>1971</v>
      </c>
      <c r="T465" s="7">
        <f t="shared" si="29"/>
        <v>821</v>
      </c>
      <c r="U465" s="7">
        <f t="shared" si="29"/>
        <v>2578</v>
      </c>
      <c r="V465" s="50">
        <f t="shared" si="29"/>
        <v>1411</v>
      </c>
      <c r="W465" s="50">
        <f t="shared" si="29"/>
        <v>888</v>
      </c>
      <c r="X465" s="50">
        <f t="shared" si="29"/>
        <v>1628</v>
      </c>
      <c r="Y465" s="50">
        <f t="shared" si="29"/>
        <v>896</v>
      </c>
      <c r="Z465" s="50">
        <f t="shared" si="29"/>
        <v>1358</v>
      </c>
      <c r="AA465" s="50">
        <f t="shared" si="29"/>
        <v>1261</v>
      </c>
      <c r="AB465" s="50">
        <f t="shared" si="29"/>
        <v>2147</v>
      </c>
      <c r="AC465" s="50">
        <f t="shared" si="29"/>
        <v>0</v>
      </c>
      <c r="AD465" s="15">
        <f t="shared" si="28"/>
        <v>54229</v>
      </c>
    </row>
    <row r="466" spans="1:30" ht="16.5" thickBot="1" x14ac:dyDescent="0.3">
      <c r="A466" t="s">
        <v>13</v>
      </c>
      <c r="B466" s="49" t="s">
        <v>13</v>
      </c>
      <c r="C466" s="7">
        <f t="shared" ref="C466:AB475" si="30">+C431+C398+C363+C328+C295+C261+C228+C194+C160+C125+C90+C54</f>
        <v>2571</v>
      </c>
      <c r="D466" s="7">
        <f t="shared" si="30"/>
        <v>1477</v>
      </c>
      <c r="E466" s="7">
        <f t="shared" si="30"/>
        <v>1257</v>
      </c>
      <c r="F466" s="7">
        <f t="shared" si="30"/>
        <v>892</v>
      </c>
      <c r="G466" s="7">
        <f t="shared" si="30"/>
        <v>1485</v>
      </c>
      <c r="H466" s="7">
        <f t="shared" si="30"/>
        <v>8744</v>
      </c>
      <c r="I466" s="7">
        <f t="shared" si="30"/>
        <v>2044</v>
      </c>
      <c r="J466" s="7">
        <f t="shared" si="30"/>
        <v>1516</v>
      </c>
      <c r="K466" s="7">
        <f t="shared" si="30"/>
        <v>1298</v>
      </c>
      <c r="L466" s="7">
        <f t="shared" si="30"/>
        <v>583</v>
      </c>
      <c r="M466" s="7">
        <f t="shared" si="30"/>
        <v>498</v>
      </c>
      <c r="N466" s="7">
        <f t="shared" si="30"/>
        <v>307</v>
      </c>
      <c r="O466" s="7">
        <f t="shared" si="30"/>
        <v>254</v>
      </c>
      <c r="P466" s="7">
        <f t="shared" si="30"/>
        <v>1337</v>
      </c>
      <c r="Q466" s="7">
        <f t="shared" si="30"/>
        <v>669</v>
      </c>
      <c r="R466" s="7">
        <f t="shared" si="30"/>
        <v>524</v>
      </c>
      <c r="S466" s="7">
        <f t="shared" si="30"/>
        <v>1534</v>
      </c>
      <c r="T466" s="7">
        <f t="shared" si="30"/>
        <v>782</v>
      </c>
      <c r="U466" s="7">
        <f t="shared" si="30"/>
        <v>1036</v>
      </c>
      <c r="V466" s="50">
        <f t="shared" si="30"/>
        <v>635</v>
      </c>
      <c r="W466" s="50">
        <f t="shared" si="30"/>
        <v>682</v>
      </c>
      <c r="X466" s="50">
        <f t="shared" si="30"/>
        <v>1128</v>
      </c>
      <c r="Y466" s="50">
        <f t="shared" si="30"/>
        <v>642</v>
      </c>
      <c r="Z466" s="50">
        <f t="shared" si="30"/>
        <v>771</v>
      </c>
      <c r="AA466" s="50">
        <f t="shared" si="30"/>
        <v>738</v>
      </c>
      <c r="AB466" s="50">
        <f t="shared" si="30"/>
        <v>1707</v>
      </c>
      <c r="AC466" s="50">
        <f t="shared" si="29"/>
        <v>0</v>
      </c>
      <c r="AD466" s="15">
        <f t="shared" si="28"/>
        <v>35111</v>
      </c>
    </row>
    <row r="467" spans="1:30" ht="16.5" thickBot="1" x14ac:dyDescent="0.3">
      <c r="A467" t="s">
        <v>14</v>
      </c>
      <c r="B467" s="4" t="s">
        <v>14</v>
      </c>
      <c r="C467" s="7">
        <f t="shared" si="30"/>
        <v>3623</v>
      </c>
      <c r="D467" s="7">
        <f t="shared" si="30"/>
        <v>3052</v>
      </c>
      <c r="E467" s="7">
        <f t="shared" si="30"/>
        <v>2459</v>
      </c>
      <c r="F467" s="7">
        <f t="shared" si="30"/>
        <v>2192</v>
      </c>
      <c r="G467" s="7">
        <f t="shared" si="30"/>
        <v>3654</v>
      </c>
      <c r="H467" s="7">
        <f t="shared" si="30"/>
        <v>9499</v>
      </c>
      <c r="I467" s="7">
        <f t="shared" si="30"/>
        <v>3022</v>
      </c>
      <c r="J467" s="7">
        <f t="shared" si="30"/>
        <v>2107</v>
      </c>
      <c r="K467" s="7">
        <f t="shared" si="30"/>
        <v>2165</v>
      </c>
      <c r="L467" s="7">
        <f t="shared" si="30"/>
        <v>1149</v>
      </c>
      <c r="M467" s="7">
        <f t="shared" si="30"/>
        <v>1570</v>
      </c>
      <c r="N467" s="7">
        <f t="shared" si="30"/>
        <v>252</v>
      </c>
      <c r="O467" s="7">
        <f t="shared" si="30"/>
        <v>510</v>
      </c>
      <c r="P467" s="7">
        <f t="shared" si="30"/>
        <v>1428</v>
      </c>
      <c r="Q467" s="7">
        <f t="shared" si="30"/>
        <v>1178</v>
      </c>
      <c r="R467" s="7">
        <f t="shared" si="30"/>
        <v>503</v>
      </c>
      <c r="S467" s="7">
        <f t="shared" si="30"/>
        <v>2340</v>
      </c>
      <c r="T467" s="7">
        <f t="shared" si="30"/>
        <v>993</v>
      </c>
      <c r="U467" s="7">
        <f t="shared" si="30"/>
        <v>2163</v>
      </c>
      <c r="V467" s="50">
        <f t="shared" si="30"/>
        <v>2130</v>
      </c>
      <c r="W467" s="50">
        <f t="shared" si="30"/>
        <v>902</v>
      </c>
      <c r="X467" s="50">
        <f t="shared" si="30"/>
        <v>1982</v>
      </c>
      <c r="Y467" s="50">
        <f t="shared" si="30"/>
        <v>737</v>
      </c>
      <c r="Z467" s="50">
        <f t="shared" si="30"/>
        <v>1440</v>
      </c>
      <c r="AA467" s="50">
        <f t="shared" si="30"/>
        <v>1267</v>
      </c>
      <c r="AB467" s="50">
        <f t="shared" si="30"/>
        <v>2274</v>
      </c>
      <c r="AC467" s="50">
        <f t="shared" si="29"/>
        <v>0</v>
      </c>
      <c r="AD467" s="15">
        <f t="shared" si="28"/>
        <v>54591</v>
      </c>
    </row>
    <row r="468" spans="1:30" ht="16.5" thickBot="1" x14ac:dyDescent="0.3">
      <c r="A468" t="s">
        <v>15</v>
      </c>
      <c r="B468" s="4" t="s">
        <v>15</v>
      </c>
      <c r="C468" s="7">
        <f t="shared" si="30"/>
        <v>2102</v>
      </c>
      <c r="D468" s="7">
        <f t="shared" si="30"/>
        <v>1537</v>
      </c>
      <c r="E468" s="7">
        <f t="shared" si="30"/>
        <v>1737</v>
      </c>
      <c r="F468" s="7">
        <f t="shared" si="30"/>
        <v>1315</v>
      </c>
      <c r="G468" s="7">
        <f t="shared" si="30"/>
        <v>1457</v>
      </c>
      <c r="H468" s="7">
        <f t="shared" si="30"/>
        <v>9384</v>
      </c>
      <c r="I468" s="7">
        <f t="shared" si="30"/>
        <v>1297</v>
      </c>
      <c r="J468" s="7">
        <f t="shared" si="30"/>
        <v>333</v>
      </c>
      <c r="K468" s="7">
        <f t="shared" si="30"/>
        <v>742</v>
      </c>
      <c r="L468" s="7">
        <f t="shared" si="30"/>
        <v>904</v>
      </c>
      <c r="M468" s="7">
        <f t="shared" si="30"/>
        <v>1210</v>
      </c>
      <c r="N468" s="7">
        <f t="shared" si="30"/>
        <v>818</v>
      </c>
      <c r="O468" s="7">
        <f t="shared" si="30"/>
        <v>964</v>
      </c>
      <c r="P468" s="7">
        <f t="shared" si="30"/>
        <v>1264</v>
      </c>
      <c r="Q468" s="7">
        <f t="shared" si="30"/>
        <v>1966</v>
      </c>
      <c r="R468" s="7">
        <f t="shared" si="30"/>
        <v>2764</v>
      </c>
      <c r="S468" s="7">
        <f t="shared" si="30"/>
        <v>13004</v>
      </c>
      <c r="T468" s="7">
        <f t="shared" si="30"/>
        <v>3990</v>
      </c>
      <c r="U468" s="7">
        <f t="shared" si="30"/>
        <v>18959</v>
      </c>
      <c r="V468" s="50">
        <f t="shared" si="30"/>
        <v>12307</v>
      </c>
      <c r="W468" s="50">
        <f t="shared" si="30"/>
        <v>7471</v>
      </c>
      <c r="X468" s="50">
        <f t="shared" si="30"/>
        <v>14968</v>
      </c>
      <c r="Y468" s="50">
        <f t="shared" si="30"/>
        <v>8230</v>
      </c>
      <c r="Z468" s="50">
        <f t="shared" si="30"/>
        <v>12395</v>
      </c>
      <c r="AA468" s="50">
        <f t="shared" si="30"/>
        <v>10293</v>
      </c>
      <c r="AB468" s="50">
        <f t="shared" si="30"/>
        <v>14317</v>
      </c>
      <c r="AC468" s="50">
        <f t="shared" si="29"/>
        <v>0</v>
      </c>
      <c r="AD468" s="15">
        <f t="shared" si="28"/>
        <v>145728</v>
      </c>
    </row>
    <row r="469" spans="1:30" ht="16.5" thickBot="1" x14ac:dyDescent="0.3">
      <c r="A469" t="s">
        <v>16</v>
      </c>
      <c r="B469" s="4" t="s">
        <v>16</v>
      </c>
      <c r="C469" s="7">
        <f t="shared" si="30"/>
        <v>755</v>
      </c>
      <c r="D469" s="7">
        <f t="shared" si="30"/>
        <v>1253</v>
      </c>
      <c r="E469" s="7">
        <f t="shared" si="30"/>
        <v>669</v>
      </c>
      <c r="F469" s="7">
        <f t="shared" si="30"/>
        <v>750</v>
      </c>
      <c r="G469" s="7">
        <f t="shared" si="30"/>
        <v>1322</v>
      </c>
      <c r="H469" s="7">
        <f t="shared" si="30"/>
        <v>12812</v>
      </c>
      <c r="I469" s="7">
        <f t="shared" si="30"/>
        <v>1843</v>
      </c>
      <c r="J469" s="7">
        <f t="shared" si="30"/>
        <v>450</v>
      </c>
      <c r="K469" s="7">
        <f t="shared" si="30"/>
        <v>906</v>
      </c>
      <c r="L469" s="7">
        <f t="shared" si="30"/>
        <v>893</v>
      </c>
      <c r="M469" s="7">
        <f t="shared" si="30"/>
        <v>866</v>
      </c>
      <c r="N469" s="7">
        <f t="shared" si="30"/>
        <v>651</v>
      </c>
      <c r="O469" s="7">
        <f t="shared" si="30"/>
        <v>910</v>
      </c>
      <c r="P469" s="7">
        <f t="shared" si="30"/>
        <v>1859</v>
      </c>
      <c r="Q469" s="7">
        <f t="shared" si="30"/>
        <v>1786</v>
      </c>
      <c r="R469" s="7">
        <f t="shared" si="30"/>
        <v>4185</v>
      </c>
      <c r="S469" s="7">
        <f t="shared" si="30"/>
        <v>13019</v>
      </c>
      <c r="T469" s="7">
        <f t="shared" si="30"/>
        <v>5442</v>
      </c>
      <c r="U469" s="7">
        <f t="shared" si="30"/>
        <v>16801</v>
      </c>
      <c r="V469" s="50">
        <f t="shared" si="30"/>
        <v>10930</v>
      </c>
      <c r="W469" s="50">
        <f t="shared" si="30"/>
        <v>6010</v>
      </c>
      <c r="X469" s="50">
        <f t="shared" si="30"/>
        <v>10677</v>
      </c>
      <c r="Y469" s="50">
        <f t="shared" si="30"/>
        <v>6214</v>
      </c>
      <c r="Z469" s="50">
        <f t="shared" si="30"/>
        <v>8481</v>
      </c>
      <c r="AA469" s="50">
        <f t="shared" si="30"/>
        <v>7491</v>
      </c>
      <c r="AB469" s="50">
        <f t="shared" si="30"/>
        <v>12512</v>
      </c>
      <c r="AC469" s="50">
        <f t="shared" si="29"/>
        <v>0</v>
      </c>
      <c r="AD469" s="15">
        <f t="shared" si="28"/>
        <v>129487</v>
      </c>
    </row>
    <row r="470" spans="1:30" ht="16.5" thickBot="1" x14ac:dyDescent="0.3">
      <c r="A470" t="s">
        <v>17</v>
      </c>
      <c r="B470" s="4" t="s">
        <v>17</v>
      </c>
      <c r="C470" s="7">
        <f t="shared" si="30"/>
        <v>687</v>
      </c>
      <c r="D470" s="7">
        <f t="shared" si="30"/>
        <v>477</v>
      </c>
      <c r="E470" s="7">
        <f t="shared" si="30"/>
        <v>353</v>
      </c>
      <c r="F470" s="7">
        <f t="shared" si="30"/>
        <v>317</v>
      </c>
      <c r="G470" s="7">
        <f t="shared" si="30"/>
        <v>355</v>
      </c>
      <c r="H470" s="7">
        <f t="shared" si="30"/>
        <v>13340</v>
      </c>
      <c r="I470" s="7">
        <f t="shared" si="30"/>
        <v>1092</v>
      </c>
      <c r="J470" s="7">
        <f t="shared" si="30"/>
        <v>206</v>
      </c>
      <c r="K470" s="7">
        <f t="shared" si="30"/>
        <v>475</v>
      </c>
      <c r="L470" s="7">
        <f t="shared" si="30"/>
        <v>513</v>
      </c>
      <c r="M470" s="7">
        <f t="shared" si="30"/>
        <v>694</v>
      </c>
      <c r="N470" s="7">
        <f t="shared" si="30"/>
        <v>400</v>
      </c>
      <c r="O470" s="7">
        <f t="shared" si="30"/>
        <v>313</v>
      </c>
      <c r="P470" s="7">
        <f t="shared" si="30"/>
        <v>3458</v>
      </c>
      <c r="Q470" s="7">
        <f t="shared" si="30"/>
        <v>4541</v>
      </c>
      <c r="R470" s="7">
        <f t="shared" si="30"/>
        <v>909</v>
      </c>
      <c r="S470" s="7">
        <f t="shared" si="30"/>
        <v>867</v>
      </c>
      <c r="T470" s="7">
        <f t="shared" si="30"/>
        <v>1176</v>
      </c>
      <c r="U470" s="7">
        <f t="shared" si="30"/>
        <v>5303</v>
      </c>
      <c r="V470" s="50">
        <f t="shared" si="30"/>
        <v>2795</v>
      </c>
      <c r="W470" s="50">
        <f t="shared" si="30"/>
        <v>1781</v>
      </c>
      <c r="X470" s="50">
        <f t="shared" si="30"/>
        <v>3233</v>
      </c>
      <c r="Y470" s="50">
        <f t="shared" si="30"/>
        <v>2380</v>
      </c>
      <c r="Z470" s="50">
        <f t="shared" si="30"/>
        <v>2963</v>
      </c>
      <c r="AA470" s="50">
        <f t="shared" si="30"/>
        <v>2708</v>
      </c>
      <c r="AB470" s="50">
        <f t="shared" si="30"/>
        <v>3441</v>
      </c>
      <c r="AC470" s="50">
        <f t="shared" si="29"/>
        <v>0</v>
      </c>
      <c r="AD470" s="15">
        <f t="shared" si="28"/>
        <v>54777</v>
      </c>
    </row>
    <row r="471" spans="1:30" ht="16.5" thickBot="1" x14ac:dyDescent="0.3">
      <c r="A471" t="s">
        <v>18</v>
      </c>
      <c r="B471" s="4" t="s">
        <v>18</v>
      </c>
      <c r="C471" s="7">
        <f t="shared" si="30"/>
        <v>1343</v>
      </c>
      <c r="D471" s="7">
        <f t="shared" si="30"/>
        <v>1539</v>
      </c>
      <c r="E471" s="7">
        <f t="shared" si="30"/>
        <v>648</v>
      </c>
      <c r="F471" s="7">
        <f t="shared" si="30"/>
        <v>1279</v>
      </c>
      <c r="G471" s="7">
        <f t="shared" si="30"/>
        <v>1796</v>
      </c>
      <c r="H471" s="7">
        <f t="shared" si="30"/>
        <v>64875</v>
      </c>
      <c r="I471" s="7">
        <f t="shared" si="30"/>
        <v>7656</v>
      </c>
      <c r="J471" s="7">
        <f t="shared" si="30"/>
        <v>2209</v>
      </c>
      <c r="K471" s="7">
        <f t="shared" si="30"/>
        <v>3077</v>
      </c>
      <c r="L471" s="7">
        <f t="shared" si="30"/>
        <v>1764</v>
      </c>
      <c r="M471" s="7">
        <f t="shared" si="30"/>
        <v>2162</v>
      </c>
      <c r="N471" s="7">
        <f t="shared" si="30"/>
        <v>1594</v>
      </c>
      <c r="O471" s="7">
        <f t="shared" si="30"/>
        <v>1873</v>
      </c>
      <c r="P471" s="7">
        <f t="shared" si="30"/>
        <v>14634</v>
      </c>
      <c r="Q471" s="7">
        <f t="shared" si="30"/>
        <v>13757</v>
      </c>
      <c r="R471" s="7">
        <f t="shared" si="30"/>
        <v>942</v>
      </c>
      <c r="S471" s="7">
        <f t="shared" si="30"/>
        <v>3274</v>
      </c>
      <c r="T471" s="7">
        <f t="shared" si="30"/>
        <v>4539</v>
      </c>
      <c r="U471" s="7">
        <f t="shared" si="30"/>
        <v>19195</v>
      </c>
      <c r="V471" s="50">
        <f t="shared" si="30"/>
        <v>10539</v>
      </c>
      <c r="W471" s="50">
        <f t="shared" si="30"/>
        <v>7625</v>
      </c>
      <c r="X471" s="50">
        <f t="shared" si="30"/>
        <v>17451</v>
      </c>
      <c r="Y471" s="50">
        <f t="shared" si="30"/>
        <v>9992</v>
      </c>
      <c r="Z471" s="50">
        <f t="shared" si="30"/>
        <v>15793</v>
      </c>
      <c r="AA471" s="50">
        <f t="shared" si="30"/>
        <v>17952</v>
      </c>
      <c r="AB471" s="50">
        <f t="shared" si="30"/>
        <v>20588</v>
      </c>
      <c r="AC471" s="50">
        <f t="shared" si="29"/>
        <v>0</v>
      </c>
      <c r="AD471" s="15">
        <f t="shared" si="28"/>
        <v>248096</v>
      </c>
    </row>
    <row r="472" spans="1:30" ht="16.5" thickBot="1" x14ac:dyDescent="0.3">
      <c r="A472" t="s">
        <v>19</v>
      </c>
      <c r="B472" s="6" t="s">
        <v>19</v>
      </c>
      <c r="C472" s="7">
        <f t="shared" si="30"/>
        <v>1363</v>
      </c>
      <c r="D472" s="7">
        <f t="shared" si="30"/>
        <v>1491</v>
      </c>
      <c r="E472" s="7">
        <f t="shared" si="30"/>
        <v>684</v>
      </c>
      <c r="F472" s="7">
        <f t="shared" si="30"/>
        <v>671</v>
      </c>
      <c r="G472" s="7">
        <f t="shared" si="30"/>
        <v>951</v>
      </c>
      <c r="H472" s="7">
        <f t="shared" si="30"/>
        <v>33909</v>
      </c>
      <c r="I472" s="7">
        <f t="shared" si="30"/>
        <v>5378</v>
      </c>
      <c r="J472" s="7">
        <f t="shared" si="30"/>
        <v>546</v>
      </c>
      <c r="K472" s="7">
        <f t="shared" si="30"/>
        <v>968</v>
      </c>
      <c r="L472" s="7">
        <f t="shared" si="30"/>
        <v>1236</v>
      </c>
      <c r="M472" s="7">
        <f t="shared" si="30"/>
        <v>871</v>
      </c>
      <c r="N472" s="7">
        <f t="shared" si="30"/>
        <v>911</v>
      </c>
      <c r="O472" s="7">
        <f t="shared" si="30"/>
        <v>1029</v>
      </c>
      <c r="P472" s="7">
        <f t="shared" si="30"/>
        <v>5452</v>
      </c>
      <c r="Q472" s="7">
        <f t="shared" si="30"/>
        <v>6136</v>
      </c>
      <c r="R472" s="7">
        <f t="shared" si="30"/>
        <v>1040</v>
      </c>
      <c r="S472" s="7">
        <f t="shared" si="30"/>
        <v>3902</v>
      </c>
      <c r="T472" s="7">
        <f t="shared" si="30"/>
        <v>1172</v>
      </c>
      <c r="U472" s="7">
        <f t="shared" si="30"/>
        <v>6998</v>
      </c>
      <c r="V472" s="50">
        <f t="shared" si="30"/>
        <v>4069</v>
      </c>
      <c r="W472" s="50">
        <f t="shared" si="30"/>
        <v>2709</v>
      </c>
      <c r="X472" s="50">
        <f t="shared" si="30"/>
        <v>8637</v>
      </c>
      <c r="Y472" s="50">
        <f t="shared" si="30"/>
        <v>5619</v>
      </c>
      <c r="Z472" s="50">
        <f t="shared" si="30"/>
        <v>9325</v>
      </c>
      <c r="AA472" s="50">
        <f t="shared" si="30"/>
        <v>10266</v>
      </c>
      <c r="AB472" s="50">
        <f t="shared" si="30"/>
        <v>8797</v>
      </c>
      <c r="AC472" s="50">
        <f t="shared" si="29"/>
        <v>0</v>
      </c>
      <c r="AD472" s="15">
        <f t="shared" si="28"/>
        <v>124130</v>
      </c>
    </row>
    <row r="473" spans="1:30" ht="16.5" thickBot="1" x14ac:dyDescent="0.3">
      <c r="A473" t="s">
        <v>20</v>
      </c>
      <c r="B473" s="6" t="s">
        <v>20</v>
      </c>
      <c r="C473" s="7">
        <f t="shared" si="30"/>
        <v>996</v>
      </c>
      <c r="D473" s="7">
        <f t="shared" si="30"/>
        <v>1659</v>
      </c>
      <c r="E473" s="7">
        <f t="shared" si="30"/>
        <v>1083</v>
      </c>
      <c r="F473" s="7">
        <f t="shared" si="30"/>
        <v>732</v>
      </c>
      <c r="G473" s="7">
        <f t="shared" si="30"/>
        <v>1699</v>
      </c>
      <c r="H473" s="7">
        <f t="shared" si="30"/>
        <v>119754</v>
      </c>
      <c r="I473" s="7">
        <f t="shared" si="30"/>
        <v>9975</v>
      </c>
      <c r="J473" s="7">
        <f t="shared" si="30"/>
        <v>1165</v>
      </c>
      <c r="K473" s="7">
        <f t="shared" si="30"/>
        <v>1879</v>
      </c>
      <c r="L473" s="7">
        <f t="shared" si="30"/>
        <v>2167</v>
      </c>
      <c r="M473" s="7">
        <f t="shared" si="30"/>
        <v>2798</v>
      </c>
      <c r="N473" s="7">
        <f t="shared" si="30"/>
        <v>1285</v>
      </c>
      <c r="O473" s="7">
        <f t="shared" si="30"/>
        <v>2011</v>
      </c>
      <c r="P473" s="7">
        <f t="shared" si="30"/>
        <v>22409</v>
      </c>
      <c r="Q473" s="7">
        <f t="shared" si="30"/>
        <v>17882</v>
      </c>
      <c r="R473" s="7">
        <f t="shared" si="30"/>
        <v>4065</v>
      </c>
      <c r="S473" s="7">
        <f t="shared" si="30"/>
        <v>15746</v>
      </c>
      <c r="T473" s="7">
        <f t="shared" si="30"/>
        <v>5354</v>
      </c>
      <c r="U473" s="7">
        <f t="shared" si="30"/>
        <v>3444</v>
      </c>
      <c r="V473" s="50">
        <f t="shared" si="30"/>
        <v>6960</v>
      </c>
      <c r="W473" s="50">
        <f t="shared" si="30"/>
        <v>5095</v>
      </c>
      <c r="X473" s="50">
        <f t="shared" si="30"/>
        <v>14490</v>
      </c>
      <c r="Y473" s="50">
        <f t="shared" si="30"/>
        <v>9620</v>
      </c>
      <c r="Z473" s="50">
        <f t="shared" si="30"/>
        <v>11706</v>
      </c>
      <c r="AA473" s="50">
        <f t="shared" si="30"/>
        <v>12565</v>
      </c>
      <c r="AB473" s="50">
        <f t="shared" si="30"/>
        <v>17373</v>
      </c>
      <c r="AC473" s="50">
        <f t="shared" si="29"/>
        <v>0</v>
      </c>
      <c r="AD473" s="15">
        <f t="shared" si="28"/>
        <v>293912</v>
      </c>
    </row>
    <row r="474" spans="1:30" ht="16.5" thickBot="1" x14ac:dyDescent="0.3">
      <c r="A474" t="s">
        <v>21</v>
      </c>
      <c r="B474" s="6" t="s">
        <v>21</v>
      </c>
      <c r="C474" s="50">
        <f t="shared" si="30"/>
        <v>753</v>
      </c>
      <c r="D474" s="50">
        <f t="shared" si="30"/>
        <v>905</v>
      </c>
      <c r="E474" s="50">
        <f t="shared" si="30"/>
        <v>481</v>
      </c>
      <c r="F474" s="50">
        <f t="shared" si="30"/>
        <v>567</v>
      </c>
      <c r="G474" s="50">
        <f t="shared" si="30"/>
        <v>753</v>
      </c>
      <c r="H474" s="50">
        <f t="shared" si="30"/>
        <v>81368</v>
      </c>
      <c r="I474" s="50">
        <f t="shared" si="30"/>
        <v>6995</v>
      </c>
      <c r="J474" s="50">
        <f t="shared" si="30"/>
        <v>1447</v>
      </c>
      <c r="K474" s="50">
        <f t="shared" si="30"/>
        <v>2036</v>
      </c>
      <c r="L474" s="50">
        <f t="shared" si="30"/>
        <v>1368</v>
      </c>
      <c r="M474" s="50">
        <f t="shared" si="30"/>
        <v>1772</v>
      </c>
      <c r="N474" s="50">
        <f t="shared" si="30"/>
        <v>836</v>
      </c>
      <c r="O474" s="50">
        <f t="shared" si="30"/>
        <v>2240</v>
      </c>
      <c r="P474" s="50">
        <f t="shared" si="30"/>
        <v>16798</v>
      </c>
      <c r="Q474" s="50">
        <f t="shared" si="30"/>
        <v>12429</v>
      </c>
      <c r="R474" s="50">
        <f t="shared" si="30"/>
        <v>2321</v>
      </c>
      <c r="S474" s="50">
        <f t="shared" si="30"/>
        <v>8423</v>
      </c>
      <c r="T474" s="50">
        <f t="shared" si="30"/>
        <v>3733</v>
      </c>
      <c r="U474" s="50">
        <f t="shared" si="30"/>
        <v>6606</v>
      </c>
      <c r="V474" s="50">
        <f t="shared" si="30"/>
        <v>2748</v>
      </c>
      <c r="W474" s="50">
        <f t="shared" si="30"/>
        <v>2867</v>
      </c>
      <c r="X474" s="50">
        <f t="shared" si="30"/>
        <v>8081</v>
      </c>
      <c r="Y474" s="50">
        <f t="shared" si="30"/>
        <v>4770</v>
      </c>
      <c r="Z474" s="50">
        <f t="shared" si="30"/>
        <v>6329</v>
      </c>
      <c r="AA474" s="50">
        <f t="shared" si="30"/>
        <v>7473</v>
      </c>
      <c r="AB474" s="50">
        <f t="shared" si="30"/>
        <v>11567</v>
      </c>
      <c r="AC474" s="50">
        <f t="shared" si="29"/>
        <v>0</v>
      </c>
      <c r="AD474" s="15">
        <f t="shared" si="28"/>
        <v>195666</v>
      </c>
    </row>
    <row r="475" spans="1:30" ht="16.5" thickBot="1" x14ac:dyDescent="0.3">
      <c r="A475" t="s">
        <v>22</v>
      </c>
      <c r="B475" s="6" t="s">
        <v>22</v>
      </c>
      <c r="C475" s="50">
        <f t="shared" si="30"/>
        <v>565</v>
      </c>
      <c r="D475" s="50">
        <f t="shared" si="30"/>
        <v>615</v>
      </c>
      <c r="E475" s="50">
        <f t="shared" si="30"/>
        <v>412</v>
      </c>
      <c r="F475" s="50">
        <f t="shared" si="30"/>
        <v>621</v>
      </c>
      <c r="G475" s="50">
        <f t="shared" si="30"/>
        <v>387</v>
      </c>
      <c r="H475" s="50">
        <f t="shared" si="30"/>
        <v>54658</v>
      </c>
      <c r="I475" s="50">
        <f t="shared" si="30"/>
        <v>3994</v>
      </c>
      <c r="J475" s="50">
        <f t="shared" si="30"/>
        <v>799</v>
      </c>
      <c r="K475" s="50">
        <f t="shared" si="30"/>
        <v>1080</v>
      </c>
      <c r="L475" s="50">
        <f t="shared" si="30"/>
        <v>1166</v>
      </c>
      <c r="M475" s="50">
        <f t="shared" si="30"/>
        <v>963</v>
      </c>
      <c r="N475" s="50">
        <f t="shared" si="30"/>
        <v>711</v>
      </c>
      <c r="O475" s="50">
        <f t="shared" si="30"/>
        <v>1075</v>
      </c>
      <c r="P475" s="50">
        <f t="shared" si="30"/>
        <v>8839</v>
      </c>
      <c r="Q475" s="50">
        <f t="shared" si="30"/>
        <v>6259</v>
      </c>
      <c r="R475" s="50">
        <f t="shared" si="30"/>
        <v>1899</v>
      </c>
      <c r="S475" s="50">
        <f t="shared" si="30"/>
        <v>6735</v>
      </c>
      <c r="T475" s="50">
        <f t="shared" si="30"/>
        <v>2371</v>
      </c>
      <c r="U475" s="50">
        <f t="shared" si="30"/>
        <v>4066</v>
      </c>
      <c r="V475" s="50">
        <f t="shared" si="30"/>
        <v>2736</v>
      </c>
      <c r="W475" s="50">
        <f t="shared" si="30"/>
        <v>1272</v>
      </c>
      <c r="X475" s="50">
        <f t="shared" ref="X475:AB475" si="31">+X440+X407+X372+X337+X304+X270+X237+X203+X169+X134+X99+X63</f>
        <v>5118</v>
      </c>
      <c r="Y475" s="50">
        <f t="shared" si="31"/>
        <v>3862</v>
      </c>
      <c r="Z475" s="50">
        <f t="shared" si="31"/>
        <v>7251</v>
      </c>
      <c r="AA475" s="50">
        <f t="shared" si="31"/>
        <v>8123</v>
      </c>
      <c r="AB475" s="50">
        <f t="shared" si="31"/>
        <v>5300</v>
      </c>
      <c r="AC475" s="50">
        <f t="shared" si="29"/>
        <v>0</v>
      </c>
      <c r="AD475" s="15">
        <f t="shared" si="28"/>
        <v>130877</v>
      </c>
    </row>
    <row r="476" spans="1:30" ht="16.5" thickBot="1" x14ac:dyDescent="0.3">
      <c r="A476" t="s">
        <v>23</v>
      </c>
      <c r="B476" s="6" t="s">
        <v>23</v>
      </c>
      <c r="C476" s="50">
        <f t="shared" ref="C476:AB481" si="32">+C441+C408+C373+C338+C305+C271+C238+C204+C170+C135+C100+C64</f>
        <v>734</v>
      </c>
      <c r="D476" s="50">
        <f t="shared" si="32"/>
        <v>781</v>
      </c>
      <c r="E476" s="50">
        <f t="shared" si="32"/>
        <v>549</v>
      </c>
      <c r="F476" s="50">
        <f t="shared" si="32"/>
        <v>753</v>
      </c>
      <c r="G476" s="50">
        <f t="shared" si="32"/>
        <v>1017</v>
      </c>
      <c r="H476" s="50">
        <f t="shared" si="32"/>
        <v>144757</v>
      </c>
      <c r="I476" s="50">
        <f t="shared" si="32"/>
        <v>8801</v>
      </c>
      <c r="J476" s="50">
        <f t="shared" si="32"/>
        <v>1642</v>
      </c>
      <c r="K476" s="50">
        <f t="shared" si="32"/>
        <v>1958</v>
      </c>
      <c r="L476" s="50">
        <f t="shared" si="32"/>
        <v>2037</v>
      </c>
      <c r="M476" s="50">
        <f t="shared" si="32"/>
        <v>1838</v>
      </c>
      <c r="N476" s="50">
        <f t="shared" si="32"/>
        <v>1356</v>
      </c>
      <c r="O476" s="50">
        <f t="shared" si="32"/>
        <v>1864</v>
      </c>
      <c r="P476" s="50">
        <f t="shared" si="32"/>
        <v>21669</v>
      </c>
      <c r="Q476" s="50">
        <f t="shared" si="32"/>
        <v>12374</v>
      </c>
      <c r="R476" s="50">
        <f t="shared" si="32"/>
        <v>3093</v>
      </c>
      <c r="S476" s="50">
        <f t="shared" si="32"/>
        <v>16141</v>
      </c>
      <c r="T476" s="50">
        <f t="shared" si="32"/>
        <v>8058</v>
      </c>
      <c r="U476" s="50">
        <f t="shared" si="32"/>
        <v>14026</v>
      </c>
      <c r="V476" s="50">
        <f t="shared" si="32"/>
        <v>7430</v>
      </c>
      <c r="W476" s="50">
        <f t="shared" si="32"/>
        <v>7341</v>
      </c>
      <c r="X476" s="50">
        <f t="shared" si="32"/>
        <v>5085</v>
      </c>
      <c r="Y476" s="50">
        <f t="shared" si="32"/>
        <v>2621</v>
      </c>
      <c r="Z476" s="50">
        <f t="shared" si="32"/>
        <v>9624</v>
      </c>
      <c r="AA476" s="50">
        <f t="shared" si="32"/>
        <v>15155</v>
      </c>
      <c r="AB476" s="50">
        <f t="shared" si="32"/>
        <v>16545</v>
      </c>
      <c r="AC476" s="50">
        <f t="shared" si="29"/>
        <v>0</v>
      </c>
      <c r="AD476" s="15">
        <f t="shared" si="28"/>
        <v>307249</v>
      </c>
    </row>
    <row r="477" spans="1:30" ht="16.5" thickBot="1" x14ac:dyDescent="0.3">
      <c r="A477" t="s">
        <v>24</v>
      </c>
      <c r="B477" s="6" t="s">
        <v>24</v>
      </c>
      <c r="C477" s="50">
        <f t="shared" si="32"/>
        <v>445</v>
      </c>
      <c r="D477" s="50">
        <f t="shared" si="32"/>
        <v>472</v>
      </c>
      <c r="E477" s="50">
        <f t="shared" si="32"/>
        <v>280</v>
      </c>
      <c r="F477" s="50">
        <f t="shared" si="32"/>
        <v>292</v>
      </c>
      <c r="G477" s="50">
        <f t="shared" si="32"/>
        <v>399</v>
      </c>
      <c r="H477" s="50">
        <f t="shared" si="32"/>
        <v>88021</v>
      </c>
      <c r="I477" s="50">
        <f t="shared" si="32"/>
        <v>5297</v>
      </c>
      <c r="J477" s="50">
        <f t="shared" si="32"/>
        <v>791</v>
      </c>
      <c r="K477" s="50">
        <f t="shared" si="32"/>
        <v>1373</v>
      </c>
      <c r="L477" s="50">
        <f t="shared" si="32"/>
        <v>734</v>
      </c>
      <c r="M477" s="50">
        <f t="shared" si="32"/>
        <v>1015</v>
      </c>
      <c r="N477" s="50">
        <f t="shared" si="32"/>
        <v>590</v>
      </c>
      <c r="O477" s="50">
        <f t="shared" si="32"/>
        <v>809</v>
      </c>
      <c r="P477" s="50">
        <f t="shared" si="32"/>
        <v>14374</v>
      </c>
      <c r="Q477" s="50">
        <f t="shared" si="32"/>
        <v>7933</v>
      </c>
      <c r="R477" s="50">
        <f t="shared" si="32"/>
        <v>1894</v>
      </c>
      <c r="S477" s="50">
        <f t="shared" si="32"/>
        <v>9126</v>
      </c>
      <c r="T477" s="50">
        <f t="shared" si="32"/>
        <v>5695</v>
      </c>
      <c r="U477" s="50">
        <f t="shared" si="32"/>
        <v>9177</v>
      </c>
      <c r="V477" s="50">
        <f t="shared" si="32"/>
        <v>4159</v>
      </c>
      <c r="W477" s="50">
        <f t="shared" si="32"/>
        <v>5244</v>
      </c>
      <c r="X477" s="50">
        <f t="shared" si="32"/>
        <v>2834</v>
      </c>
      <c r="Y477" s="50">
        <f t="shared" si="32"/>
        <v>2407</v>
      </c>
      <c r="Z477" s="50">
        <f t="shared" si="32"/>
        <v>3340</v>
      </c>
      <c r="AA477" s="50">
        <f t="shared" si="32"/>
        <v>8605</v>
      </c>
      <c r="AB477" s="50">
        <f t="shared" si="32"/>
        <v>9250</v>
      </c>
      <c r="AC477" s="50">
        <f t="shared" si="29"/>
        <v>0</v>
      </c>
      <c r="AD477" s="15">
        <f t="shared" si="28"/>
        <v>184556</v>
      </c>
    </row>
    <row r="478" spans="1:30" ht="16.5" thickBot="1" x14ac:dyDescent="0.3">
      <c r="A478" t="s">
        <v>25</v>
      </c>
      <c r="B478" s="6" t="s">
        <v>25</v>
      </c>
      <c r="C478" s="50">
        <f t="shared" si="32"/>
        <v>447</v>
      </c>
      <c r="D478" s="50">
        <f t="shared" si="32"/>
        <v>621</v>
      </c>
      <c r="E478" s="50">
        <f t="shared" si="32"/>
        <v>333</v>
      </c>
      <c r="F478" s="50">
        <f t="shared" si="32"/>
        <v>325</v>
      </c>
      <c r="G478" s="50">
        <f t="shared" si="32"/>
        <v>899</v>
      </c>
      <c r="H478" s="50">
        <f t="shared" si="32"/>
        <v>141295</v>
      </c>
      <c r="I478" s="50">
        <f t="shared" si="32"/>
        <v>7757</v>
      </c>
      <c r="J478" s="50">
        <f t="shared" si="32"/>
        <v>1581</v>
      </c>
      <c r="K478" s="50">
        <f t="shared" si="32"/>
        <v>2203</v>
      </c>
      <c r="L478" s="50">
        <f t="shared" si="32"/>
        <v>1324</v>
      </c>
      <c r="M478" s="50">
        <f t="shared" si="32"/>
        <v>1636</v>
      </c>
      <c r="N478" s="50">
        <f t="shared" si="32"/>
        <v>869</v>
      </c>
      <c r="O478" s="50">
        <f t="shared" si="32"/>
        <v>1738</v>
      </c>
      <c r="P478" s="50">
        <f t="shared" si="32"/>
        <v>20028</v>
      </c>
      <c r="Q478" s="50">
        <f t="shared" si="32"/>
        <v>10674</v>
      </c>
      <c r="R478" s="50">
        <f t="shared" si="32"/>
        <v>3283</v>
      </c>
      <c r="S478" s="50">
        <f t="shared" si="32"/>
        <v>14574</v>
      </c>
      <c r="T478" s="50">
        <f t="shared" si="32"/>
        <v>9294</v>
      </c>
      <c r="U478" s="50">
        <f t="shared" si="32"/>
        <v>12263</v>
      </c>
      <c r="V478" s="50">
        <f t="shared" si="32"/>
        <v>5991</v>
      </c>
      <c r="W478" s="50">
        <f t="shared" si="32"/>
        <v>9753</v>
      </c>
      <c r="X478" s="50">
        <f t="shared" si="32"/>
        <v>10791</v>
      </c>
      <c r="Y478" s="50">
        <f t="shared" si="32"/>
        <v>3944</v>
      </c>
      <c r="Z478" s="50">
        <f t="shared" si="32"/>
        <v>4362</v>
      </c>
      <c r="AA478" s="50">
        <f t="shared" si="32"/>
        <v>10559</v>
      </c>
      <c r="AB478" s="50">
        <f t="shared" si="32"/>
        <v>12631</v>
      </c>
      <c r="AC478" s="50">
        <f t="shared" si="29"/>
        <v>0</v>
      </c>
      <c r="AD478" s="15">
        <f t="shared" si="28"/>
        <v>289175</v>
      </c>
    </row>
    <row r="479" spans="1:30" ht="16.5" thickBot="1" x14ac:dyDescent="0.3">
      <c r="A479" t="s">
        <v>26</v>
      </c>
      <c r="B479" s="6" t="s">
        <v>26</v>
      </c>
      <c r="C479" s="50">
        <f t="shared" si="32"/>
        <v>525</v>
      </c>
      <c r="D479" s="50">
        <f t="shared" si="32"/>
        <v>792</v>
      </c>
      <c r="E479" s="50">
        <f t="shared" si="32"/>
        <v>468</v>
      </c>
      <c r="F479" s="50">
        <f t="shared" si="32"/>
        <v>378</v>
      </c>
      <c r="G479" s="50">
        <f t="shared" si="32"/>
        <v>471</v>
      </c>
      <c r="H479" s="50">
        <f t="shared" si="32"/>
        <v>116623</v>
      </c>
      <c r="I479" s="50">
        <f t="shared" si="32"/>
        <v>6920</v>
      </c>
      <c r="J479" s="50">
        <f t="shared" si="32"/>
        <v>1292</v>
      </c>
      <c r="K479" s="50">
        <f t="shared" si="32"/>
        <v>1809</v>
      </c>
      <c r="L479" s="50">
        <f t="shared" si="32"/>
        <v>1429</v>
      </c>
      <c r="M479" s="50">
        <f t="shared" si="32"/>
        <v>1520</v>
      </c>
      <c r="N479" s="50">
        <f t="shared" si="32"/>
        <v>770</v>
      </c>
      <c r="O479" s="50">
        <f t="shared" si="32"/>
        <v>1167</v>
      </c>
      <c r="P479" s="50">
        <f t="shared" si="32"/>
        <v>13798</v>
      </c>
      <c r="Q479" s="50">
        <f t="shared" si="32"/>
        <v>7969</v>
      </c>
      <c r="R479" s="50">
        <f t="shared" si="32"/>
        <v>2418</v>
      </c>
      <c r="S479" s="50">
        <f t="shared" si="32"/>
        <v>16014</v>
      </c>
      <c r="T479" s="50">
        <f t="shared" si="32"/>
        <v>8803</v>
      </c>
      <c r="U479" s="50">
        <f t="shared" si="32"/>
        <v>12043</v>
      </c>
      <c r="V479" s="50">
        <f t="shared" si="32"/>
        <v>6581</v>
      </c>
      <c r="W479" s="50">
        <f t="shared" si="32"/>
        <v>10456</v>
      </c>
      <c r="X479" s="50">
        <f t="shared" si="32"/>
        <v>18043</v>
      </c>
      <c r="Y479" s="50">
        <f t="shared" si="32"/>
        <v>9745</v>
      </c>
      <c r="Z479" s="50">
        <f t="shared" si="32"/>
        <v>13329</v>
      </c>
      <c r="AA479" s="50">
        <f t="shared" si="32"/>
        <v>3624</v>
      </c>
      <c r="AB479" s="50">
        <f t="shared" si="32"/>
        <v>6118</v>
      </c>
      <c r="AC479" s="50">
        <f t="shared" si="29"/>
        <v>0</v>
      </c>
      <c r="AD479" s="15">
        <f t="shared" si="28"/>
        <v>263105</v>
      </c>
    </row>
    <row r="480" spans="1:30" ht="16.5" thickBot="1" x14ac:dyDescent="0.3">
      <c r="A480" t="s">
        <v>27</v>
      </c>
      <c r="B480" s="6" t="s">
        <v>27</v>
      </c>
      <c r="C480" s="50">
        <f t="shared" si="32"/>
        <v>1460</v>
      </c>
      <c r="D480" s="50">
        <f t="shared" si="32"/>
        <v>1628</v>
      </c>
      <c r="E480" s="50">
        <f t="shared" si="32"/>
        <v>1187</v>
      </c>
      <c r="F480" s="50">
        <f t="shared" si="32"/>
        <v>975</v>
      </c>
      <c r="G480" s="50">
        <f t="shared" si="32"/>
        <v>1650</v>
      </c>
      <c r="H480" s="50">
        <f t="shared" si="32"/>
        <v>174960</v>
      </c>
      <c r="I480" s="50">
        <f t="shared" si="32"/>
        <v>11058</v>
      </c>
      <c r="J480" s="50">
        <f t="shared" si="32"/>
        <v>1066</v>
      </c>
      <c r="K480" s="50">
        <f t="shared" si="32"/>
        <v>3276</v>
      </c>
      <c r="L480" s="50">
        <f t="shared" si="32"/>
        <v>2834</v>
      </c>
      <c r="M480" s="50">
        <f t="shared" si="32"/>
        <v>2601</v>
      </c>
      <c r="N480" s="50">
        <f t="shared" si="32"/>
        <v>1946</v>
      </c>
      <c r="O480" s="50">
        <f t="shared" si="32"/>
        <v>2188</v>
      </c>
      <c r="P480" s="50">
        <f t="shared" si="32"/>
        <v>21308</v>
      </c>
      <c r="Q480" s="50">
        <f t="shared" si="32"/>
        <v>13709</v>
      </c>
      <c r="R480" s="50">
        <f t="shared" si="32"/>
        <v>3375</v>
      </c>
      <c r="S480" s="50">
        <f t="shared" si="32"/>
        <v>18095</v>
      </c>
      <c r="T480" s="50">
        <f t="shared" si="32"/>
        <v>8616</v>
      </c>
      <c r="U480" s="50">
        <f t="shared" si="32"/>
        <v>15183</v>
      </c>
      <c r="V480" s="50">
        <f t="shared" si="32"/>
        <v>10646</v>
      </c>
      <c r="W480" s="50">
        <f t="shared" si="32"/>
        <v>5818</v>
      </c>
      <c r="X480" s="50">
        <f t="shared" si="32"/>
        <v>15602</v>
      </c>
      <c r="Y480" s="50">
        <f t="shared" si="32"/>
        <v>9782</v>
      </c>
      <c r="Z480" s="50">
        <f t="shared" si="32"/>
        <v>14851</v>
      </c>
      <c r="AA480" s="50">
        <f t="shared" si="32"/>
        <v>11098</v>
      </c>
      <c r="AB480" s="50">
        <f t="shared" si="32"/>
        <v>2986</v>
      </c>
      <c r="AC480" s="50">
        <f t="shared" si="29"/>
        <v>0</v>
      </c>
      <c r="AD480" s="15">
        <f t="shared" si="28"/>
        <v>357898</v>
      </c>
    </row>
    <row r="481" spans="1:30" ht="15.75" x14ac:dyDescent="0.25">
      <c r="A481" t="s">
        <v>28</v>
      </c>
      <c r="B481" s="6" t="s">
        <v>28</v>
      </c>
      <c r="C481" s="50">
        <f t="shared" si="32"/>
        <v>0</v>
      </c>
      <c r="D481" s="50">
        <f t="shared" si="32"/>
        <v>0</v>
      </c>
      <c r="E481" s="50">
        <f t="shared" si="32"/>
        <v>0</v>
      </c>
      <c r="F481" s="50">
        <f t="shared" si="32"/>
        <v>0</v>
      </c>
      <c r="G481" s="50">
        <f t="shared" si="32"/>
        <v>0</v>
      </c>
      <c r="H481" s="50">
        <f t="shared" si="32"/>
        <v>0</v>
      </c>
      <c r="I481" s="50">
        <f t="shared" si="32"/>
        <v>0</v>
      </c>
      <c r="J481" s="50">
        <f t="shared" si="32"/>
        <v>0</v>
      </c>
      <c r="K481" s="50">
        <f t="shared" si="32"/>
        <v>0</v>
      </c>
      <c r="L481" s="50">
        <f t="shared" si="32"/>
        <v>0</v>
      </c>
      <c r="M481" s="50">
        <f t="shared" si="32"/>
        <v>0</v>
      </c>
      <c r="N481" s="50">
        <f t="shared" si="32"/>
        <v>0</v>
      </c>
      <c r="O481" s="50">
        <f t="shared" si="32"/>
        <v>0</v>
      </c>
      <c r="P481" s="50">
        <f t="shared" si="32"/>
        <v>0</v>
      </c>
      <c r="Q481" s="50">
        <f t="shared" si="32"/>
        <v>0</v>
      </c>
      <c r="R481" s="50">
        <f t="shared" si="32"/>
        <v>0</v>
      </c>
      <c r="S481" s="50">
        <f t="shared" si="32"/>
        <v>0</v>
      </c>
      <c r="T481" s="50">
        <f t="shared" si="32"/>
        <v>0</v>
      </c>
      <c r="U481" s="50">
        <f t="shared" si="32"/>
        <v>0</v>
      </c>
      <c r="V481" s="50">
        <f t="shared" si="32"/>
        <v>0</v>
      </c>
      <c r="W481" s="50">
        <f t="shared" si="32"/>
        <v>0</v>
      </c>
      <c r="X481" s="50">
        <f t="shared" si="32"/>
        <v>0</v>
      </c>
      <c r="Y481" s="50">
        <f t="shared" si="32"/>
        <v>0</v>
      </c>
      <c r="Z481" s="50">
        <f t="shared" si="32"/>
        <v>0</v>
      </c>
      <c r="AA481" s="50">
        <f t="shared" si="32"/>
        <v>0</v>
      </c>
      <c r="AB481" s="50">
        <f t="shared" si="32"/>
        <v>0</v>
      </c>
      <c r="AC481" s="50">
        <f t="shared" ref="AC481" si="33">+AC446+AC413+AC378+AC343+AC310+AC276+AC243+AC209+AC175+AC140+AC105+AC69</f>
        <v>0</v>
      </c>
      <c r="AD481" s="15">
        <f t="shared" si="28"/>
        <v>0</v>
      </c>
    </row>
    <row r="482" spans="1:30" ht="15.75" x14ac:dyDescent="0.25">
      <c r="B482" s="3" t="s">
        <v>30</v>
      </c>
      <c r="C482" s="41">
        <f>SUM(C455:C481)</f>
        <v>91539</v>
      </c>
      <c r="D482" s="41">
        <f t="shared" ref="D482:AD482" si="34">SUM(D455:D481)</f>
        <v>46895</v>
      </c>
      <c r="E482" s="41">
        <f t="shared" si="34"/>
        <v>44602</v>
      </c>
      <c r="F482" s="41">
        <f t="shared" si="34"/>
        <v>31051</v>
      </c>
      <c r="G482" s="41">
        <f t="shared" si="34"/>
        <v>47495</v>
      </c>
      <c r="H482" s="41">
        <f t="shared" si="34"/>
        <v>1220375</v>
      </c>
      <c r="I482" s="41">
        <f t="shared" si="34"/>
        <v>136784</v>
      </c>
      <c r="J482" s="41">
        <f t="shared" si="34"/>
        <v>35587</v>
      </c>
      <c r="K482" s="41">
        <f t="shared" si="34"/>
        <v>51919</v>
      </c>
      <c r="L482" s="41">
        <f t="shared" si="34"/>
        <v>52331</v>
      </c>
      <c r="M482" s="41">
        <f t="shared" si="34"/>
        <v>52574</v>
      </c>
      <c r="N482" s="41">
        <f t="shared" si="34"/>
        <v>33537</v>
      </c>
      <c r="O482" s="41">
        <f t="shared" si="34"/>
        <v>48901</v>
      </c>
      <c r="P482" s="41">
        <f t="shared" si="34"/>
        <v>195120</v>
      </c>
      <c r="Q482" s="41">
        <f t="shared" si="34"/>
        <v>145097</v>
      </c>
      <c r="R482" s="41">
        <f t="shared" si="34"/>
        <v>54963</v>
      </c>
      <c r="S482" s="41">
        <f t="shared" si="34"/>
        <v>232784</v>
      </c>
      <c r="T482" s="41">
        <f t="shared" si="34"/>
        <v>114792</v>
      </c>
      <c r="U482" s="41">
        <f t="shared" si="34"/>
        <v>296286</v>
      </c>
      <c r="V482" s="41">
        <f t="shared" si="34"/>
        <v>197550</v>
      </c>
      <c r="W482" s="41">
        <f t="shared" si="34"/>
        <v>143208</v>
      </c>
      <c r="X482" s="41">
        <f t="shared" si="34"/>
        <v>314961</v>
      </c>
      <c r="Y482" s="41">
        <f t="shared" si="34"/>
        <v>178458</v>
      </c>
      <c r="Z482" s="41">
        <f t="shared" si="34"/>
        <v>273186</v>
      </c>
      <c r="AA482" s="41">
        <f t="shared" si="34"/>
        <v>264253</v>
      </c>
      <c r="AB482" s="41">
        <f t="shared" si="34"/>
        <v>308836</v>
      </c>
      <c r="AC482" s="41">
        <f t="shared" si="34"/>
        <v>0</v>
      </c>
      <c r="AD482" s="43">
        <f t="shared" si="34"/>
        <v>4613084</v>
      </c>
    </row>
    <row r="488" spans="1:30" x14ac:dyDescent="0.25">
      <c r="D488" t="s">
        <v>45</v>
      </c>
      <c r="E488" t="s">
        <v>46</v>
      </c>
      <c r="F488" t="s">
        <v>47</v>
      </c>
      <c r="I488" t="s">
        <v>48</v>
      </c>
    </row>
    <row r="489" spans="1:30" ht="15.75" x14ac:dyDescent="0.25">
      <c r="C489" t="s">
        <v>31</v>
      </c>
      <c r="D489" s="45">
        <f>+SUMPRODUCT($C$9:$AC$35,C43:AC69)</f>
        <v>12098353.435000004</v>
      </c>
      <c r="E489" s="45">
        <f>+D489/F489</f>
        <v>16.511564356097832</v>
      </c>
      <c r="F489" s="45">
        <f>+AD70</f>
        <v>732720</v>
      </c>
      <c r="G489" s="51">
        <v>335570.54706889001</v>
      </c>
      <c r="H489" s="45">
        <f>+F489-G489</f>
        <v>397149.45293110999</v>
      </c>
      <c r="I489" s="45">
        <f>+'[1]REAL 2025'!C4</f>
        <v>895289</v>
      </c>
      <c r="J489" s="45">
        <f>+I489-F489</f>
        <v>162569</v>
      </c>
    </row>
    <row r="490" spans="1:30" ht="15.75" x14ac:dyDescent="0.25">
      <c r="C490" t="s">
        <v>32</v>
      </c>
      <c r="D490" s="45">
        <f>+SUMPRODUCT($C$9:$AC$35,C79:AC105)</f>
        <v>11572300.119999997</v>
      </c>
      <c r="E490" s="45">
        <f t="shared" ref="E490:E500" si="35">+D490/F490</f>
        <v>16.579939137785288</v>
      </c>
      <c r="F490" s="45">
        <f>+AD106</f>
        <v>697970</v>
      </c>
      <c r="G490" s="51">
        <v>291725.08252090198</v>
      </c>
      <c r="H490" s="45">
        <f t="shared" ref="H490:H500" si="36">+F490-G490</f>
        <v>406244.91747909802</v>
      </c>
      <c r="I490" s="45">
        <f>+'[1]REAL 2025'!D4</f>
        <v>0</v>
      </c>
      <c r="J490" s="45">
        <f t="shared" ref="J490:J500" si="37">+I490-F490</f>
        <v>-697970</v>
      </c>
    </row>
    <row r="491" spans="1:30" ht="15.75" x14ac:dyDescent="0.25">
      <c r="C491" t="s">
        <v>34</v>
      </c>
      <c r="D491" s="45">
        <f>+SUMPRODUCT($C$9:$AC$35,C114:AC140)</f>
        <v>18600589.954999987</v>
      </c>
      <c r="E491" s="45">
        <f t="shared" si="35"/>
        <v>16.869753269544702</v>
      </c>
      <c r="F491" s="45">
        <f>+AD141</f>
        <v>1102600</v>
      </c>
      <c r="G491" s="51">
        <v>459991.03912384546</v>
      </c>
      <c r="H491" s="45">
        <f t="shared" si="36"/>
        <v>642608.96087615448</v>
      </c>
      <c r="I491" s="45">
        <f>+'[1]REAL 2025'!E4</f>
        <v>0</v>
      </c>
      <c r="J491" s="45">
        <f t="shared" si="37"/>
        <v>-1102600</v>
      </c>
    </row>
    <row r="492" spans="1:30" ht="15.75" x14ac:dyDescent="0.25">
      <c r="C492" t="s">
        <v>35</v>
      </c>
      <c r="D492" s="45">
        <f>+SUMPRODUCT($C$9:$AC$35,C149:AC175)</f>
        <v>18659260.045000013</v>
      </c>
      <c r="E492" s="45">
        <f t="shared" si="35"/>
        <v>16.99808790801357</v>
      </c>
      <c r="F492" s="45">
        <f>+AD176</f>
        <v>1097727</v>
      </c>
      <c r="G492" s="51">
        <v>381338.74389087211</v>
      </c>
      <c r="H492" s="45">
        <f t="shared" si="36"/>
        <v>716388.25610912789</v>
      </c>
      <c r="I492" s="45">
        <f>+'[1]REAL 2025'!F4</f>
        <v>0</v>
      </c>
      <c r="J492" s="45">
        <f t="shared" si="37"/>
        <v>-1097727</v>
      </c>
    </row>
    <row r="493" spans="1:30" ht="15.75" x14ac:dyDescent="0.25">
      <c r="C493" t="s">
        <v>36</v>
      </c>
      <c r="D493" s="45">
        <f>+SUMPRODUCT($C$9:$AC$35,C183:AC209)</f>
        <v>16492793.859999986</v>
      </c>
      <c r="E493" s="45">
        <f t="shared" si="35"/>
        <v>16.793959943669819</v>
      </c>
      <c r="F493" s="45">
        <f>+AD210</f>
        <v>982067</v>
      </c>
      <c r="G493" s="51">
        <v>443068.30684985133</v>
      </c>
      <c r="H493" s="45">
        <f t="shared" si="36"/>
        <v>538998.69315014873</v>
      </c>
      <c r="I493" s="45">
        <f>+'[1]REAL 2025'!G4</f>
        <v>0</v>
      </c>
      <c r="J493" s="45">
        <f t="shared" si="37"/>
        <v>-982067</v>
      </c>
    </row>
    <row r="494" spans="1:30" ht="15.75" x14ac:dyDescent="0.25">
      <c r="C494" t="s">
        <v>37</v>
      </c>
      <c r="D494" s="45">
        <f>+SUMPRODUCT($C$9:$AC$35,C217:AC243)</f>
        <v>0</v>
      </c>
      <c r="E494" s="45" t="e">
        <f t="shared" si="35"/>
        <v>#DIV/0!</v>
      </c>
      <c r="F494" s="45">
        <f>+AD244</f>
        <v>0</v>
      </c>
      <c r="G494" s="51">
        <v>403090.73753893567</v>
      </c>
      <c r="H494" s="45">
        <f t="shared" si="36"/>
        <v>-403090.73753893567</v>
      </c>
      <c r="I494" s="45">
        <f>+'[1]REAL 2025'!H4</f>
        <v>0</v>
      </c>
      <c r="J494" s="45">
        <f t="shared" si="37"/>
        <v>0</v>
      </c>
    </row>
    <row r="495" spans="1:30" ht="15.75" x14ac:dyDescent="0.25">
      <c r="C495" t="s">
        <v>49</v>
      </c>
      <c r="D495" s="45">
        <f>+SUMPRODUCT($C$9:$AC$35,C250:AC276)</f>
        <v>0</v>
      </c>
      <c r="E495" s="45" t="e">
        <f t="shared" si="35"/>
        <v>#DIV/0!</v>
      </c>
      <c r="F495" s="45">
        <f>+AD277</f>
        <v>0</v>
      </c>
      <c r="G495" s="51">
        <v>377300.11002786923</v>
      </c>
      <c r="H495" s="45">
        <f t="shared" si="36"/>
        <v>-377300.11002786923</v>
      </c>
      <c r="I495" s="45">
        <f>+'[1]REAL 2025'!I4</f>
        <v>0</v>
      </c>
      <c r="J495" s="45">
        <f t="shared" si="37"/>
        <v>0</v>
      </c>
    </row>
    <row r="496" spans="1:30" ht="15.75" x14ac:dyDescent="0.25">
      <c r="C496" t="s">
        <v>50</v>
      </c>
      <c r="D496" s="45">
        <f>+SUMPRODUCT($C$9:$AC$35,C284:AC310)</f>
        <v>0</v>
      </c>
      <c r="E496" s="45" t="e">
        <f t="shared" si="35"/>
        <v>#DIV/0!</v>
      </c>
      <c r="F496" s="45">
        <f>+AD311</f>
        <v>0</v>
      </c>
      <c r="G496" s="51">
        <v>393261.47616486618</v>
      </c>
      <c r="H496" s="45">
        <f t="shared" si="36"/>
        <v>-393261.47616486618</v>
      </c>
      <c r="I496" s="45">
        <f>+'[1]REAL 2025'!J4</f>
        <v>0</v>
      </c>
      <c r="J496" s="45">
        <f t="shared" si="37"/>
        <v>0</v>
      </c>
    </row>
    <row r="497" spans="2:14" ht="15.75" x14ac:dyDescent="0.25">
      <c r="C497" t="s">
        <v>40</v>
      </c>
      <c r="D497" s="45">
        <f>+SUMPRODUCT($C$9:$AC$35,C317:AC343)</f>
        <v>0</v>
      </c>
      <c r="E497" s="45" t="e">
        <f t="shared" si="35"/>
        <v>#DIV/0!</v>
      </c>
      <c r="F497" s="45">
        <f>+AD344</f>
        <v>0</v>
      </c>
      <c r="G497" s="51">
        <v>337493.27934288408</v>
      </c>
      <c r="H497" s="45">
        <f t="shared" si="36"/>
        <v>-337493.27934288408</v>
      </c>
      <c r="I497" s="45">
        <f>+'[1]REAL 2025'!K4</f>
        <v>0</v>
      </c>
      <c r="J497" s="45">
        <f t="shared" si="37"/>
        <v>0</v>
      </c>
    </row>
    <row r="498" spans="2:14" ht="15.75" x14ac:dyDescent="0.25">
      <c r="C498" t="s">
        <v>41</v>
      </c>
      <c r="D498" s="45">
        <f>+SUMPRODUCT($C$9:$AC$35,C352:AC378)</f>
        <v>0</v>
      </c>
      <c r="E498" s="45" t="e">
        <f t="shared" si="35"/>
        <v>#DIV/0!</v>
      </c>
      <c r="F498" s="45">
        <f>+AD379</f>
        <v>0</v>
      </c>
      <c r="G498" s="51">
        <v>393396.06742404593</v>
      </c>
      <c r="H498" s="45">
        <f t="shared" si="36"/>
        <v>-393396.06742404593</v>
      </c>
      <c r="I498" s="45">
        <f>+'[1]REAL 2025'!L4</f>
        <v>0</v>
      </c>
      <c r="J498" s="45">
        <f t="shared" si="37"/>
        <v>0</v>
      </c>
    </row>
    <row r="499" spans="2:14" ht="15.75" x14ac:dyDescent="0.25">
      <c r="C499" t="s">
        <v>42</v>
      </c>
      <c r="D499" s="45">
        <f>+SUMPRODUCT($C$9:$AC$35,C387:AC413)</f>
        <v>0</v>
      </c>
      <c r="E499" s="45" t="e">
        <f t="shared" si="35"/>
        <v>#DIV/0!</v>
      </c>
      <c r="F499" s="45">
        <f>+AD414</f>
        <v>0</v>
      </c>
      <c r="G499" s="51">
        <v>417486.68033696822</v>
      </c>
      <c r="H499" s="45">
        <f t="shared" si="36"/>
        <v>-417486.68033696822</v>
      </c>
      <c r="I499" s="45">
        <f>+'[1]REAL 2025'!M4</f>
        <v>0</v>
      </c>
      <c r="J499" s="45">
        <f t="shared" si="37"/>
        <v>0</v>
      </c>
    </row>
    <row r="500" spans="2:14" ht="15.75" x14ac:dyDescent="0.25">
      <c r="C500" t="s">
        <v>43</v>
      </c>
      <c r="D500" s="45">
        <f>+SUMPRODUCT($C$9:$AC$35,C420:AC446)</f>
        <v>0</v>
      </c>
      <c r="E500" s="45" t="e">
        <f t="shared" si="35"/>
        <v>#DIV/0!</v>
      </c>
      <c r="F500" s="45">
        <f>+AD447</f>
        <v>0</v>
      </c>
      <c r="G500" s="51">
        <v>352876.92971006746</v>
      </c>
      <c r="H500" s="45">
        <f t="shared" si="36"/>
        <v>-352876.92971006746</v>
      </c>
      <c r="I500" s="45">
        <f>+'[1]REAL 2025'!N4</f>
        <v>0</v>
      </c>
      <c r="J500" s="45">
        <f t="shared" si="37"/>
        <v>0</v>
      </c>
    </row>
    <row r="505" spans="2:14" x14ac:dyDescent="0.25">
      <c r="C505" t="s">
        <v>51</v>
      </c>
      <c r="D505" t="s">
        <v>52</v>
      </c>
      <c r="E505" t="s">
        <v>53</v>
      </c>
      <c r="F505" t="s">
        <v>54</v>
      </c>
      <c r="G505" t="s">
        <v>55</v>
      </c>
      <c r="H505" t="s">
        <v>56</v>
      </c>
      <c r="I505" t="s">
        <v>57</v>
      </c>
      <c r="J505" t="s">
        <v>58</v>
      </c>
      <c r="K505" t="s">
        <v>59</v>
      </c>
      <c r="L505" t="s">
        <v>60</v>
      </c>
      <c r="M505" t="s">
        <v>61</v>
      </c>
      <c r="N505" t="s">
        <v>62</v>
      </c>
    </row>
    <row r="506" spans="2:14" x14ac:dyDescent="0.25">
      <c r="B506" t="s">
        <v>63</v>
      </c>
      <c r="C506" s="45">
        <f>+D489</f>
        <v>12098353.435000004</v>
      </c>
      <c r="D506" s="45">
        <f>+D490</f>
        <v>11572300.119999997</v>
      </c>
      <c r="E506" s="45">
        <f>+D491</f>
        <v>18600589.954999987</v>
      </c>
      <c r="F506" s="45">
        <f>+D492</f>
        <v>18659260.045000013</v>
      </c>
      <c r="G506" s="45">
        <f>+D493</f>
        <v>16492793.859999986</v>
      </c>
      <c r="H506" s="45">
        <f>+D494</f>
        <v>0</v>
      </c>
      <c r="I506" s="45">
        <f>+D495</f>
        <v>0</v>
      </c>
      <c r="J506" s="45">
        <f>+D496</f>
        <v>0</v>
      </c>
      <c r="K506" s="45">
        <f>+D497</f>
        <v>0</v>
      </c>
      <c r="L506" s="45">
        <f>+D498</f>
        <v>0</v>
      </c>
      <c r="M506" s="45">
        <f>+D499</f>
        <v>0</v>
      </c>
      <c r="N506" s="45">
        <f>+D500</f>
        <v>0</v>
      </c>
    </row>
  </sheetData>
  <mergeCells count="1">
    <mergeCell ref="B4:G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52F5-3250-4003-A33A-FA7E0C2620E4}">
  <dimension ref="A1:BY430"/>
  <sheetViews>
    <sheetView showOutlineSymbols="0" showWhiteSpace="0" topLeftCell="A139" zoomScale="55" zoomScaleNormal="55" workbookViewId="0">
      <selection activeCell="C183" sqref="C183:AB208"/>
    </sheetView>
  </sheetViews>
  <sheetFormatPr baseColWidth="10" defaultColWidth="9.140625" defaultRowHeight="12.75" x14ac:dyDescent="0.2"/>
  <cols>
    <col min="1" max="1" width="9.140625" style="52" customWidth="1"/>
    <col min="2" max="2" width="17.140625" style="52" customWidth="1"/>
    <col min="3" max="3" width="10" style="52" customWidth="1"/>
    <col min="4" max="4" width="12.7109375" style="52" bestFit="1" customWidth="1"/>
    <col min="5" max="5" width="14.42578125" style="52" bestFit="1" customWidth="1"/>
    <col min="6" max="6" width="13.7109375" style="52" bestFit="1" customWidth="1"/>
    <col min="7" max="7" width="12.42578125" style="52" bestFit="1" customWidth="1"/>
    <col min="8" max="8" width="13.7109375" style="52" customWidth="1"/>
    <col min="9" max="9" width="15.28515625" style="52" bestFit="1" customWidth="1"/>
    <col min="10" max="10" width="13" style="52" customWidth="1"/>
    <col min="11" max="11" width="13.28515625" style="52" bestFit="1" customWidth="1"/>
    <col min="12" max="12" width="14.42578125" style="52" customWidth="1"/>
    <col min="13" max="17" width="13.28515625" style="52" customWidth="1"/>
    <col min="18" max="18" width="10.5703125" style="52" customWidth="1"/>
    <col min="19" max="19" width="10.28515625" style="52" customWidth="1"/>
    <col min="20" max="20" width="13.28515625" style="52" customWidth="1"/>
    <col min="21" max="21" width="9.85546875" style="52" customWidth="1"/>
    <col min="22" max="22" width="14" style="52" customWidth="1"/>
    <col min="23" max="23" width="10" style="52" bestFit="1" customWidth="1"/>
    <col min="24" max="24" width="10.85546875" style="52" customWidth="1"/>
    <col min="25" max="25" width="10.85546875" style="52" bestFit="1" customWidth="1"/>
    <col min="26" max="16384" width="9.140625" style="52"/>
  </cols>
  <sheetData>
    <row r="1" spans="2:24" ht="13.5" thickBot="1" x14ac:dyDescent="0.25"/>
    <row r="2" spans="2:24" ht="13.5" thickBot="1" x14ac:dyDescent="0.25">
      <c r="C2" s="53"/>
      <c r="D2" s="54"/>
      <c r="E2" s="54"/>
      <c r="F2" s="54"/>
      <c r="G2" s="54"/>
      <c r="H2" s="55" t="s">
        <v>64</v>
      </c>
      <c r="I2" s="55"/>
      <c r="J2" s="55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6"/>
    </row>
    <row r="3" spans="2:24" ht="27" thickBot="1" x14ac:dyDescent="0.3">
      <c r="B3" s="57" t="s">
        <v>65</v>
      </c>
      <c r="C3" s="58" t="s">
        <v>14</v>
      </c>
      <c r="D3" s="59" t="s">
        <v>13</v>
      </c>
      <c r="E3" s="58" t="s">
        <v>12</v>
      </c>
      <c r="F3" s="59" t="s">
        <v>11</v>
      </c>
      <c r="G3" s="58" t="s">
        <v>10</v>
      </c>
      <c r="H3" s="60" t="s">
        <v>9</v>
      </c>
      <c r="I3" s="58" t="s">
        <v>66</v>
      </c>
      <c r="J3" s="59" t="s">
        <v>6</v>
      </c>
      <c r="K3" s="61" t="s">
        <v>67</v>
      </c>
      <c r="L3" s="58" t="s">
        <v>68</v>
      </c>
      <c r="M3" s="58" t="s">
        <v>69</v>
      </c>
      <c r="N3" s="58" t="s">
        <v>2</v>
      </c>
      <c r="O3" s="59" t="s">
        <v>70</v>
      </c>
      <c r="P3" s="58" t="s">
        <v>71</v>
      </c>
      <c r="Q3" s="59" t="s">
        <v>72</v>
      </c>
      <c r="R3" s="61" t="s">
        <v>73</v>
      </c>
      <c r="S3" s="61" t="s">
        <v>74</v>
      </c>
      <c r="T3" s="59" t="s">
        <v>75</v>
      </c>
      <c r="U3" s="58" t="s">
        <v>76</v>
      </c>
      <c r="V3" s="59" t="s">
        <v>77</v>
      </c>
      <c r="W3" s="61" t="s">
        <v>78</v>
      </c>
      <c r="X3" s="62" t="s">
        <v>79</v>
      </c>
    </row>
    <row r="4" spans="2:24" x14ac:dyDescent="0.2">
      <c r="B4" s="63" t="s">
        <v>14</v>
      </c>
      <c r="C4" s="64">
        <v>0</v>
      </c>
      <c r="D4" s="64">
        <v>1.4</v>
      </c>
      <c r="E4" s="64">
        <v>4.6000000000000085</v>
      </c>
      <c r="F4" s="64">
        <v>6.6000000000000085</v>
      </c>
      <c r="G4" s="64">
        <v>8.6000000000000085</v>
      </c>
      <c r="H4" s="64">
        <v>11.5</v>
      </c>
      <c r="I4" s="64">
        <v>14.5</v>
      </c>
      <c r="J4" s="64">
        <v>24.6</v>
      </c>
      <c r="K4" s="64">
        <v>25.700000000000003</v>
      </c>
      <c r="L4" s="64">
        <v>27.700000000000003</v>
      </c>
      <c r="M4" s="64">
        <v>30.1</v>
      </c>
      <c r="N4" s="64">
        <v>38</v>
      </c>
      <c r="O4" s="64">
        <v>47.7</v>
      </c>
      <c r="P4" s="64">
        <v>50.800000000000004</v>
      </c>
      <c r="Q4" s="64">
        <v>55.400000000000006</v>
      </c>
      <c r="R4" s="64">
        <v>62.7</v>
      </c>
      <c r="S4" s="64">
        <v>60.7</v>
      </c>
      <c r="T4" s="64">
        <v>61.7</v>
      </c>
      <c r="U4" s="64">
        <v>69.400000000000006</v>
      </c>
      <c r="V4" s="64">
        <v>76.400000000000006</v>
      </c>
      <c r="W4" s="64">
        <v>84.7</v>
      </c>
      <c r="X4" s="65">
        <f>86.95</f>
        <v>86.95</v>
      </c>
    </row>
    <row r="5" spans="2:24" x14ac:dyDescent="0.2">
      <c r="B5" s="66" t="s">
        <v>13</v>
      </c>
      <c r="C5" s="67">
        <v>1.4</v>
      </c>
      <c r="D5" s="67">
        <v>0</v>
      </c>
      <c r="E5" s="67">
        <v>3.2</v>
      </c>
      <c r="F5" s="67">
        <v>5.2000000000000028</v>
      </c>
      <c r="G5" s="67">
        <v>7.2000000000000028</v>
      </c>
      <c r="H5" s="67">
        <v>10.099999999999994</v>
      </c>
      <c r="I5" s="67">
        <v>13.099999999999994</v>
      </c>
      <c r="J5" s="67">
        <v>23.199999999999996</v>
      </c>
      <c r="K5" s="67">
        <v>24.299999999999997</v>
      </c>
      <c r="L5" s="67">
        <v>26.299999999999997</v>
      </c>
      <c r="M5" s="67">
        <v>28.699999999999996</v>
      </c>
      <c r="N5" s="67">
        <v>36.599999999999994</v>
      </c>
      <c r="O5" s="67">
        <v>46.3</v>
      </c>
      <c r="P5" s="67">
        <v>49.4</v>
      </c>
      <c r="Q5" s="67">
        <v>54</v>
      </c>
      <c r="R5" s="67">
        <v>61.3</v>
      </c>
      <c r="S5" s="67">
        <v>59.3</v>
      </c>
      <c r="T5" s="67">
        <v>60.3</v>
      </c>
      <c r="U5" s="67">
        <v>68</v>
      </c>
      <c r="V5" s="67">
        <v>75</v>
      </c>
      <c r="W5" s="67">
        <v>83.3</v>
      </c>
      <c r="X5" s="68">
        <v>85.55</v>
      </c>
    </row>
    <row r="6" spans="2:24" x14ac:dyDescent="0.2">
      <c r="B6" s="66" t="s">
        <v>12</v>
      </c>
      <c r="C6" s="67">
        <v>4.6000000000000085</v>
      </c>
      <c r="D6" s="67">
        <v>3.2</v>
      </c>
      <c r="E6" s="67">
        <v>0</v>
      </c>
      <c r="F6" s="67">
        <v>2</v>
      </c>
      <c r="G6" s="67">
        <v>4</v>
      </c>
      <c r="H6" s="67">
        <v>6.8999999999999915</v>
      </c>
      <c r="I6" s="67">
        <v>9.8999999999999915</v>
      </c>
      <c r="J6" s="67">
        <v>19.999999999999993</v>
      </c>
      <c r="K6" s="67">
        <v>21.099999999999994</v>
      </c>
      <c r="L6" s="67">
        <v>23.099999999999994</v>
      </c>
      <c r="M6" s="67">
        <v>25.499999999999993</v>
      </c>
      <c r="N6" s="67">
        <v>33.399999999999991</v>
      </c>
      <c r="O6" s="67">
        <v>43.099999999999994</v>
      </c>
      <c r="P6" s="67">
        <v>46.199999999999996</v>
      </c>
      <c r="Q6" s="67">
        <v>50.8</v>
      </c>
      <c r="R6" s="67">
        <v>58.099999999999994</v>
      </c>
      <c r="S6" s="67">
        <v>56.099999999999994</v>
      </c>
      <c r="T6" s="67">
        <v>57.099999999999994</v>
      </c>
      <c r="U6" s="67">
        <v>64.8</v>
      </c>
      <c r="V6" s="67">
        <v>71.8</v>
      </c>
      <c r="W6" s="67">
        <v>80.099999999999994</v>
      </c>
      <c r="X6" s="68">
        <v>82.35</v>
      </c>
    </row>
    <row r="7" spans="2:24" x14ac:dyDescent="0.2">
      <c r="B7" s="66" t="s">
        <v>11</v>
      </c>
      <c r="C7" s="67">
        <v>6.6000000000000085</v>
      </c>
      <c r="D7" s="67">
        <v>5.2000000000000028</v>
      </c>
      <c r="E7" s="67">
        <v>2</v>
      </c>
      <c r="F7" s="67">
        <v>0</v>
      </c>
      <c r="G7" s="67">
        <v>2</v>
      </c>
      <c r="H7" s="67">
        <v>4.8999999999999915</v>
      </c>
      <c r="I7" s="67">
        <v>7.8999999999999915</v>
      </c>
      <c r="J7" s="67">
        <v>17.999999999999993</v>
      </c>
      <c r="K7" s="67">
        <v>19.099999999999994</v>
      </c>
      <c r="L7" s="67">
        <v>21.099999999999994</v>
      </c>
      <c r="M7" s="67">
        <v>23.499999999999993</v>
      </c>
      <c r="N7" s="67">
        <v>31.399999999999991</v>
      </c>
      <c r="O7" s="67">
        <v>41.099999999999994</v>
      </c>
      <c r="P7" s="67">
        <v>44.199999999999996</v>
      </c>
      <c r="Q7" s="67">
        <v>48.8</v>
      </c>
      <c r="R7" s="67">
        <v>56.099999999999994</v>
      </c>
      <c r="S7" s="67">
        <v>54.099999999999994</v>
      </c>
      <c r="T7" s="67">
        <v>55.099999999999994</v>
      </c>
      <c r="U7" s="67">
        <v>62.8</v>
      </c>
      <c r="V7" s="67">
        <v>69.8</v>
      </c>
      <c r="W7" s="67">
        <v>78.099999999999994</v>
      </c>
      <c r="X7" s="68">
        <v>80.349999999999994</v>
      </c>
    </row>
    <row r="8" spans="2:24" x14ac:dyDescent="0.2">
      <c r="B8" s="66" t="s">
        <v>10</v>
      </c>
      <c r="C8" s="67">
        <v>8.6000000000000085</v>
      </c>
      <c r="D8" s="67">
        <v>7.2000000000000028</v>
      </c>
      <c r="E8" s="67">
        <v>4</v>
      </c>
      <c r="F8" s="67">
        <v>2</v>
      </c>
      <c r="G8" s="67">
        <v>0</v>
      </c>
      <c r="H8" s="67">
        <v>2.8999999999999915</v>
      </c>
      <c r="I8" s="67">
        <v>5.8999999999999915</v>
      </c>
      <c r="J8" s="67">
        <v>15.999999999999993</v>
      </c>
      <c r="K8" s="67">
        <v>17.099999999999994</v>
      </c>
      <c r="L8" s="67">
        <v>19.099999999999994</v>
      </c>
      <c r="M8" s="67">
        <v>21.499999999999993</v>
      </c>
      <c r="N8" s="67">
        <v>29.399999999999991</v>
      </c>
      <c r="O8" s="67">
        <v>39.099999999999994</v>
      </c>
      <c r="P8" s="67">
        <v>42.199999999999996</v>
      </c>
      <c r="Q8" s="67">
        <v>46.8</v>
      </c>
      <c r="R8" s="67">
        <v>54.099999999999994</v>
      </c>
      <c r="S8" s="67">
        <v>52.099999999999994</v>
      </c>
      <c r="T8" s="67">
        <v>53.099999999999994</v>
      </c>
      <c r="U8" s="67">
        <v>60.8</v>
      </c>
      <c r="V8" s="67">
        <v>67.8</v>
      </c>
      <c r="W8" s="67">
        <v>76.099999999999994</v>
      </c>
      <c r="X8" s="68">
        <v>78.349999999999994</v>
      </c>
    </row>
    <row r="9" spans="2:24" x14ac:dyDescent="0.2">
      <c r="B9" s="66" t="s">
        <v>9</v>
      </c>
      <c r="C9" s="67">
        <v>11.5</v>
      </c>
      <c r="D9" s="67">
        <v>10.099999999999994</v>
      </c>
      <c r="E9" s="67">
        <v>6.8999999999999915</v>
      </c>
      <c r="F9" s="67">
        <v>4.8999999999999915</v>
      </c>
      <c r="G9" s="67">
        <v>2.9</v>
      </c>
      <c r="H9" s="67">
        <v>0</v>
      </c>
      <c r="I9" s="67">
        <v>3</v>
      </c>
      <c r="J9" s="67">
        <v>13.100000000000001</v>
      </c>
      <c r="K9" s="67">
        <v>14.200000000000003</v>
      </c>
      <c r="L9" s="67">
        <v>16.200000000000003</v>
      </c>
      <c r="M9" s="67">
        <v>18.600000000000001</v>
      </c>
      <c r="N9" s="67">
        <v>26.5</v>
      </c>
      <c r="O9" s="67">
        <v>36.200000000000003</v>
      </c>
      <c r="P9" s="67">
        <v>39.300000000000004</v>
      </c>
      <c r="Q9" s="67">
        <v>43.900000000000006</v>
      </c>
      <c r="R9" s="67">
        <v>51.2</v>
      </c>
      <c r="S9" s="67">
        <v>49.2</v>
      </c>
      <c r="T9" s="67">
        <v>50.2</v>
      </c>
      <c r="U9" s="67">
        <v>57.900000000000006</v>
      </c>
      <c r="V9" s="67">
        <v>64.900000000000006</v>
      </c>
      <c r="W9" s="67">
        <v>73.2</v>
      </c>
      <c r="X9" s="68">
        <v>75.45</v>
      </c>
    </row>
    <row r="10" spans="2:24" x14ac:dyDescent="0.2">
      <c r="B10" s="66" t="s">
        <v>66</v>
      </c>
      <c r="C10" s="67">
        <v>14.5</v>
      </c>
      <c r="D10" s="67">
        <v>13.099999999999994</v>
      </c>
      <c r="E10" s="67">
        <v>9.8999999999999915</v>
      </c>
      <c r="F10" s="67">
        <v>7.8999999999999915</v>
      </c>
      <c r="G10" s="67">
        <v>5.8999999999999915</v>
      </c>
      <c r="H10" s="67">
        <v>3</v>
      </c>
      <c r="I10" s="67">
        <v>0</v>
      </c>
      <c r="J10" s="67">
        <v>10.100000000000001</v>
      </c>
      <c r="K10" s="67">
        <v>11.200000000000003</v>
      </c>
      <c r="L10" s="67">
        <v>13.200000000000003</v>
      </c>
      <c r="M10" s="67">
        <v>15.600000000000001</v>
      </c>
      <c r="N10" s="67">
        <v>23.5</v>
      </c>
      <c r="O10" s="67">
        <v>33.200000000000003</v>
      </c>
      <c r="P10" s="67">
        <v>36.300000000000004</v>
      </c>
      <c r="Q10" s="67">
        <v>40.900000000000006</v>
      </c>
      <c r="R10" s="67">
        <v>48.2</v>
      </c>
      <c r="S10" s="67">
        <v>46.2</v>
      </c>
      <c r="T10" s="67">
        <v>47.2</v>
      </c>
      <c r="U10" s="67">
        <v>54.900000000000006</v>
      </c>
      <c r="V10" s="67">
        <v>61.900000000000006</v>
      </c>
      <c r="W10" s="67">
        <v>70.2</v>
      </c>
      <c r="X10" s="68">
        <v>72.45</v>
      </c>
    </row>
    <row r="11" spans="2:24" x14ac:dyDescent="0.2">
      <c r="B11" s="66" t="s">
        <v>6</v>
      </c>
      <c r="C11" s="67">
        <v>24.6</v>
      </c>
      <c r="D11" s="67">
        <v>23.199999999999996</v>
      </c>
      <c r="E11" s="67">
        <v>19.999999999999993</v>
      </c>
      <c r="F11" s="67">
        <v>17.999999999999993</v>
      </c>
      <c r="G11" s="67">
        <v>15.999999999999993</v>
      </c>
      <c r="H11" s="67">
        <v>13.100000000000001</v>
      </c>
      <c r="I11" s="67">
        <v>10.1</v>
      </c>
      <c r="J11" s="67">
        <v>0</v>
      </c>
      <c r="K11" s="67">
        <v>1.1000000000000014</v>
      </c>
      <c r="L11" s="67">
        <v>3.1000000000000014</v>
      </c>
      <c r="M11" s="67">
        <v>5.5</v>
      </c>
      <c r="N11" s="67">
        <v>13.399999999999999</v>
      </c>
      <c r="O11" s="67">
        <v>23.1</v>
      </c>
      <c r="P11" s="67">
        <v>26.200000000000003</v>
      </c>
      <c r="Q11" s="67">
        <v>30.8</v>
      </c>
      <c r="R11" s="67">
        <v>38.1</v>
      </c>
      <c r="S11" s="67">
        <v>36.1</v>
      </c>
      <c r="T11" s="67">
        <v>37.1</v>
      </c>
      <c r="U11" s="67">
        <v>44.8</v>
      </c>
      <c r="V11" s="67">
        <v>51.8</v>
      </c>
      <c r="W11" s="67">
        <v>60.1</v>
      </c>
      <c r="X11" s="68">
        <v>62.35</v>
      </c>
    </row>
    <row r="12" spans="2:24" x14ac:dyDescent="0.2">
      <c r="B12" s="66" t="s">
        <v>5</v>
      </c>
      <c r="C12" s="67">
        <v>25.700000000000003</v>
      </c>
      <c r="D12" s="67">
        <v>24.299999999999997</v>
      </c>
      <c r="E12" s="67">
        <v>21.099999999999994</v>
      </c>
      <c r="F12" s="67">
        <v>19.099999999999994</v>
      </c>
      <c r="G12" s="67">
        <v>17.099999999999994</v>
      </c>
      <c r="H12" s="67">
        <v>14.200000000000003</v>
      </c>
      <c r="I12" s="67">
        <v>11.200000000000003</v>
      </c>
      <c r="J12" s="67">
        <v>1.1000000000000001</v>
      </c>
      <c r="K12" s="67">
        <v>0</v>
      </c>
      <c r="L12" s="67">
        <v>2</v>
      </c>
      <c r="M12" s="67">
        <v>4.3999999999999986</v>
      </c>
      <c r="N12" s="67">
        <v>12.299999999999997</v>
      </c>
      <c r="O12" s="67">
        <v>22</v>
      </c>
      <c r="P12" s="67">
        <v>25.1</v>
      </c>
      <c r="Q12" s="67">
        <v>29.7</v>
      </c>
      <c r="R12" s="67">
        <v>37</v>
      </c>
      <c r="S12" s="67">
        <v>35</v>
      </c>
      <c r="T12" s="67">
        <v>36</v>
      </c>
      <c r="U12" s="67">
        <v>43.7</v>
      </c>
      <c r="V12" s="67">
        <v>50.7</v>
      </c>
      <c r="W12" s="67">
        <v>59</v>
      </c>
      <c r="X12" s="68">
        <v>61.25</v>
      </c>
    </row>
    <row r="13" spans="2:24" x14ac:dyDescent="0.2">
      <c r="B13" s="66" t="s">
        <v>68</v>
      </c>
      <c r="C13" s="67">
        <v>27.700000000000003</v>
      </c>
      <c r="D13" s="67">
        <v>26.299999999999997</v>
      </c>
      <c r="E13" s="67">
        <v>23.099999999999994</v>
      </c>
      <c r="F13" s="67">
        <v>21.099999999999994</v>
      </c>
      <c r="G13" s="67">
        <v>19.099999999999994</v>
      </c>
      <c r="H13" s="67">
        <v>16.200000000000003</v>
      </c>
      <c r="I13" s="67">
        <v>13.200000000000003</v>
      </c>
      <c r="J13" s="67">
        <v>3.1000000000000014</v>
      </c>
      <c r="K13" s="67">
        <v>2</v>
      </c>
      <c r="L13" s="67">
        <v>0</v>
      </c>
      <c r="M13" s="67">
        <v>2.3999999999999986</v>
      </c>
      <c r="N13" s="67">
        <v>10.299999999999997</v>
      </c>
      <c r="O13" s="67">
        <v>20</v>
      </c>
      <c r="P13" s="67">
        <v>23.1</v>
      </c>
      <c r="Q13" s="67">
        <v>27.7</v>
      </c>
      <c r="R13" s="67">
        <v>35</v>
      </c>
      <c r="S13" s="67">
        <v>33</v>
      </c>
      <c r="T13" s="67">
        <v>34</v>
      </c>
      <c r="U13" s="67">
        <v>41.7</v>
      </c>
      <c r="V13" s="67">
        <v>48.7</v>
      </c>
      <c r="W13" s="67">
        <v>57</v>
      </c>
      <c r="X13" s="68">
        <v>59.25</v>
      </c>
    </row>
    <row r="14" spans="2:24" x14ac:dyDescent="0.2">
      <c r="B14" s="66" t="s">
        <v>80</v>
      </c>
      <c r="C14" s="67">
        <v>30.1</v>
      </c>
      <c r="D14" s="67">
        <v>28.699999999999996</v>
      </c>
      <c r="E14" s="67">
        <v>25.499999999999993</v>
      </c>
      <c r="F14" s="67">
        <v>23.499999999999993</v>
      </c>
      <c r="G14" s="67">
        <v>21.499999999999993</v>
      </c>
      <c r="H14" s="67">
        <v>18.600000000000001</v>
      </c>
      <c r="I14" s="67">
        <v>15.600000000000001</v>
      </c>
      <c r="J14" s="67">
        <v>5.5</v>
      </c>
      <c r="K14" s="67">
        <v>4.3999999999999986</v>
      </c>
      <c r="L14" s="67">
        <v>2.4</v>
      </c>
      <c r="M14" s="67">
        <v>0</v>
      </c>
      <c r="N14" s="67">
        <v>7.8999999999999986</v>
      </c>
      <c r="O14" s="67">
        <v>17.600000000000001</v>
      </c>
      <c r="P14" s="67">
        <v>20.700000000000003</v>
      </c>
      <c r="Q14" s="67">
        <v>25.3</v>
      </c>
      <c r="R14" s="67">
        <v>32.6</v>
      </c>
      <c r="S14" s="67">
        <v>30.6</v>
      </c>
      <c r="T14" s="67">
        <v>31.6</v>
      </c>
      <c r="U14" s="67">
        <v>39.299999999999997</v>
      </c>
      <c r="V14" s="67">
        <v>46.3</v>
      </c>
      <c r="W14" s="67">
        <v>54.6</v>
      </c>
      <c r="X14" s="68">
        <v>56.85</v>
      </c>
    </row>
    <row r="15" spans="2:24" x14ac:dyDescent="0.2">
      <c r="B15" s="66" t="s">
        <v>2</v>
      </c>
      <c r="C15" s="67">
        <v>38</v>
      </c>
      <c r="D15" s="67">
        <v>36.599999999999994</v>
      </c>
      <c r="E15" s="67">
        <v>33.399999999999991</v>
      </c>
      <c r="F15" s="67">
        <v>31.399999999999991</v>
      </c>
      <c r="G15" s="67">
        <v>29.399999999999991</v>
      </c>
      <c r="H15" s="67">
        <v>26.5</v>
      </c>
      <c r="I15" s="67">
        <v>23.5</v>
      </c>
      <c r="J15" s="67">
        <v>13.399999999999999</v>
      </c>
      <c r="K15" s="67">
        <v>12.299999999999997</v>
      </c>
      <c r="L15" s="67">
        <v>10.299999999999997</v>
      </c>
      <c r="M15" s="67">
        <v>7.9</v>
      </c>
      <c r="N15" s="67">
        <v>0</v>
      </c>
      <c r="O15" s="67">
        <v>9.7000000000000028</v>
      </c>
      <c r="P15" s="67">
        <v>12.800000000000004</v>
      </c>
      <c r="Q15" s="67">
        <v>17.400000000000002</v>
      </c>
      <c r="R15" s="67">
        <v>24.700000000000003</v>
      </c>
      <c r="S15" s="67">
        <v>22.700000000000003</v>
      </c>
      <c r="T15" s="67">
        <v>23.700000000000003</v>
      </c>
      <c r="U15" s="67">
        <v>31.400000000000002</v>
      </c>
      <c r="V15" s="67">
        <v>38.400000000000006</v>
      </c>
      <c r="W15" s="67">
        <v>46.7</v>
      </c>
      <c r="X15" s="68">
        <v>48.95</v>
      </c>
    </row>
    <row r="16" spans="2:24" x14ac:dyDescent="0.2">
      <c r="B16" s="66" t="s">
        <v>70</v>
      </c>
      <c r="C16" s="67">
        <v>47.7</v>
      </c>
      <c r="D16" s="67">
        <v>46.3</v>
      </c>
      <c r="E16" s="67">
        <v>43.099999999999994</v>
      </c>
      <c r="F16" s="67">
        <v>41.099999999999994</v>
      </c>
      <c r="G16" s="67">
        <v>39.099999999999994</v>
      </c>
      <c r="H16" s="67">
        <v>36.200000000000003</v>
      </c>
      <c r="I16" s="67">
        <v>33.200000000000003</v>
      </c>
      <c r="J16" s="67">
        <v>23.1</v>
      </c>
      <c r="K16" s="67">
        <v>22</v>
      </c>
      <c r="L16" s="67">
        <v>20</v>
      </c>
      <c r="M16" s="67">
        <v>17.600000000000001</v>
      </c>
      <c r="N16" s="67">
        <v>9.6999999999999993</v>
      </c>
      <c r="O16" s="67">
        <v>0</v>
      </c>
      <c r="P16" s="67">
        <v>3.1</v>
      </c>
      <c r="Q16" s="67">
        <v>7.6999999999999993</v>
      </c>
      <c r="R16" s="67">
        <v>15</v>
      </c>
      <c r="S16" s="67">
        <v>13</v>
      </c>
      <c r="T16" s="67">
        <v>14</v>
      </c>
      <c r="U16" s="67">
        <v>21.7</v>
      </c>
      <c r="V16" s="67">
        <v>28.7</v>
      </c>
      <c r="W16" s="67">
        <v>37</v>
      </c>
      <c r="X16" s="68">
        <v>39.25</v>
      </c>
    </row>
    <row r="17" spans="1:77" x14ac:dyDescent="0.2">
      <c r="B17" s="66" t="s">
        <v>71</v>
      </c>
      <c r="C17" s="67">
        <v>50.800000000000004</v>
      </c>
      <c r="D17" s="67">
        <v>49.4</v>
      </c>
      <c r="E17" s="67">
        <v>46.199999999999996</v>
      </c>
      <c r="F17" s="67">
        <v>44.199999999999996</v>
      </c>
      <c r="G17" s="67">
        <v>42.199999999999996</v>
      </c>
      <c r="H17" s="67">
        <v>39.300000000000004</v>
      </c>
      <c r="I17" s="67">
        <v>36.300000000000004</v>
      </c>
      <c r="J17" s="67">
        <v>26.200000000000003</v>
      </c>
      <c r="K17" s="67">
        <v>25.1</v>
      </c>
      <c r="L17" s="67">
        <v>23.1</v>
      </c>
      <c r="M17" s="67">
        <v>20.700000000000003</v>
      </c>
      <c r="N17" s="67">
        <v>12.800000000000004</v>
      </c>
      <c r="O17" s="67">
        <v>3.1</v>
      </c>
      <c r="P17" s="67">
        <v>0</v>
      </c>
      <c r="Q17" s="67">
        <v>4.5999999999999979</v>
      </c>
      <c r="R17" s="67">
        <v>11.899999999999999</v>
      </c>
      <c r="S17" s="67">
        <v>9.8999999999999986</v>
      </c>
      <c r="T17" s="67">
        <v>10.899999999999999</v>
      </c>
      <c r="U17" s="67">
        <v>18.599999999999998</v>
      </c>
      <c r="V17" s="67">
        <v>25.599999999999998</v>
      </c>
      <c r="W17" s="67">
        <v>33.9</v>
      </c>
      <c r="X17" s="68">
        <v>36.15</v>
      </c>
    </row>
    <row r="18" spans="1:77" x14ac:dyDescent="0.2">
      <c r="B18" s="66" t="s">
        <v>72</v>
      </c>
      <c r="C18" s="67">
        <v>55.400000000000006</v>
      </c>
      <c r="D18" s="67">
        <v>54</v>
      </c>
      <c r="E18" s="67">
        <v>50.8</v>
      </c>
      <c r="F18" s="67">
        <v>48.8</v>
      </c>
      <c r="G18" s="67">
        <v>46.8</v>
      </c>
      <c r="H18" s="67">
        <v>43.900000000000006</v>
      </c>
      <c r="I18" s="67">
        <v>40.900000000000006</v>
      </c>
      <c r="J18" s="67">
        <v>30.8</v>
      </c>
      <c r="K18" s="67">
        <v>29.7</v>
      </c>
      <c r="L18" s="67">
        <v>27.7</v>
      </c>
      <c r="M18" s="67">
        <v>25.3</v>
      </c>
      <c r="N18" s="67">
        <v>17.400000000000002</v>
      </c>
      <c r="O18" s="67">
        <v>7.6999999999999993</v>
      </c>
      <c r="P18" s="67">
        <v>4.5999999999999996</v>
      </c>
      <c r="Q18" s="67">
        <v>0</v>
      </c>
      <c r="R18" s="67">
        <v>7.3000000000000007</v>
      </c>
      <c r="S18" s="67">
        <v>5.3000000000000007</v>
      </c>
      <c r="T18" s="67">
        <v>6.3000000000000007</v>
      </c>
      <c r="U18" s="67">
        <v>14</v>
      </c>
      <c r="V18" s="67">
        <v>21</v>
      </c>
      <c r="W18" s="67">
        <v>29.3</v>
      </c>
      <c r="X18" s="68">
        <v>31.55</v>
      </c>
    </row>
    <row r="19" spans="1:77" x14ac:dyDescent="0.2">
      <c r="B19" s="66" t="s">
        <v>73</v>
      </c>
      <c r="C19" s="67">
        <v>62.7</v>
      </c>
      <c r="D19" s="67">
        <v>61.3</v>
      </c>
      <c r="E19" s="67">
        <v>58.099999999999994</v>
      </c>
      <c r="F19" s="67">
        <v>56.099999999999994</v>
      </c>
      <c r="G19" s="67">
        <v>54.099999999999994</v>
      </c>
      <c r="H19" s="67">
        <v>51.2</v>
      </c>
      <c r="I19" s="67">
        <v>48.2</v>
      </c>
      <c r="J19" s="67">
        <v>38.1</v>
      </c>
      <c r="K19" s="67">
        <v>37</v>
      </c>
      <c r="L19" s="67">
        <v>35</v>
      </c>
      <c r="M19" s="67">
        <v>32.6</v>
      </c>
      <c r="N19" s="67">
        <v>24.700000000000003</v>
      </c>
      <c r="O19" s="67">
        <v>15</v>
      </c>
      <c r="P19" s="67">
        <v>11.899999999999999</v>
      </c>
      <c r="Q19" s="67">
        <v>7.3</v>
      </c>
      <c r="R19" s="67">
        <v>0</v>
      </c>
      <c r="S19" s="67">
        <v>2</v>
      </c>
      <c r="T19" s="67">
        <v>1</v>
      </c>
      <c r="U19" s="67">
        <v>6.6999999999999993</v>
      </c>
      <c r="V19" s="67">
        <v>13.7</v>
      </c>
      <c r="W19" s="67">
        <v>22</v>
      </c>
      <c r="X19" s="68">
        <v>24.25</v>
      </c>
    </row>
    <row r="20" spans="1:77" x14ac:dyDescent="0.2">
      <c r="B20" s="66" t="s">
        <v>74</v>
      </c>
      <c r="C20" s="67">
        <v>60.7</v>
      </c>
      <c r="D20" s="67">
        <v>59.3</v>
      </c>
      <c r="E20" s="67">
        <v>56.099999999999994</v>
      </c>
      <c r="F20" s="67">
        <v>54.099999999999994</v>
      </c>
      <c r="G20" s="67">
        <v>52.099999999999994</v>
      </c>
      <c r="H20" s="67">
        <v>49.2</v>
      </c>
      <c r="I20" s="67">
        <v>46.2</v>
      </c>
      <c r="J20" s="67">
        <v>36.1</v>
      </c>
      <c r="K20" s="67">
        <v>35</v>
      </c>
      <c r="L20" s="67">
        <v>35</v>
      </c>
      <c r="M20" s="67">
        <v>30.6</v>
      </c>
      <c r="N20" s="67">
        <v>22.700000000000003</v>
      </c>
      <c r="O20" s="67">
        <v>13</v>
      </c>
      <c r="P20" s="67">
        <v>9.8999999999999986</v>
      </c>
      <c r="Q20" s="67">
        <v>5.3000000000000007</v>
      </c>
      <c r="R20" s="67">
        <v>2</v>
      </c>
      <c r="S20" s="67">
        <v>0</v>
      </c>
      <c r="T20" s="67">
        <v>1</v>
      </c>
      <c r="U20" s="67">
        <v>8.6999999999999993</v>
      </c>
      <c r="V20" s="67">
        <v>15.7</v>
      </c>
      <c r="W20" s="67">
        <v>24</v>
      </c>
      <c r="X20" s="68">
        <v>26.25</v>
      </c>
    </row>
    <row r="21" spans="1:77" x14ac:dyDescent="0.2">
      <c r="B21" s="66" t="s">
        <v>75</v>
      </c>
      <c r="C21" s="67">
        <v>61.7</v>
      </c>
      <c r="D21" s="67">
        <v>60.3</v>
      </c>
      <c r="E21" s="67">
        <v>57.099999999999994</v>
      </c>
      <c r="F21" s="67">
        <v>55.099999999999994</v>
      </c>
      <c r="G21" s="67">
        <v>53.099999999999994</v>
      </c>
      <c r="H21" s="67">
        <v>50.2</v>
      </c>
      <c r="I21" s="67">
        <v>47.2</v>
      </c>
      <c r="J21" s="67">
        <v>37.1</v>
      </c>
      <c r="K21" s="67">
        <v>36</v>
      </c>
      <c r="L21" s="67">
        <v>34</v>
      </c>
      <c r="M21" s="67">
        <v>31.6</v>
      </c>
      <c r="N21" s="67">
        <v>23.700000000000003</v>
      </c>
      <c r="O21" s="67">
        <v>14</v>
      </c>
      <c r="P21" s="67">
        <v>10.899999999999999</v>
      </c>
      <c r="Q21" s="67">
        <v>6.3000000000000007</v>
      </c>
      <c r="R21" s="67">
        <v>1</v>
      </c>
      <c r="S21" s="67">
        <v>1</v>
      </c>
      <c r="T21" s="67">
        <v>0</v>
      </c>
      <c r="U21" s="67">
        <v>7.6999999999999993</v>
      </c>
      <c r="V21" s="67">
        <v>14.7</v>
      </c>
      <c r="W21" s="67">
        <v>23</v>
      </c>
      <c r="X21" s="68">
        <v>25.25</v>
      </c>
    </row>
    <row r="22" spans="1:77" x14ac:dyDescent="0.2">
      <c r="B22" s="66" t="s">
        <v>76</v>
      </c>
      <c r="C22" s="67">
        <v>69.400000000000006</v>
      </c>
      <c r="D22" s="67">
        <v>68</v>
      </c>
      <c r="E22" s="67">
        <v>64.8</v>
      </c>
      <c r="F22" s="67">
        <v>62.8</v>
      </c>
      <c r="G22" s="67">
        <v>60.8</v>
      </c>
      <c r="H22" s="67">
        <v>57.900000000000006</v>
      </c>
      <c r="I22" s="67">
        <v>54.900000000000006</v>
      </c>
      <c r="J22" s="67">
        <v>44.8</v>
      </c>
      <c r="K22" s="67">
        <v>43.7</v>
      </c>
      <c r="L22" s="67">
        <v>41.7</v>
      </c>
      <c r="M22" s="67">
        <v>39.299999999999997</v>
      </c>
      <c r="N22" s="67">
        <v>31.400000000000002</v>
      </c>
      <c r="O22" s="67">
        <v>21.7</v>
      </c>
      <c r="P22" s="67">
        <v>18.599999999999998</v>
      </c>
      <c r="Q22" s="67">
        <v>14</v>
      </c>
      <c r="R22" s="67">
        <v>6.6999999999999993</v>
      </c>
      <c r="S22" s="67">
        <v>8.6999999999999993</v>
      </c>
      <c r="T22" s="67">
        <v>7.7</v>
      </c>
      <c r="U22" s="67">
        <v>0</v>
      </c>
      <c r="V22" s="67">
        <v>7</v>
      </c>
      <c r="W22" s="67">
        <v>15.3</v>
      </c>
      <c r="X22" s="68">
        <v>17.55</v>
      </c>
    </row>
    <row r="23" spans="1:77" x14ac:dyDescent="0.2">
      <c r="B23" s="66" t="s">
        <v>77</v>
      </c>
      <c r="C23" s="67">
        <v>76.400000000000006</v>
      </c>
      <c r="D23" s="67">
        <v>75</v>
      </c>
      <c r="E23" s="67">
        <v>71.8</v>
      </c>
      <c r="F23" s="67">
        <v>69.8</v>
      </c>
      <c r="G23" s="67">
        <v>67.8</v>
      </c>
      <c r="H23" s="67">
        <v>64.900000000000006</v>
      </c>
      <c r="I23" s="67">
        <v>61.900000000000006</v>
      </c>
      <c r="J23" s="67">
        <v>51.8</v>
      </c>
      <c r="K23" s="67">
        <v>50.7</v>
      </c>
      <c r="L23" s="67">
        <v>48.7</v>
      </c>
      <c r="M23" s="67">
        <v>46.3</v>
      </c>
      <c r="N23" s="67">
        <v>38.400000000000006</v>
      </c>
      <c r="O23" s="67">
        <v>28.7</v>
      </c>
      <c r="P23" s="67">
        <v>25.599999999999998</v>
      </c>
      <c r="Q23" s="67">
        <v>21</v>
      </c>
      <c r="R23" s="67">
        <v>13.7</v>
      </c>
      <c r="S23" s="67">
        <v>15.7</v>
      </c>
      <c r="T23" s="67">
        <v>14.7</v>
      </c>
      <c r="U23" s="67">
        <v>7</v>
      </c>
      <c r="V23" s="67">
        <v>0</v>
      </c>
      <c r="W23" s="67">
        <v>8.3000000000000007</v>
      </c>
      <c r="X23" s="68">
        <v>10.55</v>
      </c>
    </row>
    <row r="24" spans="1:77" x14ac:dyDescent="0.2">
      <c r="B24" s="66" t="s">
        <v>78</v>
      </c>
      <c r="C24" s="67">
        <v>84.7</v>
      </c>
      <c r="D24" s="67">
        <v>83.3</v>
      </c>
      <c r="E24" s="67">
        <v>80.099999999999994</v>
      </c>
      <c r="F24" s="67">
        <v>78.099999999999994</v>
      </c>
      <c r="G24" s="67">
        <v>76.099999999999994</v>
      </c>
      <c r="H24" s="67">
        <v>73.2</v>
      </c>
      <c r="I24" s="67">
        <v>70.2</v>
      </c>
      <c r="J24" s="67">
        <v>60.1</v>
      </c>
      <c r="K24" s="67">
        <v>59</v>
      </c>
      <c r="L24" s="67">
        <v>57</v>
      </c>
      <c r="M24" s="67">
        <v>54.6</v>
      </c>
      <c r="N24" s="67">
        <v>46.7</v>
      </c>
      <c r="O24" s="67">
        <v>37</v>
      </c>
      <c r="P24" s="67">
        <v>33.9</v>
      </c>
      <c r="Q24" s="67">
        <v>29.3</v>
      </c>
      <c r="R24" s="67">
        <v>22</v>
      </c>
      <c r="S24" s="67">
        <v>24</v>
      </c>
      <c r="T24" s="67">
        <v>23</v>
      </c>
      <c r="U24" s="67">
        <v>15.3</v>
      </c>
      <c r="V24" s="67">
        <v>8.3000000000000007</v>
      </c>
      <c r="W24" s="67">
        <v>0</v>
      </c>
      <c r="X24" s="68">
        <v>2.25</v>
      </c>
    </row>
    <row r="25" spans="1:77" ht="13.5" thickBot="1" x14ac:dyDescent="0.25">
      <c r="B25" s="69" t="s">
        <v>79</v>
      </c>
      <c r="C25" s="70">
        <v>86.95</v>
      </c>
      <c r="D25" s="70">
        <v>85.55</v>
      </c>
      <c r="E25" s="70">
        <v>82.35</v>
      </c>
      <c r="F25" s="70">
        <v>80.349999999999994</v>
      </c>
      <c r="G25" s="70">
        <v>78.349999999999994</v>
      </c>
      <c r="H25" s="70">
        <v>75.45</v>
      </c>
      <c r="I25" s="70">
        <v>72.45</v>
      </c>
      <c r="J25" s="70">
        <v>62.35</v>
      </c>
      <c r="K25" s="70">
        <v>61.25</v>
      </c>
      <c r="L25" s="70">
        <v>59.25</v>
      </c>
      <c r="M25" s="70">
        <v>56.85</v>
      </c>
      <c r="N25" s="70">
        <v>48.95</v>
      </c>
      <c r="O25" s="70">
        <v>39.25</v>
      </c>
      <c r="P25" s="70">
        <v>36.15</v>
      </c>
      <c r="Q25" s="70">
        <v>31.55</v>
      </c>
      <c r="R25" s="70">
        <v>24.25</v>
      </c>
      <c r="S25" s="70">
        <v>26.25</v>
      </c>
      <c r="T25" s="70">
        <v>25.25</v>
      </c>
      <c r="U25" s="70">
        <v>17.55</v>
      </c>
      <c r="V25" s="70">
        <v>10.55</v>
      </c>
      <c r="W25" s="70">
        <v>2.25</v>
      </c>
      <c r="X25" s="71">
        <v>0</v>
      </c>
    </row>
    <row r="28" spans="1:77" ht="13.5" thickBot="1" x14ac:dyDescent="0.25">
      <c r="B28" s="72" t="s">
        <v>81</v>
      </c>
    </row>
    <row r="29" spans="1:77" ht="13.5" thickBot="1" x14ac:dyDescent="0.25">
      <c r="C29" s="53"/>
      <c r="D29" s="54"/>
      <c r="E29" s="54"/>
      <c r="F29" s="54"/>
      <c r="G29" s="54"/>
      <c r="H29" s="55" t="s">
        <v>82</v>
      </c>
      <c r="I29" s="55"/>
      <c r="J29" s="55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6"/>
    </row>
    <row r="30" spans="1:77" ht="26.25" thickBot="1" x14ac:dyDescent="0.25">
      <c r="C30" s="58" t="s">
        <v>14</v>
      </c>
      <c r="D30" s="59" t="s">
        <v>13</v>
      </c>
      <c r="E30" s="58" t="s">
        <v>12</v>
      </c>
      <c r="F30" s="59" t="s">
        <v>11</v>
      </c>
      <c r="G30" s="58" t="s">
        <v>10</v>
      </c>
      <c r="H30" s="60" t="s">
        <v>9</v>
      </c>
      <c r="I30" s="58" t="s">
        <v>66</v>
      </c>
      <c r="J30" s="59" t="s">
        <v>6</v>
      </c>
      <c r="K30" s="61" t="s">
        <v>67</v>
      </c>
      <c r="L30" s="58" t="s">
        <v>68</v>
      </c>
      <c r="M30" s="58" t="s">
        <v>69</v>
      </c>
      <c r="N30" s="58" t="s">
        <v>2</v>
      </c>
      <c r="O30" s="59" t="s">
        <v>70</v>
      </c>
      <c r="P30" s="58" t="s">
        <v>71</v>
      </c>
      <c r="Q30" s="59" t="s">
        <v>72</v>
      </c>
      <c r="R30" s="61" t="s">
        <v>73</v>
      </c>
      <c r="S30" s="61" t="s">
        <v>74</v>
      </c>
      <c r="T30" s="59" t="s">
        <v>75</v>
      </c>
      <c r="U30" s="58" t="s">
        <v>76</v>
      </c>
      <c r="V30" s="59" t="s">
        <v>77</v>
      </c>
      <c r="W30" s="61" t="s">
        <v>78</v>
      </c>
      <c r="X30" s="62" t="s">
        <v>79</v>
      </c>
    </row>
    <row r="31" spans="1:77" x14ac:dyDescent="0.2">
      <c r="A31" s="52" t="s">
        <v>14</v>
      </c>
      <c r="B31" s="63" t="s">
        <v>14</v>
      </c>
      <c r="C31" s="73">
        <v>0</v>
      </c>
      <c r="D31" s="73">
        <v>1</v>
      </c>
      <c r="E31" s="73">
        <v>0</v>
      </c>
      <c r="F31" s="73">
        <v>1</v>
      </c>
      <c r="G31" s="73">
        <v>0</v>
      </c>
      <c r="H31" s="73">
        <v>0</v>
      </c>
      <c r="I31" s="73">
        <v>4</v>
      </c>
      <c r="J31" s="73">
        <v>2</v>
      </c>
      <c r="K31" s="73">
        <v>0</v>
      </c>
      <c r="L31" s="73">
        <v>1</v>
      </c>
      <c r="M31" s="73">
        <v>8</v>
      </c>
      <c r="N31" s="73">
        <v>24</v>
      </c>
      <c r="O31" s="73">
        <v>50</v>
      </c>
      <c r="P31" s="73">
        <v>32</v>
      </c>
      <c r="Q31" s="73">
        <v>61</v>
      </c>
      <c r="R31" s="73">
        <v>10</v>
      </c>
      <c r="S31" s="73">
        <v>36</v>
      </c>
      <c r="T31" s="73">
        <v>86</v>
      </c>
      <c r="U31" s="73">
        <v>13</v>
      </c>
      <c r="V31" s="73">
        <v>26</v>
      </c>
      <c r="W31" s="73">
        <v>160</v>
      </c>
      <c r="X31" s="74">
        <v>1242</v>
      </c>
      <c r="Y31" s="52">
        <f>+IF(A31=B31,0,1)</f>
        <v>0</v>
      </c>
      <c r="AF31" s="75">
        <v>0</v>
      </c>
      <c r="AG31" s="75">
        <v>0</v>
      </c>
      <c r="AH31" s="75">
        <v>0</v>
      </c>
      <c r="AI31" s="75">
        <v>1</v>
      </c>
      <c r="AJ31" s="75">
        <v>0</v>
      </c>
      <c r="AK31" s="75">
        <v>3</v>
      </c>
      <c r="AL31" s="75">
        <v>45</v>
      </c>
      <c r="AM31" s="75">
        <v>3</v>
      </c>
      <c r="AN31" s="75">
        <v>11</v>
      </c>
      <c r="AO31" s="75">
        <v>6</v>
      </c>
      <c r="AP31" s="75">
        <v>13</v>
      </c>
      <c r="AQ31" s="75">
        <v>45</v>
      </c>
      <c r="AR31" s="75">
        <v>63</v>
      </c>
      <c r="AS31" s="75">
        <v>30</v>
      </c>
      <c r="AT31" s="75">
        <v>60</v>
      </c>
      <c r="AU31" s="75">
        <v>12</v>
      </c>
      <c r="AV31" s="75">
        <v>33</v>
      </c>
      <c r="AW31" s="75">
        <v>62</v>
      </c>
      <c r="AX31" s="75">
        <v>1</v>
      </c>
      <c r="AY31" s="75">
        <v>20</v>
      </c>
      <c r="AZ31" s="75">
        <v>63</v>
      </c>
      <c r="BA31" s="75">
        <v>462</v>
      </c>
      <c r="BD31" s="76">
        <f>+AF31/$BB$53</f>
        <v>0</v>
      </c>
      <c r="BE31" s="76">
        <f t="shared" ref="BE31:BT46" si="0">+AG31/$BB$53</f>
        <v>0</v>
      </c>
      <c r="BF31" s="76">
        <f t="shared" si="0"/>
        <v>0</v>
      </c>
      <c r="BG31" s="76">
        <f t="shared" si="0"/>
        <v>3.2680806562305956E-5</v>
      </c>
      <c r="BH31" s="76">
        <f t="shared" si="0"/>
        <v>0</v>
      </c>
      <c r="BI31" s="76">
        <f t="shared" si="0"/>
        <v>9.8042419686917876E-5</v>
      </c>
      <c r="BJ31" s="76">
        <f t="shared" si="0"/>
        <v>1.4706362953037682E-3</v>
      </c>
      <c r="BK31" s="76">
        <f t="shared" si="0"/>
        <v>9.8042419686917876E-5</v>
      </c>
      <c r="BL31" s="76">
        <f t="shared" si="0"/>
        <v>3.5948887218536553E-4</v>
      </c>
      <c r="BM31" s="76">
        <f t="shared" si="0"/>
        <v>1.9608483937383575E-4</v>
      </c>
      <c r="BN31" s="76">
        <f t="shared" si="0"/>
        <v>4.2485048530997743E-4</v>
      </c>
      <c r="BO31" s="76">
        <f t="shared" si="0"/>
        <v>1.4706362953037682E-3</v>
      </c>
      <c r="BP31" s="76">
        <f t="shared" si="0"/>
        <v>2.0588908134252753E-3</v>
      </c>
      <c r="BQ31" s="76">
        <f t="shared" si="0"/>
        <v>9.8042419686917865E-4</v>
      </c>
      <c r="BR31" s="76">
        <f t="shared" si="0"/>
        <v>1.9608483937383573E-3</v>
      </c>
      <c r="BS31" s="76">
        <f t="shared" si="0"/>
        <v>3.921696787476715E-4</v>
      </c>
      <c r="BT31" s="76">
        <f t="shared" si="0"/>
        <v>1.0784666165560967E-3</v>
      </c>
      <c r="BU31" s="76">
        <f t="shared" ref="BU31:BY52" si="1">+AW31/$BB$53</f>
        <v>2.0262100068629695E-3</v>
      </c>
      <c r="BV31" s="76">
        <f t="shared" si="1"/>
        <v>3.2680806562305956E-5</v>
      </c>
      <c r="BW31" s="76">
        <f t="shared" si="1"/>
        <v>6.536161312461191E-4</v>
      </c>
      <c r="BX31" s="76">
        <f t="shared" si="1"/>
        <v>2.0588908134252753E-3</v>
      </c>
      <c r="BY31" s="76">
        <f t="shared" si="1"/>
        <v>1.5098532631785353E-2</v>
      </c>
    </row>
    <row r="32" spans="1:77" x14ac:dyDescent="0.2">
      <c r="A32" s="52" t="s">
        <v>13</v>
      </c>
      <c r="B32" s="66" t="s">
        <v>13</v>
      </c>
      <c r="C32" s="77">
        <v>0</v>
      </c>
      <c r="D32" s="77">
        <v>0</v>
      </c>
      <c r="E32" s="77">
        <v>0</v>
      </c>
      <c r="F32" s="77">
        <v>0</v>
      </c>
      <c r="G32" s="77">
        <v>1</v>
      </c>
      <c r="H32" s="77">
        <v>0</v>
      </c>
      <c r="I32" s="77">
        <v>3</v>
      </c>
      <c r="J32" s="77">
        <v>0</v>
      </c>
      <c r="K32" s="77">
        <v>0</v>
      </c>
      <c r="L32" s="77">
        <v>0</v>
      </c>
      <c r="M32" s="77">
        <v>0</v>
      </c>
      <c r="N32" s="77">
        <v>4</v>
      </c>
      <c r="O32" s="77">
        <v>27</v>
      </c>
      <c r="P32" s="77">
        <v>21</v>
      </c>
      <c r="Q32" s="77">
        <v>16</v>
      </c>
      <c r="R32" s="77">
        <v>1</v>
      </c>
      <c r="S32" s="77">
        <v>11</v>
      </c>
      <c r="T32" s="77">
        <v>7</v>
      </c>
      <c r="U32" s="77">
        <v>3</v>
      </c>
      <c r="V32" s="77">
        <v>16</v>
      </c>
      <c r="W32" s="77">
        <v>36</v>
      </c>
      <c r="X32" s="78">
        <v>145</v>
      </c>
      <c r="Y32" s="52">
        <f t="shared" ref="Y32:Y52" si="2">+IF(A32=B32,0,1)</f>
        <v>0</v>
      </c>
      <c r="AF32" s="75">
        <v>0</v>
      </c>
      <c r="AG32" s="75">
        <v>0</v>
      </c>
      <c r="AH32" s="75">
        <v>0</v>
      </c>
      <c r="AI32" s="75">
        <v>0</v>
      </c>
      <c r="AJ32" s="75">
        <v>1</v>
      </c>
      <c r="AK32" s="75">
        <v>2</v>
      </c>
      <c r="AL32" s="75">
        <v>3</v>
      </c>
      <c r="AM32" s="75">
        <v>0</v>
      </c>
      <c r="AN32" s="75">
        <v>0</v>
      </c>
      <c r="AO32" s="75">
        <v>0</v>
      </c>
      <c r="AP32" s="75">
        <v>1</v>
      </c>
      <c r="AQ32" s="75">
        <v>8</v>
      </c>
      <c r="AR32" s="75">
        <v>27</v>
      </c>
      <c r="AS32" s="75">
        <v>33</v>
      </c>
      <c r="AT32" s="75">
        <v>28</v>
      </c>
      <c r="AU32" s="75">
        <v>4</v>
      </c>
      <c r="AV32" s="75">
        <v>19</v>
      </c>
      <c r="AW32" s="75">
        <v>48</v>
      </c>
      <c r="AX32" s="75">
        <v>1</v>
      </c>
      <c r="AY32" s="75">
        <v>14</v>
      </c>
      <c r="AZ32" s="75">
        <v>50</v>
      </c>
      <c r="BA32" s="75">
        <v>148</v>
      </c>
      <c r="BD32" s="76">
        <f t="shared" ref="BD32:BS52" si="3">+AF32/$BB$53</f>
        <v>0</v>
      </c>
      <c r="BE32" s="76">
        <f t="shared" si="0"/>
        <v>0</v>
      </c>
      <c r="BF32" s="76">
        <f t="shared" si="0"/>
        <v>0</v>
      </c>
      <c r="BG32" s="76">
        <f t="shared" si="0"/>
        <v>0</v>
      </c>
      <c r="BH32" s="76">
        <f t="shared" si="0"/>
        <v>3.2680806562305956E-5</v>
      </c>
      <c r="BI32" s="76">
        <f t="shared" si="0"/>
        <v>6.5361613124611913E-5</v>
      </c>
      <c r="BJ32" s="76">
        <f t="shared" si="0"/>
        <v>9.8042419686917876E-5</v>
      </c>
      <c r="BK32" s="76">
        <f t="shared" si="0"/>
        <v>0</v>
      </c>
      <c r="BL32" s="76">
        <f t="shared" si="0"/>
        <v>0</v>
      </c>
      <c r="BM32" s="76">
        <f t="shared" si="0"/>
        <v>0</v>
      </c>
      <c r="BN32" s="76">
        <f t="shared" si="0"/>
        <v>3.2680806562305956E-5</v>
      </c>
      <c r="BO32" s="76">
        <f t="shared" si="0"/>
        <v>2.6144645249844765E-4</v>
      </c>
      <c r="BP32" s="76">
        <f t="shared" si="0"/>
        <v>8.8238177718226083E-4</v>
      </c>
      <c r="BQ32" s="76">
        <f t="shared" si="0"/>
        <v>1.0784666165560967E-3</v>
      </c>
      <c r="BR32" s="76">
        <f t="shared" si="0"/>
        <v>9.1506258374456681E-4</v>
      </c>
      <c r="BS32" s="76">
        <f t="shared" si="0"/>
        <v>1.3072322624922383E-4</v>
      </c>
      <c r="BT32" s="76">
        <f t="shared" si="0"/>
        <v>6.2093532468381323E-4</v>
      </c>
      <c r="BU32" s="76">
        <f t="shared" si="1"/>
        <v>1.568678714990686E-3</v>
      </c>
      <c r="BV32" s="76">
        <f t="shared" si="1"/>
        <v>3.2680806562305956E-5</v>
      </c>
      <c r="BW32" s="76">
        <f t="shared" si="1"/>
        <v>4.575312918722834E-4</v>
      </c>
      <c r="BX32" s="76">
        <f t="shared" si="1"/>
        <v>1.634040328115298E-3</v>
      </c>
      <c r="BY32" s="76">
        <f t="shared" si="1"/>
        <v>4.8367593712212815E-3</v>
      </c>
    </row>
    <row r="33" spans="1:77" x14ac:dyDescent="0.2">
      <c r="A33" s="52" t="s">
        <v>12</v>
      </c>
      <c r="B33" s="66" t="s">
        <v>12</v>
      </c>
      <c r="C33" s="77">
        <v>0</v>
      </c>
      <c r="D33" s="77">
        <v>0</v>
      </c>
      <c r="E33" s="77">
        <v>0</v>
      </c>
      <c r="F33" s="77">
        <v>0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1</v>
      </c>
      <c r="N33" s="77">
        <v>5</v>
      </c>
      <c r="O33" s="77">
        <v>14</v>
      </c>
      <c r="P33" s="77">
        <v>4</v>
      </c>
      <c r="Q33" s="77">
        <v>25</v>
      </c>
      <c r="R33" s="77">
        <v>2</v>
      </c>
      <c r="S33" s="77">
        <v>12</v>
      </c>
      <c r="T33" s="77">
        <v>30</v>
      </c>
      <c r="U33" s="77">
        <v>3</v>
      </c>
      <c r="V33" s="77">
        <v>7</v>
      </c>
      <c r="W33" s="77">
        <v>25</v>
      </c>
      <c r="X33" s="78">
        <v>96</v>
      </c>
      <c r="Y33" s="52">
        <f t="shared" si="2"/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  <c r="AK33" s="75">
        <v>0</v>
      </c>
      <c r="AL33" s="75">
        <v>9</v>
      </c>
      <c r="AM33" s="75">
        <v>1</v>
      </c>
      <c r="AN33" s="75">
        <v>0</v>
      </c>
      <c r="AO33" s="75">
        <v>0</v>
      </c>
      <c r="AP33" s="75">
        <v>0</v>
      </c>
      <c r="AQ33" s="75">
        <v>7</v>
      </c>
      <c r="AR33" s="75">
        <v>22</v>
      </c>
      <c r="AS33" s="75">
        <v>2</v>
      </c>
      <c r="AT33" s="75">
        <v>19</v>
      </c>
      <c r="AU33" s="75">
        <v>0</v>
      </c>
      <c r="AV33" s="75">
        <v>4</v>
      </c>
      <c r="AW33" s="75">
        <v>34</v>
      </c>
      <c r="AX33" s="75">
        <v>1</v>
      </c>
      <c r="AY33" s="75">
        <v>13</v>
      </c>
      <c r="AZ33" s="75">
        <v>32</v>
      </c>
      <c r="BA33" s="75">
        <v>169</v>
      </c>
      <c r="BD33" s="76">
        <f t="shared" si="3"/>
        <v>0</v>
      </c>
      <c r="BE33" s="76">
        <f t="shared" si="0"/>
        <v>0</v>
      </c>
      <c r="BF33" s="76">
        <f t="shared" si="0"/>
        <v>0</v>
      </c>
      <c r="BG33" s="76">
        <f t="shared" si="0"/>
        <v>0</v>
      </c>
      <c r="BH33" s="76">
        <f t="shared" si="0"/>
        <v>0</v>
      </c>
      <c r="BI33" s="76">
        <f t="shared" si="0"/>
        <v>0</v>
      </c>
      <c r="BJ33" s="76">
        <f t="shared" si="0"/>
        <v>2.9412725906075363E-4</v>
      </c>
      <c r="BK33" s="76">
        <f t="shared" si="0"/>
        <v>3.2680806562305956E-5</v>
      </c>
      <c r="BL33" s="76">
        <f t="shared" si="0"/>
        <v>0</v>
      </c>
      <c r="BM33" s="76">
        <f t="shared" si="0"/>
        <v>0</v>
      </c>
      <c r="BN33" s="76">
        <f t="shared" si="0"/>
        <v>0</v>
      </c>
      <c r="BO33" s="76">
        <f t="shared" si="0"/>
        <v>2.287656459361417E-4</v>
      </c>
      <c r="BP33" s="76">
        <f t="shared" si="0"/>
        <v>7.1897774437073105E-4</v>
      </c>
      <c r="BQ33" s="76">
        <f t="shared" si="0"/>
        <v>6.5361613124611913E-5</v>
      </c>
      <c r="BR33" s="76">
        <f t="shared" si="0"/>
        <v>6.2093532468381323E-4</v>
      </c>
      <c r="BS33" s="76">
        <f t="shared" si="0"/>
        <v>0</v>
      </c>
      <c r="BT33" s="76">
        <f t="shared" si="0"/>
        <v>1.3072322624922383E-4</v>
      </c>
      <c r="BU33" s="76">
        <f t="shared" si="1"/>
        <v>1.1111474231184026E-3</v>
      </c>
      <c r="BV33" s="76">
        <f t="shared" si="1"/>
        <v>3.2680806562305956E-5</v>
      </c>
      <c r="BW33" s="76">
        <f t="shared" si="1"/>
        <v>4.2485048530997743E-4</v>
      </c>
      <c r="BX33" s="76">
        <f t="shared" si="1"/>
        <v>1.0457858099937906E-3</v>
      </c>
      <c r="BY33" s="76">
        <f t="shared" si="1"/>
        <v>5.5230563090297065E-3</v>
      </c>
    </row>
    <row r="34" spans="1:77" x14ac:dyDescent="0.2">
      <c r="A34" s="52" t="s">
        <v>11</v>
      </c>
      <c r="B34" s="66" t="s">
        <v>11</v>
      </c>
      <c r="C34" s="77">
        <v>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1</v>
      </c>
      <c r="J34" s="77">
        <v>0</v>
      </c>
      <c r="K34" s="77">
        <v>0</v>
      </c>
      <c r="L34" s="77">
        <v>2</v>
      </c>
      <c r="M34" s="77">
        <v>2</v>
      </c>
      <c r="N34" s="77">
        <v>3</v>
      </c>
      <c r="O34" s="77">
        <v>22</v>
      </c>
      <c r="P34" s="77">
        <v>2</v>
      </c>
      <c r="Q34" s="77">
        <v>22</v>
      </c>
      <c r="R34" s="77">
        <v>5</v>
      </c>
      <c r="S34" s="77">
        <v>11</v>
      </c>
      <c r="T34" s="77">
        <v>29</v>
      </c>
      <c r="U34" s="77">
        <v>6</v>
      </c>
      <c r="V34" s="77">
        <v>13</v>
      </c>
      <c r="W34" s="77">
        <v>40</v>
      </c>
      <c r="X34" s="78">
        <v>177</v>
      </c>
      <c r="Y34" s="52">
        <f t="shared" si="2"/>
        <v>0</v>
      </c>
      <c r="AF34" s="75">
        <v>0</v>
      </c>
      <c r="AG34" s="75">
        <v>0</v>
      </c>
      <c r="AH34" s="75">
        <v>0</v>
      </c>
      <c r="AI34" s="75">
        <v>0</v>
      </c>
      <c r="AJ34" s="75">
        <v>0</v>
      </c>
      <c r="AK34" s="75">
        <v>0</v>
      </c>
      <c r="AL34" s="75">
        <v>7</v>
      </c>
      <c r="AM34" s="75">
        <v>2</v>
      </c>
      <c r="AN34" s="75">
        <v>1</v>
      </c>
      <c r="AO34" s="75">
        <v>0</v>
      </c>
      <c r="AP34" s="75">
        <v>3</v>
      </c>
      <c r="AQ34" s="75">
        <v>12</v>
      </c>
      <c r="AR34" s="75">
        <v>14</v>
      </c>
      <c r="AS34" s="75">
        <v>12</v>
      </c>
      <c r="AT34" s="75">
        <v>22</v>
      </c>
      <c r="AU34" s="75">
        <v>10</v>
      </c>
      <c r="AV34" s="75">
        <v>4</v>
      </c>
      <c r="AW34" s="75">
        <v>26</v>
      </c>
      <c r="AX34" s="75">
        <v>0</v>
      </c>
      <c r="AY34" s="75">
        <v>24</v>
      </c>
      <c r="AZ34" s="75">
        <v>51</v>
      </c>
      <c r="BA34" s="75">
        <v>157</v>
      </c>
      <c r="BD34" s="76">
        <f t="shared" si="3"/>
        <v>0</v>
      </c>
      <c r="BE34" s="76">
        <f t="shared" si="0"/>
        <v>0</v>
      </c>
      <c r="BF34" s="76">
        <f t="shared" si="0"/>
        <v>0</v>
      </c>
      <c r="BG34" s="76">
        <f t="shared" si="0"/>
        <v>0</v>
      </c>
      <c r="BH34" s="76">
        <f t="shared" si="0"/>
        <v>0</v>
      </c>
      <c r="BI34" s="76">
        <f t="shared" si="0"/>
        <v>0</v>
      </c>
      <c r="BJ34" s="76">
        <f t="shared" si="0"/>
        <v>2.287656459361417E-4</v>
      </c>
      <c r="BK34" s="76">
        <f t="shared" si="0"/>
        <v>6.5361613124611913E-5</v>
      </c>
      <c r="BL34" s="76">
        <f t="shared" si="0"/>
        <v>3.2680806562305956E-5</v>
      </c>
      <c r="BM34" s="76">
        <f t="shared" si="0"/>
        <v>0</v>
      </c>
      <c r="BN34" s="76">
        <f t="shared" si="0"/>
        <v>9.8042419686917876E-5</v>
      </c>
      <c r="BO34" s="76">
        <f t="shared" si="0"/>
        <v>3.921696787476715E-4</v>
      </c>
      <c r="BP34" s="76">
        <f t="shared" si="0"/>
        <v>4.575312918722834E-4</v>
      </c>
      <c r="BQ34" s="76">
        <f t="shared" si="0"/>
        <v>3.921696787476715E-4</v>
      </c>
      <c r="BR34" s="76">
        <f t="shared" si="0"/>
        <v>7.1897774437073105E-4</v>
      </c>
      <c r="BS34" s="76">
        <f t="shared" si="0"/>
        <v>3.2680806562305955E-4</v>
      </c>
      <c r="BT34" s="76">
        <f t="shared" si="0"/>
        <v>1.3072322624922383E-4</v>
      </c>
      <c r="BU34" s="76">
        <f t="shared" si="1"/>
        <v>8.4970097061995485E-4</v>
      </c>
      <c r="BV34" s="76">
        <f t="shared" si="1"/>
        <v>0</v>
      </c>
      <c r="BW34" s="76">
        <f t="shared" si="1"/>
        <v>7.8433935749534301E-4</v>
      </c>
      <c r="BX34" s="76">
        <f t="shared" si="1"/>
        <v>1.6667211346776038E-3</v>
      </c>
      <c r="BY34" s="76">
        <f t="shared" si="1"/>
        <v>5.1308866302820352E-3</v>
      </c>
    </row>
    <row r="35" spans="1:77" x14ac:dyDescent="0.2">
      <c r="A35" s="52" t="s">
        <v>10</v>
      </c>
      <c r="B35" s="66" t="s">
        <v>10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19</v>
      </c>
      <c r="O35" s="77">
        <v>65</v>
      </c>
      <c r="P35" s="77">
        <v>22</v>
      </c>
      <c r="Q35" s="77">
        <v>21</v>
      </c>
      <c r="R35" s="77">
        <v>8</v>
      </c>
      <c r="S35" s="77">
        <v>12</v>
      </c>
      <c r="T35" s="77">
        <v>28</v>
      </c>
      <c r="U35" s="77">
        <v>6</v>
      </c>
      <c r="V35" s="77">
        <v>24</v>
      </c>
      <c r="W35" s="77">
        <v>75</v>
      </c>
      <c r="X35" s="78">
        <v>387</v>
      </c>
      <c r="Y35" s="52">
        <f t="shared" si="2"/>
        <v>0</v>
      </c>
      <c r="AF35" s="75">
        <v>0</v>
      </c>
      <c r="AG35" s="75">
        <v>0</v>
      </c>
      <c r="AH35" s="75">
        <v>0</v>
      </c>
      <c r="AI35" s="75">
        <v>0</v>
      </c>
      <c r="AJ35" s="75">
        <v>0</v>
      </c>
      <c r="AK35" s="75">
        <v>0</v>
      </c>
      <c r="AL35" s="75">
        <v>2</v>
      </c>
      <c r="AM35" s="75">
        <v>1</v>
      </c>
      <c r="AN35" s="75">
        <v>1</v>
      </c>
      <c r="AO35" s="75">
        <v>0</v>
      </c>
      <c r="AP35" s="75">
        <v>0</v>
      </c>
      <c r="AQ35" s="75">
        <v>8</v>
      </c>
      <c r="AR35" s="75">
        <v>54</v>
      </c>
      <c r="AS35" s="75">
        <v>1</v>
      </c>
      <c r="AT35" s="75">
        <v>36</v>
      </c>
      <c r="AU35" s="75">
        <v>8</v>
      </c>
      <c r="AV35" s="75">
        <v>31</v>
      </c>
      <c r="AW35" s="75">
        <v>38</v>
      </c>
      <c r="AX35" s="75">
        <v>0</v>
      </c>
      <c r="AY35" s="75">
        <v>6</v>
      </c>
      <c r="AZ35" s="75">
        <v>75</v>
      </c>
      <c r="BA35" s="75">
        <v>271</v>
      </c>
      <c r="BD35" s="76">
        <f t="shared" si="3"/>
        <v>0</v>
      </c>
      <c r="BE35" s="76">
        <f t="shared" si="0"/>
        <v>0</v>
      </c>
      <c r="BF35" s="76">
        <f t="shared" si="0"/>
        <v>0</v>
      </c>
      <c r="BG35" s="76">
        <f t="shared" si="0"/>
        <v>0</v>
      </c>
      <c r="BH35" s="76">
        <f t="shared" si="0"/>
        <v>0</v>
      </c>
      <c r="BI35" s="76">
        <f t="shared" si="0"/>
        <v>0</v>
      </c>
      <c r="BJ35" s="76">
        <f t="shared" si="0"/>
        <v>6.5361613124611913E-5</v>
      </c>
      <c r="BK35" s="76">
        <f t="shared" si="0"/>
        <v>3.2680806562305956E-5</v>
      </c>
      <c r="BL35" s="76">
        <f t="shared" si="0"/>
        <v>3.2680806562305956E-5</v>
      </c>
      <c r="BM35" s="76">
        <f t="shared" si="0"/>
        <v>0</v>
      </c>
      <c r="BN35" s="76">
        <f t="shared" si="0"/>
        <v>0</v>
      </c>
      <c r="BO35" s="76">
        <f t="shared" si="0"/>
        <v>2.6144645249844765E-4</v>
      </c>
      <c r="BP35" s="76">
        <f t="shared" si="0"/>
        <v>1.7647635543645217E-3</v>
      </c>
      <c r="BQ35" s="76">
        <f t="shared" si="0"/>
        <v>3.2680806562305956E-5</v>
      </c>
      <c r="BR35" s="76">
        <f t="shared" si="0"/>
        <v>1.1765090362430145E-3</v>
      </c>
      <c r="BS35" s="76">
        <f t="shared" si="0"/>
        <v>2.6144645249844765E-4</v>
      </c>
      <c r="BT35" s="76">
        <f t="shared" si="0"/>
        <v>1.0131050034314847E-3</v>
      </c>
      <c r="BU35" s="76">
        <f t="shared" si="1"/>
        <v>1.2418706493676265E-3</v>
      </c>
      <c r="BV35" s="76">
        <f t="shared" si="1"/>
        <v>0</v>
      </c>
      <c r="BW35" s="76">
        <f t="shared" si="1"/>
        <v>1.9608483937383575E-4</v>
      </c>
      <c r="BX35" s="76">
        <f t="shared" si="1"/>
        <v>2.4510604921729466E-3</v>
      </c>
      <c r="BY35" s="76">
        <f t="shared" si="1"/>
        <v>8.8564985783849137E-3</v>
      </c>
    </row>
    <row r="36" spans="1:77" x14ac:dyDescent="0.2">
      <c r="A36" s="52" t="s">
        <v>9</v>
      </c>
      <c r="B36" s="66" t="s">
        <v>9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12</v>
      </c>
      <c r="P36" s="77">
        <v>5</v>
      </c>
      <c r="Q36" s="77">
        <v>8</v>
      </c>
      <c r="R36" s="77">
        <v>5</v>
      </c>
      <c r="S36" s="77">
        <v>5</v>
      </c>
      <c r="T36" s="77">
        <v>10</v>
      </c>
      <c r="U36" s="77">
        <v>13</v>
      </c>
      <c r="V36" s="77">
        <v>12</v>
      </c>
      <c r="W36" s="77">
        <v>34</v>
      </c>
      <c r="X36" s="78">
        <v>111</v>
      </c>
      <c r="Y36" s="52">
        <f t="shared" si="2"/>
        <v>0</v>
      </c>
      <c r="AF36" s="75">
        <v>0</v>
      </c>
      <c r="AG36" s="75">
        <v>0</v>
      </c>
      <c r="AH36" s="75">
        <v>0</v>
      </c>
      <c r="AI36" s="75">
        <v>0</v>
      </c>
      <c r="AJ36" s="75">
        <v>0</v>
      </c>
      <c r="AK36" s="75">
        <v>0</v>
      </c>
      <c r="AL36" s="75">
        <v>0</v>
      </c>
      <c r="AM36" s="75">
        <v>0</v>
      </c>
      <c r="AN36" s="75">
        <v>0</v>
      </c>
      <c r="AO36" s="75">
        <v>0</v>
      </c>
      <c r="AP36" s="75">
        <v>0</v>
      </c>
      <c r="AQ36" s="75">
        <v>2</v>
      </c>
      <c r="AR36" s="75">
        <v>8</v>
      </c>
      <c r="AS36" s="75">
        <v>18</v>
      </c>
      <c r="AT36" s="75">
        <v>10</v>
      </c>
      <c r="AU36" s="75">
        <v>2</v>
      </c>
      <c r="AV36" s="75">
        <v>7</v>
      </c>
      <c r="AW36" s="75">
        <v>21</v>
      </c>
      <c r="AX36" s="75">
        <v>9</v>
      </c>
      <c r="AY36" s="75">
        <v>13</v>
      </c>
      <c r="AZ36" s="75">
        <v>15</v>
      </c>
      <c r="BA36" s="75">
        <v>87</v>
      </c>
      <c r="BD36" s="76">
        <f t="shared" si="3"/>
        <v>0</v>
      </c>
      <c r="BE36" s="76">
        <f t="shared" si="0"/>
        <v>0</v>
      </c>
      <c r="BF36" s="76">
        <f t="shared" si="0"/>
        <v>0</v>
      </c>
      <c r="BG36" s="76">
        <f t="shared" si="0"/>
        <v>0</v>
      </c>
      <c r="BH36" s="76">
        <f t="shared" si="0"/>
        <v>0</v>
      </c>
      <c r="BI36" s="76">
        <f t="shared" si="0"/>
        <v>0</v>
      </c>
      <c r="BJ36" s="76">
        <f t="shared" si="0"/>
        <v>0</v>
      </c>
      <c r="BK36" s="76">
        <f t="shared" si="0"/>
        <v>0</v>
      </c>
      <c r="BL36" s="76">
        <f t="shared" si="0"/>
        <v>0</v>
      </c>
      <c r="BM36" s="76">
        <f t="shared" si="0"/>
        <v>0</v>
      </c>
      <c r="BN36" s="76">
        <f t="shared" si="0"/>
        <v>0</v>
      </c>
      <c r="BO36" s="76">
        <f t="shared" si="0"/>
        <v>6.5361613124611913E-5</v>
      </c>
      <c r="BP36" s="76">
        <f t="shared" si="0"/>
        <v>2.6144645249844765E-4</v>
      </c>
      <c r="BQ36" s="76">
        <f t="shared" si="0"/>
        <v>5.8825451812150726E-4</v>
      </c>
      <c r="BR36" s="76">
        <f t="shared" si="0"/>
        <v>3.2680806562305955E-4</v>
      </c>
      <c r="BS36" s="76">
        <f t="shared" si="0"/>
        <v>6.5361613124611913E-5</v>
      </c>
      <c r="BT36" s="76">
        <f t="shared" si="0"/>
        <v>2.287656459361417E-4</v>
      </c>
      <c r="BU36" s="76">
        <f t="shared" si="1"/>
        <v>6.8629693780842508E-4</v>
      </c>
      <c r="BV36" s="76">
        <f t="shared" si="1"/>
        <v>2.9412725906075363E-4</v>
      </c>
      <c r="BW36" s="76">
        <f t="shared" si="1"/>
        <v>4.2485048530997743E-4</v>
      </c>
      <c r="BX36" s="76">
        <f t="shared" si="1"/>
        <v>4.9021209843458933E-4</v>
      </c>
      <c r="BY36" s="76">
        <f t="shared" si="1"/>
        <v>2.8432301709206183E-3</v>
      </c>
    </row>
    <row r="37" spans="1:77" x14ac:dyDescent="0.2">
      <c r="A37" s="52" t="s">
        <v>66</v>
      </c>
      <c r="B37" s="66" t="s">
        <v>66</v>
      </c>
      <c r="C37" s="77">
        <v>0</v>
      </c>
      <c r="D37" s="77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3</v>
      </c>
      <c r="K37" s="77">
        <v>0</v>
      </c>
      <c r="L37" s="77">
        <v>1</v>
      </c>
      <c r="M37" s="77">
        <v>2</v>
      </c>
      <c r="N37" s="77">
        <v>19</v>
      </c>
      <c r="O37" s="77">
        <v>1033</v>
      </c>
      <c r="P37" s="77">
        <v>219</v>
      </c>
      <c r="Q37" s="77">
        <v>762</v>
      </c>
      <c r="R37" s="77">
        <v>200</v>
      </c>
      <c r="S37" s="77">
        <v>685</v>
      </c>
      <c r="T37" s="77">
        <v>1144</v>
      </c>
      <c r="U37" s="77">
        <v>170</v>
      </c>
      <c r="V37" s="77">
        <v>311</v>
      </c>
      <c r="W37" s="77">
        <v>1628</v>
      </c>
      <c r="X37" s="78">
        <v>7905</v>
      </c>
      <c r="Y37" s="52">
        <f t="shared" si="2"/>
        <v>0</v>
      </c>
      <c r="AF37" s="75">
        <v>8</v>
      </c>
      <c r="AG37" s="75">
        <v>0</v>
      </c>
      <c r="AH37" s="75">
        <v>0</v>
      </c>
      <c r="AI37" s="75">
        <v>4</v>
      </c>
      <c r="AJ37" s="75">
        <v>0</v>
      </c>
      <c r="AK37" s="75">
        <v>0</v>
      </c>
      <c r="AL37" s="75">
        <v>0</v>
      </c>
      <c r="AM37" s="75">
        <v>10</v>
      </c>
      <c r="AN37" s="75">
        <v>5</v>
      </c>
      <c r="AO37" s="75">
        <v>1</v>
      </c>
      <c r="AP37" s="75">
        <v>8</v>
      </c>
      <c r="AQ37" s="75">
        <v>47</v>
      </c>
      <c r="AR37" s="75">
        <v>701</v>
      </c>
      <c r="AS37" s="75">
        <v>134</v>
      </c>
      <c r="AT37" s="75">
        <v>545</v>
      </c>
      <c r="AU37" s="75">
        <v>79</v>
      </c>
      <c r="AV37" s="75">
        <v>413</v>
      </c>
      <c r="AW37" s="75">
        <v>718</v>
      </c>
      <c r="AX37" s="75">
        <v>72</v>
      </c>
      <c r="AY37" s="75">
        <v>221</v>
      </c>
      <c r="AZ37" s="75">
        <v>938</v>
      </c>
      <c r="BA37" s="75">
        <v>4384</v>
      </c>
      <c r="BD37" s="76">
        <f t="shared" si="3"/>
        <v>2.6144645249844765E-4</v>
      </c>
      <c r="BE37" s="76">
        <f t="shared" si="0"/>
        <v>0</v>
      </c>
      <c r="BF37" s="76">
        <f t="shared" si="0"/>
        <v>0</v>
      </c>
      <c r="BG37" s="76">
        <f t="shared" si="0"/>
        <v>1.3072322624922383E-4</v>
      </c>
      <c r="BH37" s="76">
        <f t="shared" si="0"/>
        <v>0</v>
      </c>
      <c r="BI37" s="76">
        <f t="shared" si="0"/>
        <v>0</v>
      </c>
      <c r="BJ37" s="76">
        <f t="shared" si="0"/>
        <v>0</v>
      </c>
      <c r="BK37" s="76">
        <f t="shared" si="0"/>
        <v>3.2680806562305955E-4</v>
      </c>
      <c r="BL37" s="76">
        <f t="shared" si="0"/>
        <v>1.6340403281152978E-4</v>
      </c>
      <c r="BM37" s="76">
        <f t="shared" si="0"/>
        <v>3.2680806562305956E-5</v>
      </c>
      <c r="BN37" s="76">
        <f t="shared" si="0"/>
        <v>2.6144645249844765E-4</v>
      </c>
      <c r="BO37" s="76">
        <f t="shared" si="0"/>
        <v>1.5359979084283799E-3</v>
      </c>
      <c r="BP37" s="76">
        <f t="shared" si="0"/>
        <v>2.2909245400176477E-2</v>
      </c>
      <c r="BQ37" s="76">
        <f t="shared" si="0"/>
        <v>4.3792280793489985E-3</v>
      </c>
      <c r="BR37" s="76">
        <f t="shared" si="0"/>
        <v>1.7811039576456748E-2</v>
      </c>
      <c r="BS37" s="76">
        <f t="shared" si="0"/>
        <v>2.5817837184221705E-3</v>
      </c>
      <c r="BT37" s="76">
        <f t="shared" si="0"/>
        <v>1.3497173110232361E-2</v>
      </c>
      <c r="BU37" s="76">
        <f t="shared" si="1"/>
        <v>2.3464819111735678E-2</v>
      </c>
      <c r="BV37" s="76">
        <f t="shared" si="1"/>
        <v>2.353018072486029E-3</v>
      </c>
      <c r="BW37" s="76">
        <f t="shared" si="1"/>
        <v>7.2224582502696168E-3</v>
      </c>
      <c r="BX37" s="76">
        <f t="shared" si="1"/>
        <v>3.0654596555442989E-2</v>
      </c>
      <c r="BY37" s="76">
        <f t="shared" si="1"/>
        <v>0.14327265596914932</v>
      </c>
    </row>
    <row r="38" spans="1:77" x14ac:dyDescent="0.2">
      <c r="A38" s="52" t="s">
        <v>6</v>
      </c>
      <c r="B38" s="66" t="s">
        <v>6</v>
      </c>
      <c r="C38" s="77">
        <v>0</v>
      </c>
      <c r="D38" s="77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2</v>
      </c>
      <c r="O38" s="77">
        <v>80</v>
      </c>
      <c r="P38" s="77">
        <v>19</v>
      </c>
      <c r="Q38" s="77">
        <v>68</v>
      </c>
      <c r="R38" s="77">
        <v>45</v>
      </c>
      <c r="S38" s="77">
        <v>50</v>
      </c>
      <c r="T38" s="77">
        <v>79</v>
      </c>
      <c r="U38" s="77">
        <v>20</v>
      </c>
      <c r="V38" s="77">
        <v>18</v>
      </c>
      <c r="W38" s="77">
        <v>88</v>
      </c>
      <c r="X38" s="78">
        <v>358</v>
      </c>
      <c r="Y38" s="52">
        <f t="shared" si="2"/>
        <v>0</v>
      </c>
      <c r="AF38" s="75">
        <v>16</v>
      </c>
      <c r="AG38" s="75">
        <v>0</v>
      </c>
      <c r="AH38" s="75">
        <v>0</v>
      </c>
      <c r="AI38" s="75">
        <v>0</v>
      </c>
      <c r="AJ38" s="75">
        <v>1</v>
      </c>
      <c r="AK38" s="75">
        <v>4</v>
      </c>
      <c r="AL38" s="75">
        <v>13</v>
      </c>
      <c r="AM38" s="75">
        <v>0</v>
      </c>
      <c r="AN38" s="75">
        <v>0</v>
      </c>
      <c r="AO38" s="75">
        <v>0</v>
      </c>
      <c r="AP38" s="75">
        <v>0</v>
      </c>
      <c r="AQ38" s="75">
        <v>1</v>
      </c>
      <c r="AR38" s="75">
        <v>65</v>
      </c>
      <c r="AS38" s="75">
        <v>16</v>
      </c>
      <c r="AT38" s="75">
        <v>49</v>
      </c>
      <c r="AU38" s="75">
        <v>15</v>
      </c>
      <c r="AV38" s="75">
        <v>42</v>
      </c>
      <c r="AW38" s="75">
        <v>87</v>
      </c>
      <c r="AX38" s="75">
        <v>11</v>
      </c>
      <c r="AY38" s="75">
        <v>12</v>
      </c>
      <c r="AZ38" s="75">
        <v>54</v>
      </c>
      <c r="BA38" s="75">
        <v>295</v>
      </c>
      <c r="BD38" s="76">
        <f t="shared" si="3"/>
        <v>5.228929049968953E-4</v>
      </c>
      <c r="BE38" s="76">
        <f t="shared" si="0"/>
        <v>0</v>
      </c>
      <c r="BF38" s="76">
        <f t="shared" si="0"/>
        <v>0</v>
      </c>
      <c r="BG38" s="76">
        <f t="shared" si="0"/>
        <v>0</v>
      </c>
      <c r="BH38" s="76">
        <f t="shared" si="0"/>
        <v>3.2680806562305956E-5</v>
      </c>
      <c r="BI38" s="76">
        <f t="shared" si="0"/>
        <v>1.3072322624922383E-4</v>
      </c>
      <c r="BJ38" s="76">
        <f t="shared" si="0"/>
        <v>4.2485048530997743E-4</v>
      </c>
      <c r="BK38" s="76">
        <f t="shared" si="0"/>
        <v>0</v>
      </c>
      <c r="BL38" s="76">
        <f t="shared" si="0"/>
        <v>0</v>
      </c>
      <c r="BM38" s="76">
        <f t="shared" si="0"/>
        <v>0</v>
      </c>
      <c r="BN38" s="76">
        <f t="shared" si="0"/>
        <v>0</v>
      </c>
      <c r="BO38" s="76">
        <f t="shared" si="0"/>
        <v>3.2680806562305956E-5</v>
      </c>
      <c r="BP38" s="76">
        <f t="shared" si="0"/>
        <v>2.1242524265498871E-3</v>
      </c>
      <c r="BQ38" s="76">
        <f t="shared" si="0"/>
        <v>5.228929049968953E-4</v>
      </c>
      <c r="BR38" s="76">
        <f t="shared" si="0"/>
        <v>1.6013595215529919E-3</v>
      </c>
      <c r="BS38" s="76">
        <f t="shared" si="0"/>
        <v>4.9021209843458933E-4</v>
      </c>
      <c r="BT38" s="76">
        <f t="shared" si="0"/>
        <v>1.3725938756168502E-3</v>
      </c>
      <c r="BU38" s="76">
        <f t="shared" si="1"/>
        <v>2.8432301709206183E-3</v>
      </c>
      <c r="BV38" s="76">
        <f t="shared" si="1"/>
        <v>3.5948887218536553E-4</v>
      </c>
      <c r="BW38" s="76">
        <f t="shared" si="1"/>
        <v>3.921696787476715E-4</v>
      </c>
      <c r="BX38" s="76">
        <f t="shared" si="1"/>
        <v>1.7647635543645217E-3</v>
      </c>
      <c r="BY38" s="76">
        <f t="shared" si="1"/>
        <v>9.640837935880258E-3</v>
      </c>
    </row>
    <row r="39" spans="1:77" x14ac:dyDescent="0.2">
      <c r="A39" s="52" t="s">
        <v>5</v>
      </c>
      <c r="B39" s="66" t="s">
        <v>5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1</v>
      </c>
      <c r="O39" s="77">
        <v>42</v>
      </c>
      <c r="P39" s="77">
        <v>24</v>
      </c>
      <c r="Q39" s="77">
        <v>34</v>
      </c>
      <c r="R39" s="77">
        <v>19</v>
      </c>
      <c r="S39" s="77">
        <v>39</v>
      </c>
      <c r="T39" s="77">
        <v>36</v>
      </c>
      <c r="U39" s="77">
        <v>4</v>
      </c>
      <c r="V39" s="77">
        <v>10</v>
      </c>
      <c r="W39" s="77">
        <v>20</v>
      </c>
      <c r="X39" s="78">
        <v>114</v>
      </c>
      <c r="Y39" s="52">
        <f t="shared" si="2"/>
        <v>0</v>
      </c>
      <c r="AF39" s="75">
        <v>3</v>
      </c>
      <c r="AG39" s="75">
        <v>0</v>
      </c>
      <c r="AH39" s="75">
        <v>0</v>
      </c>
      <c r="AI39" s="75">
        <v>0</v>
      </c>
      <c r="AJ39" s="75">
        <v>0</v>
      </c>
      <c r="AK39" s="75">
        <v>0</v>
      </c>
      <c r="AL39" s="75">
        <v>2</v>
      </c>
      <c r="AM39" s="75">
        <v>2</v>
      </c>
      <c r="AN39" s="75">
        <v>0</v>
      </c>
      <c r="AO39" s="75">
        <v>2</v>
      </c>
      <c r="AP39" s="75">
        <v>0</v>
      </c>
      <c r="AQ39" s="75">
        <v>0</v>
      </c>
      <c r="AR39" s="75">
        <v>77</v>
      </c>
      <c r="AS39" s="75">
        <v>2</v>
      </c>
      <c r="AT39" s="75">
        <v>83</v>
      </c>
      <c r="AU39" s="75">
        <v>18</v>
      </c>
      <c r="AV39" s="75">
        <v>59</v>
      </c>
      <c r="AW39" s="75">
        <v>71</v>
      </c>
      <c r="AX39" s="75">
        <v>2</v>
      </c>
      <c r="AY39" s="75">
        <v>6</v>
      </c>
      <c r="AZ39" s="75">
        <v>22</v>
      </c>
      <c r="BA39" s="75">
        <v>121</v>
      </c>
      <c r="BD39" s="76">
        <f t="shared" si="3"/>
        <v>9.8042419686917876E-5</v>
      </c>
      <c r="BE39" s="76">
        <f t="shared" si="0"/>
        <v>0</v>
      </c>
      <c r="BF39" s="76">
        <f t="shared" si="0"/>
        <v>0</v>
      </c>
      <c r="BG39" s="76">
        <f t="shared" si="0"/>
        <v>0</v>
      </c>
      <c r="BH39" s="76">
        <f t="shared" si="0"/>
        <v>0</v>
      </c>
      <c r="BI39" s="76">
        <f t="shared" si="0"/>
        <v>0</v>
      </c>
      <c r="BJ39" s="76">
        <f t="shared" si="0"/>
        <v>6.5361613124611913E-5</v>
      </c>
      <c r="BK39" s="76">
        <f t="shared" si="0"/>
        <v>6.5361613124611913E-5</v>
      </c>
      <c r="BL39" s="76">
        <f t="shared" si="0"/>
        <v>0</v>
      </c>
      <c r="BM39" s="76">
        <f t="shared" si="0"/>
        <v>6.5361613124611913E-5</v>
      </c>
      <c r="BN39" s="76">
        <f t="shared" si="0"/>
        <v>0</v>
      </c>
      <c r="BO39" s="76">
        <f t="shared" si="0"/>
        <v>0</v>
      </c>
      <c r="BP39" s="76">
        <f t="shared" si="0"/>
        <v>2.5164221052975588E-3</v>
      </c>
      <c r="BQ39" s="76">
        <f t="shared" si="0"/>
        <v>6.5361613124611913E-5</v>
      </c>
      <c r="BR39" s="76">
        <f t="shared" si="0"/>
        <v>2.7125069446713944E-3</v>
      </c>
      <c r="BS39" s="76">
        <f t="shared" si="0"/>
        <v>5.8825451812150726E-4</v>
      </c>
      <c r="BT39" s="76">
        <f t="shared" si="0"/>
        <v>1.9281675871760514E-3</v>
      </c>
      <c r="BU39" s="76">
        <f t="shared" si="1"/>
        <v>2.3203372659237232E-3</v>
      </c>
      <c r="BV39" s="76">
        <f t="shared" si="1"/>
        <v>6.5361613124611913E-5</v>
      </c>
      <c r="BW39" s="76">
        <f t="shared" si="1"/>
        <v>1.9608483937383575E-4</v>
      </c>
      <c r="BX39" s="76">
        <f t="shared" si="1"/>
        <v>7.1897774437073105E-4</v>
      </c>
      <c r="BY39" s="76">
        <f t="shared" si="1"/>
        <v>3.9543775940390205E-3</v>
      </c>
    </row>
    <row r="40" spans="1:77" x14ac:dyDescent="0.2">
      <c r="A40" s="52" t="s">
        <v>68</v>
      </c>
      <c r="B40" s="66" t="s">
        <v>68</v>
      </c>
      <c r="C40" s="77">
        <v>0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54</v>
      </c>
      <c r="P40" s="77">
        <v>28</v>
      </c>
      <c r="Q40" s="77">
        <v>26</v>
      </c>
      <c r="R40" s="77">
        <v>13</v>
      </c>
      <c r="S40" s="77">
        <v>26</v>
      </c>
      <c r="T40" s="77">
        <v>39</v>
      </c>
      <c r="U40" s="77">
        <v>14</v>
      </c>
      <c r="V40" s="77">
        <v>8</v>
      </c>
      <c r="W40" s="77">
        <v>24</v>
      </c>
      <c r="X40" s="78">
        <v>90</v>
      </c>
      <c r="Y40" s="52">
        <f t="shared" si="2"/>
        <v>0</v>
      </c>
      <c r="AF40" s="75">
        <v>0</v>
      </c>
      <c r="AG40" s="75">
        <v>0</v>
      </c>
      <c r="AH40" s="75">
        <v>0</v>
      </c>
      <c r="AI40" s="75">
        <v>0</v>
      </c>
      <c r="AJ40" s="75">
        <v>0</v>
      </c>
      <c r="AK40" s="75">
        <v>0</v>
      </c>
      <c r="AL40" s="75">
        <v>1</v>
      </c>
      <c r="AM40" s="75">
        <v>0</v>
      </c>
      <c r="AN40" s="75">
        <v>0</v>
      </c>
      <c r="AO40" s="75">
        <v>0</v>
      </c>
      <c r="AP40" s="75">
        <v>0</v>
      </c>
      <c r="AQ40" s="75">
        <v>0</v>
      </c>
      <c r="AR40" s="75">
        <v>30</v>
      </c>
      <c r="AS40" s="75">
        <v>9</v>
      </c>
      <c r="AT40" s="75">
        <v>44</v>
      </c>
      <c r="AU40" s="75">
        <v>13</v>
      </c>
      <c r="AV40" s="75">
        <v>38</v>
      </c>
      <c r="AW40" s="75">
        <v>89</v>
      </c>
      <c r="AX40" s="75">
        <v>2</v>
      </c>
      <c r="AY40" s="75">
        <v>7</v>
      </c>
      <c r="AZ40" s="75">
        <v>30</v>
      </c>
      <c r="BA40" s="75">
        <v>103</v>
      </c>
      <c r="BD40" s="76">
        <f t="shared" si="3"/>
        <v>0</v>
      </c>
      <c r="BE40" s="76">
        <f t="shared" si="0"/>
        <v>0</v>
      </c>
      <c r="BF40" s="76">
        <f t="shared" si="0"/>
        <v>0</v>
      </c>
      <c r="BG40" s="76">
        <f t="shared" si="0"/>
        <v>0</v>
      </c>
      <c r="BH40" s="76">
        <f t="shared" si="0"/>
        <v>0</v>
      </c>
      <c r="BI40" s="76">
        <f t="shared" si="0"/>
        <v>0</v>
      </c>
      <c r="BJ40" s="76">
        <f t="shared" si="0"/>
        <v>3.2680806562305956E-5</v>
      </c>
      <c r="BK40" s="76">
        <f t="shared" si="0"/>
        <v>0</v>
      </c>
      <c r="BL40" s="76">
        <f t="shared" si="0"/>
        <v>0</v>
      </c>
      <c r="BM40" s="76">
        <f t="shared" si="0"/>
        <v>0</v>
      </c>
      <c r="BN40" s="76">
        <f t="shared" si="0"/>
        <v>0</v>
      </c>
      <c r="BO40" s="76">
        <f t="shared" si="0"/>
        <v>0</v>
      </c>
      <c r="BP40" s="76">
        <f t="shared" si="0"/>
        <v>9.8042419686917865E-4</v>
      </c>
      <c r="BQ40" s="76">
        <f t="shared" si="0"/>
        <v>2.9412725906075363E-4</v>
      </c>
      <c r="BR40" s="76">
        <f t="shared" si="0"/>
        <v>1.4379554887414621E-3</v>
      </c>
      <c r="BS40" s="76">
        <f t="shared" si="0"/>
        <v>4.2485048530997743E-4</v>
      </c>
      <c r="BT40" s="76">
        <f t="shared" si="0"/>
        <v>1.2418706493676265E-3</v>
      </c>
      <c r="BU40" s="76">
        <f t="shared" si="1"/>
        <v>2.9085917840452301E-3</v>
      </c>
      <c r="BV40" s="76">
        <f t="shared" si="1"/>
        <v>6.5361613124611913E-5</v>
      </c>
      <c r="BW40" s="76">
        <f t="shared" si="1"/>
        <v>2.287656459361417E-4</v>
      </c>
      <c r="BX40" s="76">
        <f t="shared" si="1"/>
        <v>9.8042419686917865E-4</v>
      </c>
      <c r="BY40" s="76">
        <f t="shared" si="1"/>
        <v>3.3661230759175135E-3</v>
      </c>
    </row>
    <row r="41" spans="1:77" x14ac:dyDescent="0.2">
      <c r="A41" s="52" t="s">
        <v>80</v>
      </c>
      <c r="B41" s="66" t="s">
        <v>80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1</v>
      </c>
      <c r="O41" s="77">
        <v>80</v>
      </c>
      <c r="P41" s="77">
        <v>22</v>
      </c>
      <c r="Q41" s="77">
        <v>95</v>
      </c>
      <c r="R41" s="77">
        <v>68</v>
      </c>
      <c r="S41" s="77">
        <v>50</v>
      </c>
      <c r="T41" s="77">
        <v>89</v>
      </c>
      <c r="U41" s="77">
        <v>24</v>
      </c>
      <c r="V41" s="77">
        <v>15</v>
      </c>
      <c r="W41" s="77">
        <v>96</v>
      </c>
      <c r="X41" s="78">
        <v>276</v>
      </c>
      <c r="Y41" s="52">
        <f t="shared" si="2"/>
        <v>0</v>
      </c>
      <c r="AF41" s="75">
        <v>7</v>
      </c>
      <c r="AG41" s="75">
        <v>2</v>
      </c>
      <c r="AH41" s="75">
        <v>0</v>
      </c>
      <c r="AI41" s="75">
        <v>0</v>
      </c>
      <c r="AJ41" s="75">
        <v>0</v>
      </c>
      <c r="AK41" s="75">
        <v>0</v>
      </c>
      <c r="AL41" s="75">
        <v>2</v>
      </c>
      <c r="AM41" s="75">
        <v>0</v>
      </c>
      <c r="AN41" s="75">
        <v>0</v>
      </c>
      <c r="AO41" s="75">
        <v>0</v>
      </c>
      <c r="AP41" s="75">
        <v>0</v>
      </c>
      <c r="AQ41" s="75">
        <v>4</v>
      </c>
      <c r="AR41" s="75">
        <v>79</v>
      </c>
      <c r="AS41" s="75">
        <v>15</v>
      </c>
      <c r="AT41" s="75">
        <v>76</v>
      </c>
      <c r="AU41" s="75">
        <v>46</v>
      </c>
      <c r="AV41" s="75">
        <v>50</v>
      </c>
      <c r="AW41" s="75">
        <v>109</v>
      </c>
      <c r="AX41" s="75">
        <v>18</v>
      </c>
      <c r="AY41" s="75">
        <v>16</v>
      </c>
      <c r="AZ41" s="75">
        <v>43</v>
      </c>
      <c r="BA41" s="75">
        <v>199</v>
      </c>
      <c r="BD41" s="76">
        <f t="shared" si="3"/>
        <v>2.287656459361417E-4</v>
      </c>
      <c r="BE41" s="76">
        <f t="shared" si="0"/>
        <v>6.5361613124611913E-5</v>
      </c>
      <c r="BF41" s="76">
        <f t="shared" si="0"/>
        <v>0</v>
      </c>
      <c r="BG41" s="76">
        <f t="shared" si="0"/>
        <v>0</v>
      </c>
      <c r="BH41" s="76">
        <f t="shared" si="0"/>
        <v>0</v>
      </c>
      <c r="BI41" s="76">
        <f t="shared" si="0"/>
        <v>0</v>
      </c>
      <c r="BJ41" s="76">
        <f t="shared" si="0"/>
        <v>6.5361613124611913E-5</v>
      </c>
      <c r="BK41" s="76">
        <f t="shared" si="0"/>
        <v>0</v>
      </c>
      <c r="BL41" s="76">
        <f t="shared" si="0"/>
        <v>0</v>
      </c>
      <c r="BM41" s="76">
        <f t="shared" si="0"/>
        <v>0</v>
      </c>
      <c r="BN41" s="76">
        <f t="shared" si="0"/>
        <v>0</v>
      </c>
      <c r="BO41" s="76">
        <f t="shared" si="0"/>
        <v>1.3072322624922383E-4</v>
      </c>
      <c r="BP41" s="76">
        <f t="shared" si="0"/>
        <v>2.5817837184221705E-3</v>
      </c>
      <c r="BQ41" s="76">
        <f t="shared" si="0"/>
        <v>4.9021209843458933E-4</v>
      </c>
      <c r="BR41" s="76">
        <f t="shared" si="0"/>
        <v>2.4837412987352529E-3</v>
      </c>
      <c r="BS41" s="76">
        <f t="shared" si="0"/>
        <v>1.5033171018660741E-3</v>
      </c>
      <c r="BT41" s="76">
        <f t="shared" si="0"/>
        <v>1.634040328115298E-3</v>
      </c>
      <c r="BU41" s="76">
        <f t="shared" si="1"/>
        <v>3.5622079152913492E-3</v>
      </c>
      <c r="BV41" s="76">
        <f t="shared" si="1"/>
        <v>5.8825451812150726E-4</v>
      </c>
      <c r="BW41" s="76">
        <f t="shared" si="1"/>
        <v>5.228929049968953E-4</v>
      </c>
      <c r="BX41" s="76">
        <f t="shared" si="1"/>
        <v>1.4052746821791562E-3</v>
      </c>
      <c r="BY41" s="76">
        <f t="shared" si="1"/>
        <v>6.503480505898886E-3</v>
      </c>
    </row>
    <row r="42" spans="1:77" x14ac:dyDescent="0.2">
      <c r="A42" s="52" t="s">
        <v>2</v>
      </c>
      <c r="B42" s="66" t="s">
        <v>2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4</v>
      </c>
      <c r="J42" s="77">
        <v>0</v>
      </c>
      <c r="K42" s="77">
        <v>0</v>
      </c>
      <c r="L42" s="77">
        <v>0</v>
      </c>
      <c r="M42" s="77">
        <v>1</v>
      </c>
      <c r="N42" s="77">
        <v>0</v>
      </c>
      <c r="O42" s="77">
        <v>313</v>
      </c>
      <c r="P42" s="77">
        <v>70</v>
      </c>
      <c r="Q42" s="77">
        <v>229</v>
      </c>
      <c r="R42" s="77">
        <v>83</v>
      </c>
      <c r="S42" s="77">
        <v>216</v>
      </c>
      <c r="T42" s="77">
        <v>280</v>
      </c>
      <c r="U42" s="77">
        <v>14</v>
      </c>
      <c r="V42" s="77">
        <v>10</v>
      </c>
      <c r="W42" s="77">
        <v>105</v>
      </c>
      <c r="X42" s="78">
        <v>407</v>
      </c>
      <c r="Y42" s="52">
        <f t="shared" si="2"/>
        <v>0</v>
      </c>
      <c r="AF42" s="75">
        <v>11</v>
      </c>
      <c r="AG42" s="75">
        <v>0</v>
      </c>
      <c r="AH42" s="75">
        <v>0</v>
      </c>
      <c r="AI42" s="75">
        <v>0</v>
      </c>
      <c r="AJ42" s="75">
        <v>1</v>
      </c>
      <c r="AK42" s="75">
        <v>5</v>
      </c>
      <c r="AL42" s="75">
        <v>36</v>
      </c>
      <c r="AM42" s="75">
        <v>0</v>
      </c>
      <c r="AN42" s="75">
        <v>2</v>
      </c>
      <c r="AO42" s="75">
        <v>0</v>
      </c>
      <c r="AP42" s="75">
        <v>1</v>
      </c>
      <c r="AQ42" s="75">
        <v>0</v>
      </c>
      <c r="AR42" s="75">
        <v>166</v>
      </c>
      <c r="AS42" s="75">
        <v>32</v>
      </c>
      <c r="AT42" s="75">
        <v>115</v>
      </c>
      <c r="AU42" s="75">
        <v>24</v>
      </c>
      <c r="AV42" s="75">
        <v>81</v>
      </c>
      <c r="AW42" s="75">
        <v>188</v>
      </c>
      <c r="AX42" s="75">
        <v>19</v>
      </c>
      <c r="AY42" s="75">
        <v>14</v>
      </c>
      <c r="AZ42" s="75">
        <v>34</v>
      </c>
      <c r="BA42" s="75">
        <v>221</v>
      </c>
      <c r="BD42" s="76">
        <f t="shared" si="3"/>
        <v>3.5948887218536553E-4</v>
      </c>
      <c r="BE42" s="76">
        <f t="shared" si="0"/>
        <v>0</v>
      </c>
      <c r="BF42" s="76">
        <f t="shared" si="0"/>
        <v>0</v>
      </c>
      <c r="BG42" s="76">
        <f t="shared" si="0"/>
        <v>0</v>
      </c>
      <c r="BH42" s="76">
        <f t="shared" si="0"/>
        <v>3.2680806562305956E-5</v>
      </c>
      <c r="BI42" s="76">
        <f t="shared" si="0"/>
        <v>1.6340403281152978E-4</v>
      </c>
      <c r="BJ42" s="76">
        <f t="shared" si="0"/>
        <v>1.1765090362430145E-3</v>
      </c>
      <c r="BK42" s="76">
        <f t="shared" si="0"/>
        <v>0</v>
      </c>
      <c r="BL42" s="76">
        <f t="shared" si="0"/>
        <v>6.5361613124611913E-5</v>
      </c>
      <c r="BM42" s="76">
        <f t="shared" si="0"/>
        <v>0</v>
      </c>
      <c r="BN42" s="76">
        <f t="shared" si="0"/>
        <v>3.2680806562305956E-5</v>
      </c>
      <c r="BO42" s="76">
        <f t="shared" si="0"/>
        <v>0</v>
      </c>
      <c r="BP42" s="76">
        <f t="shared" si="0"/>
        <v>5.4250138893427889E-3</v>
      </c>
      <c r="BQ42" s="76">
        <f t="shared" si="0"/>
        <v>1.0457858099937906E-3</v>
      </c>
      <c r="BR42" s="76">
        <f t="shared" si="0"/>
        <v>3.7582927546651853E-3</v>
      </c>
      <c r="BS42" s="76">
        <f t="shared" si="0"/>
        <v>7.8433935749534301E-4</v>
      </c>
      <c r="BT42" s="76">
        <f t="shared" si="0"/>
        <v>2.6471453315467827E-3</v>
      </c>
      <c r="BU42" s="76">
        <f t="shared" si="1"/>
        <v>6.1439916337135197E-3</v>
      </c>
      <c r="BV42" s="76">
        <f t="shared" si="1"/>
        <v>6.2093532468381323E-4</v>
      </c>
      <c r="BW42" s="76">
        <f t="shared" si="1"/>
        <v>4.575312918722834E-4</v>
      </c>
      <c r="BX42" s="76">
        <f t="shared" si="1"/>
        <v>1.1111474231184026E-3</v>
      </c>
      <c r="BY42" s="76">
        <f t="shared" si="1"/>
        <v>7.2224582502696168E-3</v>
      </c>
    </row>
    <row r="43" spans="1:77" x14ac:dyDescent="0.2">
      <c r="A43" s="52" t="s">
        <v>70</v>
      </c>
      <c r="B43" s="66" t="s">
        <v>70</v>
      </c>
      <c r="C43" s="77">
        <v>68</v>
      </c>
      <c r="D43" s="77">
        <v>46</v>
      </c>
      <c r="E43" s="77">
        <v>23</v>
      </c>
      <c r="F43" s="77">
        <v>41</v>
      </c>
      <c r="G43" s="77">
        <v>102</v>
      </c>
      <c r="H43" s="77">
        <v>26</v>
      </c>
      <c r="I43" s="77">
        <v>1298</v>
      </c>
      <c r="J43" s="77">
        <v>158</v>
      </c>
      <c r="K43" s="77">
        <v>58</v>
      </c>
      <c r="L43" s="77">
        <v>58</v>
      </c>
      <c r="M43" s="77">
        <v>72</v>
      </c>
      <c r="N43" s="77">
        <v>253</v>
      </c>
      <c r="O43" s="77">
        <v>0</v>
      </c>
      <c r="P43" s="77">
        <v>12</v>
      </c>
      <c r="Q43" s="77">
        <v>11</v>
      </c>
      <c r="R43" s="77">
        <v>3</v>
      </c>
      <c r="S43" s="77">
        <v>7</v>
      </c>
      <c r="T43" s="77">
        <v>6</v>
      </c>
      <c r="U43" s="77">
        <v>0</v>
      </c>
      <c r="V43" s="77">
        <v>0</v>
      </c>
      <c r="W43" s="77">
        <v>12</v>
      </c>
      <c r="X43" s="78">
        <v>38</v>
      </c>
      <c r="Y43" s="52">
        <f t="shared" si="2"/>
        <v>0</v>
      </c>
      <c r="AF43" s="75">
        <v>44</v>
      </c>
      <c r="AG43" s="75">
        <v>18</v>
      </c>
      <c r="AH43" s="75">
        <v>18</v>
      </c>
      <c r="AI43" s="75">
        <v>32</v>
      </c>
      <c r="AJ43" s="75">
        <v>27</v>
      </c>
      <c r="AK43" s="75">
        <v>37</v>
      </c>
      <c r="AL43" s="75">
        <v>852</v>
      </c>
      <c r="AM43" s="75">
        <v>75</v>
      </c>
      <c r="AN43" s="75">
        <v>79</v>
      </c>
      <c r="AO43" s="75">
        <v>29</v>
      </c>
      <c r="AP43" s="75">
        <v>96</v>
      </c>
      <c r="AQ43" s="75">
        <v>226</v>
      </c>
      <c r="AR43" s="75">
        <v>0</v>
      </c>
      <c r="AS43" s="75">
        <v>0</v>
      </c>
      <c r="AT43" s="75">
        <v>22</v>
      </c>
      <c r="AU43" s="75">
        <v>0</v>
      </c>
      <c r="AV43" s="75">
        <v>1</v>
      </c>
      <c r="AW43" s="75">
        <v>10</v>
      </c>
      <c r="AX43" s="75">
        <v>0</v>
      </c>
      <c r="AY43" s="75">
        <v>0</v>
      </c>
      <c r="AZ43" s="75">
        <v>14</v>
      </c>
      <c r="BA43" s="75">
        <v>55</v>
      </c>
      <c r="BD43" s="76">
        <f t="shared" si="3"/>
        <v>1.4379554887414621E-3</v>
      </c>
      <c r="BE43" s="76">
        <f t="shared" si="0"/>
        <v>5.8825451812150726E-4</v>
      </c>
      <c r="BF43" s="76">
        <f t="shared" si="0"/>
        <v>5.8825451812150726E-4</v>
      </c>
      <c r="BG43" s="76">
        <f t="shared" si="0"/>
        <v>1.0457858099937906E-3</v>
      </c>
      <c r="BH43" s="76">
        <f t="shared" si="0"/>
        <v>8.8238177718226083E-4</v>
      </c>
      <c r="BI43" s="76">
        <f t="shared" si="0"/>
        <v>1.2091898428053204E-3</v>
      </c>
      <c r="BJ43" s="76">
        <f t="shared" si="0"/>
        <v>2.7844047191084676E-2</v>
      </c>
      <c r="BK43" s="76">
        <f t="shared" si="0"/>
        <v>2.4510604921729466E-3</v>
      </c>
      <c r="BL43" s="76">
        <f t="shared" si="0"/>
        <v>2.5817837184221705E-3</v>
      </c>
      <c r="BM43" s="76">
        <f t="shared" si="0"/>
        <v>9.4774339030687278E-4</v>
      </c>
      <c r="BN43" s="76">
        <f t="shared" si="0"/>
        <v>3.137357429981372E-3</v>
      </c>
      <c r="BO43" s="76">
        <f t="shared" si="0"/>
        <v>7.3858622830811462E-3</v>
      </c>
      <c r="BP43" s="76">
        <f t="shared" si="0"/>
        <v>0</v>
      </c>
      <c r="BQ43" s="76">
        <f t="shared" si="0"/>
        <v>0</v>
      </c>
      <c r="BR43" s="76">
        <f t="shared" si="0"/>
        <v>7.1897774437073105E-4</v>
      </c>
      <c r="BS43" s="76">
        <f t="shared" si="0"/>
        <v>0</v>
      </c>
      <c r="BT43" s="76">
        <f t="shared" si="0"/>
        <v>3.2680806562305956E-5</v>
      </c>
      <c r="BU43" s="76">
        <f t="shared" si="1"/>
        <v>3.2680806562305955E-4</v>
      </c>
      <c r="BV43" s="76">
        <f t="shared" si="1"/>
        <v>0</v>
      </c>
      <c r="BW43" s="76">
        <f t="shared" si="1"/>
        <v>0</v>
      </c>
      <c r="BX43" s="76">
        <f t="shared" si="1"/>
        <v>4.575312918722834E-4</v>
      </c>
      <c r="BY43" s="76">
        <f t="shared" si="1"/>
        <v>1.7974443609268277E-3</v>
      </c>
    </row>
    <row r="44" spans="1:77" x14ac:dyDescent="0.2">
      <c r="A44" s="52" t="s">
        <v>71</v>
      </c>
      <c r="B44" s="66" t="s">
        <v>71</v>
      </c>
      <c r="C44" s="77">
        <v>49</v>
      </c>
      <c r="D44" s="77">
        <v>26</v>
      </c>
      <c r="E44" s="77">
        <v>7</v>
      </c>
      <c r="F44" s="77">
        <v>3</v>
      </c>
      <c r="G44" s="77">
        <v>31</v>
      </c>
      <c r="H44" s="77">
        <v>6</v>
      </c>
      <c r="I44" s="77">
        <v>271</v>
      </c>
      <c r="J44" s="77">
        <v>39</v>
      </c>
      <c r="K44" s="77">
        <v>34</v>
      </c>
      <c r="L44" s="77">
        <v>31</v>
      </c>
      <c r="M44" s="77">
        <v>25</v>
      </c>
      <c r="N44" s="77">
        <v>48</v>
      </c>
      <c r="O44" s="77">
        <v>9</v>
      </c>
      <c r="P44" s="77">
        <v>0</v>
      </c>
      <c r="Q44" s="77">
        <v>5</v>
      </c>
      <c r="R44" s="77">
        <v>0</v>
      </c>
      <c r="S44" s="77">
        <v>2</v>
      </c>
      <c r="T44" s="77">
        <v>2</v>
      </c>
      <c r="U44" s="77">
        <v>0</v>
      </c>
      <c r="V44" s="77">
        <v>0</v>
      </c>
      <c r="W44" s="77">
        <v>3</v>
      </c>
      <c r="X44" s="78">
        <v>15</v>
      </c>
      <c r="Y44" s="52">
        <f t="shared" si="2"/>
        <v>0</v>
      </c>
      <c r="AF44" s="75">
        <v>26</v>
      </c>
      <c r="AG44" s="75">
        <v>10</v>
      </c>
      <c r="AH44" s="75">
        <v>11</v>
      </c>
      <c r="AI44" s="75">
        <v>7</v>
      </c>
      <c r="AJ44" s="75">
        <v>9</v>
      </c>
      <c r="AK44" s="75">
        <v>19</v>
      </c>
      <c r="AL44" s="75">
        <v>152</v>
      </c>
      <c r="AM44" s="75">
        <v>28</v>
      </c>
      <c r="AN44" s="75">
        <v>16</v>
      </c>
      <c r="AO44" s="75">
        <v>8</v>
      </c>
      <c r="AP44" s="75">
        <v>16</v>
      </c>
      <c r="AQ44" s="75">
        <v>61</v>
      </c>
      <c r="AR44" s="75">
        <v>17</v>
      </c>
      <c r="AS44" s="75">
        <v>0</v>
      </c>
      <c r="AT44" s="75">
        <v>0</v>
      </c>
      <c r="AU44" s="75">
        <v>0</v>
      </c>
      <c r="AV44" s="75">
        <v>2</v>
      </c>
      <c r="AW44" s="75">
        <v>1</v>
      </c>
      <c r="AX44" s="75">
        <v>0</v>
      </c>
      <c r="AY44" s="75">
        <v>0</v>
      </c>
      <c r="AZ44" s="75">
        <v>7</v>
      </c>
      <c r="BA44" s="75">
        <v>4</v>
      </c>
      <c r="BD44" s="76">
        <f t="shared" si="3"/>
        <v>8.4970097061995485E-4</v>
      </c>
      <c r="BE44" s="76">
        <f t="shared" si="0"/>
        <v>3.2680806562305955E-4</v>
      </c>
      <c r="BF44" s="76">
        <f t="shared" si="0"/>
        <v>3.5948887218536553E-4</v>
      </c>
      <c r="BG44" s="76">
        <f t="shared" si="0"/>
        <v>2.287656459361417E-4</v>
      </c>
      <c r="BH44" s="76">
        <f t="shared" si="0"/>
        <v>2.9412725906075363E-4</v>
      </c>
      <c r="BI44" s="76">
        <f t="shared" si="0"/>
        <v>6.2093532468381323E-4</v>
      </c>
      <c r="BJ44" s="76">
        <f t="shared" si="0"/>
        <v>4.9674825974705059E-3</v>
      </c>
      <c r="BK44" s="76">
        <f t="shared" si="0"/>
        <v>9.1506258374456681E-4</v>
      </c>
      <c r="BL44" s="76">
        <f t="shared" si="0"/>
        <v>5.228929049968953E-4</v>
      </c>
      <c r="BM44" s="76">
        <f t="shared" si="0"/>
        <v>2.6144645249844765E-4</v>
      </c>
      <c r="BN44" s="76">
        <f t="shared" si="0"/>
        <v>5.228929049968953E-4</v>
      </c>
      <c r="BO44" s="76">
        <f t="shared" si="0"/>
        <v>1.9935292003006636E-3</v>
      </c>
      <c r="BP44" s="76">
        <f t="shared" si="0"/>
        <v>5.5557371155920128E-4</v>
      </c>
      <c r="BQ44" s="76">
        <f t="shared" si="0"/>
        <v>0</v>
      </c>
      <c r="BR44" s="76">
        <f t="shared" si="0"/>
        <v>0</v>
      </c>
      <c r="BS44" s="76">
        <f t="shared" si="0"/>
        <v>0</v>
      </c>
      <c r="BT44" s="76">
        <f t="shared" si="0"/>
        <v>6.5361613124611913E-5</v>
      </c>
      <c r="BU44" s="76">
        <f t="shared" si="1"/>
        <v>3.2680806562305956E-5</v>
      </c>
      <c r="BV44" s="76">
        <f t="shared" si="1"/>
        <v>0</v>
      </c>
      <c r="BW44" s="76">
        <f t="shared" si="1"/>
        <v>0</v>
      </c>
      <c r="BX44" s="76">
        <f t="shared" si="1"/>
        <v>2.287656459361417E-4</v>
      </c>
      <c r="BY44" s="76">
        <f t="shared" si="1"/>
        <v>1.3072322624922383E-4</v>
      </c>
    </row>
    <row r="45" spans="1:77" x14ac:dyDescent="0.2">
      <c r="A45" s="52" t="s">
        <v>72</v>
      </c>
      <c r="B45" s="66" t="s">
        <v>72</v>
      </c>
      <c r="C45" s="77">
        <v>83</v>
      </c>
      <c r="D45" s="77">
        <v>18</v>
      </c>
      <c r="E45" s="77">
        <v>40</v>
      </c>
      <c r="F45" s="77">
        <v>24</v>
      </c>
      <c r="G45" s="77">
        <v>61</v>
      </c>
      <c r="H45" s="77">
        <v>27</v>
      </c>
      <c r="I45" s="77">
        <v>1051</v>
      </c>
      <c r="J45" s="77">
        <v>107</v>
      </c>
      <c r="K45" s="77">
        <v>59</v>
      </c>
      <c r="L45" s="77">
        <v>39</v>
      </c>
      <c r="M45" s="77">
        <v>81</v>
      </c>
      <c r="N45" s="77">
        <v>238</v>
      </c>
      <c r="O45" s="77">
        <v>55</v>
      </c>
      <c r="P45" s="77">
        <v>5</v>
      </c>
      <c r="Q45" s="77">
        <v>0</v>
      </c>
      <c r="R45" s="77">
        <v>3</v>
      </c>
      <c r="S45" s="77">
        <v>15</v>
      </c>
      <c r="T45" s="77">
        <v>14</v>
      </c>
      <c r="U45" s="77">
        <v>0</v>
      </c>
      <c r="V45" s="77">
        <v>0</v>
      </c>
      <c r="W45" s="77">
        <v>16</v>
      </c>
      <c r="X45" s="78">
        <v>49</v>
      </c>
      <c r="Y45" s="52">
        <f t="shared" si="2"/>
        <v>0</v>
      </c>
      <c r="AF45" s="75">
        <v>65</v>
      </c>
      <c r="AG45" s="75">
        <v>13</v>
      </c>
      <c r="AH45" s="75">
        <v>23</v>
      </c>
      <c r="AI45" s="75">
        <v>22</v>
      </c>
      <c r="AJ45" s="75">
        <v>30</v>
      </c>
      <c r="AK45" s="75">
        <v>26</v>
      </c>
      <c r="AL45" s="75">
        <v>668</v>
      </c>
      <c r="AM45" s="75">
        <v>79</v>
      </c>
      <c r="AN45" s="75">
        <v>48</v>
      </c>
      <c r="AO45" s="75">
        <v>43</v>
      </c>
      <c r="AP45" s="75">
        <v>78</v>
      </c>
      <c r="AQ45" s="75">
        <v>191</v>
      </c>
      <c r="AR45" s="75">
        <v>32</v>
      </c>
      <c r="AS45" s="75">
        <v>3</v>
      </c>
      <c r="AT45" s="75">
        <v>0</v>
      </c>
      <c r="AU45" s="75">
        <v>0</v>
      </c>
      <c r="AV45" s="75">
        <v>6</v>
      </c>
      <c r="AW45" s="75">
        <v>11</v>
      </c>
      <c r="AX45" s="75">
        <v>1</v>
      </c>
      <c r="AY45" s="75">
        <v>0</v>
      </c>
      <c r="AZ45" s="75">
        <v>13</v>
      </c>
      <c r="BA45" s="75">
        <v>48</v>
      </c>
      <c r="BD45" s="76">
        <f t="shared" si="3"/>
        <v>2.1242524265498871E-3</v>
      </c>
      <c r="BE45" s="76">
        <f t="shared" si="0"/>
        <v>4.2485048530997743E-4</v>
      </c>
      <c r="BF45" s="76">
        <f t="shared" si="0"/>
        <v>7.5165855093303703E-4</v>
      </c>
      <c r="BG45" s="76">
        <f t="shared" si="0"/>
        <v>7.1897774437073105E-4</v>
      </c>
      <c r="BH45" s="76">
        <f t="shared" si="0"/>
        <v>9.8042419686917865E-4</v>
      </c>
      <c r="BI45" s="76">
        <f t="shared" si="0"/>
        <v>8.4970097061995485E-4</v>
      </c>
      <c r="BJ45" s="76">
        <f t="shared" si="0"/>
        <v>2.1830778783620379E-2</v>
      </c>
      <c r="BK45" s="76">
        <f t="shared" si="0"/>
        <v>2.5817837184221705E-3</v>
      </c>
      <c r="BL45" s="76">
        <f t="shared" si="0"/>
        <v>1.568678714990686E-3</v>
      </c>
      <c r="BM45" s="76">
        <f t="shared" si="0"/>
        <v>1.4052746821791562E-3</v>
      </c>
      <c r="BN45" s="76">
        <f t="shared" si="0"/>
        <v>2.5491029118598647E-3</v>
      </c>
      <c r="BO45" s="76">
        <f t="shared" si="0"/>
        <v>6.2420340534004382E-3</v>
      </c>
      <c r="BP45" s="76">
        <f t="shared" si="0"/>
        <v>1.0457858099937906E-3</v>
      </c>
      <c r="BQ45" s="76">
        <f t="shared" si="0"/>
        <v>9.8042419686917876E-5</v>
      </c>
      <c r="BR45" s="76">
        <f t="shared" si="0"/>
        <v>0</v>
      </c>
      <c r="BS45" s="76">
        <f t="shared" si="0"/>
        <v>0</v>
      </c>
      <c r="BT45" s="76">
        <f t="shared" si="0"/>
        <v>1.9608483937383575E-4</v>
      </c>
      <c r="BU45" s="76">
        <f t="shared" si="1"/>
        <v>3.5948887218536553E-4</v>
      </c>
      <c r="BV45" s="76">
        <f t="shared" si="1"/>
        <v>3.2680806562305956E-5</v>
      </c>
      <c r="BW45" s="76">
        <f t="shared" si="1"/>
        <v>0</v>
      </c>
      <c r="BX45" s="76">
        <f t="shared" si="1"/>
        <v>4.2485048530997743E-4</v>
      </c>
      <c r="BY45" s="76">
        <f t="shared" si="1"/>
        <v>1.568678714990686E-3</v>
      </c>
    </row>
    <row r="46" spans="1:77" x14ac:dyDescent="0.2">
      <c r="A46" s="52" t="s">
        <v>73</v>
      </c>
      <c r="B46" s="66" t="s">
        <v>73</v>
      </c>
      <c r="C46" s="77">
        <v>12</v>
      </c>
      <c r="D46" s="77">
        <v>2</v>
      </c>
      <c r="E46" s="77">
        <v>5</v>
      </c>
      <c r="F46" s="77">
        <v>8</v>
      </c>
      <c r="G46" s="77">
        <v>14</v>
      </c>
      <c r="H46" s="77">
        <v>9</v>
      </c>
      <c r="I46" s="77">
        <v>289</v>
      </c>
      <c r="J46" s="77">
        <v>48</v>
      </c>
      <c r="K46" s="77">
        <v>42</v>
      </c>
      <c r="L46" s="77">
        <v>27</v>
      </c>
      <c r="M46" s="77">
        <v>56</v>
      </c>
      <c r="N46" s="77">
        <v>25</v>
      </c>
      <c r="O46" s="77">
        <v>15</v>
      </c>
      <c r="P46" s="77">
        <v>2</v>
      </c>
      <c r="Q46" s="77">
        <v>0</v>
      </c>
      <c r="R46" s="77">
        <v>0</v>
      </c>
      <c r="S46" s="77">
        <v>11</v>
      </c>
      <c r="T46" s="77">
        <v>7</v>
      </c>
      <c r="U46" s="77">
        <v>0</v>
      </c>
      <c r="V46" s="77">
        <v>0</v>
      </c>
      <c r="W46" s="77">
        <v>4</v>
      </c>
      <c r="X46" s="78">
        <v>20</v>
      </c>
      <c r="Y46" s="52">
        <f t="shared" si="2"/>
        <v>0</v>
      </c>
      <c r="AF46" s="75">
        <v>14</v>
      </c>
      <c r="AG46" s="75">
        <v>2</v>
      </c>
      <c r="AH46" s="75">
        <v>3</v>
      </c>
      <c r="AI46" s="75">
        <v>3</v>
      </c>
      <c r="AJ46" s="75">
        <v>3</v>
      </c>
      <c r="AK46" s="75">
        <v>0</v>
      </c>
      <c r="AL46" s="75">
        <v>92</v>
      </c>
      <c r="AM46" s="75">
        <v>10</v>
      </c>
      <c r="AN46" s="75">
        <v>24</v>
      </c>
      <c r="AO46" s="75">
        <v>16</v>
      </c>
      <c r="AP46" s="75">
        <v>29</v>
      </c>
      <c r="AQ46" s="75">
        <v>24</v>
      </c>
      <c r="AR46" s="75">
        <v>0</v>
      </c>
      <c r="AS46" s="75">
        <v>0</v>
      </c>
      <c r="AT46" s="75">
        <v>1</v>
      </c>
      <c r="AU46" s="75">
        <v>0</v>
      </c>
      <c r="AV46" s="75">
        <v>1</v>
      </c>
      <c r="AW46" s="75">
        <v>5</v>
      </c>
      <c r="AX46" s="75">
        <v>0</v>
      </c>
      <c r="AY46" s="75">
        <v>0</v>
      </c>
      <c r="AZ46" s="75">
        <v>0</v>
      </c>
      <c r="BA46" s="75">
        <v>17</v>
      </c>
      <c r="BD46" s="76">
        <f t="shared" si="3"/>
        <v>4.575312918722834E-4</v>
      </c>
      <c r="BE46" s="76">
        <f t="shared" si="0"/>
        <v>6.5361613124611913E-5</v>
      </c>
      <c r="BF46" s="76">
        <f t="shared" si="0"/>
        <v>9.8042419686917876E-5</v>
      </c>
      <c r="BG46" s="76">
        <f t="shared" si="0"/>
        <v>9.8042419686917876E-5</v>
      </c>
      <c r="BH46" s="76">
        <f t="shared" si="0"/>
        <v>9.8042419686917876E-5</v>
      </c>
      <c r="BI46" s="76">
        <f t="shared" si="0"/>
        <v>0</v>
      </c>
      <c r="BJ46" s="76">
        <f t="shared" si="0"/>
        <v>3.0066342037321481E-3</v>
      </c>
      <c r="BK46" s="76">
        <f t="shared" si="0"/>
        <v>3.2680806562305955E-4</v>
      </c>
      <c r="BL46" s="76">
        <f t="shared" si="0"/>
        <v>7.8433935749534301E-4</v>
      </c>
      <c r="BM46" s="76">
        <f t="shared" si="0"/>
        <v>5.228929049968953E-4</v>
      </c>
      <c r="BN46" s="76">
        <f t="shared" si="0"/>
        <v>9.4774339030687278E-4</v>
      </c>
      <c r="BO46" s="76">
        <f t="shared" si="0"/>
        <v>7.8433935749534301E-4</v>
      </c>
      <c r="BP46" s="76">
        <f t="shared" si="0"/>
        <v>0</v>
      </c>
      <c r="BQ46" s="76">
        <f t="shared" si="0"/>
        <v>0</v>
      </c>
      <c r="BR46" s="76">
        <f t="shared" si="0"/>
        <v>3.2680806562305956E-5</v>
      </c>
      <c r="BS46" s="76">
        <f t="shared" si="0"/>
        <v>0</v>
      </c>
      <c r="BT46" s="76">
        <f t="shared" ref="BT46:BT52" si="4">+AV46/$BB$53</f>
        <v>3.2680806562305956E-5</v>
      </c>
      <c r="BU46" s="76">
        <f t="shared" si="1"/>
        <v>1.6340403281152978E-4</v>
      </c>
      <c r="BV46" s="76">
        <f t="shared" si="1"/>
        <v>0</v>
      </c>
      <c r="BW46" s="76">
        <f t="shared" si="1"/>
        <v>0</v>
      </c>
      <c r="BX46" s="76">
        <f t="shared" si="1"/>
        <v>0</v>
      </c>
      <c r="BY46" s="76">
        <f t="shared" si="1"/>
        <v>5.5557371155920128E-4</v>
      </c>
    </row>
    <row r="47" spans="1:77" x14ac:dyDescent="0.2">
      <c r="A47" s="52" t="s">
        <v>74</v>
      </c>
      <c r="B47" s="66" t="s">
        <v>74</v>
      </c>
      <c r="C47" s="77">
        <v>39</v>
      </c>
      <c r="D47" s="77">
        <v>19</v>
      </c>
      <c r="E47" s="77">
        <v>34</v>
      </c>
      <c r="F47" s="77">
        <v>21</v>
      </c>
      <c r="G47" s="77">
        <v>35</v>
      </c>
      <c r="H47" s="77">
        <v>9</v>
      </c>
      <c r="I47" s="77">
        <v>927</v>
      </c>
      <c r="J47" s="77">
        <v>109</v>
      </c>
      <c r="K47" s="77">
        <v>54</v>
      </c>
      <c r="L47" s="77">
        <v>32</v>
      </c>
      <c r="M47" s="77">
        <v>70</v>
      </c>
      <c r="N47" s="77">
        <v>184</v>
      </c>
      <c r="O47" s="77">
        <v>19</v>
      </c>
      <c r="P47" s="77">
        <v>4</v>
      </c>
      <c r="Q47" s="77">
        <v>13</v>
      </c>
      <c r="R47" s="77">
        <v>1</v>
      </c>
      <c r="S47" s="77">
        <v>0</v>
      </c>
      <c r="T47" s="77">
        <v>10</v>
      </c>
      <c r="U47" s="77">
        <v>9</v>
      </c>
      <c r="V47" s="77">
        <v>4</v>
      </c>
      <c r="W47" s="77">
        <v>13</v>
      </c>
      <c r="X47" s="78">
        <v>176</v>
      </c>
      <c r="Y47" s="52">
        <f t="shared" si="2"/>
        <v>0</v>
      </c>
      <c r="AF47" s="75">
        <v>53</v>
      </c>
      <c r="AG47" s="75">
        <v>18</v>
      </c>
      <c r="AH47" s="75">
        <v>5</v>
      </c>
      <c r="AI47" s="75">
        <v>7</v>
      </c>
      <c r="AJ47" s="75">
        <v>23</v>
      </c>
      <c r="AK47" s="75">
        <v>10</v>
      </c>
      <c r="AL47" s="75">
        <v>603</v>
      </c>
      <c r="AM47" s="75">
        <v>67</v>
      </c>
      <c r="AN47" s="75">
        <v>50</v>
      </c>
      <c r="AO47" s="75">
        <v>43</v>
      </c>
      <c r="AP47" s="75">
        <v>44</v>
      </c>
      <c r="AQ47" s="75">
        <v>136</v>
      </c>
      <c r="AR47" s="75">
        <v>5</v>
      </c>
      <c r="AS47" s="75">
        <v>2</v>
      </c>
      <c r="AT47" s="75">
        <v>17</v>
      </c>
      <c r="AU47" s="75">
        <v>3</v>
      </c>
      <c r="AV47" s="75">
        <v>0</v>
      </c>
      <c r="AW47" s="75">
        <v>0</v>
      </c>
      <c r="AX47" s="75">
        <v>14</v>
      </c>
      <c r="AY47" s="75">
        <v>1</v>
      </c>
      <c r="AZ47" s="75">
        <v>14</v>
      </c>
      <c r="BA47" s="75">
        <v>161</v>
      </c>
      <c r="BD47" s="76">
        <f t="shared" si="3"/>
        <v>1.7320827478022158E-3</v>
      </c>
      <c r="BE47" s="76">
        <f t="shared" si="3"/>
        <v>5.8825451812150726E-4</v>
      </c>
      <c r="BF47" s="76">
        <f t="shared" si="3"/>
        <v>1.6340403281152978E-4</v>
      </c>
      <c r="BG47" s="76">
        <f t="shared" si="3"/>
        <v>2.287656459361417E-4</v>
      </c>
      <c r="BH47" s="76">
        <f t="shared" si="3"/>
        <v>7.5165855093303703E-4</v>
      </c>
      <c r="BI47" s="76">
        <f t="shared" si="3"/>
        <v>3.2680806562305955E-4</v>
      </c>
      <c r="BJ47" s="76">
        <f t="shared" si="3"/>
        <v>1.9706526357070493E-2</v>
      </c>
      <c r="BK47" s="76">
        <f t="shared" si="3"/>
        <v>2.1896140396744992E-3</v>
      </c>
      <c r="BL47" s="76">
        <f t="shared" si="3"/>
        <v>1.634040328115298E-3</v>
      </c>
      <c r="BM47" s="76">
        <f t="shared" si="3"/>
        <v>1.4052746821791562E-3</v>
      </c>
      <c r="BN47" s="76">
        <f t="shared" si="3"/>
        <v>1.4379554887414621E-3</v>
      </c>
      <c r="BO47" s="76">
        <f t="shared" si="3"/>
        <v>4.4445896924736102E-3</v>
      </c>
      <c r="BP47" s="76">
        <f t="shared" si="3"/>
        <v>1.6340403281152978E-4</v>
      </c>
      <c r="BQ47" s="76">
        <f t="shared" si="3"/>
        <v>6.5361613124611913E-5</v>
      </c>
      <c r="BR47" s="76">
        <f t="shared" si="3"/>
        <v>5.5557371155920128E-4</v>
      </c>
      <c r="BS47" s="76">
        <f t="shared" si="3"/>
        <v>9.8042419686917876E-5</v>
      </c>
      <c r="BT47" s="76">
        <f t="shared" si="4"/>
        <v>0</v>
      </c>
      <c r="BU47" s="76">
        <f t="shared" si="1"/>
        <v>0</v>
      </c>
      <c r="BV47" s="76">
        <f t="shared" si="1"/>
        <v>4.575312918722834E-4</v>
      </c>
      <c r="BW47" s="76">
        <f t="shared" si="1"/>
        <v>3.2680806562305956E-5</v>
      </c>
      <c r="BX47" s="76">
        <f t="shared" si="1"/>
        <v>4.575312918722834E-4</v>
      </c>
      <c r="BY47" s="76">
        <f t="shared" si="1"/>
        <v>5.2616098565312595E-3</v>
      </c>
    </row>
    <row r="48" spans="1:77" x14ac:dyDescent="0.2">
      <c r="A48" s="52" t="s">
        <v>75</v>
      </c>
      <c r="B48" s="66" t="s">
        <v>75</v>
      </c>
      <c r="C48" s="77">
        <v>77</v>
      </c>
      <c r="D48" s="77">
        <v>15</v>
      </c>
      <c r="E48" s="77">
        <v>34</v>
      </c>
      <c r="F48" s="77">
        <v>42</v>
      </c>
      <c r="G48" s="77">
        <v>29</v>
      </c>
      <c r="H48" s="77">
        <v>13</v>
      </c>
      <c r="I48" s="77">
        <v>1396</v>
      </c>
      <c r="J48" s="77">
        <v>137</v>
      </c>
      <c r="K48" s="77">
        <v>53</v>
      </c>
      <c r="L48" s="77">
        <v>54</v>
      </c>
      <c r="M48" s="77">
        <v>112</v>
      </c>
      <c r="N48" s="77">
        <v>203</v>
      </c>
      <c r="O48" s="77">
        <v>17</v>
      </c>
      <c r="P48" s="77">
        <v>0</v>
      </c>
      <c r="Q48" s="77">
        <v>18</v>
      </c>
      <c r="R48" s="77">
        <v>1</v>
      </c>
      <c r="S48" s="77">
        <v>9</v>
      </c>
      <c r="T48" s="77">
        <v>0</v>
      </c>
      <c r="U48" s="77">
        <v>4</v>
      </c>
      <c r="V48" s="77">
        <v>5</v>
      </c>
      <c r="W48" s="77">
        <v>31</v>
      </c>
      <c r="X48" s="78">
        <v>191</v>
      </c>
      <c r="Y48" s="52">
        <f t="shared" si="2"/>
        <v>0</v>
      </c>
      <c r="AF48" s="75">
        <v>70</v>
      </c>
      <c r="AG48" s="75">
        <v>34</v>
      </c>
      <c r="AH48" s="75">
        <v>25</v>
      </c>
      <c r="AI48" s="75">
        <v>58</v>
      </c>
      <c r="AJ48" s="75">
        <v>29</v>
      </c>
      <c r="AK48" s="75">
        <v>32</v>
      </c>
      <c r="AL48" s="75">
        <v>824</v>
      </c>
      <c r="AM48" s="75">
        <v>103</v>
      </c>
      <c r="AN48" s="75">
        <v>86</v>
      </c>
      <c r="AO48" s="75">
        <v>80</v>
      </c>
      <c r="AP48" s="75">
        <v>73</v>
      </c>
      <c r="AQ48" s="75">
        <v>190</v>
      </c>
      <c r="AR48" s="75">
        <v>6</v>
      </c>
      <c r="AS48" s="75">
        <v>0</v>
      </c>
      <c r="AT48" s="75">
        <v>15</v>
      </c>
      <c r="AU48" s="75">
        <v>2</v>
      </c>
      <c r="AV48" s="75">
        <v>0</v>
      </c>
      <c r="AW48" s="75">
        <v>0</v>
      </c>
      <c r="AX48" s="75">
        <v>14</v>
      </c>
      <c r="AY48" s="75">
        <v>4</v>
      </c>
      <c r="AZ48" s="75">
        <v>17</v>
      </c>
      <c r="BA48" s="75">
        <v>208</v>
      </c>
      <c r="BD48" s="76">
        <f t="shared" si="3"/>
        <v>2.2876564593614169E-3</v>
      </c>
      <c r="BE48" s="76">
        <f t="shared" si="3"/>
        <v>1.1111474231184026E-3</v>
      </c>
      <c r="BF48" s="76">
        <f t="shared" si="3"/>
        <v>8.1702016405764898E-4</v>
      </c>
      <c r="BG48" s="76">
        <f t="shared" si="3"/>
        <v>1.8954867806137456E-3</v>
      </c>
      <c r="BH48" s="76">
        <f t="shared" si="3"/>
        <v>9.4774339030687278E-4</v>
      </c>
      <c r="BI48" s="76">
        <f t="shared" si="3"/>
        <v>1.0457858099937906E-3</v>
      </c>
      <c r="BJ48" s="76">
        <f t="shared" si="3"/>
        <v>2.6928984607340108E-2</v>
      </c>
      <c r="BK48" s="76">
        <f t="shared" si="3"/>
        <v>3.3661230759175135E-3</v>
      </c>
      <c r="BL48" s="76">
        <f t="shared" si="3"/>
        <v>2.8105493643583125E-3</v>
      </c>
      <c r="BM48" s="76">
        <f t="shared" si="3"/>
        <v>2.6144645249844764E-3</v>
      </c>
      <c r="BN48" s="76">
        <f t="shared" si="3"/>
        <v>2.3856988790483349E-3</v>
      </c>
      <c r="BO48" s="76">
        <f t="shared" si="3"/>
        <v>6.2093532468381323E-3</v>
      </c>
      <c r="BP48" s="76">
        <f t="shared" si="3"/>
        <v>1.9608483937383575E-4</v>
      </c>
      <c r="BQ48" s="76">
        <f t="shared" si="3"/>
        <v>0</v>
      </c>
      <c r="BR48" s="76">
        <f t="shared" si="3"/>
        <v>4.9021209843458933E-4</v>
      </c>
      <c r="BS48" s="76">
        <f t="shared" si="3"/>
        <v>6.5361613124611913E-5</v>
      </c>
      <c r="BT48" s="76">
        <f t="shared" si="4"/>
        <v>0</v>
      </c>
      <c r="BU48" s="76">
        <f t="shared" si="1"/>
        <v>0</v>
      </c>
      <c r="BV48" s="76">
        <f t="shared" si="1"/>
        <v>4.575312918722834E-4</v>
      </c>
      <c r="BW48" s="76">
        <f t="shared" si="1"/>
        <v>1.3072322624922383E-4</v>
      </c>
      <c r="BX48" s="76">
        <f t="shared" si="1"/>
        <v>5.5557371155920128E-4</v>
      </c>
      <c r="BY48" s="76">
        <f t="shared" si="1"/>
        <v>6.7976077649596388E-3</v>
      </c>
    </row>
    <row r="49" spans="1:77" x14ac:dyDescent="0.2">
      <c r="A49" s="52" t="s">
        <v>76</v>
      </c>
      <c r="B49" s="66" t="s">
        <v>76</v>
      </c>
      <c r="C49" s="77">
        <v>8</v>
      </c>
      <c r="D49" s="77">
        <v>2</v>
      </c>
      <c r="E49" s="77">
        <v>2</v>
      </c>
      <c r="F49" s="77">
        <v>0</v>
      </c>
      <c r="G49" s="77">
        <v>4</v>
      </c>
      <c r="H49" s="77">
        <v>9</v>
      </c>
      <c r="I49" s="77">
        <v>189</v>
      </c>
      <c r="J49" s="77">
        <v>16</v>
      </c>
      <c r="K49" s="77">
        <v>6</v>
      </c>
      <c r="L49" s="77">
        <v>14</v>
      </c>
      <c r="M49" s="77">
        <v>27</v>
      </c>
      <c r="N49" s="77">
        <v>13</v>
      </c>
      <c r="O49" s="77">
        <v>0</v>
      </c>
      <c r="P49" s="77">
        <v>0</v>
      </c>
      <c r="Q49" s="77">
        <v>0</v>
      </c>
      <c r="R49" s="77">
        <v>1</v>
      </c>
      <c r="S49" s="77">
        <v>7</v>
      </c>
      <c r="T49" s="77">
        <v>6</v>
      </c>
      <c r="U49" s="77">
        <v>0</v>
      </c>
      <c r="V49" s="77">
        <v>0</v>
      </c>
      <c r="W49" s="77">
        <v>3</v>
      </c>
      <c r="X49" s="78">
        <v>27</v>
      </c>
      <c r="Y49" s="52">
        <f t="shared" si="2"/>
        <v>0</v>
      </c>
      <c r="AF49" s="75">
        <v>0</v>
      </c>
      <c r="AG49" s="75">
        <v>0</v>
      </c>
      <c r="AH49" s="75">
        <v>1</v>
      </c>
      <c r="AI49" s="75">
        <v>0</v>
      </c>
      <c r="AJ49" s="75">
        <v>0</v>
      </c>
      <c r="AK49" s="75">
        <v>0</v>
      </c>
      <c r="AL49" s="75">
        <v>48</v>
      </c>
      <c r="AM49" s="75">
        <v>11</v>
      </c>
      <c r="AN49" s="75">
        <v>3</v>
      </c>
      <c r="AO49" s="75">
        <v>1</v>
      </c>
      <c r="AP49" s="75">
        <v>12</v>
      </c>
      <c r="AQ49" s="75">
        <v>19</v>
      </c>
      <c r="AR49" s="75">
        <v>1</v>
      </c>
      <c r="AS49" s="75">
        <v>1</v>
      </c>
      <c r="AT49" s="75">
        <v>1</v>
      </c>
      <c r="AU49" s="75">
        <v>0</v>
      </c>
      <c r="AV49" s="75">
        <v>7</v>
      </c>
      <c r="AW49" s="75">
        <v>14</v>
      </c>
      <c r="AX49" s="75">
        <v>0</v>
      </c>
      <c r="AY49" s="75">
        <v>0</v>
      </c>
      <c r="AZ49" s="75">
        <v>3</v>
      </c>
      <c r="BA49" s="75">
        <v>65</v>
      </c>
      <c r="BD49" s="76">
        <f t="shared" si="3"/>
        <v>0</v>
      </c>
      <c r="BE49" s="76">
        <f t="shared" si="3"/>
        <v>0</v>
      </c>
      <c r="BF49" s="76">
        <f t="shared" si="3"/>
        <v>3.2680806562305956E-5</v>
      </c>
      <c r="BG49" s="76">
        <f t="shared" si="3"/>
        <v>0</v>
      </c>
      <c r="BH49" s="76">
        <f t="shared" si="3"/>
        <v>0</v>
      </c>
      <c r="BI49" s="76">
        <f t="shared" si="3"/>
        <v>0</v>
      </c>
      <c r="BJ49" s="76">
        <f t="shared" si="3"/>
        <v>1.568678714990686E-3</v>
      </c>
      <c r="BK49" s="76">
        <f t="shared" si="3"/>
        <v>3.5948887218536553E-4</v>
      </c>
      <c r="BL49" s="76">
        <f t="shared" si="3"/>
        <v>9.8042419686917876E-5</v>
      </c>
      <c r="BM49" s="76">
        <f t="shared" si="3"/>
        <v>3.2680806562305956E-5</v>
      </c>
      <c r="BN49" s="76">
        <f t="shared" si="3"/>
        <v>3.921696787476715E-4</v>
      </c>
      <c r="BO49" s="76">
        <f t="shared" si="3"/>
        <v>6.2093532468381323E-4</v>
      </c>
      <c r="BP49" s="76">
        <f t="shared" si="3"/>
        <v>3.2680806562305956E-5</v>
      </c>
      <c r="BQ49" s="76">
        <f t="shared" si="3"/>
        <v>3.2680806562305956E-5</v>
      </c>
      <c r="BR49" s="76">
        <f t="shared" si="3"/>
        <v>3.2680806562305956E-5</v>
      </c>
      <c r="BS49" s="76">
        <f t="shared" si="3"/>
        <v>0</v>
      </c>
      <c r="BT49" s="76">
        <f t="shared" si="4"/>
        <v>2.287656459361417E-4</v>
      </c>
      <c r="BU49" s="76">
        <f t="shared" si="1"/>
        <v>4.575312918722834E-4</v>
      </c>
      <c r="BV49" s="76">
        <f t="shared" si="1"/>
        <v>0</v>
      </c>
      <c r="BW49" s="76">
        <f t="shared" si="1"/>
        <v>0</v>
      </c>
      <c r="BX49" s="76">
        <f t="shared" si="1"/>
        <v>9.8042419686917876E-5</v>
      </c>
      <c r="BY49" s="76">
        <f t="shared" si="1"/>
        <v>2.1242524265498871E-3</v>
      </c>
    </row>
    <row r="50" spans="1:77" x14ac:dyDescent="0.2">
      <c r="A50" s="52" t="s">
        <v>77</v>
      </c>
      <c r="B50" s="66" t="s">
        <v>77</v>
      </c>
      <c r="C50" s="77">
        <v>31</v>
      </c>
      <c r="D50" s="77">
        <v>16</v>
      </c>
      <c r="E50" s="77">
        <v>7</v>
      </c>
      <c r="F50" s="77">
        <v>12</v>
      </c>
      <c r="G50" s="77">
        <v>24</v>
      </c>
      <c r="H50" s="77">
        <v>10</v>
      </c>
      <c r="I50" s="77">
        <v>236</v>
      </c>
      <c r="J50" s="77">
        <v>25</v>
      </c>
      <c r="K50" s="77">
        <v>10</v>
      </c>
      <c r="L50" s="77">
        <v>5</v>
      </c>
      <c r="M50" s="77">
        <v>27</v>
      </c>
      <c r="N50" s="77">
        <v>7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6</v>
      </c>
      <c r="U50" s="77">
        <v>2</v>
      </c>
      <c r="V50" s="77">
        <v>0</v>
      </c>
      <c r="W50" s="77">
        <v>50</v>
      </c>
      <c r="X50" s="78">
        <v>140</v>
      </c>
      <c r="Y50" s="52">
        <f t="shared" si="2"/>
        <v>0</v>
      </c>
      <c r="AF50" s="75">
        <v>18</v>
      </c>
      <c r="AG50" s="75">
        <v>8</v>
      </c>
      <c r="AH50" s="75">
        <v>8</v>
      </c>
      <c r="AI50" s="75">
        <v>23</v>
      </c>
      <c r="AJ50" s="75">
        <v>11</v>
      </c>
      <c r="AK50" s="75">
        <v>11</v>
      </c>
      <c r="AL50" s="75">
        <v>172</v>
      </c>
      <c r="AM50" s="75">
        <v>19</v>
      </c>
      <c r="AN50" s="75">
        <v>10</v>
      </c>
      <c r="AO50" s="75">
        <v>13</v>
      </c>
      <c r="AP50" s="75">
        <v>9</v>
      </c>
      <c r="AQ50" s="75">
        <v>10</v>
      </c>
      <c r="AR50" s="75">
        <v>0</v>
      </c>
      <c r="AS50" s="75">
        <v>0</v>
      </c>
      <c r="AT50" s="75">
        <v>0</v>
      </c>
      <c r="AU50" s="75">
        <v>0</v>
      </c>
      <c r="AV50" s="75">
        <v>0</v>
      </c>
      <c r="AW50" s="75">
        <v>2</v>
      </c>
      <c r="AX50" s="75">
        <v>2</v>
      </c>
      <c r="AY50" s="75">
        <v>0</v>
      </c>
      <c r="AZ50" s="75">
        <v>37</v>
      </c>
      <c r="BA50" s="75">
        <v>95</v>
      </c>
      <c r="BD50" s="76">
        <f t="shared" si="3"/>
        <v>5.8825451812150726E-4</v>
      </c>
      <c r="BE50" s="76">
        <f t="shared" si="3"/>
        <v>2.6144645249844765E-4</v>
      </c>
      <c r="BF50" s="76">
        <f t="shared" si="3"/>
        <v>2.6144645249844765E-4</v>
      </c>
      <c r="BG50" s="76">
        <f t="shared" si="3"/>
        <v>7.5165855093303703E-4</v>
      </c>
      <c r="BH50" s="76">
        <f t="shared" si="3"/>
        <v>3.5948887218536553E-4</v>
      </c>
      <c r="BI50" s="76">
        <f t="shared" si="3"/>
        <v>3.5948887218536553E-4</v>
      </c>
      <c r="BJ50" s="76">
        <f t="shared" si="3"/>
        <v>5.621098728716625E-3</v>
      </c>
      <c r="BK50" s="76">
        <f t="shared" si="3"/>
        <v>6.2093532468381323E-4</v>
      </c>
      <c r="BL50" s="76">
        <f t="shared" si="3"/>
        <v>3.2680806562305955E-4</v>
      </c>
      <c r="BM50" s="76">
        <f t="shared" si="3"/>
        <v>4.2485048530997743E-4</v>
      </c>
      <c r="BN50" s="76">
        <f t="shared" si="3"/>
        <v>2.9412725906075363E-4</v>
      </c>
      <c r="BO50" s="76">
        <f t="shared" si="3"/>
        <v>3.2680806562305955E-4</v>
      </c>
      <c r="BP50" s="76">
        <f t="shared" si="3"/>
        <v>0</v>
      </c>
      <c r="BQ50" s="76">
        <f t="shared" si="3"/>
        <v>0</v>
      </c>
      <c r="BR50" s="76">
        <f t="shared" si="3"/>
        <v>0</v>
      </c>
      <c r="BS50" s="76">
        <f t="shared" si="3"/>
        <v>0</v>
      </c>
      <c r="BT50" s="76">
        <f t="shared" si="4"/>
        <v>0</v>
      </c>
      <c r="BU50" s="76">
        <f t="shared" si="1"/>
        <v>6.5361613124611913E-5</v>
      </c>
      <c r="BV50" s="76">
        <f t="shared" si="1"/>
        <v>6.5361613124611913E-5</v>
      </c>
      <c r="BW50" s="76">
        <f t="shared" si="1"/>
        <v>0</v>
      </c>
      <c r="BX50" s="76">
        <f t="shared" si="1"/>
        <v>1.2091898428053204E-3</v>
      </c>
      <c r="BY50" s="76">
        <f t="shared" si="1"/>
        <v>3.1046766234190662E-3</v>
      </c>
    </row>
    <row r="51" spans="1:77" x14ac:dyDescent="0.2">
      <c r="A51" s="52" t="s">
        <v>78</v>
      </c>
      <c r="B51" s="66" t="s">
        <v>78</v>
      </c>
      <c r="C51" s="77">
        <v>122</v>
      </c>
      <c r="D51" s="77">
        <v>43</v>
      </c>
      <c r="E51" s="77">
        <v>21</v>
      </c>
      <c r="F51" s="77">
        <v>39</v>
      </c>
      <c r="G51" s="77">
        <v>58</v>
      </c>
      <c r="H51" s="77">
        <v>18</v>
      </c>
      <c r="I51" s="77">
        <v>1153</v>
      </c>
      <c r="J51" s="77">
        <v>73</v>
      </c>
      <c r="K51" s="77">
        <v>16</v>
      </c>
      <c r="L51" s="77">
        <v>19</v>
      </c>
      <c r="M51" s="77">
        <v>90</v>
      </c>
      <c r="N51" s="77">
        <v>73</v>
      </c>
      <c r="O51" s="77">
        <v>14</v>
      </c>
      <c r="P51" s="77">
        <v>2</v>
      </c>
      <c r="Q51" s="77">
        <v>17</v>
      </c>
      <c r="R51" s="77">
        <v>3</v>
      </c>
      <c r="S51" s="77">
        <v>15</v>
      </c>
      <c r="T51" s="77">
        <v>29</v>
      </c>
      <c r="U51" s="77">
        <v>0</v>
      </c>
      <c r="V51" s="77">
        <v>40</v>
      </c>
      <c r="W51" s="77">
        <v>0</v>
      </c>
      <c r="X51" s="78">
        <v>16</v>
      </c>
      <c r="Y51" s="52">
        <f t="shared" si="2"/>
        <v>0</v>
      </c>
      <c r="AF51" s="75">
        <v>65</v>
      </c>
      <c r="AG51" s="75">
        <v>51</v>
      </c>
      <c r="AH51" s="75">
        <v>26</v>
      </c>
      <c r="AI51" s="75">
        <v>51</v>
      </c>
      <c r="AJ51" s="75">
        <v>28</v>
      </c>
      <c r="AK51" s="75">
        <v>17</v>
      </c>
      <c r="AL51" s="75">
        <v>890</v>
      </c>
      <c r="AM51" s="75">
        <v>44</v>
      </c>
      <c r="AN51" s="75">
        <v>8</v>
      </c>
      <c r="AO51" s="75">
        <v>30</v>
      </c>
      <c r="AP51" s="75">
        <v>44</v>
      </c>
      <c r="AQ51" s="75">
        <v>26</v>
      </c>
      <c r="AR51" s="75">
        <v>16</v>
      </c>
      <c r="AS51" s="75">
        <v>5</v>
      </c>
      <c r="AT51" s="75">
        <v>10</v>
      </c>
      <c r="AU51" s="75">
        <v>0</v>
      </c>
      <c r="AV51" s="75">
        <v>6</v>
      </c>
      <c r="AW51" s="75">
        <v>13</v>
      </c>
      <c r="AX51" s="75">
        <v>1</v>
      </c>
      <c r="AY51" s="75">
        <v>28</v>
      </c>
      <c r="AZ51" s="75">
        <v>0</v>
      </c>
      <c r="BA51" s="75">
        <v>10</v>
      </c>
      <c r="BD51" s="76">
        <f t="shared" si="3"/>
        <v>2.1242524265498871E-3</v>
      </c>
      <c r="BE51" s="76">
        <f t="shared" si="3"/>
        <v>1.6667211346776038E-3</v>
      </c>
      <c r="BF51" s="76">
        <f t="shared" si="3"/>
        <v>8.4970097061995485E-4</v>
      </c>
      <c r="BG51" s="76">
        <f t="shared" si="3"/>
        <v>1.6667211346776038E-3</v>
      </c>
      <c r="BH51" s="76">
        <f t="shared" si="3"/>
        <v>9.1506258374456681E-4</v>
      </c>
      <c r="BI51" s="76">
        <f t="shared" si="3"/>
        <v>5.5557371155920128E-4</v>
      </c>
      <c r="BJ51" s="76">
        <f t="shared" si="3"/>
        <v>2.9085917840452301E-2</v>
      </c>
      <c r="BK51" s="76">
        <f t="shared" si="3"/>
        <v>1.4379554887414621E-3</v>
      </c>
      <c r="BL51" s="76">
        <f t="shared" si="3"/>
        <v>2.6144645249844765E-4</v>
      </c>
      <c r="BM51" s="76">
        <f t="shared" si="3"/>
        <v>9.8042419686917865E-4</v>
      </c>
      <c r="BN51" s="76">
        <f t="shared" si="3"/>
        <v>1.4379554887414621E-3</v>
      </c>
      <c r="BO51" s="76">
        <f t="shared" si="3"/>
        <v>8.4970097061995485E-4</v>
      </c>
      <c r="BP51" s="76">
        <f t="shared" si="3"/>
        <v>5.228929049968953E-4</v>
      </c>
      <c r="BQ51" s="76">
        <f t="shared" si="3"/>
        <v>1.6340403281152978E-4</v>
      </c>
      <c r="BR51" s="76">
        <f t="shared" si="3"/>
        <v>3.2680806562305955E-4</v>
      </c>
      <c r="BS51" s="76">
        <f t="shared" si="3"/>
        <v>0</v>
      </c>
      <c r="BT51" s="76">
        <f t="shared" si="4"/>
        <v>1.9608483937383575E-4</v>
      </c>
      <c r="BU51" s="76">
        <f t="shared" si="1"/>
        <v>4.2485048530997743E-4</v>
      </c>
      <c r="BV51" s="76">
        <f t="shared" si="1"/>
        <v>3.2680806562305956E-5</v>
      </c>
      <c r="BW51" s="76">
        <f t="shared" si="1"/>
        <v>9.1506258374456681E-4</v>
      </c>
      <c r="BX51" s="76">
        <f t="shared" si="1"/>
        <v>0</v>
      </c>
      <c r="BY51" s="76">
        <f t="shared" si="1"/>
        <v>3.2680806562305955E-4</v>
      </c>
    </row>
    <row r="52" spans="1:77" ht="13.5" thickBot="1" x14ac:dyDescent="0.25">
      <c r="A52" s="52" t="s">
        <v>79</v>
      </c>
      <c r="B52" s="69" t="s">
        <v>79</v>
      </c>
      <c r="C52" s="79">
        <v>1354</v>
      </c>
      <c r="D52" s="79">
        <v>181</v>
      </c>
      <c r="E52" s="79">
        <v>135</v>
      </c>
      <c r="F52" s="79">
        <v>247</v>
      </c>
      <c r="G52" s="79">
        <v>509</v>
      </c>
      <c r="H52" s="79">
        <v>162</v>
      </c>
      <c r="I52" s="79">
        <v>8900</v>
      </c>
      <c r="J52" s="79">
        <v>456</v>
      </c>
      <c r="K52" s="79">
        <v>121</v>
      </c>
      <c r="L52" s="79">
        <v>138</v>
      </c>
      <c r="M52" s="79">
        <v>385</v>
      </c>
      <c r="N52" s="79">
        <v>434</v>
      </c>
      <c r="O52" s="79">
        <v>43</v>
      </c>
      <c r="P52" s="79">
        <v>14</v>
      </c>
      <c r="Q52" s="79">
        <v>59</v>
      </c>
      <c r="R52" s="79">
        <v>27</v>
      </c>
      <c r="S52" s="79">
        <v>173</v>
      </c>
      <c r="T52" s="79">
        <v>182</v>
      </c>
      <c r="U52" s="79">
        <v>39</v>
      </c>
      <c r="V52" s="79">
        <v>130</v>
      </c>
      <c r="W52" s="79">
        <v>26</v>
      </c>
      <c r="X52" s="80">
        <v>0</v>
      </c>
      <c r="Y52" s="52">
        <f t="shared" si="2"/>
        <v>0</v>
      </c>
      <c r="AF52" s="75">
        <v>621</v>
      </c>
      <c r="AG52" s="75">
        <v>111</v>
      </c>
      <c r="AH52" s="75">
        <v>117</v>
      </c>
      <c r="AI52" s="75">
        <v>165</v>
      </c>
      <c r="AJ52" s="75">
        <v>154</v>
      </c>
      <c r="AK52" s="75">
        <v>142</v>
      </c>
      <c r="AL52" s="75">
        <v>5075</v>
      </c>
      <c r="AM52" s="75">
        <v>278</v>
      </c>
      <c r="AN52" s="75">
        <v>68</v>
      </c>
      <c r="AO52" s="75">
        <v>66</v>
      </c>
      <c r="AP52" s="75">
        <v>169</v>
      </c>
      <c r="AQ52" s="75">
        <v>174</v>
      </c>
      <c r="AR52" s="75">
        <v>35</v>
      </c>
      <c r="AS52" s="75">
        <v>4</v>
      </c>
      <c r="AT52" s="75">
        <v>37</v>
      </c>
      <c r="AU52" s="75">
        <v>12</v>
      </c>
      <c r="AV52" s="75">
        <v>174</v>
      </c>
      <c r="AW52" s="75">
        <v>149</v>
      </c>
      <c r="AX52" s="75">
        <v>33</v>
      </c>
      <c r="AY52" s="75">
        <v>60</v>
      </c>
      <c r="AZ52" s="75">
        <v>9</v>
      </c>
      <c r="BA52" s="75">
        <v>0</v>
      </c>
      <c r="BD52" s="76">
        <f t="shared" si="3"/>
        <v>2.0294780875192001E-2</v>
      </c>
      <c r="BE52" s="76">
        <f t="shared" si="3"/>
        <v>3.6275695284159614E-3</v>
      </c>
      <c r="BF52" s="76">
        <f t="shared" si="3"/>
        <v>3.823654367789797E-3</v>
      </c>
      <c r="BG52" s="76">
        <f t="shared" si="3"/>
        <v>5.392333082780483E-3</v>
      </c>
      <c r="BH52" s="76">
        <f t="shared" si="3"/>
        <v>5.0328442105951176E-3</v>
      </c>
      <c r="BI52" s="76">
        <f t="shared" si="3"/>
        <v>4.6406745318474463E-3</v>
      </c>
      <c r="BJ52" s="76">
        <f t="shared" si="3"/>
        <v>0.16585509330370274</v>
      </c>
      <c r="BK52" s="76">
        <f t="shared" si="3"/>
        <v>9.0852642243210557E-3</v>
      </c>
      <c r="BL52" s="76">
        <f t="shared" si="3"/>
        <v>2.2222948462368051E-3</v>
      </c>
      <c r="BM52" s="76">
        <f t="shared" si="3"/>
        <v>2.1569332331121934E-3</v>
      </c>
      <c r="BN52" s="76">
        <f t="shared" si="3"/>
        <v>5.5230563090297065E-3</v>
      </c>
      <c r="BO52" s="76">
        <f t="shared" si="3"/>
        <v>5.6864603418412367E-3</v>
      </c>
      <c r="BP52" s="76">
        <f t="shared" si="3"/>
        <v>1.1438282296807084E-3</v>
      </c>
      <c r="BQ52" s="76">
        <f t="shared" si="3"/>
        <v>1.3072322624922383E-4</v>
      </c>
      <c r="BR52" s="76">
        <f t="shared" si="3"/>
        <v>1.2091898428053204E-3</v>
      </c>
      <c r="BS52" s="76">
        <f t="shared" si="3"/>
        <v>3.921696787476715E-4</v>
      </c>
      <c r="BT52" s="76">
        <f t="shared" si="4"/>
        <v>5.6864603418412367E-3</v>
      </c>
      <c r="BU52" s="76">
        <f t="shared" si="1"/>
        <v>4.8694401777835874E-3</v>
      </c>
      <c r="BV52" s="76">
        <f t="shared" si="1"/>
        <v>1.0784666165560967E-3</v>
      </c>
      <c r="BW52" s="76">
        <f t="shared" si="1"/>
        <v>1.9608483937383573E-3</v>
      </c>
      <c r="BX52" s="76">
        <f t="shared" si="1"/>
        <v>2.9412725906075363E-4</v>
      </c>
      <c r="BY52" s="76">
        <f t="shared" si="1"/>
        <v>0</v>
      </c>
    </row>
    <row r="53" spans="1:77" x14ac:dyDescent="0.2">
      <c r="Y53" s="81">
        <f>+SUM(C31:X52)</f>
        <v>47831</v>
      </c>
      <c r="Z53" s="81">
        <v>50498.834371763405</v>
      </c>
      <c r="AA53" s="81">
        <f>+Z53-Y53</f>
        <v>2667.8343717634052</v>
      </c>
      <c r="BB53" s="52">
        <f>+SUM(AF31:BA52)</f>
        <v>30599</v>
      </c>
    </row>
    <row r="54" spans="1:77" x14ac:dyDescent="0.2">
      <c r="F54" s="82" t="s">
        <v>83</v>
      </c>
      <c r="I54" s="83">
        <f>SUMPRODUCT($C$4:$X$25,C31:X52)</f>
        <v>2779203.4500000011</v>
      </c>
      <c r="Z54" s="81"/>
    </row>
    <row r="55" spans="1:77" x14ac:dyDescent="0.2">
      <c r="F55" s="82" t="s">
        <v>46</v>
      </c>
      <c r="I55" s="84">
        <f>I54/SUM(C31:X52)</f>
        <v>58.10464865881962</v>
      </c>
    </row>
    <row r="57" spans="1:77" ht="13.5" thickBot="1" x14ac:dyDescent="0.25">
      <c r="B57" s="72" t="s">
        <v>84</v>
      </c>
    </row>
    <row r="58" spans="1:77" ht="13.5" thickBot="1" x14ac:dyDescent="0.25">
      <c r="C58" s="53"/>
      <c r="D58" s="54"/>
      <c r="E58" s="54"/>
      <c r="F58" s="54"/>
      <c r="G58" s="54"/>
      <c r="H58" s="55" t="s">
        <v>82</v>
      </c>
      <c r="I58" s="55"/>
      <c r="J58" s="55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6"/>
    </row>
    <row r="59" spans="1:77" ht="26.25" thickBot="1" x14ac:dyDescent="0.25">
      <c r="C59" s="58" t="s">
        <v>14</v>
      </c>
      <c r="D59" s="59" t="s">
        <v>13</v>
      </c>
      <c r="E59" s="58" t="s">
        <v>12</v>
      </c>
      <c r="F59" s="59" t="s">
        <v>11</v>
      </c>
      <c r="G59" s="58" t="s">
        <v>10</v>
      </c>
      <c r="H59" s="60" t="s">
        <v>9</v>
      </c>
      <c r="I59" s="58" t="s">
        <v>66</v>
      </c>
      <c r="J59" s="59" t="s">
        <v>6</v>
      </c>
      <c r="K59" s="61" t="s">
        <v>67</v>
      </c>
      <c r="L59" s="58" t="s">
        <v>68</v>
      </c>
      <c r="M59" s="58" t="s">
        <v>69</v>
      </c>
      <c r="N59" s="58" t="s">
        <v>2</v>
      </c>
      <c r="O59" s="59" t="s">
        <v>70</v>
      </c>
      <c r="P59" s="58" t="s">
        <v>71</v>
      </c>
      <c r="Q59" s="59" t="s">
        <v>72</v>
      </c>
      <c r="R59" s="61" t="s">
        <v>73</v>
      </c>
      <c r="S59" s="61" t="s">
        <v>74</v>
      </c>
      <c r="T59" s="59" t="s">
        <v>75</v>
      </c>
      <c r="U59" s="58" t="s">
        <v>76</v>
      </c>
      <c r="V59" s="59" t="s">
        <v>77</v>
      </c>
      <c r="W59" s="61" t="s">
        <v>78</v>
      </c>
      <c r="X59" s="62" t="s">
        <v>79</v>
      </c>
    </row>
    <row r="60" spans="1:77" x14ac:dyDescent="0.2">
      <c r="B60" s="63" t="s">
        <v>14</v>
      </c>
      <c r="C60" s="73">
        <v>0</v>
      </c>
      <c r="D60" s="73">
        <v>0</v>
      </c>
      <c r="E60" s="73">
        <v>0</v>
      </c>
      <c r="F60" s="73">
        <v>0</v>
      </c>
      <c r="G60" s="73">
        <v>0</v>
      </c>
      <c r="H60" s="73">
        <v>0</v>
      </c>
      <c r="I60" s="73">
        <v>1</v>
      </c>
      <c r="J60" s="73">
        <v>0</v>
      </c>
      <c r="K60" s="73">
        <v>0</v>
      </c>
      <c r="L60" s="73">
        <v>0</v>
      </c>
      <c r="M60" s="73">
        <v>0</v>
      </c>
      <c r="N60" s="73">
        <v>18</v>
      </c>
      <c r="O60" s="73">
        <v>53</v>
      </c>
      <c r="P60" s="73">
        <v>28</v>
      </c>
      <c r="Q60" s="73">
        <v>46</v>
      </c>
      <c r="R60" s="73">
        <v>24</v>
      </c>
      <c r="S60" s="73">
        <v>25</v>
      </c>
      <c r="T60" s="73">
        <v>91</v>
      </c>
      <c r="U60" s="73">
        <v>4</v>
      </c>
      <c r="V60" s="73">
        <v>31</v>
      </c>
      <c r="W60" s="73">
        <v>173</v>
      </c>
      <c r="X60" s="74">
        <v>2009</v>
      </c>
    </row>
    <row r="61" spans="1:77" x14ac:dyDescent="0.2">
      <c r="B61" s="66" t="s">
        <v>13</v>
      </c>
      <c r="C61" s="77">
        <v>0</v>
      </c>
      <c r="D61" s="77">
        <v>0</v>
      </c>
      <c r="E61" s="77">
        <v>0</v>
      </c>
      <c r="F61" s="77">
        <v>0</v>
      </c>
      <c r="G61" s="77">
        <v>1</v>
      </c>
      <c r="H61" s="77">
        <v>0</v>
      </c>
      <c r="I61" s="77">
        <v>8</v>
      </c>
      <c r="J61" s="77">
        <v>0</v>
      </c>
      <c r="K61" s="77">
        <v>0</v>
      </c>
      <c r="L61" s="77">
        <v>0</v>
      </c>
      <c r="M61" s="77">
        <v>0</v>
      </c>
      <c r="N61" s="77">
        <v>11</v>
      </c>
      <c r="O61" s="77">
        <v>27</v>
      </c>
      <c r="P61" s="77">
        <v>13</v>
      </c>
      <c r="Q61" s="77">
        <v>19</v>
      </c>
      <c r="R61" s="77">
        <v>0</v>
      </c>
      <c r="S61" s="77">
        <v>5</v>
      </c>
      <c r="T61" s="77">
        <v>13</v>
      </c>
      <c r="U61" s="77">
        <v>4</v>
      </c>
      <c r="V61" s="77">
        <v>15</v>
      </c>
      <c r="W61" s="77">
        <v>55</v>
      </c>
      <c r="X61" s="78">
        <v>174</v>
      </c>
    </row>
    <row r="62" spans="1:77" x14ac:dyDescent="0.2">
      <c r="B62" s="66" t="s">
        <v>12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1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18</v>
      </c>
      <c r="P62" s="77">
        <v>4</v>
      </c>
      <c r="Q62" s="77">
        <v>12</v>
      </c>
      <c r="R62" s="77">
        <v>1</v>
      </c>
      <c r="S62" s="77">
        <v>14</v>
      </c>
      <c r="T62" s="77">
        <v>25</v>
      </c>
      <c r="U62" s="77">
        <v>0</v>
      </c>
      <c r="V62" s="77">
        <v>9</v>
      </c>
      <c r="W62" s="77">
        <v>17</v>
      </c>
      <c r="X62" s="78">
        <v>151</v>
      </c>
    </row>
    <row r="63" spans="1:77" x14ac:dyDescent="0.2">
      <c r="B63" s="66" t="s">
        <v>11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2</v>
      </c>
      <c r="O63" s="77">
        <v>19</v>
      </c>
      <c r="P63" s="77">
        <v>4</v>
      </c>
      <c r="Q63" s="77">
        <v>20</v>
      </c>
      <c r="R63" s="77">
        <v>18</v>
      </c>
      <c r="S63" s="77">
        <v>23</v>
      </c>
      <c r="T63" s="77">
        <v>40</v>
      </c>
      <c r="U63" s="77">
        <v>2</v>
      </c>
      <c r="V63" s="77">
        <v>11</v>
      </c>
      <c r="W63" s="77">
        <v>27</v>
      </c>
      <c r="X63" s="78">
        <v>212</v>
      </c>
    </row>
    <row r="64" spans="1:77" x14ac:dyDescent="0.2">
      <c r="B64" s="66" t="s">
        <v>10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1</v>
      </c>
      <c r="M64" s="77">
        <v>0</v>
      </c>
      <c r="N64" s="77">
        <v>0</v>
      </c>
      <c r="O64" s="77">
        <v>39</v>
      </c>
      <c r="P64" s="77">
        <v>12</v>
      </c>
      <c r="Q64" s="77">
        <v>35</v>
      </c>
      <c r="R64" s="77">
        <v>6</v>
      </c>
      <c r="S64" s="77">
        <v>14</v>
      </c>
      <c r="T64" s="77">
        <v>34</v>
      </c>
      <c r="U64" s="77">
        <v>5</v>
      </c>
      <c r="V64" s="77">
        <v>17</v>
      </c>
      <c r="W64" s="77">
        <v>108</v>
      </c>
      <c r="X64" s="78">
        <v>511</v>
      </c>
    </row>
    <row r="65" spans="2:24" x14ac:dyDescent="0.2">
      <c r="B65" s="66" t="s">
        <v>9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9</v>
      </c>
      <c r="P65" s="77">
        <v>6</v>
      </c>
      <c r="Q65" s="77">
        <v>10</v>
      </c>
      <c r="R65" s="77">
        <v>9</v>
      </c>
      <c r="S65" s="77">
        <v>3</v>
      </c>
      <c r="T65" s="77">
        <v>23</v>
      </c>
      <c r="U65" s="77">
        <v>5</v>
      </c>
      <c r="V65" s="77">
        <v>3</v>
      </c>
      <c r="W65" s="77">
        <v>21</v>
      </c>
      <c r="X65" s="78">
        <v>123</v>
      </c>
    </row>
    <row r="66" spans="2:24" x14ac:dyDescent="0.2">
      <c r="B66" s="66" t="s">
        <v>66</v>
      </c>
      <c r="C66" s="77">
        <v>6</v>
      </c>
      <c r="D66" s="77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4</v>
      </c>
      <c r="K66" s="77">
        <v>1</v>
      </c>
      <c r="L66" s="77">
        <v>2</v>
      </c>
      <c r="M66" s="77">
        <v>3</v>
      </c>
      <c r="N66" s="77">
        <v>27</v>
      </c>
      <c r="O66" s="77">
        <v>945</v>
      </c>
      <c r="P66" s="77">
        <v>208</v>
      </c>
      <c r="Q66" s="77">
        <v>772</v>
      </c>
      <c r="R66" s="77">
        <v>171</v>
      </c>
      <c r="S66" s="77">
        <v>757</v>
      </c>
      <c r="T66" s="77">
        <v>1410</v>
      </c>
      <c r="U66" s="77">
        <v>203</v>
      </c>
      <c r="V66" s="77">
        <v>300</v>
      </c>
      <c r="W66" s="77">
        <v>1926</v>
      </c>
      <c r="X66" s="78">
        <v>9723</v>
      </c>
    </row>
    <row r="67" spans="2:24" x14ac:dyDescent="0.2">
      <c r="B67" s="66" t="s">
        <v>6</v>
      </c>
      <c r="C67" s="77">
        <v>1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1</v>
      </c>
      <c r="N67" s="77">
        <v>1</v>
      </c>
      <c r="O67" s="77">
        <v>81</v>
      </c>
      <c r="P67" s="77">
        <v>26</v>
      </c>
      <c r="Q67" s="77">
        <v>84</v>
      </c>
      <c r="R67" s="77">
        <v>33</v>
      </c>
      <c r="S67" s="77">
        <v>59</v>
      </c>
      <c r="T67" s="77">
        <v>94</v>
      </c>
      <c r="U67" s="77">
        <v>32</v>
      </c>
      <c r="V67" s="77">
        <v>39</v>
      </c>
      <c r="W67" s="77">
        <v>87</v>
      </c>
      <c r="X67" s="78">
        <v>445</v>
      </c>
    </row>
    <row r="68" spans="2:24" x14ac:dyDescent="0.2">
      <c r="B68" s="66" t="s">
        <v>5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38</v>
      </c>
      <c r="P68" s="77">
        <v>11</v>
      </c>
      <c r="Q68" s="77">
        <v>41</v>
      </c>
      <c r="R68" s="77">
        <v>22</v>
      </c>
      <c r="S68" s="77">
        <v>52</v>
      </c>
      <c r="T68" s="77">
        <v>40</v>
      </c>
      <c r="U68" s="77">
        <v>0</v>
      </c>
      <c r="V68" s="77">
        <v>4</v>
      </c>
      <c r="W68" s="77">
        <v>25</v>
      </c>
      <c r="X68" s="78">
        <v>101</v>
      </c>
    </row>
    <row r="69" spans="2:24" x14ac:dyDescent="0.2">
      <c r="B69" s="66" t="s">
        <v>68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44</v>
      </c>
      <c r="P69" s="77">
        <v>21</v>
      </c>
      <c r="Q69" s="77">
        <v>14</v>
      </c>
      <c r="R69" s="77">
        <v>13</v>
      </c>
      <c r="S69" s="77">
        <v>32</v>
      </c>
      <c r="T69" s="77">
        <v>52</v>
      </c>
      <c r="U69" s="77">
        <v>14</v>
      </c>
      <c r="V69" s="77">
        <v>12</v>
      </c>
      <c r="W69" s="77">
        <v>16</v>
      </c>
      <c r="X69" s="78">
        <v>117</v>
      </c>
    </row>
    <row r="70" spans="2:24" x14ac:dyDescent="0.2">
      <c r="B70" s="66" t="s">
        <v>80</v>
      </c>
      <c r="C70" s="77">
        <v>2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2</v>
      </c>
      <c r="O70" s="77">
        <v>74</v>
      </c>
      <c r="P70" s="77">
        <v>31</v>
      </c>
      <c r="Q70" s="77">
        <v>74</v>
      </c>
      <c r="R70" s="77">
        <v>43</v>
      </c>
      <c r="S70" s="77">
        <v>50</v>
      </c>
      <c r="T70" s="77">
        <v>76</v>
      </c>
      <c r="U70" s="77">
        <v>16</v>
      </c>
      <c r="V70" s="77">
        <v>18</v>
      </c>
      <c r="W70" s="77">
        <v>64</v>
      </c>
      <c r="X70" s="78">
        <v>283</v>
      </c>
    </row>
    <row r="71" spans="2:24" x14ac:dyDescent="0.2">
      <c r="B71" s="66" t="s">
        <v>2</v>
      </c>
      <c r="C71" s="77">
        <v>1</v>
      </c>
      <c r="D71" s="77">
        <v>0</v>
      </c>
      <c r="E71" s="77">
        <v>0</v>
      </c>
      <c r="F71" s="77">
        <v>2</v>
      </c>
      <c r="G71" s="77">
        <v>0</v>
      </c>
      <c r="H71" s="77">
        <v>1</v>
      </c>
      <c r="I71" s="77">
        <v>6</v>
      </c>
      <c r="J71" s="77">
        <v>1</v>
      </c>
      <c r="K71" s="77">
        <v>0</v>
      </c>
      <c r="L71" s="77">
        <v>0</v>
      </c>
      <c r="M71" s="77">
        <v>0</v>
      </c>
      <c r="N71" s="77">
        <v>0</v>
      </c>
      <c r="O71" s="77">
        <v>277</v>
      </c>
      <c r="P71" s="77">
        <v>61</v>
      </c>
      <c r="Q71" s="77">
        <v>244</v>
      </c>
      <c r="R71" s="77">
        <v>96</v>
      </c>
      <c r="S71" s="77">
        <v>187</v>
      </c>
      <c r="T71" s="77">
        <v>362</v>
      </c>
      <c r="U71" s="77">
        <v>24</v>
      </c>
      <c r="V71" s="77">
        <v>9</v>
      </c>
      <c r="W71" s="77">
        <v>116</v>
      </c>
      <c r="X71" s="78">
        <v>495</v>
      </c>
    </row>
    <row r="72" spans="2:24" x14ac:dyDescent="0.2">
      <c r="B72" s="66" t="s">
        <v>70</v>
      </c>
      <c r="C72" s="77">
        <v>112</v>
      </c>
      <c r="D72" s="77">
        <v>40</v>
      </c>
      <c r="E72" s="77">
        <v>23</v>
      </c>
      <c r="F72" s="77">
        <v>39</v>
      </c>
      <c r="G72" s="77">
        <v>94</v>
      </c>
      <c r="H72" s="77">
        <v>55</v>
      </c>
      <c r="I72" s="77">
        <v>1247</v>
      </c>
      <c r="J72" s="77">
        <v>128</v>
      </c>
      <c r="K72" s="77">
        <v>56</v>
      </c>
      <c r="L72" s="77">
        <v>42</v>
      </c>
      <c r="M72" s="77">
        <v>73</v>
      </c>
      <c r="N72" s="77">
        <v>241</v>
      </c>
      <c r="O72" s="77">
        <v>0</v>
      </c>
      <c r="P72" s="77">
        <v>22</v>
      </c>
      <c r="Q72" s="77">
        <v>19</v>
      </c>
      <c r="R72" s="77">
        <v>5</v>
      </c>
      <c r="S72" s="77">
        <v>7</v>
      </c>
      <c r="T72" s="77">
        <v>21</v>
      </c>
      <c r="U72" s="77">
        <v>0</v>
      </c>
      <c r="V72" s="77">
        <v>1</v>
      </c>
      <c r="W72" s="77">
        <v>11</v>
      </c>
      <c r="X72" s="78">
        <v>50</v>
      </c>
    </row>
    <row r="73" spans="2:24" x14ac:dyDescent="0.2">
      <c r="B73" s="66" t="s">
        <v>71</v>
      </c>
      <c r="C73" s="77">
        <v>42</v>
      </c>
      <c r="D73" s="77">
        <v>22</v>
      </c>
      <c r="E73" s="77">
        <v>11</v>
      </c>
      <c r="F73" s="77">
        <v>7</v>
      </c>
      <c r="G73" s="77">
        <v>17</v>
      </c>
      <c r="H73" s="77">
        <v>7</v>
      </c>
      <c r="I73" s="77">
        <v>198</v>
      </c>
      <c r="J73" s="77">
        <v>47</v>
      </c>
      <c r="K73" s="77">
        <v>25</v>
      </c>
      <c r="L73" s="77">
        <v>14</v>
      </c>
      <c r="M73" s="77">
        <v>36</v>
      </c>
      <c r="N73" s="77">
        <v>45</v>
      </c>
      <c r="O73" s="77">
        <v>13</v>
      </c>
      <c r="P73" s="77">
        <v>0</v>
      </c>
      <c r="Q73" s="77">
        <v>1</v>
      </c>
      <c r="R73" s="77">
        <v>0</v>
      </c>
      <c r="S73" s="77">
        <v>4</v>
      </c>
      <c r="T73" s="77">
        <v>7</v>
      </c>
      <c r="U73" s="77">
        <v>0</v>
      </c>
      <c r="V73" s="77">
        <v>0</v>
      </c>
      <c r="W73" s="77">
        <v>0</v>
      </c>
      <c r="X73" s="78">
        <v>15</v>
      </c>
    </row>
    <row r="74" spans="2:24" x14ac:dyDescent="0.2">
      <c r="B74" s="66" t="s">
        <v>72</v>
      </c>
      <c r="C74" s="77">
        <v>107</v>
      </c>
      <c r="D74" s="77">
        <v>24</v>
      </c>
      <c r="E74" s="77">
        <v>18</v>
      </c>
      <c r="F74" s="77">
        <v>27</v>
      </c>
      <c r="G74" s="77">
        <v>39</v>
      </c>
      <c r="H74" s="77">
        <v>16</v>
      </c>
      <c r="I74" s="77">
        <v>1074</v>
      </c>
      <c r="J74" s="77">
        <v>118</v>
      </c>
      <c r="K74" s="77">
        <v>69</v>
      </c>
      <c r="L74" s="77">
        <v>32</v>
      </c>
      <c r="M74" s="77">
        <v>94</v>
      </c>
      <c r="N74" s="77">
        <v>178</v>
      </c>
      <c r="O74" s="77">
        <v>31</v>
      </c>
      <c r="P74" s="77">
        <v>5</v>
      </c>
      <c r="Q74" s="77">
        <v>0</v>
      </c>
      <c r="R74" s="77">
        <v>0</v>
      </c>
      <c r="S74" s="77">
        <v>21</v>
      </c>
      <c r="T74" s="77">
        <v>32</v>
      </c>
      <c r="U74" s="77">
        <v>0</v>
      </c>
      <c r="V74" s="77">
        <v>0</v>
      </c>
      <c r="W74" s="77">
        <v>17</v>
      </c>
      <c r="X74" s="78">
        <v>101</v>
      </c>
    </row>
    <row r="75" spans="2:24" x14ac:dyDescent="0.2">
      <c r="B75" s="66" t="s">
        <v>73</v>
      </c>
      <c r="C75" s="77">
        <v>30</v>
      </c>
      <c r="D75" s="77">
        <v>5</v>
      </c>
      <c r="E75" s="77">
        <v>2</v>
      </c>
      <c r="F75" s="77">
        <v>16</v>
      </c>
      <c r="G75" s="77">
        <v>16</v>
      </c>
      <c r="H75" s="77">
        <v>14</v>
      </c>
      <c r="I75" s="77">
        <v>249</v>
      </c>
      <c r="J75" s="77">
        <v>62</v>
      </c>
      <c r="K75" s="77">
        <v>40</v>
      </c>
      <c r="L75" s="77">
        <v>40</v>
      </c>
      <c r="M75" s="77">
        <v>67</v>
      </c>
      <c r="N75" s="77">
        <v>28</v>
      </c>
      <c r="O75" s="77">
        <v>11</v>
      </c>
      <c r="P75" s="77">
        <v>0</v>
      </c>
      <c r="Q75" s="77">
        <v>3</v>
      </c>
      <c r="R75" s="77">
        <v>0</v>
      </c>
      <c r="S75" s="77">
        <v>6</v>
      </c>
      <c r="T75" s="77">
        <v>3</v>
      </c>
      <c r="U75" s="77">
        <v>0</v>
      </c>
      <c r="V75" s="77">
        <v>0</v>
      </c>
      <c r="W75" s="77">
        <v>3</v>
      </c>
      <c r="X75" s="78">
        <v>18</v>
      </c>
    </row>
    <row r="76" spans="2:24" x14ac:dyDescent="0.2">
      <c r="B76" s="66" t="s">
        <v>74</v>
      </c>
      <c r="C76" s="77">
        <v>43</v>
      </c>
      <c r="D76" s="77">
        <v>12</v>
      </c>
      <c r="E76" s="77">
        <v>30</v>
      </c>
      <c r="F76" s="77">
        <v>31</v>
      </c>
      <c r="G76" s="77">
        <v>23</v>
      </c>
      <c r="H76" s="77">
        <v>11</v>
      </c>
      <c r="I76" s="77">
        <v>956</v>
      </c>
      <c r="J76" s="77">
        <v>101</v>
      </c>
      <c r="K76" s="77">
        <v>61</v>
      </c>
      <c r="L76" s="77">
        <v>35</v>
      </c>
      <c r="M76" s="77">
        <v>73</v>
      </c>
      <c r="N76" s="77">
        <v>197</v>
      </c>
      <c r="O76" s="77">
        <v>19</v>
      </c>
      <c r="P76" s="77">
        <v>1</v>
      </c>
      <c r="Q76" s="77">
        <v>21</v>
      </c>
      <c r="R76" s="77">
        <v>3</v>
      </c>
      <c r="S76" s="77">
        <v>0</v>
      </c>
      <c r="T76" s="77">
        <v>0</v>
      </c>
      <c r="U76" s="77">
        <v>20</v>
      </c>
      <c r="V76" s="77">
        <v>4</v>
      </c>
      <c r="W76" s="77">
        <v>13</v>
      </c>
      <c r="X76" s="78">
        <v>129</v>
      </c>
    </row>
    <row r="77" spans="2:24" x14ac:dyDescent="0.2">
      <c r="B77" s="66" t="s">
        <v>75</v>
      </c>
      <c r="C77" s="77">
        <v>113</v>
      </c>
      <c r="D77" s="77">
        <v>30</v>
      </c>
      <c r="E77" s="77">
        <v>42</v>
      </c>
      <c r="F77" s="77">
        <v>73</v>
      </c>
      <c r="G77" s="77">
        <v>44</v>
      </c>
      <c r="H77" s="77">
        <v>31</v>
      </c>
      <c r="I77" s="77">
        <v>1536</v>
      </c>
      <c r="J77" s="77">
        <v>143</v>
      </c>
      <c r="K77" s="77">
        <v>87</v>
      </c>
      <c r="L77" s="77">
        <v>55</v>
      </c>
      <c r="M77" s="77">
        <v>97</v>
      </c>
      <c r="N77" s="77">
        <v>268</v>
      </c>
      <c r="O77" s="77">
        <v>18</v>
      </c>
      <c r="P77" s="77">
        <v>1</v>
      </c>
      <c r="Q77" s="77">
        <v>15</v>
      </c>
      <c r="R77" s="77">
        <v>4</v>
      </c>
      <c r="S77" s="77">
        <v>2</v>
      </c>
      <c r="T77" s="77">
        <v>0</v>
      </c>
      <c r="U77" s="77">
        <v>1</v>
      </c>
      <c r="V77" s="77">
        <v>3</v>
      </c>
      <c r="W77" s="77">
        <v>33</v>
      </c>
      <c r="X77" s="78">
        <v>181</v>
      </c>
    </row>
    <row r="78" spans="2:24" x14ac:dyDescent="0.2">
      <c r="B78" s="66" t="s">
        <v>76</v>
      </c>
      <c r="C78" s="77">
        <v>12</v>
      </c>
      <c r="D78" s="77">
        <v>2</v>
      </c>
      <c r="E78" s="77">
        <v>1</v>
      </c>
      <c r="F78" s="77">
        <v>2</v>
      </c>
      <c r="G78" s="77">
        <v>5</v>
      </c>
      <c r="H78" s="77">
        <v>4</v>
      </c>
      <c r="I78" s="77">
        <v>192</v>
      </c>
      <c r="J78" s="77">
        <v>30</v>
      </c>
      <c r="K78" s="77">
        <v>4</v>
      </c>
      <c r="L78" s="77">
        <v>18</v>
      </c>
      <c r="M78" s="77">
        <v>17</v>
      </c>
      <c r="N78" s="77">
        <v>25</v>
      </c>
      <c r="O78" s="77">
        <v>0</v>
      </c>
      <c r="P78" s="77">
        <v>0</v>
      </c>
      <c r="Q78" s="77">
        <v>0</v>
      </c>
      <c r="R78" s="77">
        <v>0</v>
      </c>
      <c r="S78" s="77">
        <v>11</v>
      </c>
      <c r="T78" s="77">
        <v>2</v>
      </c>
      <c r="U78" s="77">
        <v>0</v>
      </c>
      <c r="V78" s="77">
        <v>1</v>
      </c>
      <c r="W78" s="77">
        <v>2</v>
      </c>
      <c r="X78" s="78">
        <v>28</v>
      </c>
    </row>
    <row r="79" spans="2:24" x14ac:dyDescent="0.2">
      <c r="B79" s="66" t="s">
        <v>77</v>
      </c>
      <c r="C79" s="77">
        <v>42</v>
      </c>
      <c r="D79" s="77">
        <v>19</v>
      </c>
      <c r="E79" s="77">
        <v>7</v>
      </c>
      <c r="F79" s="77">
        <v>19</v>
      </c>
      <c r="G79" s="77">
        <v>26</v>
      </c>
      <c r="H79" s="77">
        <v>9</v>
      </c>
      <c r="I79" s="77">
        <v>244</v>
      </c>
      <c r="J79" s="77">
        <v>35</v>
      </c>
      <c r="K79" s="77">
        <v>9</v>
      </c>
      <c r="L79" s="77">
        <v>7</v>
      </c>
      <c r="M79" s="77">
        <v>20</v>
      </c>
      <c r="N79" s="77">
        <v>18</v>
      </c>
      <c r="O79" s="77">
        <v>1</v>
      </c>
      <c r="P79" s="77">
        <v>0</v>
      </c>
      <c r="Q79" s="77">
        <v>2</v>
      </c>
      <c r="R79" s="77">
        <v>0</v>
      </c>
      <c r="S79" s="77">
        <v>1</v>
      </c>
      <c r="T79" s="77">
        <v>4</v>
      </c>
      <c r="U79" s="77">
        <v>1</v>
      </c>
      <c r="V79" s="77">
        <v>0</v>
      </c>
      <c r="W79" s="77">
        <v>58</v>
      </c>
      <c r="X79" s="78">
        <v>113</v>
      </c>
    </row>
    <row r="80" spans="2:24" x14ac:dyDescent="0.2">
      <c r="B80" s="66" t="s">
        <v>78</v>
      </c>
      <c r="C80" s="77">
        <v>172</v>
      </c>
      <c r="D80" s="77">
        <v>35</v>
      </c>
      <c r="E80" s="77">
        <v>15</v>
      </c>
      <c r="F80" s="77">
        <v>34</v>
      </c>
      <c r="G80" s="77">
        <v>95</v>
      </c>
      <c r="H80" s="77">
        <v>16</v>
      </c>
      <c r="I80" s="77">
        <v>1435</v>
      </c>
      <c r="J80" s="77">
        <v>64</v>
      </c>
      <c r="K80" s="77">
        <v>31</v>
      </c>
      <c r="L80" s="77">
        <v>20</v>
      </c>
      <c r="M80" s="77">
        <v>67</v>
      </c>
      <c r="N80" s="77">
        <v>93</v>
      </c>
      <c r="O80" s="77">
        <v>6</v>
      </c>
      <c r="P80" s="77">
        <v>0</v>
      </c>
      <c r="Q80" s="77">
        <v>8</v>
      </c>
      <c r="R80" s="77">
        <v>3</v>
      </c>
      <c r="S80" s="77">
        <v>10</v>
      </c>
      <c r="T80" s="77">
        <v>32</v>
      </c>
      <c r="U80" s="77">
        <v>4</v>
      </c>
      <c r="V80" s="77">
        <v>53</v>
      </c>
      <c r="W80" s="77">
        <v>0</v>
      </c>
      <c r="X80" s="78">
        <v>36</v>
      </c>
    </row>
    <row r="81" spans="2:30" ht="13.5" thickBot="1" x14ac:dyDescent="0.25">
      <c r="B81" s="69" t="s">
        <v>79</v>
      </c>
      <c r="C81" s="79">
        <v>2476</v>
      </c>
      <c r="D81" s="79">
        <v>188</v>
      </c>
      <c r="E81" s="79">
        <v>203</v>
      </c>
      <c r="F81" s="79">
        <v>280</v>
      </c>
      <c r="G81" s="79">
        <v>629</v>
      </c>
      <c r="H81" s="79">
        <v>156</v>
      </c>
      <c r="I81" s="79">
        <v>10518</v>
      </c>
      <c r="J81" s="79">
        <v>581</v>
      </c>
      <c r="K81" s="79">
        <v>157</v>
      </c>
      <c r="L81" s="79">
        <v>161</v>
      </c>
      <c r="M81" s="79">
        <v>347</v>
      </c>
      <c r="N81" s="79">
        <v>512</v>
      </c>
      <c r="O81" s="79">
        <v>60</v>
      </c>
      <c r="P81" s="79">
        <v>14</v>
      </c>
      <c r="Q81" s="79">
        <v>106</v>
      </c>
      <c r="R81" s="79">
        <v>20</v>
      </c>
      <c r="S81" s="79">
        <v>149</v>
      </c>
      <c r="T81" s="79">
        <v>219</v>
      </c>
      <c r="U81" s="79">
        <v>31</v>
      </c>
      <c r="V81" s="79">
        <v>129</v>
      </c>
      <c r="W81" s="79">
        <v>15</v>
      </c>
      <c r="X81" s="80">
        <v>0</v>
      </c>
    </row>
    <row r="82" spans="2:30" x14ac:dyDescent="0.2">
      <c r="Y82" s="81">
        <f>+SUM(C60:X81)</f>
        <v>55341</v>
      </c>
      <c r="Z82" s="81">
        <f>+'[2]Afxtipo-feb24'!$B$10</f>
        <v>73556</v>
      </c>
      <c r="AA82" s="81">
        <f>+Z82-Y82</f>
        <v>18215</v>
      </c>
    </row>
    <row r="83" spans="2:30" x14ac:dyDescent="0.2">
      <c r="F83" s="82" t="s">
        <v>83</v>
      </c>
      <c r="I83" s="83">
        <f>SUMPRODUCT($C$4:$X$25,C60:X81)</f>
        <v>3336120.7</v>
      </c>
      <c r="Z83" s="81"/>
    </row>
    <row r="84" spans="2:30" x14ac:dyDescent="0.2">
      <c r="F84" s="82" t="s">
        <v>46</v>
      </c>
      <c r="I84" s="84">
        <f>I83/SUM(C60:X81)</f>
        <v>60.282985489962236</v>
      </c>
    </row>
    <row r="86" spans="2:30" ht="13.5" thickBot="1" x14ac:dyDescent="0.25">
      <c r="B86" s="72" t="s">
        <v>85</v>
      </c>
    </row>
    <row r="87" spans="2:30" ht="13.5" thickBot="1" x14ac:dyDescent="0.25">
      <c r="C87" s="53"/>
      <c r="D87" s="54"/>
      <c r="E87" s="54"/>
      <c r="F87" s="54"/>
      <c r="G87" s="54"/>
      <c r="H87" s="55" t="s">
        <v>82</v>
      </c>
      <c r="I87" s="55"/>
      <c r="J87" s="55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6"/>
      <c r="AC87" s="81">
        <f>+Y82</f>
        <v>55341</v>
      </c>
      <c r="AD87" s="81">
        <f>+I83</f>
        <v>3336120.7</v>
      </c>
    </row>
    <row r="88" spans="2:30" ht="26.25" thickBot="1" x14ac:dyDescent="0.25">
      <c r="C88" s="58" t="s">
        <v>14</v>
      </c>
      <c r="D88" s="59" t="s">
        <v>13</v>
      </c>
      <c r="E88" s="58" t="s">
        <v>12</v>
      </c>
      <c r="F88" s="59" t="s">
        <v>11</v>
      </c>
      <c r="G88" s="58" t="s">
        <v>10</v>
      </c>
      <c r="H88" s="60" t="s">
        <v>9</v>
      </c>
      <c r="I88" s="58" t="s">
        <v>66</v>
      </c>
      <c r="J88" s="59" t="s">
        <v>6</v>
      </c>
      <c r="K88" s="61" t="s">
        <v>67</v>
      </c>
      <c r="L88" s="58" t="s">
        <v>68</v>
      </c>
      <c r="M88" s="58" t="s">
        <v>69</v>
      </c>
      <c r="N88" s="58" t="s">
        <v>2</v>
      </c>
      <c r="O88" s="59" t="s">
        <v>70</v>
      </c>
      <c r="P88" s="58" t="s">
        <v>71</v>
      </c>
      <c r="Q88" s="59" t="s">
        <v>72</v>
      </c>
      <c r="R88" s="61" t="s">
        <v>73</v>
      </c>
      <c r="S88" s="61" t="s">
        <v>74</v>
      </c>
      <c r="T88" s="59" t="s">
        <v>75</v>
      </c>
      <c r="U88" s="58" t="s">
        <v>76</v>
      </c>
      <c r="V88" s="59" t="s">
        <v>77</v>
      </c>
      <c r="W88" s="61" t="s">
        <v>78</v>
      </c>
      <c r="X88" s="62" t="s">
        <v>79</v>
      </c>
      <c r="AC88" s="81">
        <f>+Y113</f>
        <v>-39187</v>
      </c>
      <c r="AD88" s="52">
        <f>+AC88*AD87/AC87</f>
        <v>-2362309.3523951503</v>
      </c>
    </row>
    <row r="89" spans="2:30" x14ac:dyDescent="0.2">
      <c r="B89" s="63" t="s">
        <v>14</v>
      </c>
      <c r="C89" s="73">
        <v>0</v>
      </c>
      <c r="D89" s="73">
        <v>0</v>
      </c>
      <c r="E89" s="73">
        <v>0</v>
      </c>
      <c r="F89" s="73">
        <v>0</v>
      </c>
      <c r="G89" s="73">
        <v>0</v>
      </c>
      <c r="H89" s="73">
        <v>0</v>
      </c>
      <c r="I89" s="73">
        <v>0</v>
      </c>
      <c r="J89" s="73">
        <v>0</v>
      </c>
      <c r="K89" s="73">
        <v>0</v>
      </c>
      <c r="L89" s="73">
        <v>0</v>
      </c>
      <c r="M89" s="73">
        <v>3</v>
      </c>
      <c r="N89" s="73">
        <v>1</v>
      </c>
      <c r="O89" s="73">
        <v>34</v>
      </c>
      <c r="P89" s="73">
        <v>32</v>
      </c>
      <c r="Q89" s="73">
        <v>69</v>
      </c>
      <c r="R89" s="73">
        <v>12</v>
      </c>
      <c r="S89" s="73">
        <v>31</v>
      </c>
      <c r="T89" s="73">
        <v>63</v>
      </c>
      <c r="U89" s="73">
        <v>3</v>
      </c>
      <c r="V89" s="73">
        <v>18</v>
      </c>
      <c r="W89" s="73">
        <v>78</v>
      </c>
      <c r="X89" s="74">
        <v>601</v>
      </c>
    </row>
    <row r="90" spans="2:30" x14ac:dyDescent="0.2">
      <c r="B90" s="66" t="s">
        <v>13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18</v>
      </c>
      <c r="P90" s="77">
        <v>34</v>
      </c>
      <c r="Q90" s="77">
        <v>18</v>
      </c>
      <c r="R90" s="77">
        <v>6</v>
      </c>
      <c r="S90" s="77">
        <v>13</v>
      </c>
      <c r="T90" s="77">
        <v>6</v>
      </c>
      <c r="U90" s="77">
        <v>0</v>
      </c>
      <c r="V90" s="77">
        <v>10</v>
      </c>
      <c r="W90" s="77">
        <v>21</v>
      </c>
      <c r="X90" s="78">
        <v>85</v>
      </c>
    </row>
    <row r="91" spans="2:30" x14ac:dyDescent="0.2">
      <c r="B91" s="66" t="s">
        <v>12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1</v>
      </c>
      <c r="O91" s="77">
        <v>15</v>
      </c>
      <c r="P91" s="77">
        <v>5</v>
      </c>
      <c r="Q91" s="77">
        <v>15</v>
      </c>
      <c r="R91" s="77">
        <v>2</v>
      </c>
      <c r="S91" s="77">
        <v>7</v>
      </c>
      <c r="T91" s="77">
        <v>9</v>
      </c>
      <c r="U91" s="77">
        <v>4</v>
      </c>
      <c r="V91" s="77">
        <v>9</v>
      </c>
      <c r="W91" s="77">
        <v>4</v>
      </c>
      <c r="X91" s="78">
        <v>77</v>
      </c>
    </row>
    <row r="92" spans="2:30" x14ac:dyDescent="0.2">
      <c r="B92" s="66" t="s">
        <v>11</v>
      </c>
      <c r="C92" s="77">
        <v>0</v>
      </c>
      <c r="D92" s="77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3</v>
      </c>
      <c r="O92" s="77">
        <v>15</v>
      </c>
      <c r="P92" s="77">
        <v>6</v>
      </c>
      <c r="Q92" s="77">
        <v>27</v>
      </c>
      <c r="R92" s="77">
        <v>4</v>
      </c>
      <c r="S92" s="77">
        <v>16</v>
      </c>
      <c r="T92" s="77">
        <v>18</v>
      </c>
      <c r="U92" s="77">
        <v>0</v>
      </c>
      <c r="V92" s="77">
        <v>11</v>
      </c>
      <c r="W92" s="77">
        <v>14</v>
      </c>
      <c r="X92" s="78">
        <v>104</v>
      </c>
    </row>
    <row r="93" spans="2:30" x14ac:dyDescent="0.2">
      <c r="B93" s="66" t="s">
        <v>10</v>
      </c>
      <c r="C93" s="77">
        <v>0</v>
      </c>
      <c r="D93" s="77">
        <v>0</v>
      </c>
      <c r="E93" s="77">
        <v>0</v>
      </c>
      <c r="F93" s="77">
        <v>0</v>
      </c>
      <c r="G93" s="77">
        <v>0</v>
      </c>
      <c r="H93" s="77">
        <v>0</v>
      </c>
      <c r="I93" s="77">
        <v>0</v>
      </c>
      <c r="J93" s="77">
        <v>0</v>
      </c>
      <c r="K93" s="77">
        <v>0</v>
      </c>
      <c r="L93" s="77">
        <v>0</v>
      </c>
      <c r="M93" s="77">
        <v>0</v>
      </c>
      <c r="N93" s="77">
        <v>2</v>
      </c>
      <c r="O93" s="77">
        <v>51</v>
      </c>
      <c r="P93" s="77">
        <v>5</v>
      </c>
      <c r="Q93" s="77">
        <v>30</v>
      </c>
      <c r="R93" s="77">
        <v>16</v>
      </c>
      <c r="S93" s="77">
        <v>7</v>
      </c>
      <c r="T93" s="77">
        <v>28</v>
      </c>
      <c r="U93" s="77">
        <v>6</v>
      </c>
      <c r="V93" s="77">
        <v>7</v>
      </c>
      <c r="W93" s="77">
        <v>43</v>
      </c>
      <c r="X93" s="78">
        <v>272</v>
      </c>
    </row>
    <row r="94" spans="2:30" x14ac:dyDescent="0.2">
      <c r="B94" s="66" t="s">
        <v>9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1</v>
      </c>
      <c r="O94" s="77">
        <v>10</v>
      </c>
      <c r="P94" s="77">
        <v>0</v>
      </c>
      <c r="Q94" s="77">
        <v>5</v>
      </c>
      <c r="R94" s="77">
        <v>8</v>
      </c>
      <c r="S94" s="77">
        <v>6</v>
      </c>
      <c r="T94" s="77">
        <v>3</v>
      </c>
      <c r="U94" s="77">
        <v>2</v>
      </c>
      <c r="V94" s="77">
        <v>9</v>
      </c>
      <c r="W94" s="77">
        <v>11</v>
      </c>
      <c r="X94" s="78">
        <v>69</v>
      </c>
    </row>
    <row r="95" spans="2:30" x14ac:dyDescent="0.2">
      <c r="B95" s="66" t="s">
        <v>66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3</v>
      </c>
      <c r="K95" s="77">
        <v>1</v>
      </c>
      <c r="L95" s="77">
        <v>1</v>
      </c>
      <c r="M95" s="77">
        <v>0</v>
      </c>
      <c r="N95" s="77">
        <v>23</v>
      </c>
      <c r="O95" s="77">
        <v>768</v>
      </c>
      <c r="P95" s="77">
        <v>101</v>
      </c>
      <c r="Q95" s="77">
        <v>616</v>
      </c>
      <c r="R95" s="77">
        <v>138</v>
      </c>
      <c r="S95" s="77">
        <v>588</v>
      </c>
      <c r="T95" s="77">
        <v>837</v>
      </c>
      <c r="U95" s="77">
        <v>213</v>
      </c>
      <c r="V95" s="77">
        <v>280</v>
      </c>
      <c r="W95" s="77">
        <v>1083</v>
      </c>
      <c r="X95" s="78">
        <v>5518</v>
      </c>
    </row>
    <row r="96" spans="2:30" x14ac:dyDescent="0.2">
      <c r="B96" s="66" t="s">
        <v>6</v>
      </c>
      <c r="C96" s="77">
        <v>0</v>
      </c>
      <c r="D96" s="77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1</v>
      </c>
      <c r="M96" s="77">
        <v>0</v>
      </c>
      <c r="N96" s="77">
        <v>4</v>
      </c>
      <c r="O96" s="77">
        <v>52</v>
      </c>
      <c r="P96" s="77">
        <v>27</v>
      </c>
      <c r="Q96" s="77">
        <v>81</v>
      </c>
      <c r="R96" s="77">
        <v>35</v>
      </c>
      <c r="S96" s="77">
        <v>67</v>
      </c>
      <c r="T96" s="77">
        <v>77</v>
      </c>
      <c r="U96" s="77">
        <v>19</v>
      </c>
      <c r="V96" s="77">
        <v>13</v>
      </c>
      <c r="W96" s="77">
        <v>47</v>
      </c>
      <c r="X96" s="78">
        <v>236</v>
      </c>
    </row>
    <row r="97" spans="2:27" x14ac:dyDescent="0.2">
      <c r="B97" s="66" t="s">
        <v>5</v>
      </c>
      <c r="C97" s="77">
        <v>0</v>
      </c>
      <c r="D97" s="77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3</v>
      </c>
      <c r="O97" s="77">
        <v>62</v>
      </c>
      <c r="P97" s="77">
        <v>21</v>
      </c>
      <c r="Q97" s="77">
        <v>80</v>
      </c>
      <c r="R97" s="77">
        <v>46</v>
      </c>
      <c r="S97" s="77">
        <v>126</v>
      </c>
      <c r="T97" s="77">
        <v>103</v>
      </c>
      <c r="U97" s="77">
        <v>13</v>
      </c>
      <c r="V97" s="77">
        <v>5</v>
      </c>
      <c r="W97" s="77">
        <v>27</v>
      </c>
      <c r="X97" s="78">
        <v>76</v>
      </c>
    </row>
    <row r="98" spans="2:27" x14ac:dyDescent="0.2">
      <c r="B98" s="66" t="s">
        <v>68</v>
      </c>
      <c r="C98" s="77">
        <v>0</v>
      </c>
      <c r="D98" s="77">
        <v>0</v>
      </c>
      <c r="E98" s="77">
        <v>0</v>
      </c>
      <c r="F98" s="77">
        <v>0</v>
      </c>
      <c r="G98" s="77">
        <v>0</v>
      </c>
      <c r="H98" s="77">
        <v>0</v>
      </c>
      <c r="I98" s="77">
        <v>0</v>
      </c>
      <c r="J98" s="77">
        <v>0</v>
      </c>
      <c r="K98" s="77">
        <v>0</v>
      </c>
      <c r="L98" s="77">
        <v>0</v>
      </c>
      <c r="M98" s="77">
        <v>0</v>
      </c>
      <c r="N98" s="77">
        <v>0</v>
      </c>
      <c r="O98" s="77">
        <v>46</v>
      </c>
      <c r="P98" s="77">
        <v>28</v>
      </c>
      <c r="Q98" s="77">
        <v>41</v>
      </c>
      <c r="R98" s="77">
        <v>30</v>
      </c>
      <c r="S98" s="77">
        <v>59</v>
      </c>
      <c r="T98" s="77">
        <v>52</v>
      </c>
      <c r="U98" s="77">
        <v>12</v>
      </c>
      <c r="V98" s="77">
        <v>12</v>
      </c>
      <c r="W98" s="77">
        <v>6</v>
      </c>
      <c r="X98" s="78">
        <v>68</v>
      </c>
    </row>
    <row r="99" spans="2:27" x14ac:dyDescent="0.2">
      <c r="B99" s="66" t="s">
        <v>80</v>
      </c>
      <c r="C99" s="77">
        <v>1</v>
      </c>
      <c r="D99" s="77">
        <v>0</v>
      </c>
      <c r="E99" s="77">
        <v>0</v>
      </c>
      <c r="F99" s="77">
        <v>0</v>
      </c>
      <c r="G99" s="77">
        <v>1</v>
      </c>
      <c r="H99" s="77">
        <v>0</v>
      </c>
      <c r="I99" s="77">
        <v>1</v>
      </c>
      <c r="J99" s="77">
        <v>0</v>
      </c>
      <c r="K99" s="77">
        <v>0</v>
      </c>
      <c r="L99" s="77">
        <v>0</v>
      </c>
      <c r="M99" s="77">
        <v>0</v>
      </c>
      <c r="N99" s="77">
        <v>1</v>
      </c>
      <c r="O99" s="77">
        <v>103</v>
      </c>
      <c r="P99" s="77">
        <v>25</v>
      </c>
      <c r="Q99" s="77">
        <v>146</v>
      </c>
      <c r="R99" s="77">
        <v>58</v>
      </c>
      <c r="S99" s="77">
        <v>91</v>
      </c>
      <c r="T99" s="77">
        <v>97</v>
      </c>
      <c r="U99" s="77">
        <v>15</v>
      </c>
      <c r="V99" s="77">
        <v>17</v>
      </c>
      <c r="W99" s="77">
        <v>36</v>
      </c>
      <c r="X99" s="78">
        <v>139</v>
      </c>
    </row>
    <row r="100" spans="2:27" x14ac:dyDescent="0.2">
      <c r="B100" s="66" t="s">
        <v>2</v>
      </c>
      <c r="C100" s="77">
        <v>0</v>
      </c>
      <c r="D100" s="77">
        <v>0</v>
      </c>
      <c r="E100" s="77">
        <v>0</v>
      </c>
      <c r="F100" s="77">
        <v>0</v>
      </c>
      <c r="G100" s="77">
        <v>2</v>
      </c>
      <c r="H100" s="77">
        <v>0</v>
      </c>
      <c r="I100" s="77">
        <v>2</v>
      </c>
      <c r="J100" s="77">
        <v>2</v>
      </c>
      <c r="K100" s="77">
        <v>0</v>
      </c>
      <c r="L100" s="77">
        <v>0</v>
      </c>
      <c r="M100" s="77">
        <v>0</v>
      </c>
      <c r="N100" s="77">
        <v>0</v>
      </c>
      <c r="O100" s="77">
        <v>270</v>
      </c>
      <c r="P100" s="77">
        <v>47</v>
      </c>
      <c r="Q100" s="77">
        <v>196</v>
      </c>
      <c r="R100" s="77">
        <v>51</v>
      </c>
      <c r="S100" s="77">
        <v>130</v>
      </c>
      <c r="T100" s="77">
        <v>166</v>
      </c>
      <c r="U100" s="77">
        <v>12</v>
      </c>
      <c r="V100" s="77">
        <v>10</v>
      </c>
      <c r="W100" s="77">
        <v>52</v>
      </c>
      <c r="X100" s="78">
        <v>189</v>
      </c>
    </row>
    <row r="101" spans="2:27" x14ac:dyDescent="0.2">
      <c r="B101" s="66" t="s">
        <v>70</v>
      </c>
      <c r="C101" s="77">
        <v>54</v>
      </c>
      <c r="D101" s="77">
        <v>35</v>
      </c>
      <c r="E101" s="77">
        <v>27</v>
      </c>
      <c r="F101" s="77">
        <v>24</v>
      </c>
      <c r="G101" s="77">
        <v>87</v>
      </c>
      <c r="H101" s="77">
        <v>38</v>
      </c>
      <c r="I101" s="77">
        <v>1424</v>
      </c>
      <c r="J101" s="77">
        <v>109</v>
      </c>
      <c r="K101" s="77">
        <v>182</v>
      </c>
      <c r="L101" s="77">
        <v>53</v>
      </c>
      <c r="M101" s="77">
        <v>115</v>
      </c>
      <c r="N101" s="77">
        <v>276</v>
      </c>
      <c r="O101" s="77">
        <v>0</v>
      </c>
      <c r="P101" s="77">
        <v>6</v>
      </c>
      <c r="Q101" s="77">
        <v>20</v>
      </c>
      <c r="R101" s="77">
        <v>1</v>
      </c>
      <c r="S101" s="77">
        <v>5</v>
      </c>
      <c r="T101" s="77">
        <v>8</v>
      </c>
      <c r="U101" s="77">
        <v>0</v>
      </c>
      <c r="V101" s="77">
        <v>1</v>
      </c>
      <c r="W101" s="77">
        <v>9</v>
      </c>
      <c r="X101" s="78">
        <v>39</v>
      </c>
    </row>
    <row r="102" spans="2:27" x14ac:dyDescent="0.2">
      <c r="B102" s="66" t="s">
        <v>71</v>
      </c>
      <c r="C102" s="77">
        <v>50</v>
      </c>
      <c r="D102" s="77">
        <v>31</v>
      </c>
      <c r="E102" s="77">
        <v>11</v>
      </c>
      <c r="F102" s="77">
        <v>6</v>
      </c>
      <c r="G102" s="77">
        <v>9</v>
      </c>
      <c r="H102" s="77">
        <v>3</v>
      </c>
      <c r="I102" s="77">
        <v>186</v>
      </c>
      <c r="J102" s="77">
        <v>44</v>
      </c>
      <c r="K102" s="77">
        <v>31</v>
      </c>
      <c r="L102" s="77">
        <v>15</v>
      </c>
      <c r="M102" s="77">
        <v>15</v>
      </c>
      <c r="N102" s="77">
        <v>58</v>
      </c>
      <c r="O102" s="77">
        <v>19</v>
      </c>
      <c r="P102" s="77">
        <v>0</v>
      </c>
      <c r="Q102" s="77">
        <v>5</v>
      </c>
      <c r="R102" s="77">
        <v>0</v>
      </c>
      <c r="S102" s="77">
        <v>2</v>
      </c>
      <c r="T102" s="77">
        <v>0</v>
      </c>
      <c r="U102" s="77">
        <v>0</v>
      </c>
      <c r="V102" s="77">
        <v>0</v>
      </c>
      <c r="W102" s="77">
        <v>2</v>
      </c>
      <c r="X102" s="78">
        <v>7</v>
      </c>
    </row>
    <row r="103" spans="2:27" x14ac:dyDescent="0.2">
      <c r="B103" s="66" t="s">
        <v>72</v>
      </c>
      <c r="C103" s="77">
        <v>92</v>
      </c>
      <c r="D103" s="77">
        <v>21</v>
      </c>
      <c r="E103" s="77">
        <v>24</v>
      </c>
      <c r="F103" s="77">
        <v>50</v>
      </c>
      <c r="G103" s="77">
        <v>40</v>
      </c>
      <c r="H103" s="77">
        <v>7</v>
      </c>
      <c r="I103" s="77">
        <v>1176</v>
      </c>
      <c r="J103" s="77">
        <v>128</v>
      </c>
      <c r="K103" s="77">
        <v>211</v>
      </c>
      <c r="L103" s="77">
        <v>104</v>
      </c>
      <c r="M103" s="77">
        <v>121</v>
      </c>
      <c r="N103" s="77">
        <v>247</v>
      </c>
      <c r="O103" s="77">
        <v>62</v>
      </c>
      <c r="P103" s="77">
        <v>4</v>
      </c>
      <c r="Q103" s="77">
        <v>0</v>
      </c>
      <c r="R103" s="77">
        <v>0</v>
      </c>
      <c r="S103" s="77">
        <v>15</v>
      </c>
      <c r="T103" s="77">
        <v>13</v>
      </c>
      <c r="U103" s="77">
        <v>1</v>
      </c>
      <c r="V103" s="77">
        <v>0</v>
      </c>
      <c r="W103" s="77">
        <v>18</v>
      </c>
      <c r="X103" s="78">
        <v>46</v>
      </c>
    </row>
    <row r="104" spans="2:27" x14ac:dyDescent="0.2">
      <c r="B104" s="66" t="s">
        <v>73</v>
      </c>
      <c r="C104" s="77">
        <v>25</v>
      </c>
      <c r="D104" s="77">
        <v>8</v>
      </c>
      <c r="E104" s="77">
        <v>5</v>
      </c>
      <c r="F104" s="77">
        <v>3</v>
      </c>
      <c r="G104" s="77">
        <v>20</v>
      </c>
      <c r="H104" s="77">
        <v>11</v>
      </c>
      <c r="I104" s="77">
        <v>318</v>
      </c>
      <c r="J104" s="77">
        <v>61</v>
      </c>
      <c r="K104" s="77">
        <v>59</v>
      </c>
      <c r="L104" s="77">
        <v>44</v>
      </c>
      <c r="M104" s="77">
        <v>47</v>
      </c>
      <c r="N104" s="77">
        <v>51</v>
      </c>
      <c r="O104" s="77">
        <v>7</v>
      </c>
      <c r="P104" s="77">
        <v>0</v>
      </c>
      <c r="Q104" s="77">
        <v>0</v>
      </c>
      <c r="R104" s="77">
        <v>0</v>
      </c>
      <c r="S104" s="77">
        <v>7</v>
      </c>
      <c r="T104" s="77">
        <v>4</v>
      </c>
      <c r="U104" s="77">
        <v>0</v>
      </c>
      <c r="V104" s="77">
        <v>0</v>
      </c>
      <c r="W104" s="77">
        <v>1</v>
      </c>
      <c r="X104" s="78">
        <v>7</v>
      </c>
    </row>
    <row r="105" spans="2:27" x14ac:dyDescent="0.2">
      <c r="B105" s="66" t="s">
        <v>74</v>
      </c>
      <c r="C105" s="77">
        <v>40</v>
      </c>
      <c r="D105" s="77">
        <v>24</v>
      </c>
      <c r="E105" s="77">
        <v>32</v>
      </c>
      <c r="F105" s="77">
        <v>54</v>
      </c>
      <c r="G105" s="77">
        <v>44</v>
      </c>
      <c r="H105" s="77">
        <v>11</v>
      </c>
      <c r="I105" s="77">
        <v>1020</v>
      </c>
      <c r="J105" s="77">
        <v>161</v>
      </c>
      <c r="K105" s="77">
        <v>339</v>
      </c>
      <c r="L105" s="77">
        <v>109</v>
      </c>
      <c r="M105" s="77">
        <v>109</v>
      </c>
      <c r="N105" s="77">
        <v>199</v>
      </c>
      <c r="O105" s="77">
        <v>14</v>
      </c>
      <c r="P105" s="77">
        <v>3</v>
      </c>
      <c r="Q105" s="77">
        <v>13</v>
      </c>
      <c r="R105" s="77">
        <v>1</v>
      </c>
      <c r="S105" s="77">
        <v>0</v>
      </c>
      <c r="T105" s="77">
        <v>0</v>
      </c>
      <c r="U105" s="77">
        <v>17</v>
      </c>
      <c r="V105" s="77">
        <v>3</v>
      </c>
      <c r="W105" s="77">
        <v>21</v>
      </c>
      <c r="X105" s="78">
        <v>120</v>
      </c>
    </row>
    <row r="106" spans="2:27" x14ac:dyDescent="0.2">
      <c r="B106" s="66" t="s">
        <v>75</v>
      </c>
      <c r="C106" s="77">
        <v>83</v>
      </c>
      <c r="D106" s="77">
        <v>20</v>
      </c>
      <c r="E106" s="77">
        <v>12</v>
      </c>
      <c r="F106" s="77">
        <v>53</v>
      </c>
      <c r="G106" s="77">
        <v>93</v>
      </c>
      <c r="H106" s="77">
        <v>10</v>
      </c>
      <c r="I106" s="77">
        <v>1237</v>
      </c>
      <c r="J106" s="77">
        <v>146</v>
      </c>
      <c r="K106" s="77">
        <v>312</v>
      </c>
      <c r="L106" s="77">
        <v>94</v>
      </c>
      <c r="M106" s="77">
        <v>138</v>
      </c>
      <c r="N106" s="77">
        <v>218</v>
      </c>
      <c r="O106" s="77">
        <v>6</v>
      </c>
      <c r="P106" s="77">
        <v>0</v>
      </c>
      <c r="Q106" s="77">
        <v>14</v>
      </c>
      <c r="R106" s="77">
        <v>4</v>
      </c>
      <c r="S106" s="77">
        <v>1</v>
      </c>
      <c r="T106" s="77">
        <v>0</v>
      </c>
      <c r="U106" s="77">
        <v>8</v>
      </c>
      <c r="V106" s="77">
        <v>3</v>
      </c>
      <c r="W106" s="77">
        <v>17</v>
      </c>
      <c r="X106" s="78">
        <v>151</v>
      </c>
    </row>
    <row r="107" spans="2:27" x14ac:dyDescent="0.2">
      <c r="B107" s="66" t="s">
        <v>76</v>
      </c>
      <c r="C107" s="77">
        <v>5</v>
      </c>
      <c r="D107" s="77">
        <v>1</v>
      </c>
      <c r="E107" s="77">
        <v>4</v>
      </c>
      <c r="F107" s="77">
        <v>0</v>
      </c>
      <c r="G107" s="77">
        <v>2</v>
      </c>
      <c r="H107" s="77">
        <v>2</v>
      </c>
      <c r="I107" s="77">
        <v>222</v>
      </c>
      <c r="J107" s="77">
        <v>19</v>
      </c>
      <c r="K107" s="77">
        <v>12</v>
      </c>
      <c r="L107" s="77">
        <v>11</v>
      </c>
      <c r="M107" s="77">
        <v>19</v>
      </c>
      <c r="N107" s="77">
        <v>16</v>
      </c>
      <c r="O107" s="77">
        <v>0</v>
      </c>
      <c r="P107" s="77">
        <v>0</v>
      </c>
      <c r="Q107" s="77">
        <v>0</v>
      </c>
      <c r="R107" s="77">
        <v>0</v>
      </c>
      <c r="S107" s="77">
        <v>12</v>
      </c>
      <c r="T107" s="77">
        <v>2</v>
      </c>
      <c r="U107" s="77">
        <v>0</v>
      </c>
      <c r="V107" s="77">
        <v>1</v>
      </c>
      <c r="W107" s="77">
        <v>0</v>
      </c>
      <c r="X107" s="78">
        <v>23</v>
      </c>
    </row>
    <row r="108" spans="2:27" x14ac:dyDescent="0.2">
      <c r="B108" s="66" t="s">
        <v>77</v>
      </c>
      <c r="C108" s="77">
        <v>19</v>
      </c>
      <c r="D108" s="77">
        <v>13</v>
      </c>
      <c r="E108" s="77">
        <v>11</v>
      </c>
      <c r="F108" s="77">
        <v>24</v>
      </c>
      <c r="G108" s="77">
        <v>15</v>
      </c>
      <c r="H108" s="77">
        <v>10</v>
      </c>
      <c r="I108" s="77">
        <v>262</v>
      </c>
      <c r="J108" s="77">
        <v>20</v>
      </c>
      <c r="K108" s="77">
        <v>8</v>
      </c>
      <c r="L108" s="77">
        <v>7</v>
      </c>
      <c r="M108" s="77">
        <v>13</v>
      </c>
      <c r="N108" s="77">
        <v>8</v>
      </c>
      <c r="O108" s="77">
        <v>2</v>
      </c>
      <c r="P108" s="77">
        <v>0</v>
      </c>
      <c r="Q108" s="77">
        <v>0</v>
      </c>
      <c r="R108" s="77">
        <v>0</v>
      </c>
      <c r="S108" s="77">
        <v>3</v>
      </c>
      <c r="T108" s="77">
        <v>4</v>
      </c>
      <c r="U108" s="77">
        <v>1</v>
      </c>
      <c r="V108" s="77">
        <v>0</v>
      </c>
      <c r="W108" s="77">
        <v>68</v>
      </c>
      <c r="X108" s="78">
        <v>118</v>
      </c>
    </row>
    <row r="109" spans="2:27" x14ac:dyDescent="0.2">
      <c r="B109" s="66" t="s">
        <v>78</v>
      </c>
      <c r="C109" s="77">
        <v>87</v>
      </c>
      <c r="D109" s="77">
        <v>23</v>
      </c>
      <c r="E109" s="77">
        <v>9</v>
      </c>
      <c r="F109" s="77">
        <v>29</v>
      </c>
      <c r="G109" s="77">
        <v>58</v>
      </c>
      <c r="H109" s="77">
        <v>20</v>
      </c>
      <c r="I109" s="77">
        <v>947</v>
      </c>
      <c r="J109" s="77">
        <v>43</v>
      </c>
      <c r="K109" s="77">
        <v>20</v>
      </c>
      <c r="L109" s="77">
        <v>6</v>
      </c>
      <c r="M109" s="77">
        <v>31</v>
      </c>
      <c r="N109" s="77">
        <v>39</v>
      </c>
      <c r="O109" s="77">
        <v>11</v>
      </c>
      <c r="P109" s="77">
        <v>4</v>
      </c>
      <c r="Q109" s="77">
        <v>15</v>
      </c>
      <c r="R109" s="77">
        <v>1</v>
      </c>
      <c r="S109" s="77">
        <v>9</v>
      </c>
      <c r="T109" s="77">
        <v>40</v>
      </c>
      <c r="U109" s="77">
        <v>0</v>
      </c>
      <c r="V109" s="77">
        <v>50</v>
      </c>
      <c r="W109" s="77">
        <v>0</v>
      </c>
      <c r="X109" s="78">
        <v>42</v>
      </c>
    </row>
    <row r="110" spans="2:27" ht="13.5" thickBot="1" x14ac:dyDescent="0.25">
      <c r="B110" s="69" t="s">
        <v>79</v>
      </c>
      <c r="C110" s="79">
        <v>740</v>
      </c>
      <c r="D110" s="79">
        <v>102</v>
      </c>
      <c r="E110" s="79">
        <v>108</v>
      </c>
      <c r="F110" s="79">
        <v>179</v>
      </c>
      <c r="G110" s="79">
        <v>418</v>
      </c>
      <c r="H110" s="79">
        <v>142</v>
      </c>
      <c r="I110" s="79">
        <v>6880</v>
      </c>
      <c r="J110" s="79">
        <v>294</v>
      </c>
      <c r="K110" s="79">
        <v>89</v>
      </c>
      <c r="L110" s="79">
        <v>81</v>
      </c>
      <c r="M110" s="79">
        <v>169</v>
      </c>
      <c r="N110" s="79">
        <v>199</v>
      </c>
      <c r="O110" s="79">
        <v>40</v>
      </c>
      <c r="P110" s="79">
        <v>8</v>
      </c>
      <c r="Q110" s="79">
        <v>51</v>
      </c>
      <c r="R110" s="79">
        <v>12</v>
      </c>
      <c r="S110" s="79">
        <v>131</v>
      </c>
      <c r="T110" s="79">
        <v>171</v>
      </c>
      <c r="U110" s="79">
        <v>26</v>
      </c>
      <c r="V110" s="79">
        <v>138</v>
      </c>
      <c r="W110" s="79">
        <v>31</v>
      </c>
      <c r="X110" s="80">
        <v>0</v>
      </c>
    </row>
    <row r="111" spans="2:27" x14ac:dyDescent="0.2">
      <c r="Y111" s="81">
        <f>+SUM(C89:X110)</f>
        <v>39187</v>
      </c>
      <c r="Z111" s="81"/>
      <c r="AA111" s="81">
        <f>+Z111-Y111</f>
        <v>-39187</v>
      </c>
    </row>
    <row r="112" spans="2:27" x14ac:dyDescent="0.2">
      <c r="F112" s="82" t="s">
        <v>83</v>
      </c>
      <c r="I112" s="83">
        <f>SUMPRODUCT($C$4:$X$25,C89:X110)</f>
        <v>2142620.8999999985</v>
      </c>
      <c r="X112" s="52">
        <v>36423</v>
      </c>
      <c r="Y112" s="81">
        <f>+'[1]REAL 2025'!E63</f>
        <v>0</v>
      </c>
      <c r="Z112" s="81"/>
    </row>
    <row r="113" spans="2:25" x14ac:dyDescent="0.2">
      <c r="F113" s="82" t="s">
        <v>46</v>
      </c>
      <c r="I113" s="84">
        <f>I112/SUM(C89:X110)</f>
        <v>54.676829050450365</v>
      </c>
      <c r="Y113" s="81">
        <f>+Y112-Y111</f>
        <v>-39187</v>
      </c>
    </row>
    <row r="115" spans="2:25" ht="13.5" thickBot="1" x14ac:dyDescent="0.25">
      <c r="B115" s="72" t="s">
        <v>86</v>
      </c>
    </row>
    <row r="116" spans="2:25" ht="13.5" thickBot="1" x14ac:dyDescent="0.25">
      <c r="C116" s="53"/>
      <c r="D116" s="54"/>
      <c r="E116" s="54"/>
      <c r="F116" s="54"/>
      <c r="G116" s="54"/>
      <c r="H116" s="55" t="s">
        <v>82</v>
      </c>
      <c r="I116" s="55"/>
      <c r="J116" s="55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6"/>
    </row>
    <row r="117" spans="2:25" ht="26.25" thickBot="1" x14ac:dyDescent="0.25">
      <c r="C117" s="58" t="s">
        <v>14</v>
      </c>
      <c r="D117" s="59" t="s">
        <v>13</v>
      </c>
      <c r="E117" s="58" t="s">
        <v>12</v>
      </c>
      <c r="F117" s="59" t="s">
        <v>11</v>
      </c>
      <c r="G117" s="58" t="s">
        <v>10</v>
      </c>
      <c r="H117" s="60" t="s">
        <v>9</v>
      </c>
      <c r="I117" s="58" t="s">
        <v>66</v>
      </c>
      <c r="J117" s="59" t="s">
        <v>6</v>
      </c>
      <c r="K117" s="61" t="s">
        <v>67</v>
      </c>
      <c r="L117" s="58" t="s">
        <v>68</v>
      </c>
      <c r="M117" s="58" t="s">
        <v>69</v>
      </c>
      <c r="N117" s="58" t="s">
        <v>2</v>
      </c>
      <c r="O117" s="59" t="s">
        <v>70</v>
      </c>
      <c r="P117" s="58" t="s">
        <v>71</v>
      </c>
      <c r="Q117" s="59" t="s">
        <v>72</v>
      </c>
      <c r="R117" s="61" t="s">
        <v>73</v>
      </c>
      <c r="S117" s="61" t="s">
        <v>74</v>
      </c>
      <c r="T117" s="59" t="s">
        <v>75</v>
      </c>
      <c r="U117" s="58" t="s">
        <v>76</v>
      </c>
      <c r="V117" s="59" t="s">
        <v>77</v>
      </c>
      <c r="W117" s="61" t="s">
        <v>78</v>
      </c>
      <c r="X117" s="62" t="s">
        <v>79</v>
      </c>
    </row>
    <row r="118" spans="2:25" x14ac:dyDescent="0.2">
      <c r="B118" s="63" t="s">
        <v>14</v>
      </c>
      <c r="C118" s="73">
        <v>0</v>
      </c>
      <c r="D118" s="73">
        <v>0</v>
      </c>
      <c r="E118" s="73">
        <v>0</v>
      </c>
      <c r="F118" s="73">
        <v>0</v>
      </c>
      <c r="G118" s="73">
        <v>0</v>
      </c>
      <c r="H118" s="73">
        <v>0</v>
      </c>
      <c r="I118" s="73">
        <v>9</v>
      </c>
      <c r="J118" s="73">
        <v>2</v>
      </c>
      <c r="K118" s="73">
        <v>0</v>
      </c>
      <c r="L118" s="73">
        <v>0</v>
      </c>
      <c r="M118" s="73">
        <v>0</v>
      </c>
      <c r="N118" s="73">
        <v>5</v>
      </c>
      <c r="O118" s="73">
        <v>38</v>
      </c>
      <c r="P118" s="73">
        <v>36</v>
      </c>
      <c r="Q118" s="73">
        <v>69</v>
      </c>
      <c r="R118" s="73">
        <v>19</v>
      </c>
      <c r="S118" s="73">
        <v>32</v>
      </c>
      <c r="T118" s="73">
        <v>62</v>
      </c>
      <c r="U118" s="73">
        <v>2</v>
      </c>
      <c r="V118" s="73">
        <v>26</v>
      </c>
      <c r="W118" s="73">
        <v>75</v>
      </c>
      <c r="X118" s="74">
        <v>402</v>
      </c>
    </row>
    <row r="119" spans="2:25" x14ac:dyDescent="0.2">
      <c r="B119" s="66" t="s">
        <v>13</v>
      </c>
      <c r="C119" s="77">
        <v>0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2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25</v>
      </c>
      <c r="P119" s="77">
        <v>28</v>
      </c>
      <c r="Q119" s="77">
        <v>19</v>
      </c>
      <c r="R119" s="77">
        <v>6</v>
      </c>
      <c r="S119" s="77">
        <v>13</v>
      </c>
      <c r="T119" s="77">
        <v>18</v>
      </c>
      <c r="U119" s="77">
        <v>1</v>
      </c>
      <c r="V119" s="77">
        <v>17</v>
      </c>
      <c r="W119" s="77">
        <v>34</v>
      </c>
      <c r="X119" s="78">
        <v>47</v>
      </c>
    </row>
    <row r="120" spans="2:25" x14ac:dyDescent="0.2">
      <c r="B120" s="66" t="s">
        <v>12</v>
      </c>
      <c r="C120" s="77">
        <v>0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8</v>
      </c>
      <c r="P120" s="77">
        <v>4</v>
      </c>
      <c r="Q120" s="77">
        <v>28</v>
      </c>
      <c r="R120" s="77">
        <v>1</v>
      </c>
      <c r="S120" s="77">
        <v>7</v>
      </c>
      <c r="T120" s="77">
        <v>16</v>
      </c>
      <c r="U120" s="77">
        <v>7</v>
      </c>
      <c r="V120" s="77">
        <v>6</v>
      </c>
      <c r="W120" s="77">
        <v>12</v>
      </c>
      <c r="X120" s="78">
        <v>84</v>
      </c>
    </row>
    <row r="121" spans="2:25" x14ac:dyDescent="0.2">
      <c r="B121" s="66" t="s">
        <v>11</v>
      </c>
      <c r="C121" s="77">
        <v>0</v>
      </c>
      <c r="D121" s="77">
        <v>0</v>
      </c>
      <c r="E121" s="77">
        <v>0</v>
      </c>
      <c r="F121" s="77">
        <v>0</v>
      </c>
      <c r="G121" s="77">
        <v>0</v>
      </c>
      <c r="H121" s="77">
        <v>0</v>
      </c>
      <c r="I121" s="77">
        <v>2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11</v>
      </c>
      <c r="P121" s="77">
        <v>4</v>
      </c>
      <c r="Q121" s="77">
        <v>28</v>
      </c>
      <c r="R121" s="77">
        <v>7</v>
      </c>
      <c r="S121" s="77">
        <v>15</v>
      </c>
      <c r="T121" s="77">
        <v>6</v>
      </c>
      <c r="U121" s="77">
        <v>0</v>
      </c>
      <c r="V121" s="77">
        <v>20</v>
      </c>
      <c r="W121" s="77">
        <v>18</v>
      </c>
      <c r="X121" s="78">
        <v>82</v>
      </c>
    </row>
    <row r="122" spans="2:25" x14ac:dyDescent="0.2">
      <c r="B122" s="66" t="s">
        <v>10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2</v>
      </c>
      <c r="O122" s="77">
        <v>52</v>
      </c>
      <c r="P122" s="77">
        <v>3</v>
      </c>
      <c r="Q122" s="77">
        <v>23</v>
      </c>
      <c r="R122" s="77">
        <v>8</v>
      </c>
      <c r="S122" s="77">
        <v>24</v>
      </c>
      <c r="T122" s="77">
        <v>40</v>
      </c>
      <c r="U122" s="77">
        <v>5</v>
      </c>
      <c r="V122" s="77">
        <v>16</v>
      </c>
      <c r="W122" s="77">
        <v>45</v>
      </c>
      <c r="X122" s="78">
        <v>293</v>
      </c>
    </row>
    <row r="123" spans="2:25" x14ac:dyDescent="0.2">
      <c r="B123" s="66" t="s">
        <v>9</v>
      </c>
      <c r="C123" s="77">
        <v>2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1</v>
      </c>
      <c r="J123" s="77">
        <v>0</v>
      </c>
      <c r="K123" s="77">
        <v>0</v>
      </c>
      <c r="L123" s="77">
        <v>0</v>
      </c>
      <c r="M123" s="77">
        <v>0</v>
      </c>
      <c r="N123" s="77">
        <v>1</v>
      </c>
      <c r="O123" s="77">
        <v>25</v>
      </c>
      <c r="P123" s="77">
        <v>13</v>
      </c>
      <c r="Q123" s="77">
        <v>7</v>
      </c>
      <c r="R123" s="77">
        <v>2</v>
      </c>
      <c r="S123" s="77">
        <v>2</v>
      </c>
      <c r="T123" s="77">
        <v>15</v>
      </c>
      <c r="U123" s="77">
        <v>1</v>
      </c>
      <c r="V123" s="77">
        <v>14</v>
      </c>
      <c r="W123" s="77">
        <v>11</v>
      </c>
      <c r="X123" s="78">
        <v>64</v>
      </c>
    </row>
    <row r="124" spans="2:25" x14ac:dyDescent="0.2">
      <c r="B124" s="66" t="s">
        <v>66</v>
      </c>
      <c r="C124" s="77">
        <v>0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3</v>
      </c>
      <c r="K124" s="77">
        <v>1</v>
      </c>
      <c r="L124" s="77">
        <v>5</v>
      </c>
      <c r="M124" s="77">
        <v>0</v>
      </c>
      <c r="N124" s="77">
        <v>26</v>
      </c>
      <c r="O124" s="77">
        <v>742</v>
      </c>
      <c r="P124" s="77">
        <v>152</v>
      </c>
      <c r="Q124" s="77">
        <v>710</v>
      </c>
      <c r="R124" s="77">
        <v>162</v>
      </c>
      <c r="S124" s="77">
        <v>624</v>
      </c>
      <c r="T124" s="77">
        <v>913</v>
      </c>
      <c r="U124" s="77">
        <v>102</v>
      </c>
      <c r="V124" s="77">
        <v>279</v>
      </c>
      <c r="W124" s="77">
        <v>1078</v>
      </c>
      <c r="X124" s="78">
        <v>5883</v>
      </c>
    </row>
    <row r="125" spans="2:25" x14ac:dyDescent="0.2">
      <c r="B125" s="66" t="s">
        <v>6</v>
      </c>
      <c r="C125" s="77">
        <v>0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1</v>
      </c>
      <c r="N125" s="77">
        <v>3</v>
      </c>
      <c r="O125" s="77">
        <v>78</v>
      </c>
      <c r="P125" s="77">
        <v>20</v>
      </c>
      <c r="Q125" s="77">
        <v>74</v>
      </c>
      <c r="R125" s="77">
        <v>34</v>
      </c>
      <c r="S125" s="77">
        <v>62</v>
      </c>
      <c r="T125" s="77">
        <v>71</v>
      </c>
      <c r="U125" s="77">
        <v>3</v>
      </c>
      <c r="V125" s="77">
        <v>29</v>
      </c>
      <c r="W125" s="77">
        <v>55</v>
      </c>
      <c r="X125" s="78">
        <v>225</v>
      </c>
    </row>
    <row r="126" spans="2:25" x14ac:dyDescent="0.2">
      <c r="B126" s="66" t="s">
        <v>5</v>
      </c>
      <c r="C126" s="77">
        <v>0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1</v>
      </c>
      <c r="O126" s="77">
        <v>60</v>
      </c>
      <c r="P126" s="77">
        <v>5</v>
      </c>
      <c r="Q126" s="77">
        <v>88</v>
      </c>
      <c r="R126" s="77">
        <v>44</v>
      </c>
      <c r="S126" s="77">
        <v>214</v>
      </c>
      <c r="T126" s="77">
        <v>127</v>
      </c>
      <c r="U126" s="77">
        <v>5</v>
      </c>
      <c r="V126" s="77">
        <v>11</v>
      </c>
      <c r="W126" s="77">
        <v>12</v>
      </c>
      <c r="X126" s="78">
        <v>92</v>
      </c>
    </row>
    <row r="127" spans="2:25" x14ac:dyDescent="0.2">
      <c r="B127" s="66" t="s">
        <v>68</v>
      </c>
      <c r="C127" s="77">
        <v>0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1</v>
      </c>
      <c r="J127" s="77">
        <v>0</v>
      </c>
      <c r="K127" s="77">
        <v>0</v>
      </c>
      <c r="L127" s="77">
        <v>0</v>
      </c>
      <c r="M127" s="77">
        <v>0</v>
      </c>
      <c r="N127" s="77">
        <v>1</v>
      </c>
      <c r="O127" s="77">
        <v>48</v>
      </c>
      <c r="P127" s="77">
        <v>10</v>
      </c>
      <c r="Q127" s="77">
        <v>47</v>
      </c>
      <c r="R127" s="77">
        <v>25</v>
      </c>
      <c r="S127" s="77">
        <v>60</v>
      </c>
      <c r="T127" s="77">
        <v>69</v>
      </c>
      <c r="U127" s="77">
        <v>10</v>
      </c>
      <c r="V127" s="77">
        <v>6</v>
      </c>
      <c r="W127" s="77">
        <v>14</v>
      </c>
      <c r="X127" s="78">
        <v>60</v>
      </c>
    </row>
    <row r="128" spans="2:25" x14ac:dyDescent="0.2">
      <c r="B128" s="66" t="s">
        <v>80</v>
      </c>
      <c r="C128" s="77">
        <v>0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1</v>
      </c>
      <c r="O128" s="77">
        <v>98</v>
      </c>
      <c r="P128" s="77">
        <v>23</v>
      </c>
      <c r="Q128" s="77">
        <v>117</v>
      </c>
      <c r="R128" s="77">
        <v>51</v>
      </c>
      <c r="S128" s="77">
        <v>125</v>
      </c>
      <c r="T128" s="77">
        <v>118</v>
      </c>
      <c r="U128" s="77">
        <v>16</v>
      </c>
      <c r="V128" s="77">
        <v>23</v>
      </c>
      <c r="W128" s="77">
        <v>33</v>
      </c>
      <c r="X128" s="78">
        <v>140</v>
      </c>
    </row>
    <row r="129" spans="2:27" x14ac:dyDescent="0.2">
      <c r="B129" s="66" t="s">
        <v>2</v>
      </c>
      <c r="C129" s="77">
        <v>2</v>
      </c>
      <c r="D129" s="77">
        <v>1</v>
      </c>
      <c r="E129" s="77">
        <v>0</v>
      </c>
      <c r="F129" s="77">
        <v>0</v>
      </c>
      <c r="G129" s="77">
        <v>0</v>
      </c>
      <c r="H129" s="77">
        <v>1</v>
      </c>
      <c r="I129" s="77">
        <v>3</v>
      </c>
      <c r="J129" s="77">
        <v>0</v>
      </c>
      <c r="K129" s="77">
        <v>1</v>
      </c>
      <c r="L129" s="77">
        <v>0</v>
      </c>
      <c r="M129" s="77">
        <v>0</v>
      </c>
      <c r="N129" s="77">
        <v>0</v>
      </c>
      <c r="O129" s="77">
        <v>476</v>
      </c>
      <c r="P129" s="77">
        <v>93</v>
      </c>
      <c r="Q129" s="77">
        <v>366</v>
      </c>
      <c r="R129" s="77">
        <v>109</v>
      </c>
      <c r="S129" s="77">
        <v>399</v>
      </c>
      <c r="T129" s="77">
        <v>554</v>
      </c>
      <c r="U129" s="77">
        <v>12</v>
      </c>
      <c r="V129" s="77">
        <v>23</v>
      </c>
      <c r="W129" s="77">
        <v>44</v>
      </c>
      <c r="X129" s="78">
        <v>189</v>
      </c>
    </row>
    <row r="130" spans="2:27" x14ac:dyDescent="0.2">
      <c r="B130" s="66" t="s">
        <v>70</v>
      </c>
      <c r="C130" s="77">
        <v>54</v>
      </c>
      <c r="D130" s="77">
        <v>33</v>
      </c>
      <c r="E130" s="77">
        <v>22</v>
      </c>
      <c r="F130" s="77">
        <v>26</v>
      </c>
      <c r="G130" s="77">
        <v>94</v>
      </c>
      <c r="H130" s="77">
        <v>44</v>
      </c>
      <c r="I130" s="77">
        <v>1467</v>
      </c>
      <c r="J130" s="77">
        <v>154</v>
      </c>
      <c r="K130" s="77">
        <v>142</v>
      </c>
      <c r="L130" s="77">
        <v>47</v>
      </c>
      <c r="M130" s="77">
        <v>93</v>
      </c>
      <c r="N130" s="77">
        <v>297</v>
      </c>
      <c r="O130" s="77">
        <v>0</v>
      </c>
      <c r="P130" s="77">
        <v>27</v>
      </c>
      <c r="Q130" s="77">
        <v>18</v>
      </c>
      <c r="R130" s="77">
        <v>3</v>
      </c>
      <c r="S130" s="77">
        <v>7</v>
      </c>
      <c r="T130" s="77">
        <v>8</v>
      </c>
      <c r="U130" s="77">
        <v>12</v>
      </c>
      <c r="V130" s="77">
        <v>0</v>
      </c>
      <c r="W130" s="77">
        <v>3</v>
      </c>
      <c r="X130" s="78">
        <v>21</v>
      </c>
    </row>
    <row r="131" spans="2:27" x14ac:dyDescent="0.2">
      <c r="B131" s="66" t="s">
        <v>71</v>
      </c>
      <c r="C131" s="77">
        <v>42</v>
      </c>
      <c r="D131" s="77">
        <v>27</v>
      </c>
      <c r="E131" s="77">
        <v>6</v>
      </c>
      <c r="F131" s="77">
        <v>23</v>
      </c>
      <c r="G131" s="77">
        <v>10</v>
      </c>
      <c r="H131" s="77">
        <v>15</v>
      </c>
      <c r="I131" s="77">
        <v>225</v>
      </c>
      <c r="J131" s="77">
        <v>27</v>
      </c>
      <c r="K131" s="77">
        <v>19</v>
      </c>
      <c r="L131" s="77">
        <v>8</v>
      </c>
      <c r="M131" s="77">
        <v>25</v>
      </c>
      <c r="N131" s="77">
        <v>64</v>
      </c>
      <c r="O131" s="77">
        <v>18</v>
      </c>
      <c r="P131" s="77">
        <v>0</v>
      </c>
      <c r="Q131" s="77">
        <v>2</v>
      </c>
      <c r="R131" s="77">
        <v>0</v>
      </c>
      <c r="S131" s="77">
        <v>13</v>
      </c>
      <c r="T131" s="77">
        <v>2</v>
      </c>
      <c r="U131" s="77">
        <v>0</v>
      </c>
      <c r="V131" s="77">
        <v>0</v>
      </c>
      <c r="W131" s="77">
        <v>0</v>
      </c>
      <c r="X131" s="78">
        <v>10</v>
      </c>
    </row>
    <row r="132" spans="2:27" x14ac:dyDescent="0.2">
      <c r="B132" s="66" t="s">
        <v>72</v>
      </c>
      <c r="C132" s="77">
        <v>99</v>
      </c>
      <c r="D132" s="77">
        <v>26</v>
      </c>
      <c r="E132" s="77">
        <v>42</v>
      </c>
      <c r="F132" s="77">
        <v>46</v>
      </c>
      <c r="G132" s="77">
        <v>44</v>
      </c>
      <c r="H132" s="77">
        <v>13</v>
      </c>
      <c r="I132" s="77">
        <v>1156</v>
      </c>
      <c r="J132" s="77">
        <v>115</v>
      </c>
      <c r="K132" s="77">
        <v>186</v>
      </c>
      <c r="L132" s="77">
        <v>98</v>
      </c>
      <c r="M132" s="77">
        <v>123</v>
      </c>
      <c r="N132" s="77">
        <v>261</v>
      </c>
      <c r="O132" s="77">
        <v>45</v>
      </c>
      <c r="P132" s="77">
        <v>3</v>
      </c>
      <c r="Q132" s="77">
        <v>0</v>
      </c>
      <c r="R132" s="77">
        <v>2</v>
      </c>
      <c r="S132" s="77">
        <v>21</v>
      </c>
      <c r="T132" s="77">
        <v>11</v>
      </c>
      <c r="U132" s="77">
        <v>0</v>
      </c>
      <c r="V132" s="77">
        <v>2</v>
      </c>
      <c r="W132" s="77">
        <v>5</v>
      </c>
      <c r="X132" s="78">
        <v>32</v>
      </c>
    </row>
    <row r="133" spans="2:27" x14ac:dyDescent="0.2">
      <c r="B133" s="66" t="s">
        <v>73</v>
      </c>
      <c r="C133" s="77">
        <v>22</v>
      </c>
      <c r="D133" s="77">
        <v>14</v>
      </c>
      <c r="E133" s="77">
        <v>1</v>
      </c>
      <c r="F133" s="77">
        <v>10</v>
      </c>
      <c r="G133" s="77">
        <v>11</v>
      </c>
      <c r="H133" s="77">
        <v>3</v>
      </c>
      <c r="I133" s="77">
        <v>338</v>
      </c>
      <c r="J133" s="77">
        <v>56</v>
      </c>
      <c r="K133" s="77">
        <v>57</v>
      </c>
      <c r="L133" s="77">
        <v>38</v>
      </c>
      <c r="M133" s="77">
        <v>59</v>
      </c>
      <c r="N133" s="77">
        <v>62</v>
      </c>
      <c r="O133" s="77">
        <v>6</v>
      </c>
      <c r="P133" s="77">
        <v>0</v>
      </c>
      <c r="Q133" s="77">
        <v>1</v>
      </c>
      <c r="R133" s="77">
        <v>0</v>
      </c>
      <c r="S133" s="77">
        <v>4</v>
      </c>
      <c r="T133" s="77">
        <v>3</v>
      </c>
      <c r="U133" s="77">
        <v>0</v>
      </c>
      <c r="V133" s="77">
        <v>0</v>
      </c>
      <c r="W133" s="77">
        <v>1</v>
      </c>
      <c r="X133" s="78">
        <v>10</v>
      </c>
    </row>
    <row r="134" spans="2:27" x14ac:dyDescent="0.2">
      <c r="B134" s="66" t="s">
        <v>74</v>
      </c>
      <c r="C134" s="77">
        <v>25</v>
      </c>
      <c r="D134" s="77">
        <v>27</v>
      </c>
      <c r="E134" s="77">
        <v>33</v>
      </c>
      <c r="F134" s="77">
        <v>48</v>
      </c>
      <c r="G134" s="77">
        <v>65</v>
      </c>
      <c r="H134" s="77">
        <v>7</v>
      </c>
      <c r="I134" s="77">
        <v>975</v>
      </c>
      <c r="J134" s="77">
        <v>158</v>
      </c>
      <c r="K134" s="77">
        <v>328</v>
      </c>
      <c r="L134" s="77">
        <v>105</v>
      </c>
      <c r="M134" s="77">
        <v>114</v>
      </c>
      <c r="N134" s="77">
        <v>237</v>
      </c>
      <c r="O134" s="77">
        <v>17</v>
      </c>
      <c r="P134" s="77">
        <v>5</v>
      </c>
      <c r="Q134" s="77">
        <v>12</v>
      </c>
      <c r="R134" s="77">
        <v>3</v>
      </c>
      <c r="S134" s="77">
        <v>0</v>
      </c>
      <c r="T134" s="77">
        <v>3</v>
      </c>
      <c r="U134" s="77">
        <v>14</v>
      </c>
      <c r="V134" s="77">
        <v>2</v>
      </c>
      <c r="W134" s="77">
        <v>7</v>
      </c>
      <c r="X134" s="78">
        <v>134</v>
      </c>
    </row>
    <row r="135" spans="2:27" x14ac:dyDescent="0.2">
      <c r="B135" s="66" t="s">
        <v>75</v>
      </c>
      <c r="C135" s="77">
        <v>58</v>
      </c>
      <c r="D135" s="77">
        <v>31</v>
      </c>
      <c r="E135" s="77">
        <v>20</v>
      </c>
      <c r="F135" s="77">
        <v>35</v>
      </c>
      <c r="G135" s="77">
        <v>104</v>
      </c>
      <c r="H135" s="77">
        <v>17</v>
      </c>
      <c r="I135" s="77">
        <v>1178</v>
      </c>
      <c r="J135" s="77">
        <v>120</v>
      </c>
      <c r="K135" s="77">
        <v>340</v>
      </c>
      <c r="L135" s="77">
        <v>92</v>
      </c>
      <c r="M135" s="77">
        <v>169</v>
      </c>
      <c r="N135" s="77">
        <v>269</v>
      </c>
      <c r="O135" s="77">
        <v>11</v>
      </c>
      <c r="P135" s="77">
        <v>0</v>
      </c>
      <c r="Q135" s="77">
        <v>15</v>
      </c>
      <c r="R135" s="77">
        <v>1</v>
      </c>
      <c r="S135" s="77">
        <v>0</v>
      </c>
      <c r="T135" s="77">
        <v>0</v>
      </c>
      <c r="U135" s="77">
        <v>4</v>
      </c>
      <c r="V135" s="77">
        <v>3</v>
      </c>
      <c r="W135" s="77">
        <v>36</v>
      </c>
      <c r="X135" s="78">
        <v>171</v>
      </c>
    </row>
    <row r="136" spans="2:27" x14ac:dyDescent="0.2">
      <c r="B136" s="66" t="s">
        <v>76</v>
      </c>
      <c r="C136" s="77">
        <v>2</v>
      </c>
      <c r="D136" s="77">
        <v>3</v>
      </c>
      <c r="E136" s="77">
        <v>6</v>
      </c>
      <c r="F136" s="77">
        <v>0</v>
      </c>
      <c r="G136" s="77">
        <v>11</v>
      </c>
      <c r="H136" s="77">
        <v>1</v>
      </c>
      <c r="I136" s="77">
        <v>95</v>
      </c>
      <c r="J136" s="77">
        <v>7</v>
      </c>
      <c r="K136" s="77">
        <v>5</v>
      </c>
      <c r="L136" s="77">
        <v>9</v>
      </c>
      <c r="M136" s="77">
        <v>15</v>
      </c>
      <c r="N136" s="77">
        <v>9</v>
      </c>
      <c r="O136" s="77">
        <v>11</v>
      </c>
      <c r="P136" s="77">
        <v>0</v>
      </c>
      <c r="Q136" s="77">
        <v>0</v>
      </c>
      <c r="R136" s="77">
        <v>1</v>
      </c>
      <c r="S136" s="77">
        <v>6</v>
      </c>
      <c r="T136" s="77">
        <v>2</v>
      </c>
      <c r="U136" s="77">
        <v>0</v>
      </c>
      <c r="V136" s="77">
        <v>1</v>
      </c>
      <c r="W136" s="77">
        <v>13</v>
      </c>
      <c r="X136" s="78">
        <v>28</v>
      </c>
    </row>
    <row r="137" spans="2:27" x14ac:dyDescent="0.2">
      <c r="B137" s="66" t="s">
        <v>77</v>
      </c>
      <c r="C137" s="77">
        <v>27</v>
      </c>
      <c r="D137" s="77">
        <v>20</v>
      </c>
      <c r="E137" s="77">
        <v>2</v>
      </c>
      <c r="F137" s="77">
        <v>27</v>
      </c>
      <c r="G137" s="77">
        <v>14</v>
      </c>
      <c r="H137" s="77">
        <v>17</v>
      </c>
      <c r="I137" s="77">
        <v>241</v>
      </c>
      <c r="J137" s="77">
        <v>28</v>
      </c>
      <c r="K137" s="77">
        <v>9</v>
      </c>
      <c r="L137" s="77">
        <v>4</v>
      </c>
      <c r="M137" s="77">
        <v>29</v>
      </c>
      <c r="N137" s="77">
        <v>22</v>
      </c>
      <c r="O137" s="77">
        <v>4</v>
      </c>
      <c r="P137" s="77">
        <v>0</v>
      </c>
      <c r="Q137" s="77">
        <v>2</v>
      </c>
      <c r="R137" s="77">
        <v>1</v>
      </c>
      <c r="S137" s="77">
        <v>0</v>
      </c>
      <c r="T137" s="77">
        <v>5</v>
      </c>
      <c r="U137" s="77">
        <v>0</v>
      </c>
      <c r="V137" s="77">
        <v>0</v>
      </c>
      <c r="W137" s="77">
        <v>62</v>
      </c>
      <c r="X137" s="78">
        <v>95</v>
      </c>
    </row>
    <row r="138" spans="2:27" x14ac:dyDescent="0.2">
      <c r="B138" s="66" t="s">
        <v>78</v>
      </c>
      <c r="C138" s="77">
        <v>70</v>
      </c>
      <c r="D138" s="77">
        <v>27</v>
      </c>
      <c r="E138" s="77">
        <v>13</v>
      </c>
      <c r="F138" s="77">
        <v>19</v>
      </c>
      <c r="G138" s="77">
        <v>53</v>
      </c>
      <c r="H138" s="77">
        <v>22</v>
      </c>
      <c r="I138" s="77">
        <v>854</v>
      </c>
      <c r="J138" s="77">
        <v>41</v>
      </c>
      <c r="K138" s="77">
        <v>12</v>
      </c>
      <c r="L138" s="77">
        <v>13</v>
      </c>
      <c r="M138" s="77">
        <v>37</v>
      </c>
      <c r="N138" s="77">
        <v>41</v>
      </c>
      <c r="O138" s="77">
        <v>3</v>
      </c>
      <c r="P138" s="77">
        <v>0</v>
      </c>
      <c r="Q138" s="77">
        <v>4</v>
      </c>
      <c r="R138" s="77">
        <v>1</v>
      </c>
      <c r="S138" s="77">
        <v>15</v>
      </c>
      <c r="T138" s="77">
        <v>33</v>
      </c>
      <c r="U138" s="77">
        <v>10</v>
      </c>
      <c r="V138" s="77">
        <v>28</v>
      </c>
      <c r="W138" s="77">
        <v>0</v>
      </c>
      <c r="X138" s="78">
        <v>29</v>
      </c>
    </row>
    <row r="139" spans="2:27" ht="13.5" thickBot="1" x14ac:dyDescent="0.25">
      <c r="B139" s="69" t="s">
        <v>79</v>
      </c>
      <c r="C139" s="79">
        <v>465</v>
      </c>
      <c r="D139" s="79">
        <v>60</v>
      </c>
      <c r="E139" s="79">
        <v>124</v>
      </c>
      <c r="F139" s="79">
        <v>181</v>
      </c>
      <c r="G139" s="79">
        <v>400</v>
      </c>
      <c r="H139" s="79">
        <v>112</v>
      </c>
      <c r="I139" s="79">
        <v>6790</v>
      </c>
      <c r="J139" s="79">
        <v>278</v>
      </c>
      <c r="K139" s="79">
        <v>105</v>
      </c>
      <c r="L139" s="79">
        <v>68</v>
      </c>
      <c r="M139" s="79">
        <v>174</v>
      </c>
      <c r="N139" s="79">
        <v>184</v>
      </c>
      <c r="O139" s="79">
        <v>35</v>
      </c>
      <c r="P139" s="79">
        <v>7</v>
      </c>
      <c r="Q139" s="79">
        <v>41</v>
      </c>
      <c r="R139" s="79">
        <v>13</v>
      </c>
      <c r="S139" s="79">
        <v>145</v>
      </c>
      <c r="T139" s="79">
        <v>184</v>
      </c>
      <c r="U139" s="79">
        <v>36</v>
      </c>
      <c r="V139" s="79">
        <v>125</v>
      </c>
      <c r="W139" s="79">
        <v>21</v>
      </c>
      <c r="X139" s="80">
        <v>0</v>
      </c>
    </row>
    <row r="140" spans="2:27" x14ac:dyDescent="0.2">
      <c r="Y140" s="81">
        <f>+SUM(C118:X139)</f>
        <v>40219</v>
      </c>
      <c r="Z140" s="81">
        <v>10794</v>
      </c>
      <c r="AA140" s="81">
        <f>+Z140-Y140</f>
        <v>-29425</v>
      </c>
    </row>
    <row r="141" spans="2:27" x14ac:dyDescent="0.2">
      <c r="F141" s="82" t="s">
        <v>83</v>
      </c>
      <c r="I141" s="83">
        <f>SUMPRODUCT($C$4:$X$25,C118:X139)</f>
        <v>2135997.65</v>
      </c>
    </row>
    <row r="142" spans="2:27" x14ac:dyDescent="0.2">
      <c r="F142" s="82" t="s">
        <v>46</v>
      </c>
      <c r="I142" s="84">
        <f>I141/SUM(C118:X139)</f>
        <v>53.109168552176833</v>
      </c>
    </row>
    <row r="144" spans="2:27" ht="13.5" thickBot="1" x14ac:dyDescent="0.25">
      <c r="B144" s="72" t="s">
        <v>87</v>
      </c>
    </row>
    <row r="145" spans="2:24" ht="13.5" thickBot="1" x14ac:dyDescent="0.25">
      <c r="C145" s="53"/>
      <c r="D145" s="54"/>
      <c r="E145" s="54"/>
      <c r="F145" s="54"/>
      <c r="G145" s="54"/>
      <c r="H145" s="55" t="s">
        <v>82</v>
      </c>
      <c r="I145" s="55"/>
      <c r="J145" s="55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6"/>
    </row>
    <row r="146" spans="2:24" ht="26.25" thickBot="1" x14ac:dyDescent="0.25">
      <c r="C146" s="58" t="s">
        <v>14</v>
      </c>
      <c r="D146" s="59" t="s">
        <v>13</v>
      </c>
      <c r="E146" s="58" t="s">
        <v>12</v>
      </c>
      <c r="F146" s="59" t="s">
        <v>11</v>
      </c>
      <c r="G146" s="58" t="s">
        <v>10</v>
      </c>
      <c r="H146" s="60" t="s">
        <v>9</v>
      </c>
      <c r="I146" s="58" t="s">
        <v>66</v>
      </c>
      <c r="J146" s="59" t="s">
        <v>6</v>
      </c>
      <c r="K146" s="61" t="s">
        <v>67</v>
      </c>
      <c r="L146" s="58" t="s">
        <v>68</v>
      </c>
      <c r="M146" s="58" t="s">
        <v>69</v>
      </c>
      <c r="N146" s="58" t="s">
        <v>2</v>
      </c>
      <c r="O146" s="59" t="s">
        <v>70</v>
      </c>
      <c r="P146" s="58" t="s">
        <v>71</v>
      </c>
      <c r="Q146" s="59" t="s">
        <v>72</v>
      </c>
      <c r="R146" s="61" t="s">
        <v>73</v>
      </c>
      <c r="S146" s="61" t="s">
        <v>74</v>
      </c>
      <c r="T146" s="59" t="s">
        <v>75</v>
      </c>
      <c r="U146" s="58" t="s">
        <v>76</v>
      </c>
      <c r="V146" s="59" t="s">
        <v>77</v>
      </c>
      <c r="W146" s="61" t="s">
        <v>78</v>
      </c>
      <c r="X146" s="62" t="s">
        <v>79</v>
      </c>
    </row>
    <row r="147" spans="2:24" x14ac:dyDescent="0.2">
      <c r="B147" s="63" t="s">
        <v>14</v>
      </c>
      <c r="C147" s="73">
        <v>0</v>
      </c>
      <c r="D147" s="73">
        <v>0</v>
      </c>
      <c r="E147" s="73">
        <v>1</v>
      </c>
      <c r="F147" s="73">
        <v>0</v>
      </c>
      <c r="G147" s="73">
        <v>0</v>
      </c>
      <c r="H147" s="73">
        <v>0</v>
      </c>
      <c r="I147" s="73">
        <v>2</v>
      </c>
      <c r="J147" s="73">
        <v>0</v>
      </c>
      <c r="K147" s="73">
        <v>0</v>
      </c>
      <c r="L147" s="73">
        <v>2</v>
      </c>
      <c r="M147" s="73">
        <v>0</v>
      </c>
      <c r="N147" s="73">
        <v>1</v>
      </c>
      <c r="O147" s="73">
        <v>33</v>
      </c>
      <c r="P147" s="73">
        <v>27</v>
      </c>
      <c r="Q147" s="73">
        <v>44</v>
      </c>
      <c r="R147" s="73">
        <v>15</v>
      </c>
      <c r="S147" s="73">
        <v>41</v>
      </c>
      <c r="T147" s="73">
        <v>49</v>
      </c>
      <c r="U147" s="73">
        <v>0</v>
      </c>
      <c r="V147" s="73">
        <v>20</v>
      </c>
      <c r="W147" s="73">
        <v>70</v>
      </c>
      <c r="X147" s="74">
        <v>498</v>
      </c>
    </row>
    <row r="148" spans="2:24" x14ac:dyDescent="0.2">
      <c r="B148" s="66" t="s">
        <v>13</v>
      </c>
      <c r="C148" s="77">
        <v>0</v>
      </c>
      <c r="D148" s="77">
        <v>0</v>
      </c>
      <c r="E148" s="77">
        <v>0</v>
      </c>
      <c r="F148" s="77">
        <v>0</v>
      </c>
      <c r="G148" s="77">
        <v>0</v>
      </c>
      <c r="H148" s="77">
        <v>0</v>
      </c>
      <c r="I148" s="77">
        <v>0</v>
      </c>
      <c r="J148" s="77">
        <v>0</v>
      </c>
      <c r="K148" s="77">
        <v>0</v>
      </c>
      <c r="L148" s="77">
        <v>0</v>
      </c>
      <c r="M148" s="77">
        <v>0</v>
      </c>
      <c r="N148" s="77">
        <v>1</v>
      </c>
      <c r="O148" s="77">
        <v>10</v>
      </c>
      <c r="P148" s="77">
        <v>22</v>
      </c>
      <c r="Q148" s="77">
        <v>21</v>
      </c>
      <c r="R148" s="77">
        <v>12</v>
      </c>
      <c r="S148" s="77">
        <v>8</v>
      </c>
      <c r="T148" s="77">
        <v>11</v>
      </c>
      <c r="U148" s="77">
        <v>3</v>
      </c>
      <c r="V148" s="77">
        <v>8</v>
      </c>
      <c r="W148" s="77">
        <v>12</v>
      </c>
      <c r="X148" s="78">
        <v>87</v>
      </c>
    </row>
    <row r="149" spans="2:24" x14ac:dyDescent="0.2">
      <c r="B149" s="66" t="s">
        <v>12</v>
      </c>
      <c r="C149" s="77">
        <v>0</v>
      </c>
      <c r="D149" s="77">
        <v>0</v>
      </c>
      <c r="E149" s="77">
        <v>0</v>
      </c>
      <c r="F149" s="77">
        <v>0</v>
      </c>
      <c r="G149" s="77">
        <v>0</v>
      </c>
      <c r="H149" s="77">
        <v>0</v>
      </c>
      <c r="I149" s="77">
        <v>2</v>
      </c>
      <c r="J149" s="77">
        <v>0</v>
      </c>
      <c r="K149" s="77">
        <v>1</v>
      </c>
      <c r="L149" s="77">
        <v>1</v>
      </c>
      <c r="M149" s="77">
        <v>0</v>
      </c>
      <c r="N149" s="77">
        <v>0</v>
      </c>
      <c r="O149" s="77">
        <v>13</v>
      </c>
      <c r="P149" s="77">
        <v>2</v>
      </c>
      <c r="Q149" s="77">
        <v>11</v>
      </c>
      <c r="R149" s="77">
        <v>3</v>
      </c>
      <c r="S149" s="77">
        <v>10</v>
      </c>
      <c r="T149" s="77">
        <v>10</v>
      </c>
      <c r="U149" s="77">
        <v>3</v>
      </c>
      <c r="V149" s="77">
        <v>8</v>
      </c>
      <c r="W149" s="77">
        <v>21</v>
      </c>
      <c r="X149" s="78">
        <v>64</v>
      </c>
    </row>
    <row r="150" spans="2:24" x14ac:dyDescent="0.2">
      <c r="B150" s="66" t="s">
        <v>11</v>
      </c>
      <c r="C150" s="77">
        <v>0</v>
      </c>
      <c r="D150" s="77">
        <v>0</v>
      </c>
      <c r="E150" s="77">
        <v>0</v>
      </c>
      <c r="F150" s="77">
        <v>0</v>
      </c>
      <c r="G150" s="77">
        <v>0</v>
      </c>
      <c r="H150" s="77">
        <v>0</v>
      </c>
      <c r="I150" s="77">
        <v>0</v>
      </c>
      <c r="J150" s="77">
        <v>1</v>
      </c>
      <c r="K150" s="77">
        <v>0</v>
      </c>
      <c r="L150" s="77">
        <v>0</v>
      </c>
      <c r="M150" s="77">
        <v>0</v>
      </c>
      <c r="N150" s="77">
        <v>0</v>
      </c>
      <c r="O150" s="77">
        <v>9</v>
      </c>
      <c r="P150" s="77">
        <v>3</v>
      </c>
      <c r="Q150" s="77">
        <v>23</v>
      </c>
      <c r="R150" s="77">
        <v>1</v>
      </c>
      <c r="S150" s="77">
        <v>10</v>
      </c>
      <c r="T150" s="77">
        <v>9</v>
      </c>
      <c r="U150" s="77">
        <v>0</v>
      </c>
      <c r="V150" s="77">
        <v>14</v>
      </c>
      <c r="W150" s="77">
        <v>18</v>
      </c>
      <c r="X150" s="78">
        <v>98</v>
      </c>
    </row>
    <row r="151" spans="2:24" x14ac:dyDescent="0.2">
      <c r="B151" s="66" t="s">
        <v>10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1</v>
      </c>
      <c r="O151" s="77">
        <v>42</v>
      </c>
      <c r="P151" s="77">
        <v>3</v>
      </c>
      <c r="Q151" s="77">
        <v>30</v>
      </c>
      <c r="R151" s="77">
        <v>6</v>
      </c>
      <c r="S151" s="77">
        <v>15</v>
      </c>
      <c r="T151" s="77">
        <v>28</v>
      </c>
      <c r="U151" s="77">
        <v>1</v>
      </c>
      <c r="V151" s="77">
        <v>25</v>
      </c>
      <c r="W151" s="77">
        <v>81</v>
      </c>
      <c r="X151" s="78">
        <v>361</v>
      </c>
    </row>
    <row r="152" spans="2:24" x14ac:dyDescent="0.2">
      <c r="B152" s="66" t="s">
        <v>9</v>
      </c>
      <c r="C152" s="77">
        <v>0</v>
      </c>
      <c r="D152" s="77">
        <v>0</v>
      </c>
      <c r="E152" s="77">
        <v>0</v>
      </c>
      <c r="F152" s="77">
        <v>0</v>
      </c>
      <c r="G152" s="77">
        <v>0</v>
      </c>
      <c r="H152" s="77">
        <v>0</v>
      </c>
      <c r="I152" s="77">
        <v>0</v>
      </c>
      <c r="J152" s="77">
        <v>0</v>
      </c>
      <c r="K152" s="77">
        <v>0</v>
      </c>
      <c r="L152" s="77">
        <v>0</v>
      </c>
      <c r="M152" s="77">
        <v>0</v>
      </c>
      <c r="N152" s="77">
        <v>1</v>
      </c>
      <c r="O152" s="77">
        <v>7</v>
      </c>
      <c r="P152" s="77">
        <v>0</v>
      </c>
      <c r="Q152" s="77">
        <v>6</v>
      </c>
      <c r="R152" s="77">
        <v>9</v>
      </c>
      <c r="S152" s="77">
        <v>3</v>
      </c>
      <c r="T152" s="77">
        <v>7</v>
      </c>
      <c r="U152" s="77">
        <v>3</v>
      </c>
      <c r="V152" s="77">
        <v>6</v>
      </c>
      <c r="W152" s="77">
        <v>13</v>
      </c>
      <c r="X152" s="78">
        <v>81</v>
      </c>
    </row>
    <row r="153" spans="2:24" x14ac:dyDescent="0.2">
      <c r="B153" s="66" t="s">
        <v>66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1</v>
      </c>
      <c r="K153" s="77">
        <v>1</v>
      </c>
      <c r="L153" s="77">
        <v>1</v>
      </c>
      <c r="M153" s="77">
        <v>0</v>
      </c>
      <c r="N153" s="77">
        <v>292</v>
      </c>
      <c r="O153" s="77">
        <v>692</v>
      </c>
      <c r="P153" s="77">
        <v>142</v>
      </c>
      <c r="Q153" s="77">
        <v>638</v>
      </c>
      <c r="R153" s="77">
        <v>127</v>
      </c>
      <c r="S153" s="77">
        <v>634</v>
      </c>
      <c r="T153" s="77">
        <v>871</v>
      </c>
      <c r="U153" s="77">
        <v>81</v>
      </c>
      <c r="V153" s="77">
        <v>229</v>
      </c>
      <c r="W153" s="77">
        <v>1023</v>
      </c>
      <c r="X153" s="78">
        <v>5693</v>
      </c>
    </row>
    <row r="154" spans="2:24" x14ac:dyDescent="0.2">
      <c r="B154" s="66" t="s">
        <v>6</v>
      </c>
      <c r="C154" s="77">
        <v>0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50</v>
      </c>
      <c r="P154" s="77">
        <v>33</v>
      </c>
      <c r="Q154" s="77">
        <v>55</v>
      </c>
      <c r="R154" s="77">
        <v>18</v>
      </c>
      <c r="S154" s="77">
        <v>59</v>
      </c>
      <c r="T154" s="77">
        <v>59</v>
      </c>
      <c r="U154" s="77">
        <v>26</v>
      </c>
      <c r="V154" s="77">
        <v>30</v>
      </c>
      <c r="W154" s="77">
        <v>44</v>
      </c>
      <c r="X154" s="78">
        <v>196</v>
      </c>
    </row>
    <row r="155" spans="2:24" x14ac:dyDescent="0.2">
      <c r="B155" s="66" t="s">
        <v>5</v>
      </c>
      <c r="C155" s="77">
        <v>0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77">
        <v>1</v>
      </c>
      <c r="J155" s="77">
        <v>0</v>
      </c>
      <c r="K155" s="77">
        <v>0</v>
      </c>
      <c r="L155" s="77">
        <v>0</v>
      </c>
      <c r="M155" s="77">
        <v>0</v>
      </c>
      <c r="N155" s="77">
        <v>2</v>
      </c>
      <c r="O155" s="77">
        <v>67</v>
      </c>
      <c r="P155" s="77">
        <v>12</v>
      </c>
      <c r="Q155" s="77">
        <v>73</v>
      </c>
      <c r="R155" s="77">
        <v>29</v>
      </c>
      <c r="S155" s="77">
        <v>177</v>
      </c>
      <c r="T155" s="77">
        <v>128</v>
      </c>
      <c r="U155" s="77">
        <v>8</v>
      </c>
      <c r="V155" s="77">
        <v>16</v>
      </c>
      <c r="W155" s="77">
        <v>64</v>
      </c>
      <c r="X155" s="78">
        <v>216</v>
      </c>
    </row>
    <row r="156" spans="2:24" x14ac:dyDescent="0.2">
      <c r="B156" s="66" t="s">
        <v>68</v>
      </c>
      <c r="C156" s="77">
        <v>0</v>
      </c>
      <c r="D156" s="77">
        <v>0</v>
      </c>
      <c r="E156" s="77">
        <v>0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34</v>
      </c>
      <c r="P156" s="77">
        <v>11</v>
      </c>
      <c r="Q156" s="77">
        <v>42</v>
      </c>
      <c r="R156" s="77">
        <v>21</v>
      </c>
      <c r="S156" s="77">
        <v>47</v>
      </c>
      <c r="T156" s="77">
        <v>38</v>
      </c>
      <c r="U156" s="77">
        <v>12</v>
      </c>
      <c r="V156" s="77">
        <v>3</v>
      </c>
      <c r="W156" s="77">
        <v>9</v>
      </c>
      <c r="X156" s="78">
        <v>59</v>
      </c>
    </row>
    <row r="157" spans="2:24" x14ac:dyDescent="0.2">
      <c r="B157" s="66" t="s">
        <v>80</v>
      </c>
      <c r="C157" s="77">
        <v>0</v>
      </c>
      <c r="D157" s="77">
        <v>0</v>
      </c>
      <c r="E157" s="77">
        <v>19</v>
      </c>
      <c r="F157" s="77">
        <v>0</v>
      </c>
      <c r="G157" s="77">
        <v>1</v>
      </c>
      <c r="H157" s="77">
        <v>1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2</v>
      </c>
      <c r="O157" s="77">
        <v>77</v>
      </c>
      <c r="P157" s="77">
        <v>26</v>
      </c>
      <c r="Q157" s="77">
        <v>118</v>
      </c>
      <c r="R157" s="77">
        <v>49</v>
      </c>
      <c r="S157" s="77">
        <v>95</v>
      </c>
      <c r="T157" s="77">
        <v>127</v>
      </c>
      <c r="U157" s="77">
        <v>11</v>
      </c>
      <c r="V157" s="77">
        <v>25</v>
      </c>
      <c r="W157" s="77">
        <v>44</v>
      </c>
      <c r="X157" s="78">
        <v>147</v>
      </c>
    </row>
    <row r="158" spans="2:24" x14ac:dyDescent="0.2">
      <c r="B158" s="66" t="s">
        <v>2</v>
      </c>
      <c r="C158" s="77">
        <v>0</v>
      </c>
      <c r="D158" s="77">
        <v>0</v>
      </c>
      <c r="E158" s="77">
        <v>0</v>
      </c>
      <c r="F158" s="77">
        <v>0</v>
      </c>
      <c r="G158" s="77">
        <v>0</v>
      </c>
      <c r="H158" s="77">
        <v>0</v>
      </c>
      <c r="I158" s="77">
        <v>281</v>
      </c>
      <c r="J158" s="77">
        <v>0</v>
      </c>
      <c r="K158" s="77">
        <v>0</v>
      </c>
      <c r="L158" s="77">
        <v>0</v>
      </c>
      <c r="M158" s="77">
        <v>0</v>
      </c>
      <c r="N158" s="77">
        <v>0</v>
      </c>
      <c r="O158" s="77">
        <v>361</v>
      </c>
      <c r="P158" s="77">
        <v>58</v>
      </c>
      <c r="Q158" s="77">
        <v>406</v>
      </c>
      <c r="R158" s="77">
        <v>83</v>
      </c>
      <c r="S158" s="77">
        <v>338</v>
      </c>
      <c r="T158" s="77">
        <v>450</v>
      </c>
      <c r="U158" s="77">
        <v>8</v>
      </c>
      <c r="V158" s="77">
        <v>13</v>
      </c>
      <c r="W158" s="77">
        <v>67</v>
      </c>
      <c r="X158" s="78">
        <v>218</v>
      </c>
    </row>
    <row r="159" spans="2:24" x14ac:dyDescent="0.2">
      <c r="B159" s="66" t="s">
        <v>70</v>
      </c>
      <c r="C159" s="77">
        <v>71</v>
      </c>
      <c r="D159" s="77">
        <v>22</v>
      </c>
      <c r="E159" s="77">
        <v>16</v>
      </c>
      <c r="F159" s="77">
        <v>16</v>
      </c>
      <c r="G159" s="77">
        <v>83</v>
      </c>
      <c r="H159" s="77">
        <v>50</v>
      </c>
      <c r="I159" s="77">
        <v>1223</v>
      </c>
      <c r="J159" s="77">
        <v>130</v>
      </c>
      <c r="K159" s="77">
        <v>158</v>
      </c>
      <c r="L159" s="77">
        <v>54</v>
      </c>
      <c r="M159" s="77">
        <v>87</v>
      </c>
      <c r="N159" s="77">
        <v>281</v>
      </c>
      <c r="O159" s="77">
        <v>0</v>
      </c>
      <c r="P159" s="77">
        <v>11</v>
      </c>
      <c r="Q159" s="77">
        <v>45</v>
      </c>
      <c r="R159" s="77">
        <v>0</v>
      </c>
      <c r="S159" s="77">
        <v>7</v>
      </c>
      <c r="T159" s="77">
        <v>5</v>
      </c>
      <c r="U159" s="77">
        <v>0</v>
      </c>
      <c r="V159" s="77">
        <v>1</v>
      </c>
      <c r="W159" s="77">
        <v>4</v>
      </c>
      <c r="X159" s="78">
        <v>16</v>
      </c>
    </row>
    <row r="160" spans="2:24" x14ac:dyDescent="0.2">
      <c r="B160" s="66" t="s">
        <v>71</v>
      </c>
      <c r="C160" s="77">
        <v>30</v>
      </c>
      <c r="D160" s="77">
        <v>29</v>
      </c>
      <c r="E160" s="77">
        <v>8</v>
      </c>
      <c r="F160" s="77">
        <v>10</v>
      </c>
      <c r="G160" s="77">
        <v>5</v>
      </c>
      <c r="H160" s="77">
        <v>0</v>
      </c>
      <c r="I160" s="77">
        <v>196</v>
      </c>
      <c r="J160" s="77">
        <v>49</v>
      </c>
      <c r="K160" s="77">
        <v>24</v>
      </c>
      <c r="L160" s="77">
        <v>9</v>
      </c>
      <c r="M160" s="77">
        <v>29</v>
      </c>
      <c r="N160" s="77">
        <v>42</v>
      </c>
      <c r="O160" s="77">
        <v>10</v>
      </c>
      <c r="P160" s="77">
        <v>0</v>
      </c>
      <c r="Q160" s="77">
        <v>3</v>
      </c>
      <c r="R160" s="77">
        <v>0</v>
      </c>
      <c r="S160" s="77">
        <v>11</v>
      </c>
      <c r="T160" s="77">
        <v>3</v>
      </c>
      <c r="U160" s="77">
        <v>0</v>
      </c>
      <c r="V160" s="77">
        <v>0</v>
      </c>
      <c r="W160" s="77">
        <v>2</v>
      </c>
      <c r="X160" s="78">
        <v>9</v>
      </c>
    </row>
    <row r="161" spans="2:27" x14ac:dyDescent="0.2">
      <c r="B161" s="66" t="s">
        <v>72</v>
      </c>
      <c r="C161" s="77">
        <v>66</v>
      </c>
      <c r="D161" s="77">
        <v>29</v>
      </c>
      <c r="E161" s="77">
        <v>35</v>
      </c>
      <c r="F161" s="77">
        <v>30</v>
      </c>
      <c r="G161" s="77">
        <v>42</v>
      </c>
      <c r="H161" s="77">
        <v>24</v>
      </c>
      <c r="I161" s="77">
        <v>1044</v>
      </c>
      <c r="J161" s="77">
        <v>132</v>
      </c>
      <c r="K161" s="77">
        <v>211</v>
      </c>
      <c r="L161" s="77">
        <v>80</v>
      </c>
      <c r="M161" s="77">
        <v>165</v>
      </c>
      <c r="N161" s="77">
        <v>306</v>
      </c>
      <c r="O161" s="77">
        <v>58</v>
      </c>
      <c r="P161" s="77">
        <v>5</v>
      </c>
      <c r="Q161" s="77">
        <v>0</v>
      </c>
      <c r="R161" s="77">
        <v>0</v>
      </c>
      <c r="S161" s="77">
        <v>18</v>
      </c>
      <c r="T161" s="77">
        <v>26</v>
      </c>
      <c r="U161" s="77">
        <v>0</v>
      </c>
      <c r="V161" s="77">
        <v>1</v>
      </c>
      <c r="W161" s="77">
        <v>7</v>
      </c>
      <c r="X161" s="78">
        <v>31</v>
      </c>
    </row>
    <row r="162" spans="2:27" x14ac:dyDescent="0.2">
      <c r="B162" s="66" t="s">
        <v>73</v>
      </c>
      <c r="C162" s="77">
        <v>14</v>
      </c>
      <c r="D162" s="77">
        <v>13</v>
      </c>
      <c r="E162" s="77">
        <v>3</v>
      </c>
      <c r="F162" s="77">
        <v>3</v>
      </c>
      <c r="G162" s="77">
        <v>11</v>
      </c>
      <c r="H162" s="77">
        <v>12</v>
      </c>
      <c r="I162" s="77">
        <v>244</v>
      </c>
      <c r="J162" s="77">
        <v>37</v>
      </c>
      <c r="K162" s="77">
        <v>41</v>
      </c>
      <c r="L162" s="77">
        <v>30</v>
      </c>
      <c r="M162" s="77">
        <v>55</v>
      </c>
      <c r="N162" s="77">
        <v>48</v>
      </c>
      <c r="O162" s="77">
        <v>0</v>
      </c>
      <c r="P162" s="77">
        <v>0</v>
      </c>
      <c r="Q162" s="77">
        <v>2</v>
      </c>
      <c r="R162" s="77">
        <v>0</v>
      </c>
      <c r="S162" s="77">
        <v>7</v>
      </c>
      <c r="T162" s="77">
        <v>8</v>
      </c>
      <c r="U162" s="77">
        <v>0</v>
      </c>
      <c r="V162" s="77">
        <v>0</v>
      </c>
      <c r="W162" s="77">
        <v>0</v>
      </c>
      <c r="X162" s="78">
        <v>4</v>
      </c>
    </row>
    <row r="163" spans="2:27" x14ac:dyDescent="0.2">
      <c r="B163" s="66" t="s">
        <v>74</v>
      </c>
      <c r="C163" s="77">
        <v>41</v>
      </c>
      <c r="D163" s="77">
        <v>18</v>
      </c>
      <c r="E163" s="77">
        <v>22</v>
      </c>
      <c r="F163" s="77">
        <v>40</v>
      </c>
      <c r="G163" s="77">
        <v>41</v>
      </c>
      <c r="H163" s="77">
        <v>12</v>
      </c>
      <c r="I163" s="77">
        <v>874</v>
      </c>
      <c r="J163" s="77">
        <v>154</v>
      </c>
      <c r="K163" s="77">
        <v>347</v>
      </c>
      <c r="L163" s="77">
        <v>88</v>
      </c>
      <c r="M163" s="77">
        <v>115</v>
      </c>
      <c r="N163" s="77">
        <v>276</v>
      </c>
      <c r="O163" s="77">
        <v>21</v>
      </c>
      <c r="P163" s="77">
        <v>1</v>
      </c>
      <c r="Q163" s="77">
        <v>19</v>
      </c>
      <c r="R163" s="77">
        <v>1</v>
      </c>
      <c r="S163" s="77">
        <v>0</v>
      </c>
      <c r="T163" s="77">
        <v>2</v>
      </c>
      <c r="U163" s="77">
        <v>10</v>
      </c>
      <c r="V163" s="77">
        <v>4</v>
      </c>
      <c r="W163" s="77">
        <v>10</v>
      </c>
      <c r="X163" s="78">
        <v>140</v>
      </c>
    </row>
    <row r="164" spans="2:27" x14ac:dyDescent="0.2">
      <c r="B164" s="66" t="s">
        <v>75</v>
      </c>
      <c r="C164" s="77">
        <v>55</v>
      </c>
      <c r="D164" s="77">
        <v>15</v>
      </c>
      <c r="E164" s="77">
        <v>19</v>
      </c>
      <c r="F164" s="77">
        <v>31</v>
      </c>
      <c r="G164" s="77">
        <v>79</v>
      </c>
      <c r="H164" s="77">
        <v>21</v>
      </c>
      <c r="I164" s="77">
        <v>1022</v>
      </c>
      <c r="J164" s="77">
        <v>135</v>
      </c>
      <c r="K164" s="77">
        <v>262</v>
      </c>
      <c r="L164" s="77">
        <v>84</v>
      </c>
      <c r="M164" s="77">
        <v>146</v>
      </c>
      <c r="N164" s="77">
        <v>250</v>
      </c>
      <c r="O164" s="77">
        <v>8</v>
      </c>
      <c r="P164" s="77">
        <v>1</v>
      </c>
      <c r="Q164" s="77">
        <v>21</v>
      </c>
      <c r="R164" s="77">
        <v>9</v>
      </c>
      <c r="S164" s="77">
        <v>0</v>
      </c>
      <c r="T164" s="77">
        <v>0</v>
      </c>
      <c r="U164" s="77">
        <v>4</v>
      </c>
      <c r="V164" s="77">
        <v>5</v>
      </c>
      <c r="W164" s="77">
        <v>24</v>
      </c>
      <c r="X164" s="78">
        <v>151</v>
      </c>
    </row>
    <row r="165" spans="2:27" x14ac:dyDescent="0.2">
      <c r="B165" s="66" t="s">
        <v>76</v>
      </c>
      <c r="C165" s="77">
        <v>0</v>
      </c>
      <c r="D165" s="77">
        <v>2</v>
      </c>
      <c r="E165" s="77">
        <v>3</v>
      </c>
      <c r="F165" s="77">
        <v>0</v>
      </c>
      <c r="G165" s="77">
        <v>1</v>
      </c>
      <c r="H165" s="77">
        <v>2</v>
      </c>
      <c r="I165" s="77">
        <v>76</v>
      </c>
      <c r="J165" s="77">
        <v>23</v>
      </c>
      <c r="K165" s="77">
        <v>12</v>
      </c>
      <c r="L165" s="77">
        <v>11</v>
      </c>
      <c r="M165" s="77">
        <v>9</v>
      </c>
      <c r="N165" s="77">
        <v>7</v>
      </c>
      <c r="O165" s="77">
        <v>0</v>
      </c>
      <c r="P165" s="77">
        <v>0</v>
      </c>
      <c r="Q165" s="77">
        <v>0</v>
      </c>
      <c r="R165" s="77">
        <v>0</v>
      </c>
      <c r="S165" s="77">
        <v>7</v>
      </c>
      <c r="T165" s="77">
        <v>2</v>
      </c>
      <c r="U165" s="77">
        <v>0</v>
      </c>
      <c r="V165" s="77">
        <v>0</v>
      </c>
      <c r="W165" s="77">
        <v>3</v>
      </c>
      <c r="X165" s="78">
        <v>26</v>
      </c>
    </row>
    <row r="166" spans="2:27" x14ac:dyDescent="0.2">
      <c r="B166" s="66" t="s">
        <v>77</v>
      </c>
      <c r="C166" s="77">
        <v>23</v>
      </c>
      <c r="D166" s="77">
        <v>14</v>
      </c>
      <c r="E166" s="77">
        <v>10</v>
      </c>
      <c r="F166" s="77">
        <v>13</v>
      </c>
      <c r="G166" s="77">
        <v>16</v>
      </c>
      <c r="H166" s="77">
        <v>7</v>
      </c>
      <c r="I166" s="77">
        <v>185</v>
      </c>
      <c r="J166" s="77">
        <v>32</v>
      </c>
      <c r="K166" s="77">
        <v>8</v>
      </c>
      <c r="L166" s="77">
        <v>8</v>
      </c>
      <c r="M166" s="77">
        <v>22</v>
      </c>
      <c r="N166" s="77">
        <v>4</v>
      </c>
      <c r="O166" s="77">
        <v>3</v>
      </c>
      <c r="P166" s="77">
        <v>0</v>
      </c>
      <c r="Q166" s="77">
        <v>3</v>
      </c>
      <c r="R166" s="77">
        <v>0</v>
      </c>
      <c r="S166" s="77">
        <v>2</v>
      </c>
      <c r="T166" s="77">
        <v>3</v>
      </c>
      <c r="U166" s="77">
        <v>1</v>
      </c>
      <c r="V166" s="77">
        <v>0</v>
      </c>
      <c r="W166" s="77">
        <v>67</v>
      </c>
      <c r="X166" s="78">
        <v>99</v>
      </c>
    </row>
    <row r="167" spans="2:27" x14ac:dyDescent="0.2">
      <c r="B167" s="66" t="s">
        <v>78</v>
      </c>
      <c r="C167" s="77">
        <v>69</v>
      </c>
      <c r="D167" s="77">
        <v>8</v>
      </c>
      <c r="E167" s="77">
        <v>17</v>
      </c>
      <c r="F167" s="77">
        <v>28</v>
      </c>
      <c r="G167" s="77">
        <v>72</v>
      </c>
      <c r="H167" s="77">
        <v>11</v>
      </c>
      <c r="I167" s="77">
        <v>873</v>
      </c>
      <c r="J167" s="77">
        <v>27</v>
      </c>
      <c r="K167" s="77">
        <v>110</v>
      </c>
      <c r="L167" s="77">
        <v>7</v>
      </c>
      <c r="M167" s="77">
        <v>44</v>
      </c>
      <c r="N167" s="77">
        <v>46</v>
      </c>
      <c r="O167" s="77">
        <v>5</v>
      </c>
      <c r="P167" s="77">
        <v>3</v>
      </c>
      <c r="Q167" s="77">
        <v>4</v>
      </c>
      <c r="R167" s="77">
        <v>0</v>
      </c>
      <c r="S167" s="77">
        <v>11</v>
      </c>
      <c r="T167" s="77">
        <v>28</v>
      </c>
      <c r="U167" s="77">
        <v>6</v>
      </c>
      <c r="V167" s="77">
        <v>49</v>
      </c>
      <c r="W167" s="77">
        <v>0</v>
      </c>
      <c r="X167" s="78">
        <v>30</v>
      </c>
    </row>
    <row r="168" spans="2:27" ht="13.5" thickBot="1" x14ac:dyDescent="0.25">
      <c r="B168" s="69" t="s">
        <v>79</v>
      </c>
      <c r="C168" s="79">
        <v>620</v>
      </c>
      <c r="D168" s="79">
        <v>102</v>
      </c>
      <c r="E168" s="79">
        <v>92</v>
      </c>
      <c r="F168" s="79">
        <v>129</v>
      </c>
      <c r="G168" s="79">
        <v>468</v>
      </c>
      <c r="H168" s="79">
        <v>108</v>
      </c>
      <c r="I168" s="79">
        <v>6520</v>
      </c>
      <c r="J168" s="79">
        <v>237</v>
      </c>
      <c r="K168" s="79">
        <v>233</v>
      </c>
      <c r="L168" s="79">
        <v>66</v>
      </c>
      <c r="M168" s="79">
        <v>191</v>
      </c>
      <c r="N168" s="79">
        <v>196</v>
      </c>
      <c r="O168" s="79">
        <v>18</v>
      </c>
      <c r="P168" s="79">
        <v>6</v>
      </c>
      <c r="Q168" s="79">
        <v>37</v>
      </c>
      <c r="R168" s="79">
        <v>3</v>
      </c>
      <c r="S168" s="79">
        <v>126</v>
      </c>
      <c r="T168" s="79">
        <v>197</v>
      </c>
      <c r="U168" s="79">
        <v>29</v>
      </c>
      <c r="V168" s="79">
        <v>120</v>
      </c>
      <c r="W168" s="79">
        <v>26</v>
      </c>
      <c r="X168" s="80">
        <v>0</v>
      </c>
    </row>
    <row r="169" spans="2:27" x14ac:dyDescent="0.2">
      <c r="Y169" s="81">
        <f>+SUM(C147:X168)</f>
        <v>38996</v>
      </c>
      <c r="Z169" s="81">
        <v>32175.088457549991</v>
      </c>
      <c r="AA169" s="81">
        <f>+Z169-Y169</f>
        <v>-6820.9115424500087</v>
      </c>
    </row>
    <row r="170" spans="2:27" x14ac:dyDescent="0.2">
      <c r="F170" s="82" t="s">
        <v>83</v>
      </c>
      <c r="I170" s="83">
        <f>SUMPRODUCT($C$4:$X$25,C147:X168)</f>
        <v>2086011.0999999994</v>
      </c>
    </row>
    <row r="171" spans="2:27" x14ac:dyDescent="0.2">
      <c r="F171" s="82" t="s">
        <v>46</v>
      </c>
      <c r="I171" s="84">
        <f>I170/SUM(C147:X168)</f>
        <v>53.492950559031677</v>
      </c>
    </row>
    <row r="173" spans="2:27" ht="13.5" thickBot="1" x14ac:dyDescent="0.25">
      <c r="B173" s="72" t="s">
        <v>88</v>
      </c>
    </row>
    <row r="174" spans="2:27" ht="13.5" thickBot="1" x14ac:dyDescent="0.25">
      <c r="C174" s="53"/>
      <c r="D174" s="54"/>
      <c r="E174" s="54"/>
      <c r="F174" s="54"/>
      <c r="G174" s="54"/>
      <c r="H174" s="55" t="s">
        <v>82</v>
      </c>
      <c r="I174" s="55"/>
      <c r="J174" s="55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6"/>
    </row>
    <row r="175" spans="2:27" ht="26.25" thickBot="1" x14ac:dyDescent="0.25">
      <c r="C175" s="58" t="s">
        <v>14</v>
      </c>
      <c r="D175" s="59" t="s">
        <v>13</v>
      </c>
      <c r="E175" s="58" t="s">
        <v>12</v>
      </c>
      <c r="F175" s="59" t="s">
        <v>11</v>
      </c>
      <c r="G175" s="58" t="s">
        <v>10</v>
      </c>
      <c r="H175" s="60" t="s">
        <v>9</v>
      </c>
      <c r="I175" s="58" t="s">
        <v>66</v>
      </c>
      <c r="J175" s="59" t="s">
        <v>6</v>
      </c>
      <c r="K175" s="61" t="s">
        <v>67</v>
      </c>
      <c r="L175" s="58" t="s">
        <v>68</v>
      </c>
      <c r="M175" s="58" t="s">
        <v>69</v>
      </c>
      <c r="N175" s="58" t="s">
        <v>2</v>
      </c>
      <c r="O175" s="59" t="s">
        <v>70</v>
      </c>
      <c r="P175" s="58" t="s">
        <v>71</v>
      </c>
      <c r="Q175" s="59" t="s">
        <v>72</v>
      </c>
      <c r="R175" s="61" t="s">
        <v>73</v>
      </c>
      <c r="S175" s="61" t="s">
        <v>74</v>
      </c>
      <c r="T175" s="59" t="s">
        <v>75</v>
      </c>
      <c r="U175" s="58" t="s">
        <v>76</v>
      </c>
      <c r="V175" s="59" t="s">
        <v>77</v>
      </c>
      <c r="W175" s="61" t="s">
        <v>78</v>
      </c>
      <c r="X175" s="62" t="s">
        <v>79</v>
      </c>
    </row>
    <row r="176" spans="2:27" x14ac:dyDescent="0.2">
      <c r="B176" s="63" t="s">
        <v>14</v>
      </c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4"/>
    </row>
    <row r="177" spans="2:24" x14ac:dyDescent="0.2">
      <c r="B177" s="66" t="s">
        <v>13</v>
      </c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8"/>
    </row>
    <row r="178" spans="2:24" x14ac:dyDescent="0.2">
      <c r="B178" s="66" t="s">
        <v>12</v>
      </c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8"/>
    </row>
    <row r="179" spans="2:24" x14ac:dyDescent="0.2">
      <c r="B179" s="66" t="s">
        <v>11</v>
      </c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8"/>
    </row>
    <row r="180" spans="2:24" x14ac:dyDescent="0.2">
      <c r="B180" s="66" t="s">
        <v>10</v>
      </c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8"/>
    </row>
    <row r="181" spans="2:24" x14ac:dyDescent="0.2">
      <c r="B181" s="66" t="s">
        <v>9</v>
      </c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8"/>
    </row>
    <row r="182" spans="2:24" x14ac:dyDescent="0.2">
      <c r="B182" s="66" t="s">
        <v>66</v>
      </c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8"/>
    </row>
    <row r="183" spans="2:24" x14ac:dyDescent="0.2">
      <c r="B183" s="66" t="s">
        <v>6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8"/>
    </row>
    <row r="184" spans="2:24" x14ac:dyDescent="0.2">
      <c r="B184" s="66" t="s">
        <v>5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8"/>
    </row>
    <row r="185" spans="2:24" x14ac:dyDescent="0.2">
      <c r="B185" s="66" t="s">
        <v>68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8"/>
    </row>
    <row r="186" spans="2:24" x14ac:dyDescent="0.2">
      <c r="B186" s="66" t="s">
        <v>80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8"/>
    </row>
    <row r="187" spans="2:24" x14ac:dyDescent="0.2">
      <c r="B187" s="66" t="s">
        <v>2</v>
      </c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8"/>
    </row>
    <row r="188" spans="2:24" x14ac:dyDescent="0.2">
      <c r="B188" s="66" t="s">
        <v>70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8"/>
    </row>
    <row r="189" spans="2:24" x14ac:dyDescent="0.2">
      <c r="B189" s="66" t="s">
        <v>71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8"/>
    </row>
    <row r="190" spans="2:24" x14ac:dyDescent="0.2">
      <c r="B190" s="66" t="s">
        <v>72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8"/>
    </row>
    <row r="191" spans="2:24" x14ac:dyDescent="0.2">
      <c r="B191" s="66" t="s">
        <v>73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8"/>
    </row>
    <row r="192" spans="2:24" x14ac:dyDescent="0.2">
      <c r="B192" s="66" t="s">
        <v>74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8"/>
    </row>
    <row r="193" spans="2:27" x14ac:dyDescent="0.2">
      <c r="B193" s="66" t="s">
        <v>75</v>
      </c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8"/>
    </row>
    <row r="194" spans="2:27" x14ac:dyDescent="0.2">
      <c r="B194" s="66" t="s">
        <v>76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8"/>
    </row>
    <row r="195" spans="2:27" x14ac:dyDescent="0.2">
      <c r="B195" s="66" t="s">
        <v>77</v>
      </c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8"/>
    </row>
    <row r="196" spans="2:27" x14ac:dyDescent="0.2">
      <c r="B196" s="66" t="s">
        <v>78</v>
      </c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8"/>
    </row>
    <row r="197" spans="2:27" ht="13.5" thickBot="1" x14ac:dyDescent="0.25">
      <c r="B197" s="69" t="s">
        <v>79</v>
      </c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80"/>
    </row>
    <row r="198" spans="2:27" x14ac:dyDescent="0.2">
      <c r="Y198" s="81">
        <f>+SUM(C176:X197)</f>
        <v>0</v>
      </c>
      <c r="Z198" s="81">
        <v>29584.362153096776</v>
      </c>
      <c r="AA198" s="81">
        <f>+Z198-Y198</f>
        <v>29584.362153096776</v>
      </c>
    </row>
    <row r="199" spans="2:27" x14ac:dyDescent="0.2">
      <c r="F199" s="82" t="s">
        <v>83</v>
      </c>
      <c r="I199" s="83">
        <f>SUMPRODUCT($C$4:$X$25,C176:X197)</f>
        <v>0</v>
      </c>
    </row>
    <row r="200" spans="2:27" x14ac:dyDescent="0.2">
      <c r="F200" s="82" t="s">
        <v>46</v>
      </c>
      <c r="I200" s="84" t="e">
        <f>I199/SUM(C176:X197)</f>
        <v>#DIV/0!</v>
      </c>
    </row>
    <row r="202" spans="2:27" ht="13.5" thickBot="1" x14ac:dyDescent="0.25">
      <c r="B202" s="72" t="s">
        <v>89</v>
      </c>
    </row>
    <row r="203" spans="2:27" ht="13.5" thickBot="1" x14ac:dyDescent="0.25">
      <c r="C203" s="53"/>
      <c r="D203" s="54"/>
      <c r="E203" s="54"/>
      <c r="F203" s="54"/>
      <c r="G203" s="54"/>
      <c r="H203" s="55" t="s">
        <v>82</v>
      </c>
      <c r="I203" s="55"/>
      <c r="J203" s="55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6"/>
    </row>
    <row r="204" spans="2:27" ht="26.25" thickBot="1" x14ac:dyDescent="0.25">
      <c r="C204" s="58" t="s">
        <v>14</v>
      </c>
      <c r="D204" s="59" t="s">
        <v>13</v>
      </c>
      <c r="E204" s="58" t="s">
        <v>12</v>
      </c>
      <c r="F204" s="59" t="s">
        <v>11</v>
      </c>
      <c r="G204" s="58" t="s">
        <v>10</v>
      </c>
      <c r="H204" s="60" t="s">
        <v>9</v>
      </c>
      <c r="I204" s="58" t="s">
        <v>66</v>
      </c>
      <c r="J204" s="59" t="s">
        <v>6</v>
      </c>
      <c r="K204" s="61" t="s">
        <v>67</v>
      </c>
      <c r="L204" s="58" t="s">
        <v>68</v>
      </c>
      <c r="M204" s="58" t="s">
        <v>69</v>
      </c>
      <c r="N204" s="58" t="s">
        <v>2</v>
      </c>
      <c r="O204" s="59" t="s">
        <v>70</v>
      </c>
      <c r="P204" s="58" t="s">
        <v>71</v>
      </c>
      <c r="Q204" s="59" t="s">
        <v>72</v>
      </c>
      <c r="R204" s="61" t="s">
        <v>73</v>
      </c>
      <c r="S204" s="61" t="s">
        <v>74</v>
      </c>
      <c r="T204" s="59" t="s">
        <v>75</v>
      </c>
      <c r="U204" s="58" t="s">
        <v>76</v>
      </c>
      <c r="V204" s="59" t="s">
        <v>77</v>
      </c>
      <c r="W204" s="61" t="s">
        <v>78</v>
      </c>
      <c r="X204" s="62" t="s">
        <v>79</v>
      </c>
    </row>
    <row r="205" spans="2:27" x14ac:dyDescent="0.2">
      <c r="B205" s="63" t="s">
        <v>14</v>
      </c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4"/>
    </row>
    <row r="206" spans="2:27" x14ac:dyDescent="0.2">
      <c r="B206" s="66" t="s">
        <v>13</v>
      </c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8"/>
    </row>
    <row r="207" spans="2:27" x14ac:dyDescent="0.2">
      <c r="B207" s="66" t="s">
        <v>12</v>
      </c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8"/>
    </row>
    <row r="208" spans="2:27" x14ac:dyDescent="0.2">
      <c r="B208" s="66" t="s">
        <v>11</v>
      </c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8"/>
    </row>
    <row r="209" spans="2:24" x14ac:dyDescent="0.2">
      <c r="B209" s="66" t="s">
        <v>10</v>
      </c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8"/>
    </row>
    <row r="210" spans="2:24" x14ac:dyDescent="0.2">
      <c r="B210" s="66" t="s">
        <v>9</v>
      </c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8"/>
    </row>
    <row r="211" spans="2:24" x14ac:dyDescent="0.2">
      <c r="B211" s="66" t="s">
        <v>66</v>
      </c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8"/>
    </row>
    <row r="212" spans="2:24" x14ac:dyDescent="0.2">
      <c r="B212" s="66" t="s">
        <v>6</v>
      </c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8"/>
    </row>
    <row r="213" spans="2:24" x14ac:dyDescent="0.2">
      <c r="B213" s="66" t="s">
        <v>5</v>
      </c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8"/>
    </row>
    <row r="214" spans="2:24" x14ac:dyDescent="0.2">
      <c r="B214" s="66" t="s">
        <v>68</v>
      </c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8"/>
    </row>
    <row r="215" spans="2:24" x14ac:dyDescent="0.2">
      <c r="B215" s="66" t="s">
        <v>80</v>
      </c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8"/>
    </row>
    <row r="216" spans="2:24" x14ac:dyDescent="0.2">
      <c r="B216" s="66" t="s">
        <v>2</v>
      </c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8"/>
    </row>
    <row r="217" spans="2:24" x14ac:dyDescent="0.2">
      <c r="B217" s="66" t="s">
        <v>70</v>
      </c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8"/>
    </row>
    <row r="218" spans="2:24" x14ac:dyDescent="0.2">
      <c r="B218" s="66" t="s">
        <v>71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8"/>
    </row>
    <row r="219" spans="2:24" x14ac:dyDescent="0.2">
      <c r="B219" s="66" t="s">
        <v>72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8"/>
    </row>
    <row r="220" spans="2:24" x14ac:dyDescent="0.2">
      <c r="B220" s="66" t="s">
        <v>73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8"/>
    </row>
    <row r="221" spans="2:24" x14ac:dyDescent="0.2">
      <c r="B221" s="66" t="s">
        <v>74</v>
      </c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8"/>
    </row>
    <row r="222" spans="2:24" x14ac:dyDescent="0.2">
      <c r="B222" s="66" t="s">
        <v>75</v>
      </c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8"/>
    </row>
    <row r="223" spans="2:24" x14ac:dyDescent="0.2">
      <c r="B223" s="66" t="s">
        <v>76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8"/>
    </row>
    <row r="224" spans="2:24" x14ac:dyDescent="0.2">
      <c r="B224" s="66" t="s">
        <v>77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8"/>
    </row>
    <row r="225" spans="2:27" x14ac:dyDescent="0.2">
      <c r="B225" s="66" t="s">
        <v>78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8"/>
    </row>
    <row r="226" spans="2:27" ht="13.5" thickBot="1" x14ac:dyDescent="0.25">
      <c r="B226" s="69" t="s">
        <v>79</v>
      </c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80"/>
    </row>
    <row r="227" spans="2:27" x14ac:dyDescent="0.2">
      <c r="Y227" s="81">
        <f>+SUM(C205:X226)</f>
        <v>0</v>
      </c>
      <c r="Z227" s="81">
        <v>32408.312549081911</v>
      </c>
      <c r="AA227" s="81">
        <f>+Z227-Y227</f>
        <v>32408.312549081911</v>
      </c>
    </row>
    <row r="228" spans="2:27" x14ac:dyDescent="0.2">
      <c r="F228" s="82" t="s">
        <v>83</v>
      </c>
      <c r="I228" s="83">
        <f>SUMPRODUCT($C$4:$X$25,C205:X226)</f>
        <v>0</v>
      </c>
    </row>
    <row r="229" spans="2:27" x14ac:dyDescent="0.2">
      <c r="F229" s="82" t="s">
        <v>46</v>
      </c>
      <c r="I229" s="84" t="e">
        <f>I228/SUM(C205:X226)</f>
        <v>#DIV/0!</v>
      </c>
    </row>
    <row r="231" spans="2:27" ht="13.5" thickBot="1" x14ac:dyDescent="0.25">
      <c r="B231" s="72" t="s">
        <v>90</v>
      </c>
    </row>
    <row r="232" spans="2:27" ht="13.5" thickBot="1" x14ac:dyDescent="0.25">
      <c r="C232" s="53"/>
      <c r="D232" s="54"/>
      <c r="E232" s="54"/>
      <c r="F232" s="54"/>
      <c r="G232" s="54"/>
      <c r="H232" s="55" t="s">
        <v>82</v>
      </c>
      <c r="I232" s="55"/>
      <c r="J232" s="55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6"/>
    </row>
    <row r="233" spans="2:27" ht="26.25" thickBot="1" x14ac:dyDescent="0.25">
      <c r="C233" s="58" t="s">
        <v>14</v>
      </c>
      <c r="D233" s="59" t="s">
        <v>13</v>
      </c>
      <c r="E233" s="58" t="s">
        <v>12</v>
      </c>
      <c r="F233" s="59" t="s">
        <v>11</v>
      </c>
      <c r="G233" s="58" t="s">
        <v>10</v>
      </c>
      <c r="H233" s="60" t="s">
        <v>9</v>
      </c>
      <c r="I233" s="58" t="s">
        <v>66</v>
      </c>
      <c r="J233" s="59" t="s">
        <v>6</v>
      </c>
      <c r="K233" s="61" t="s">
        <v>67</v>
      </c>
      <c r="L233" s="58" t="s">
        <v>68</v>
      </c>
      <c r="M233" s="58" t="s">
        <v>69</v>
      </c>
      <c r="N233" s="58" t="s">
        <v>2</v>
      </c>
      <c r="O233" s="59" t="s">
        <v>70</v>
      </c>
      <c r="P233" s="58" t="s">
        <v>71</v>
      </c>
      <c r="Q233" s="59" t="s">
        <v>72</v>
      </c>
      <c r="R233" s="61" t="s">
        <v>73</v>
      </c>
      <c r="S233" s="61" t="s">
        <v>74</v>
      </c>
      <c r="T233" s="59" t="s">
        <v>75</v>
      </c>
      <c r="U233" s="58" t="s">
        <v>76</v>
      </c>
      <c r="V233" s="59" t="s">
        <v>77</v>
      </c>
      <c r="W233" s="61" t="s">
        <v>78</v>
      </c>
      <c r="X233" s="62" t="s">
        <v>79</v>
      </c>
    </row>
    <row r="234" spans="2:27" x14ac:dyDescent="0.2">
      <c r="B234" s="63" t="s">
        <v>14</v>
      </c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4"/>
    </row>
    <row r="235" spans="2:27" x14ac:dyDescent="0.2">
      <c r="B235" s="66" t="s">
        <v>13</v>
      </c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8"/>
    </row>
    <row r="236" spans="2:27" x14ac:dyDescent="0.2">
      <c r="B236" s="66" t="s">
        <v>12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8"/>
    </row>
    <row r="237" spans="2:27" x14ac:dyDescent="0.2">
      <c r="B237" s="66" t="s">
        <v>11</v>
      </c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8"/>
    </row>
    <row r="238" spans="2:27" x14ac:dyDescent="0.2">
      <c r="B238" s="66" t="s">
        <v>10</v>
      </c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8"/>
    </row>
    <row r="239" spans="2:27" x14ac:dyDescent="0.2">
      <c r="B239" s="66" t="s">
        <v>9</v>
      </c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8"/>
    </row>
    <row r="240" spans="2:27" x14ac:dyDescent="0.2">
      <c r="B240" s="66" t="s">
        <v>66</v>
      </c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8"/>
    </row>
    <row r="241" spans="2:27" x14ac:dyDescent="0.2">
      <c r="B241" s="66" t="s">
        <v>6</v>
      </c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8"/>
    </row>
    <row r="242" spans="2:27" x14ac:dyDescent="0.2">
      <c r="B242" s="66" t="s">
        <v>5</v>
      </c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8"/>
    </row>
    <row r="243" spans="2:27" x14ac:dyDescent="0.2">
      <c r="B243" s="66" t="s">
        <v>68</v>
      </c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8"/>
    </row>
    <row r="244" spans="2:27" x14ac:dyDescent="0.2">
      <c r="B244" s="66" t="s">
        <v>80</v>
      </c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8"/>
    </row>
    <row r="245" spans="2:27" x14ac:dyDescent="0.2">
      <c r="B245" s="66" t="s">
        <v>2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8"/>
    </row>
    <row r="246" spans="2:27" x14ac:dyDescent="0.2">
      <c r="B246" s="66" t="s">
        <v>70</v>
      </c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8"/>
    </row>
    <row r="247" spans="2:27" x14ac:dyDescent="0.2">
      <c r="B247" s="66" t="s">
        <v>71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8"/>
    </row>
    <row r="248" spans="2:27" x14ac:dyDescent="0.2">
      <c r="B248" s="66" t="s">
        <v>72</v>
      </c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8"/>
    </row>
    <row r="249" spans="2:27" x14ac:dyDescent="0.2">
      <c r="B249" s="66" t="s">
        <v>73</v>
      </c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8"/>
    </row>
    <row r="250" spans="2:27" x14ac:dyDescent="0.2">
      <c r="B250" s="66" t="s">
        <v>74</v>
      </c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8"/>
    </row>
    <row r="251" spans="2:27" x14ac:dyDescent="0.2">
      <c r="B251" s="66" t="s">
        <v>75</v>
      </c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8"/>
    </row>
    <row r="252" spans="2:27" x14ac:dyDescent="0.2">
      <c r="B252" s="66" t="s">
        <v>76</v>
      </c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8"/>
    </row>
    <row r="253" spans="2:27" x14ac:dyDescent="0.2">
      <c r="B253" s="66" t="s">
        <v>77</v>
      </c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8"/>
    </row>
    <row r="254" spans="2:27" x14ac:dyDescent="0.2">
      <c r="B254" s="66" t="s">
        <v>78</v>
      </c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8"/>
    </row>
    <row r="255" spans="2:27" ht="13.5" thickBot="1" x14ac:dyDescent="0.25">
      <c r="B255" s="69" t="s">
        <v>79</v>
      </c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80"/>
    </row>
    <row r="256" spans="2:27" x14ac:dyDescent="0.2">
      <c r="Y256" s="81">
        <f>+SUM(C234:X255)</f>
        <v>0</v>
      </c>
      <c r="Z256" s="81">
        <v>40948</v>
      </c>
      <c r="AA256" s="81">
        <f>+Z256-Y256</f>
        <v>40948</v>
      </c>
    </row>
    <row r="257" spans="2:24" x14ac:dyDescent="0.2">
      <c r="F257" s="82" t="s">
        <v>83</v>
      </c>
      <c r="I257" s="83">
        <f>SUMPRODUCT($C$4:$X$25,C234:X255)</f>
        <v>0</v>
      </c>
    </row>
    <row r="258" spans="2:24" x14ac:dyDescent="0.2">
      <c r="F258" s="82" t="s">
        <v>46</v>
      </c>
      <c r="I258" s="84" t="e">
        <f>I257/SUM(C234:X255)</f>
        <v>#DIV/0!</v>
      </c>
    </row>
    <row r="260" spans="2:24" ht="13.5" thickBot="1" x14ac:dyDescent="0.25">
      <c r="B260" s="72" t="s">
        <v>91</v>
      </c>
    </row>
    <row r="261" spans="2:24" ht="13.5" thickBot="1" x14ac:dyDescent="0.25">
      <c r="C261" s="53"/>
      <c r="D261" s="54"/>
      <c r="E261" s="54"/>
      <c r="F261" s="54"/>
      <c r="G261" s="54"/>
      <c r="H261" s="55" t="s">
        <v>82</v>
      </c>
      <c r="I261" s="55"/>
      <c r="J261" s="55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6"/>
    </row>
    <row r="262" spans="2:24" ht="26.25" thickBot="1" x14ac:dyDescent="0.25">
      <c r="C262" s="58" t="s">
        <v>14</v>
      </c>
      <c r="D262" s="59" t="s">
        <v>13</v>
      </c>
      <c r="E262" s="58" t="s">
        <v>12</v>
      </c>
      <c r="F262" s="59" t="s">
        <v>11</v>
      </c>
      <c r="G262" s="58" t="s">
        <v>10</v>
      </c>
      <c r="H262" s="60" t="s">
        <v>9</v>
      </c>
      <c r="I262" s="58" t="s">
        <v>66</v>
      </c>
      <c r="J262" s="59" t="s">
        <v>6</v>
      </c>
      <c r="K262" s="61" t="s">
        <v>67</v>
      </c>
      <c r="L262" s="58" t="s">
        <v>68</v>
      </c>
      <c r="M262" s="58" t="s">
        <v>69</v>
      </c>
      <c r="N262" s="58" t="s">
        <v>2</v>
      </c>
      <c r="O262" s="59" t="s">
        <v>70</v>
      </c>
      <c r="P262" s="58" t="s">
        <v>71</v>
      </c>
      <c r="Q262" s="59" t="s">
        <v>72</v>
      </c>
      <c r="R262" s="61" t="s">
        <v>73</v>
      </c>
      <c r="S262" s="61" t="s">
        <v>74</v>
      </c>
      <c r="T262" s="59" t="s">
        <v>75</v>
      </c>
      <c r="U262" s="58" t="s">
        <v>76</v>
      </c>
      <c r="V262" s="59" t="s">
        <v>77</v>
      </c>
      <c r="W262" s="61" t="s">
        <v>78</v>
      </c>
      <c r="X262" s="62" t="s">
        <v>79</v>
      </c>
    </row>
    <row r="263" spans="2:24" x14ac:dyDescent="0.2">
      <c r="B263" s="63" t="s">
        <v>14</v>
      </c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4"/>
    </row>
    <row r="264" spans="2:24" x14ac:dyDescent="0.2">
      <c r="B264" s="66" t="s">
        <v>13</v>
      </c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8"/>
    </row>
    <row r="265" spans="2:24" x14ac:dyDescent="0.2">
      <c r="B265" s="66" t="s">
        <v>12</v>
      </c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8"/>
    </row>
    <row r="266" spans="2:24" x14ac:dyDescent="0.2">
      <c r="B266" s="66" t="s">
        <v>11</v>
      </c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8"/>
    </row>
    <row r="267" spans="2:24" x14ac:dyDescent="0.2">
      <c r="B267" s="66" t="s">
        <v>10</v>
      </c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8"/>
    </row>
    <row r="268" spans="2:24" x14ac:dyDescent="0.2">
      <c r="B268" s="66" t="s">
        <v>9</v>
      </c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8"/>
    </row>
    <row r="269" spans="2:24" x14ac:dyDescent="0.2">
      <c r="B269" s="66" t="s">
        <v>66</v>
      </c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8"/>
    </row>
    <row r="270" spans="2:24" x14ac:dyDescent="0.2">
      <c r="B270" s="66" t="s">
        <v>6</v>
      </c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8"/>
    </row>
    <row r="271" spans="2:24" x14ac:dyDescent="0.2">
      <c r="B271" s="66" t="s">
        <v>5</v>
      </c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8"/>
    </row>
    <row r="272" spans="2:24" x14ac:dyDescent="0.2">
      <c r="B272" s="66" t="s">
        <v>68</v>
      </c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8"/>
    </row>
    <row r="273" spans="2:27" x14ac:dyDescent="0.2">
      <c r="B273" s="66" t="s">
        <v>80</v>
      </c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8"/>
    </row>
    <row r="274" spans="2:27" x14ac:dyDescent="0.2">
      <c r="B274" s="66" t="s">
        <v>2</v>
      </c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8"/>
    </row>
    <row r="275" spans="2:27" x14ac:dyDescent="0.2">
      <c r="B275" s="66" t="s">
        <v>70</v>
      </c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8"/>
    </row>
    <row r="276" spans="2:27" x14ac:dyDescent="0.2">
      <c r="B276" s="66" t="s">
        <v>71</v>
      </c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8"/>
    </row>
    <row r="277" spans="2:27" x14ac:dyDescent="0.2">
      <c r="B277" s="66" t="s">
        <v>72</v>
      </c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8"/>
    </row>
    <row r="278" spans="2:27" x14ac:dyDescent="0.2">
      <c r="B278" s="66" t="s">
        <v>73</v>
      </c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8"/>
    </row>
    <row r="279" spans="2:27" x14ac:dyDescent="0.2">
      <c r="B279" s="66" t="s">
        <v>74</v>
      </c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8"/>
    </row>
    <row r="280" spans="2:27" x14ac:dyDescent="0.2">
      <c r="B280" s="66" t="s">
        <v>75</v>
      </c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8"/>
    </row>
    <row r="281" spans="2:27" x14ac:dyDescent="0.2">
      <c r="B281" s="66" t="s">
        <v>76</v>
      </c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8"/>
    </row>
    <row r="282" spans="2:27" x14ac:dyDescent="0.2">
      <c r="B282" s="66" t="s">
        <v>77</v>
      </c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8"/>
    </row>
    <row r="283" spans="2:27" x14ac:dyDescent="0.2">
      <c r="B283" s="66" t="s">
        <v>78</v>
      </c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8"/>
    </row>
    <row r="284" spans="2:27" ht="13.5" thickBot="1" x14ac:dyDescent="0.25">
      <c r="B284" s="69" t="s">
        <v>79</v>
      </c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80"/>
    </row>
    <row r="285" spans="2:27" x14ac:dyDescent="0.2">
      <c r="Y285" s="81">
        <f>+SUM(C263:X284)</f>
        <v>0</v>
      </c>
      <c r="Z285" s="81">
        <v>40784</v>
      </c>
      <c r="AA285" s="81">
        <f>+Z285-Y285</f>
        <v>40784</v>
      </c>
    </row>
    <row r="286" spans="2:27" x14ac:dyDescent="0.2">
      <c r="F286" s="82" t="s">
        <v>83</v>
      </c>
      <c r="I286" s="83">
        <f>SUMPRODUCT($C$4:$X$25,C263:X284)</f>
        <v>0</v>
      </c>
    </row>
    <row r="287" spans="2:27" x14ac:dyDescent="0.2">
      <c r="F287" s="82" t="s">
        <v>46</v>
      </c>
      <c r="I287" s="84" t="e">
        <f>I286/SUM(C263:X284)</f>
        <v>#DIV/0!</v>
      </c>
    </row>
    <row r="289" spans="2:24" ht="13.5" thickBot="1" x14ac:dyDescent="0.25">
      <c r="B289" s="72" t="s">
        <v>92</v>
      </c>
    </row>
    <row r="290" spans="2:24" ht="13.5" thickBot="1" x14ac:dyDescent="0.25">
      <c r="C290" s="53"/>
      <c r="D290" s="54"/>
      <c r="E290" s="54"/>
      <c r="F290" s="54"/>
      <c r="G290" s="54"/>
      <c r="H290" s="55" t="s">
        <v>82</v>
      </c>
      <c r="I290" s="55"/>
      <c r="J290" s="55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6"/>
    </row>
    <row r="291" spans="2:24" ht="26.25" thickBot="1" x14ac:dyDescent="0.25">
      <c r="C291" s="58" t="s">
        <v>14</v>
      </c>
      <c r="D291" s="59" t="s">
        <v>13</v>
      </c>
      <c r="E291" s="58" t="s">
        <v>12</v>
      </c>
      <c r="F291" s="59" t="s">
        <v>11</v>
      </c>
      <c r="G291" s="58" t="s">
        <v>10</v>
      </c>
      <c r="H291" s="60" t="s">
        <v>9</v>
      </c>
      <c r="I291" s="58" t="s">
        <v>66</v>
      </c>
      <c r="J291" s="59" t="s">
        <v>6</v>
      </c>
      <c r="K291" s="61" t="s">
        <v>67</v>
      </c>
      <c r="L291" s="58" t="s">
        <v>68</v>
      </c>
      <c r="M291" s="58" t="s">
        <v>69</v>
      </c>
      <c r="N291" s="58" t="s">
        <v>2</v>
      </c>
      <c r="O291" s="59" t="s">
        <v>70</v>
      </c>
      <c r="P291" s="58" t="s">
        <v>71</v>
      </c>
      <c r="Q291" s="59" t="s">
        <v>72</v>
      </c>
      <c r="R291" s="61" t="s">
        <v>73</v>
      </c>
      <c r="S291" s="61" t="s">
        <v>74</v>
      </c>
      <c r="T291" s="59" t="s">
        <v>75</v>
      </c>
      <c r="U291" s="58" t="s">
        <v>76</v>
      </c>
      <c r="V291" s="59" t="s">
        <v>77</v>
      </c>
      <c r="W291" s="61" t="s">
        <v>78</v>
      </c>
      <c r="X291" s="62" t="s">
        <v>79</v>
      </c>
    </row>
    <row r="292" spans="2:24" x14ac:dyDescent="0.2">
      <c r="B292" s="63" t="s">
        <v>14</v>
      </c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4"/>
    </row>
    <row r="293" spans="2:24" x14ac:dyDescent="0.2">
      <c r="B293" s="66" t="s">
        <v>13</v>
      </c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8"/>
    </row>
    <row r="294" spans="2:24" x14ac:dyDescent="0.2">
      <c r="B294" s="66" t="s">
        <v>12</v>
      </c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8"/>
    </row>
    <row r="295" spans="2:24" x14ac:dyDescent="0.2">
      <c r="B295" s="66" t="s">
        <v>11</v>
      </c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8"/>
    </row>
    <row r="296" spans="2:24" x14ac:dyDescent="0.2">
      <c r="B296" s="66" t="s">
        <v>10</v>
      </c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8"/>
    </row>
    <row r="297" spans="2:24" x14ac:dyDescent="0.2">
      <c r="B297" s="66" t="s">
        <v>9</v>
      </c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8"/>
    </row>
    <row r="298" spans="2:24" x14ac:dyDescent="0.2">
      <c r="B298" s="66" t="s">
        <v>66</v>
      </c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8"/>
    </row>
    <row r="299" spans="2:24" x14ac:dyDescent="0.2">
      <c r="B299" s="66" t="s">
        <v>6</v>
      </c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8"/>
    </row>
    <row r="300" spans="2:24" x14ac:dyDescent="0.2">
      <c r="B300" s="66" t="s">
        <v>5</v>
      </c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8"/>
    </row>
    <row r="301" spans="2:24" x14ac:dyDescent="0.2">
      <c r="B301" s="66" t="s">
        <v>68</v>
      </c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8"/>
    </row>
    <row r="302" spans="2:24" x14ac:dyDescent="0.2">
      <c r="B302" s="66" t="s">
        <v>80</v>
      </c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8"/>
    </row>
    <row r="303" spans="2:24" x14ac:dyDescent="0.2">
      <c r="B303" s="66" t="s">
        <v>2</v>
      </c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8"/>
    </row>
    <row r="304" spans="2:24" x14ac:dyDescent="0.2">
      <c r="B304" s="66" t="s">
        <v>70</v>
      </c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8"/>
    </row>
    <row r="305" spans="2:27" x14ac:dyDescent="0.2">
      <c r="B305" s="66" t="s">
        <v>71</v>
      </c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8"/>
    </row>
    <row r="306" spans="2:27" x14ac:dyDescent="0.2">
      <c r="B306" s="66" t="s">
        <v>72</v>
      </c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8"/>
    </row>
    <row r="307" spans="2:27" x14ac:dyDescent="0.2">
      <c r="B307" s="66" t="s">
        <v>73</v>
      </c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8"/>
    </row>
    <row r="308" spans="2:27" x14ac:dyDescent="0.2">
      <c r="B308" s="66" t="s">
        <v>74</v>
      </c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8"/>
    </row>
    <row r="309" spans="2:27" x14ac:dyDescent="0.2">
      <c r="B309" s="66" t="s">
        <v>75</v>
      </c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8"/>
    </row>
    <row r="310" spans="2:27" x14ac:dyDescent="0.2">
      <c r="B310" s="66" t="s">
        <v>76</v>
      </c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8"/>
    </row>
    <row r="311" spans="2:27" x14ac:dyDescent="0.2">
      <c r="B311" s="66" t="s">
        <v>77</v>
      </c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8"/>
    </row>
    <row r="312" spans="2:27" x14ac:dyDescent="0.2">
      <c r="B312" s="66" t="s">
        <v>78</v>
      </c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8"/>
    </row>
    <row r="313" spans="2:27" ht="13.5" thickBot="1" x14ac:dyDescent="0.25">
      <c r="B313" s="69" t="s">
        <v>79</v>
      </c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80"/>
    </row>
    <row r="314" spans="2:27" x14ac:dyDescent="0.2">
      <c r="Y314" s="81">
        <f>+SUM(C292:X313)</f>
        <v>0</v>
      </c>
      <c r="Z314" s="81">
        <v>44600</v>
      </c>
      <c r="AA314" s="81">
        <f>+Z314-Y314</f>
        <v>44600</v>
      </c>
    </row>
    <row r="315" spans="2:27" x14ac:dyDescent="0.2">
      <c r="F315" s="82" t="s">
        <v>83</v>
      </c>
      <c r="I315" s="83">
        <f>SUMPRODUCT($C$4:$X$25,C292:X313)</f>
        <v>0</v>
      </c>
    </row>
    <row r="316" spans="2:27" x14ac:dyDescent="0.2">
      <c r="F316" s="82" t="s">
        <v>46</v>
      </c>
      <c r="I316" s="84" t="e">
        <f>I315/SUM(C292:X313)</f>
        <v>#DIV/0!</v>
      </c>
    </row>
    <row r="318" spans="2:27" ht="13.5" thickBot="1" x14ac:dyDescent="0.25">
      <c r="B318" s="72" t="s">
        <v>93</v>
      </c>
    </row>
    <row r="319" spans="2:27" ht="13.5" thickBot="1" x14ac:dyDescent="0.25">
      <c r="C319" s="53"/>
      <c r="D319" s="54"/>
      <c r="E319" s="54"/>
      <c r="F319" s="54"/>
      <c r="G319" s="54"/>
      <c r="H319" s="55" t="s">
        <v>82</v>
      </c>
      <c r="I319" s="55"/>
      <c r="J319" s="55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6"/>
    </row>
    <row r="320" spans="2:27" ht="26.25" thickBot="1" x14ac:dyDescent="0.25">
      <c r="C320" s="58" t="s">
        <v>14</v>
      </c>
      <c r="D320" s="59" t="s">
        <v>13</v>
      </c>
      <c r="E320" s="58" t="s">
        <v>12</v>
      </c>
      <c r="F320" s="59" t="s">
        <v>11</v>
      </c>
      <c r="G320" s="58" t="s">
        <v>10</v>
      </c>
      <c r="H320" s="60" t="s">
        <v>9</v>
      </c>
      <c r="I320" s="58" t="s">
        <v>66</v>
      </c>
      <c r="J320" s="59" t="s">
        <v>6</v>
      </c>
      <c r="K320" s="61" t="s">
        <v>67</v>
      </c>
      <c r="L320" s="58" t="s">
        <v>68</v>
      </c>
      <c r="M320" s="58" t="s">
        <v>69</v>
      </c>
      <c r="N320" s="58" t="s">
        <v>2</v>
      </c>
      <c r="O320" s="59" t="s">
        <v>70</v>
      </c>
      <c r="P320" s="58" t="s">
        <v>71</v>
      </c>
      <c r="Q320" s="59" t="s">
        <v>72</v>
      </c>
      <c r="R320" s="61" t="s">
        <v>73</v>
      </c>
      <c r="S320" s="61" t="s">
        <v>74</v>
      </c>
      <c r="T320" s="59" t="s">
        <v>75</v>
      </c>
      <c r="U320" s="58" t="s">
        <v>76</v>
      </c>
      <c r="V320" s="59" t="s">
        <v>77</v>
      </c>
      <c r="W320" s="61" t="s">
        <v>78</v>
      </c>
      <c r="X320" s="62" t="s">
        <v>79</v>
      </c>
    </row>
    <row r="321" spans="2:24" x14ac:dyDescent="0.2">
      <c r="B321" s="63" t="s">
        <v>14</v>
      </c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4"/>
    </row>
    <row r="322" spans="2:24" x14ac:dyDescent="0.2">
      <c r="B322" s="66" t="s">
        <v>13</v>
      </c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8"/>
    </row>
    <row r="323" spans="2:24" x14ac:dyDescent="0.2">
      <c r="B323" s="66" t="s">
        <v>12</v>
      </c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8"/>
    </row>
    <row r="324" spans="2:24" x14ac:dyDescent="0.2">
      <c r="B324" s="66" t="s">
        <v>11</v>
      </c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8"/>
    </row>
    <row r="325" spans="2:24" x14ac:dyDescent="0.2">
      <c r="B325" s="66" t="s">
        <v>10</v>
      </c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8"/>
    </row>
    <row r="326" spans="2:24" x14ac:dyDescent="0.2">
      <c r="B326" s="66" t="s">
        <v>9</v>
      </c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8"/>
    </row>
    <row r="327" spans="2:24" x14ac:dyDescent="0.2">
      <c r="B327" s="66" t="s">
        <v>66</v>
      </c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8"/>
    </row>
    <row r="328" spans="2:24" x14ac:dyDescent="0.2">
      <c r="B328" s="66" t="s">
        <v>6</v>
      </c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8"/>
    </row>
    <row r="329" spans="2:24" x14ac:dyDescent="0.2">
      <c r="B329" s="66" t="s">
        <v>5</v>
      </c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8"/>
    </row>
    <row r="330" spans="2:24" x14ac:dyDescent="0.2">
      <c r="B330" s="66" t="s">
        <v>68</v>
      </c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8"/>
    </row>
    <row r="331" spans="2:24" x14ac:dyDescent="0.2">
      <c r="B331" s="66" t="s">
        <v>80</v>
      </c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8"/>
    </row>
    <row r="332" spans="2:24" x14ac:dyDescent="0.2">
      <c r="B332" s="66" t="s">
        <v>2</v>
      </c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8"/>
    </row>
    <row r="333" spans="2:24" x14ac:dyDescent="0.2">
      <c r="B333" s="66" t="s">
        <v>70</v>
      </c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8"/>
    </row>
    <row r="334" spans="2:24" x14ac:dyDescent="0.2">
      <c r="B334" s="66" t="s">
        <v>71</v>
      </c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8"/>
    </row>
    <row r="335" spans="2:24" x14ac:dyDescent="0.2">
      <c r="B335" s="66" t="s">
        <v>72</v>
      </c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8"/>
    </row>
    <row r="336" spans="2:24" x14ac:dyDescent="0.2">
      <c r="B336" s="66" t="s">
        <v>73</v>
      </c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8"/>
    </row>
    <row r="337" spans="2:29" x14ac:dyDescent="0.2">
      <c r="B337" s="66" t="s">
        <v>74</v>
      </c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8"/>
    </row>
    <row r="338" spans="2:29" x14ac:dyDescent="0.2">
      <c r="B338" s="66" t="s">
        <v>75</v>
      </c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8"/>
    </row>
    <row r="339" spans="2:29" x14ac:dyDescent="0.2">
      <c r="B339" s="66" t="s">
        <v>76</v>
      </c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8"/>
    </row>
    <row r="340" spans="2:29" x14ac:dyDescent="0.2">
      <c r="B340" s="66" t="s">
        <v>77</v>
      </c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8"/>
    </row>
    <row r="341" spans="2:29" x14ac:dyDescent="0.2">
      <c r="B341" s="66" t="s">
        <v>78</v>
      </c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8"/>
    </row>
    <row r="342" spans="2:29" ht="13.5" thickBot="1" x14ac:dyDescent="0.25">
      <c r="B342" s="69" t="s">
        <v>79</v>
      </c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80"/>
    </row>
    <row r="343" spans="2:29" x14ac:dyDescent="0.2">
      <c r="Y343" s="81">
        <f>+SUM(C321:X342)</f>
        <v>0</v>
      </c>
      <c r="Z343" s="81">
        <v>45698</v>
      </c>
      <c r="AA343" s="81">
        <f>+Z343-Y343</f>
        <v>45698</v>
      </c>
      <c r="AC343" s="52">
        <v>11498</v>
      </c>
    </row>
    <row r="344" spans="2:29" x14ac:dyDescent="0.2">
      <c r="F344" s="82" t="s">
        <v>83</v>
      </c>
      <c r="I344" s="83">
        <f>SUMPRODUCT($C$4:$X$25,C321:X342)</f>
        <v>0</v>
      </c>
      <c r="AC344" s="81">
        <f>+AC343-Y343</f>
        <v>11498</v>
      </c>
    </row>
    <row r="345" spans="2:29" x14ac:dyDescent="0.2">
      <c r="F345" s="82" t="s">
        <v>46</v>
      </c>
      <c r="I345" s="84" t="e">
        <f>I344/SUM(C321:X342)</f>
        <v>#DIV/0!</v>
      </c>
    </row>
    <row r="347" spans="2:29" ht="13.5" thickBot="1" x14ac:dyDescent="0.25">
      <c r="B347" s="72" t="s">
        <v>94</v>
      </c>
    </row>
    <row r="348" spans="2:29" ht="13.5" thickBot="1" x14ac:dyDescent="0.25">
      <c r="C348" s="53"/>
      <c r="D348" s="54"/>
      <c r="E348" s="54"/>
      <c r="F348" s="54"/>
      <c r="G348" s="54"/>
      <c r="H348" s="55" t="s">
        <v>82</v>
      </c>
      <c r="I348" s="55"/>
      <c r="J348" s="55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6"/>
    </row>
    <row r="349" spans="2:29" ht="26.25" thickBot="1" x14ac:dyDescent="0.25">
      <c r="C349" s="58" t="s">
        <v>14</v>
      </c>
      <c r="D349" s="59" t="s">
        <v>13</v>
      </c>
      <c r="E349" s="58" t="s">
        <v>12</v>
      </c>
      <c r="F349" s="59" t="s">
        <v>11</v>
      </c>
      <c r="G349" s="58" t="s">
        <v>10</v>
      </c>
      <c r="H349" s="60" t="s">
        <v>9</v>
      </c>
      <c r="I349" s="58" t="s">
        <v>66</v>
      </c>
      <c r="J349" s="59" t="s">
        <v>6</v>
      </c>
      <c r="K349" s="61" t="s">
        <v>67</v>
      </c>
      <c r="L349" s="58" t="s">
        <v>68</v>
      </c>
      <c r="M349" s="58" t="s">
        <v>69</v>
      </c>
      <c r="N349" s="58" t="s">
        <v>2</v>
      </c>
      <c r="O349" s="59" t="s">
        <v>70</v>
      </c>
      <c r="P349" s="58" t="s">
        <v>71</v>
      </c>
      <c r="Q349" s="59" t="s">
        <v>72</v>
      </c>
      <c r="R349" s="61" t="s">
        <v>73</v>
      </c>
      <c r="S349" s="61" t="s">
        <v>74</v>
      </c>
      <c r="T349" s="59" t="s">
        <v>75</v>
      </c>
      <c r="U349" s="58" t="s">
        <v>76</v>
      </c>
      <c r="V349" s="59" t="s">
        <v>77</v>
      </c>
      <c r="W349" s="61" t="s">
        <v>78</v>
      </c>
      <c r="X349" s="62" t="s">
        <v>79</v>
      </c>
    </row>
    <row r="350" spans="2:29" x14ac:dyDescent="0.2">
      <c r="B350" s="63" t="s">
        <v>14</v>
      </c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4"/>
    </row>
    <row r="351" spans="2:29" x14ac:dyDescent="0.2">
      <c r="B351" s="66" t="s">
        <v>13</v>
      </c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8"/>
    </row>
    <row r="352" spans="2:29" x14ac:dyDescent="0.2">
      <c r="B352" s="66" t="s">
        <v>12</v>
      </c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8"/>
    </row>
    <row r="353" spans="2:24" x14ac:dyDescent="0.2">
      <c r="B353" s="66" t="s">
        <v>11</v>
      </c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8"/>
    </row>
    <row r="354" spans="2:24" x14ac:dyDescent="0.2">
      <c r="B354" s="66" t="s">
        <v>10</v>
      </c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8"/>
    </row>
    <row r="355" spans="2:24" x14ac:dyDescent="0.2">
      <c r="B355" s="66" t="s">
        <v>9</v>
      </c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8"/>
    </row>
    <row r="356" spans="2:24" x14ac:dyDescent="0.2">
      <c r="B356" s="66" t="s">
        <v>66</v>
      </c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8"/>
    </row>
    <row r="357" spans="2:24" x14ac:dyDescent="0.2">
      <c r="B357" s="66" t="s">
        <v>6</v>
      </c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8"/>
    </row>
    <row r="358" spans="2:24" x14ac:dyDescent="0.2">
      <c r="B358" s="66" t="s">
        <v>5</v>
      </c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8"/>
    </row>
    <row r="359" spans="2:24" x14ac:dyDescent="0.2">
      <c r="B359" s="66" t="s">
        <v>68</v>
      </c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8"/>
    </row>
    <row r="360" spans="2:24" x14ac:dyDescent="0.2">
      <c r="B360" s="66" t="s">
        <v>80</v>
      </c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8"/>
    </row>
    <row r="361" spans="2:24" x14ac:dyDescent="0.2">
      <c r="B361" s="66" t="s">
        <v>2</v>
      </c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8"/>
    </row>
    <row r="362" spans="2:24" x14ac:dyDescent="0.2">
      <c r="B362" s="66" t="s">
        <v>70</v>
      </c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8"/>
    </row>
    <row r="363" spans="2:24" x14ac:dyDescent="0.2">
      <c r="B363" s="66" t="s">
        <v>71</v>
      </c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8"/>
    </row>
    <row r="364" spans="2:24" x14ac:dyDescent="0.2">
      <c r="B364" s="66" t="s">
        <v>72</v>
      </c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8"/>
    </row>
    <row r="365" spans="2:24" x14ac:dyDescent="0.2">
      <c r="B365" s="66" t="s">
        <v>73</v>
      </c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8"/>
    </row>
    <row r="366" spans="2:24" x14ac:dyDescent="0.2">
      <c r="B366" s="66" t="s">
        <v>74</v>
      </c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8"/>
    </row>
    <row r="367" spans="2:24" x14ac:dyDescent="0.2">
      <c r="B367" s="66" t="s">
        <v>75</v>
      </c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8"/>
    </row>
    <row r="368" spans="2:24" x14ac:dyDescent="0.2">
      <c r="B368" s="66" t="s">
        <v>76</v>
      </c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8"/>
    </row>
    <row r="369" spans="2:27" x14ac:dyDescent="0.2">
      <c r="B369" s="66" t="s">
        <v>77</v>
      </c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8"/>
    </row>
    <row r="370" spans="2:27" x14ac:dyDescent="0.2">
      <c r="B370" s="66" t="s">
        <v>78</v>
      </c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8"/>
    </row>
    <row r="371" spans="2:27" ht="13.5" thickBot="1" x14ac:dyDescent="0.25">
      <c r="B371" s="69" t="s">
        <v>79</v>
      </c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80"/>
    </row>
    <row r="372" spans="2:27" x14ac:dyDescent="0.2">
      <c r="Y372" s="81">
        <f>+SUM(C350:X371)</f>
        <v>0</v>
      </c>
      <c r="Z372" s="81">
        <v>49802</v>
      </c>
      <c r="AA372" s="81">
        <f>+Z372-Y372</f>
        <v>49802</v>
      </c>
    </row>
    <row r="373" spans="2:27" x14ac:dyDescent="0.2">
      <c r="F373" s="82" t="s">
        <v>83</v>
      </c>
      <c r="I373" s="83">
        <f>SUMPRODUCT($C$4:$X$25,C350:X371)</f>
        <v>0</v>
      </c>
    </row>
    <row r="374" spans="2:27" x14ac:dyDescent="0.2">
      <c r="F374" s="82" t="s">
        <v>46</v>
      </c>
      <c r="I374" s="84" t="e">
        <f>I373/SUM(C350:X371)</f>
        <v>#DIV/0!</v>
      </c>
    </row>
    <row r="378" spans="2:27" ht="13.5" thickBot="1" x14ac:dyDescent="0.25">
      <c r="B378" s="72" t="s">
        <v>29</v>
      </c>
    </row>
    <row r="379" spans="2:27" ht="13.5" thickBot="1" x14ac:dyDescent="0.25">
      <c r="C379" s="53"/>
      <c r="D379" s="54"/>
      <c r="E379" s="54"/>
      <c r="F379" s="54"/>
      <c r="G379" s="54"/>
      <c r="H379" s="55" t="s">
        <v>82</v>
      </c>
      <c r="I379" s="55"/>
      <c r="J379" s="55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6"/>
    </row>
    <row r="380" spans="2:27" ht="26.25" thickBot="1" x14ac:dyDescent="0.25">
      <c r="C380" s="85" t="s">
        <v>14</v>
      </c>
      <c r="D380" s="86" t="s">
        <v>13</v>
      </c>
      <c r="E380" s="85" t="s">
        <v>12</v>
      </c>
      <c r="F380" s="86" t="s">
        <v>11</v>
      </c>
      <c r="G380" s="85" t="s">
        <v>10</v>
      </c>
      <c r="H380" s="87" t="s">
        <v>9</v>
      </c>
      <c r="I380" s="85" t="s">
        <v>66</v>
      </c>
      <c r="J380" s="86" t="s">
        <v>6</v>
      </c>
      <c r="K380" s="88" t="s">
        <v>67</v>
      </c>
      <c r="L380" s="85" t="s">
        <v>68</v>
      </c>
      <c r="M380" s="85" t="s">
        <v>69</v>
      </c>
      <c r="N380" s="85" t="s">
        <v>2</v>
      </c>
      <c r="O380" s="86" t="s">
        <v>70</v>
      </c>
      <c r="P380" s="85" t="s">
        <v>71</v>
      </c>
      <c r="Q380" s="86" t="s">
        <v>72</v>
      </c>
      <c r="R380" s="88" t="s">
        <v>73</v>
      </c>
      <c r="S380" s="88" t="s">
        <v>74</v>
      </c>
      <c r="T380" s="86" t="s">
        <v>75</v>
      </c>
      <c r="U380" s="85" t="s">
        <v>76</v>
      </c>
      <c r="V380" s="86" t="s">
        <v>77</v>
      </c>
      <c r="W380" s="88" t="s">
        <v>78</v>
      </c>
      <c r="X380" s="89" t="s">
        <v>79</v>
      </c>
    </row>
    <row r="381" spans="2:27" x14ac:dyDescent="0.2">
      <c r="B381" s="63" t="s">
        <v>14</v>
      </c>
      <c r="C381" s="90">
        <f>+C350+C321+C292+C263+C234+C205+C176+C147+C118+C89+C60+C31</f>
        <v>0</v>
      </c>
      <c r="D381" s="90">
        <f t="shared" ref="D381:X381" si="5">+D350+D321+D292+D263+D234+D205+D176+D147+D118+D89+D60+D31</f>
        <v>1</v>
      </c>
      <c r="E381" s="90">
        <f t="shared" si="5"/>
        <v>1</v>
      </c>
      <c r="F381" s="90">
        <f t="shared" si="5"/>
        <v>1</v>
      </c>
      <c r="G381" s="90">
        <f t="shared" si="5"/>
        <v>0</v>
      </c>
      <c r="H381" s="90">
        <f t="shared" si="5"/>
        <v>0</v>
      </c>
      <c r="I381" s="90">
        <f t="shared" si="5"/>
        <v>16</v>
      </c>
      <c r="J381" s="90">
        <f t="shared" si="5"/>
        <v>4</v>
      </c>
      <c r="K381" s="90">
        <f t="shared" si="5"/>
        <v>0</v>
      </c>
      <c r="L381" s="90">
        <f t="shared" si="5"/>
        <v>3</v>
      </c>
      <c r="M381" s="90">
        <f t="shared" si="5"/>
        <v>11</v>
      </c>
      <c r="N381" s="90">
        <f t="shared" si="5"/>
        <v>49</v>
      </c>
      <c r="O381" s="90">
        <f t="shared" si="5"/>
        <v>208</v>
      </c>
      <c r="P381" s="90">
        <f t="shared" si="5"/>
        <v>155</v>
      </c>
      <c r="Q381" s="90">
        <f t="shared" si="5"/>
        <v>289</v>
      </c>
      <c r="R381" s="90">
        <f t="shared" si="5"/>
        <v>80</v>
      </c>
      <c r="S381" s="90">
        <f t="shared" si="5"/>
        <v>165</v>
      </c>
      <c r="T381" s="90">
        <f t="shared" si="5"/>
        <v>351</v>
      </c>
      <c r="U381" s="90">
        <f t="shared" si="5"/>
        <v>22</v>
      </c>
      <c r="V381" s="90">
        <f t="shared" si="5"/>
        <v>121</v>
      </c>
      <c r="W381" s="90">
        <f t="shared" si="5"/>
        <v>556</v>
      </c>
      <c r="X381" s="90">
        <f t="shared" si="5"/>
        <v>4752</v>
      </c>
    </row>
    <row r="382" spans="2:27" x14ac:dyDescent="0.2">
      <c r="B382" s="66" t="s">
        <v>13</v>
      </c>
      <c r="C382" s="90">
        <f t="shared" ref="C382:X393" si="6">+C351+C322+C293+C264+C235+C206+C177+C148+C119+C90+C61+C32</f>
        <v>0</v>
      </c>
      <c r="D382" s="90">
        <f t="shared" si="6"/>
        <v>0</v>
      </c>
      <c r="E382" s="90">
        <f t="shared" si="6"/>
        <v>0</v>
      </c>
      <c r="F382" s="90">
        <f t="shared" si="6"/>
        <v>0</v>
      </c>
      <c r="G382" s="90">
        <f t="shared" si="6"/>
        <v>2</v>
      </c>
      <c r="H382" s="90">
        <f t="shared" si="6"/>
        <v>0</v>
      </c>
      <c r="I382" s="90">
        <f t="shared" si="6"/>
        <v>13</v>
      </c>
      <c r="J382" s="90">
        <f t="shared" si="6"/>
        <v>0</v>
      </c>
      <c r="K382" s="90">
        <f t="shared" si="6"/>
        <v>0</v>
      </c>
      <c r="L382" s="90">
        <f t="shared" si="6"/>
        <v>0</v>
      </c>
      <c r="M382" s="90">
        <f t="shared" si="6"/>
        <v>0</v>
      </c>
      <c r="N382" s="90">
        <f t="shared" si="6"/>
        <v>16</v>
      </c>
      <c r="O382" s="90">
        <f t="shared" si="6"/>
        <v>107</v>
      </c>
      <c r="P382" s="90">
        <f t="shared" si="6"/>
        <v>118</v>
      </c>
      <c r="Q382" s="90">
        <f t="shared" si="6"/>
        <v>93</v>
      </c>
      <c r="R382" s="90">
        <f t="shared" si="6"/>
        <v>25</v>
      </c>
      <c r="S382" s="90">
        <f t="shared" si="6"/>
        <v>50</v>
      </c>
      <c r="T382" s="90">
        <f t="shared" si="6"/>
        <v>55</v>
      </c>
      <c r="U382" s="90">
        <f t="shared" si="6"/>
        <v>11</v>
      </c>
      <c r="V382" s="90">
        <f t="shared" si="6"/>
        <v>66</v>
      </c>
      <c r="W382" s="90">
        <f t="shared" si="6"/>
        <v>158</v>
      </c>
      <c r="X382" s="90">
        <f t="shared" si="6"/>
        <v>538</v>
      </c>
    </row>
    <row r="383" spans="2:27" x14ac:dyDescent="0.2">
      <c r="B383" s="66" t="s">
        <v>12</v>
      </c>
      <c r="C383" s="90">
        <f t="shared" si="6"/>
        <v>0</v>
      </c>
      <c r="D383" s="90">
        <f t="shared" si="6"/>
        <v>0</v>
      </c>
      <c r="E383" s="90">
        <f t="shared" si="6"/>
        <v>0</v>
      </c>
      <c r="F383" s="90">
        <f t="shared" si="6"/>
        <v>0</v>
      </c>
      <c r="G383" s="90">
        <f t="shared" si="6"/>
        <v>0</v>
      </c>
      <c r="H383" s="90">
        <f t="shared" si="6"/>
        <v>0</v>
      </c>
      <c r="I383" s="90">
        <f t="shared" si="6"/>
        <v>3</v>
      </c>
      <c r="J383" s="90">
        <f t="shared" si="6"/>
        <v>0</v>
      </c>
      <c r="K383" s="90">
        <f t="shared" si="6"/>
        <v>1</v>
      </c>
      <c r="L383" s="90">
        <f t="shared" si="6"/>
        <v>1</v>
      </c>
      <c r="M383" s="90">
        <f t="shared" si="6"/>
        <v>1</v>
      </c>
      <c r="N383" s="90">
        <f t="shared" si="6"/>
        <v>6</v>
      </c>
      <c r="O383" s="90">
        <f t="shared" si="6"/>
        <v>68</v>
      </c>
      <c r="P383" s="90">
        <f t="shared" si="6"/>
        <v>19</v>
      </c>
      <c r="Q383" s="90">
        <f t="shared" si="6"/>
        <v>91</v>
      </c>
      <c r="R383" s="90">
        <f t="shared" si="6"/>
        <v>9</v>
      </c>
      <c r="S383" s="90">
        <f t="shared" si="6"/>
        <v>50</v>
      </c>
      <c r="T383" s="90">
        <f t="shared" si="6"/>
        <v>90</v>
      </c>
      <c r="U383" s="90">
        <f t="shared" si="6"/>
        <v>17</v>
      </c>
      <c r="V383" s="90">
        <f t="shared" si="6"/>
        <v>39</v>
      </c>
      <c r="W383" s="90">
        <f t="shared" si="6"/>
        <v>79</v>
      </c>
      <c r="X383" s="90">
        <f t="shared" si="6"/>
        <v>472</v>
      </c>
    </row>
    <row r="384" spans="2:27" x14ac:dyDescent="0.2">
      <c r="B384" s="66" t="s">
        <v>11</v>
      </c>
      <c r="C384" s="90">
        <f t="shared" si="6"/>
        <v>0</v>
      </c>
      <c r="D384" s="90">
        <f t="shared" si="6"/>
        <v>0</v>
      </c>
      <c r="E384" s="90">
        <f t="shared" si="6"/>
        <v>0</v>
      </c>
      <c r="F384" s="90">
        <f t="shared" si="6"/>
        <v>0</v>
      </c>
      <c r="G384" s="90">
        <f t="shared" si="6"/>
        <v>0</v>
      </c>
      <c r="H384" s="90">
        <f t="shared" si="6"/>
        <v>0</v>
      </c>
      <c r="I384" s="90">
        <f t="shared" si="6"/>
        <v>3</v>
      </c>
      <c r="J384" s="90">
        <f t="shared" si="6"/>
        <v>1</v>
      </c>
      <c r="K384" s="90">
        <f t="shared" si="6"/>
        <v>0</v>
      </c>
      <c r="L384" s="90">
        <f t="shared" si="6"/>
        <v>2</v>
      </c>
      <c r="M384" s="90">
        <f t="shared" si="6"/>
        <v>2</v>
      </c>
      <c r="N384" s="90">
        <f t="shared" si="6"/>
        <v>8</v>
      </c>
      <c r="O384" s="90">
        <f t="shared" si="6"/>
        <v>76</v>
      </c>
      <c r="P384" s="90">
        <f t="shared" si="6"/>
        <v>19</v>
      </c>
      <c r="Q384" s="90">
        <f t="shared" si="6"/>
        <v>120</v>
      </c>
      <c r="R384" s="90">
        <f t="shared" si="6"/>
        <v>35</v>
      </c>
      <c r="S384" s="90">
        <f t="shared" si="6"/>
        <v>75</v>
      </c>
      <c r="T384" s="90">
        <f t="shared" si="6"/>
        <v>102</v>
      </c>
      <c r="U384" s="90">
        <f t="shared" si="6"/>
        <v>8</v>
      </c>
      <c r="V384" s="90">
        <f t="shared" si="6"/>
        <v>69</v>
      </c>
      <c r="W384" s="90">
        <f t="shared" si="6"/>
        <v>117</v>
      </c>
      <c r="X384" s="90">
        <f t="shared" si="6"/>
        <v>673</v>
      </c>
    </row>
    <row r="385" spans="2:24" x14ac:dyDescent="0.2">
      <c r="B385" s="66" t="s">
        <v>10</v>
      </c>
      <c r="C385" s="90">
        <f t="shared" si="6"/>
        <v>0</v>
      </c>
      <c r="D385" s="90">
        <f t="shared" si="6"/>
        <v>0</v>
      </c>
      <c r="E385" s="90">
        <f t="shared" si="6"/>
        <v>0</v>
      </c>
      <c r="F385" s="90">
        <f t="shared" si="6"/>
        <v>0</v>
      </c>
      <c r="G385" s="90">
        <f t="shared" si="6"/>
        <v>0</v>
      </c>
      <c r="H385" s="90">
        <f t="shared" si="6"/>
        <v>0</v>
      </c>
      <c r="I385" s="90">
        <f t="shared" si="6"/>
        <v>0</v>
      </c>
      <c r="J385" s="90">
        <f t="shared" si="6"/>
        <v>0</v>
      </c>
      <c r="K385" s="90">
        <f t="shared" si="6"/>
        <v>0</v>
      </c>
      <c r="L385" s="90">
        <f t="shared" si="6"/>
        <v>1</v>
      </c>
      <c r="M385" s="90">
        <f t="shared" si="6"/>
        <v>0</v>
      </c>
      <c r="N385" s="90">
        <f t="shared" si="6"/>
        <v>24</v>
      </c>
      <c r="O385" s="90">
        <f t="shared" si="6"/>
        <v>249</v>
      </c>
      <c r="P385" s="90">
        <f t="shared" si="6"/>
        <v>45</v>
      </c>
      <c r="Q385" s="90">
        <f t="shared" si="6"/>
        <v>139</v>
      </c>
      <c r="R385" s="90">
        <f t="shared" si="6"/>
        <v>44</v>
      </c>
      <c r="S385" s="90">
        <f t="shared" si="6"/>
        <v>72</v>
      </c>
      <c r="T385" s="90">
        <f t="shared" si="6"/>
        <v>158</v>
      </c>
      <c r="U385" s="90">
        <f t="shared" si="6"/>
        <v>23</v>
      </c>
      <c r="V385" s="90">
        <f t="shared" si="6"/>
        <v>89</v>
      </c>
      <c r="W385" s="90">
        <f t="shared" si="6"/>
        <v>352</v>
      </c>
      <c r="X385" s="90">
        <f t="shared" si="6"/>
        <v>1824</v>
      </c>
    </row>
    <row r="386" spans="2:24" x14ac:dyDescent="0.2">
      <c r="B386" s="66" t="s">
        <v>9</v>
      </c>
      <c r="C386" s="90">
        <f t="shared" si="6"/>
        <v>2</v>
      </c>
      <c r="D386" s="90">
        <f t="shared" si="6"/>
        <v>0</v>
      </c>
      <c r="E386" s="90">
        <f t="shared" si="6"/>
        <v>0</v>
      </c>
      <c r="F386" s="90">
        <f t="shared" si="6"/>
        <v>0</v>
      </c>
      <c r="G386" s="90">
        <f t="shared" si="6"/>
        <v>0</v>
      </c>
      <c r="H386" s="90">
        <f t="shared" si="6"/>
        <v>0</v>
      </c>
      <c r="I386" s="90">
        <f t="shared" si="6"/>
        <v>1</v>
      </c>
      <c r="J386" s="90">
        <f t="shared" si="6"/>
        <v>0</v>
      </c>
      <c r="K386" s="90">
        <f t="shared" si="6"/>
        <v>0</v>
      </c>
      <c r="L386" s="90">
        <f t="shared" si="6"/>
        <v>0</v>
      </c>
      <c r="M386" s="90">
        <f t="shared" si="6"/>
        <v>0</v>
      </c>
      <c r="N386" s="90">
        <f t="shared" si="6"/>
        <v>3</v>
      </c>
      <c r="O386" s="90">
        <f t="shared" si="6"/>
        <v>63</v>
      </c>
      <c r="P386" s="90">
        <f t="shared" si="6"/>
        <v>24</v>
      </c>
      <c r="Q386" s="90">
        <f t="shared" si="6"/>
        <v>36</v>
      </c>
      <c r="R386" s="90">
        <f t="shared" si="6"/>
        <v>33</v>
      </c>
      <c r="S386" s="90">
        <f t="shared" si="6"/>
        <v>19</v>
      </c>
      <c r="T386" s="90">
        <f t="shared" si="6"/>
        <v>58</v>
      </c>
      <c r="U386" s="90">
        <f t="shared" si="6"/>
        <v>24</v>
      </c>
      <c r="V386" s="90">
        <f t="shared" si="6"/>
        <v>44</v>
      </c>
      <c r="W386" s="90">
        <f t="shared" si="6"/>
        <v>90</v>
      </c>
      <c r="X386" s="90">
        <f t="shared" si="6"/>
        <v>448</v>
      </c>
    </row>
    <row r="387" spans="2:24" x14ac:dyDescent="0.2">
      <c r="B387" s="66" t="s">
        <v>66</v>
      </c>
      <c r="C387" s="90">
        <f t="shared" si="6"/>
        <v>6</v>
      </c>
      <c r="D387" s="90">
        <f t="shared" si="6"/>
        <v>0</v>
      </c>
      <c r="E387" s="90">
        <f t="shared" si="6"/>
        <v>0</v>
      </c>
      <c r="F387" s="90">
        <f t="shared" si="6"/>
        <v>0</v>
      </c>
      <c r="G387" s="90">
        <f t="shared" si="6"/>
        <v>0</v>
      </c>
      <c r="H387" s="90">
        <f t="shared" si="6"/>
        <v>0</v>
      </c>
      <c r="I387" s="90">
        <f t="shared" si="6"/>
        <v>0</v>
      </c>
      <c r="J387" s="90">
        <f t="shared" si="6"/>
        <v>14</v>
      </c>
      <c r="K387" s="90">
        <f t="shared" si="6"/>
        <v>4</v>
      </c>
      <c r="L387" s="90">
        <f t="shared" si="6"/>
        <v>10</v>
      </c>
      <c r="M387" s="90">
        <f t="shared" si="6"/>
        <v>5</v>
      </c>
      <c r="N387" s="90">
        <f t="shared" si="6"/>
        <v>387</v>
      </c>
      <c r="O387" s="90">
        <f t="shared" si="6"/>
        <v>4180</v>
      </c>
      <c r="P387" s="90">
        <f t="shared" si="6"/>
        <v>822</v>
      </c>
      <c r="Q387" s="90">
        <f t="shared" si="6"/>
        <v>3498</v>
      </c>
      <c r="R387" s="90">
        <f t="shared" si="6"/>
        <v>798</v>
      </c>
      <c r="S387" s="90">
        <f t="shared" si="6"/>
        <v>3288</v>
      </c>
      <c r="T387" s="90">
        <f t="shared" si="6"/>
        <v>5175</v>
      </c>
      <c r="U387" s="90">
        <f t="shared" si="6"/>
        <v>769</v>
      </c>
      <c r="V387" s="90">
        <f t="shared" si="6"/>
        <v>1399</v>
      </c>
      <c r="W387" s="90">
        <f t="shared" si="6"/>
        <v>6738</v>
      </c>
      <c r="X387" s="90">
        <f t="shared" si="6"/>
        <v>34722</v>
      </c>
    </row>
    <row r="388" spans="2:24" x14ac:dyDescent="0.2">
      <c r="B388" s="66" t="s">
        <v>6</v>
      </c>
      <c r="C388" s="90">
        <f t="shared" si="6"/>
        <v>1</v>
      </c>
      <c r="D388" s="90">
        <f t="shared" si="6"/>
        <v>0</v>
      </c>
      <c r="E388" s="90">
        <f t="shared" si="6"/>
        <v>0</v>
      </c>
      <c r="F388" s="90">
        <f t="shared" si="6"/>
        <v>0</v>
      </c>
      <c r="G388" s="90">
        <f t="shared" si="6"/>
        <v>0</v>
      </c>
      <c r="H388" s="90">
        <f t="shared" si="6"/>
        <v>0</v>
      </c>
      <c r="I388" s="90">
        <f t="shared" si="6"/>
        <v>0</v>
      </c>
      <c r="J388" s="90">
        <f t="shared" si="6"/>
        <v>0</v>
      </c>
      <c r="K388" s="90">
        <f t="shared" si="6"/>
        <v>0</v>
      </c>
      <c r="L388" s="90">
        <f t="shared" si="6"/>
        <v>1</v>
      </c>
      <c r="M388" s="90">
        <f t="shared" si="6"/>
        <v>2</v>
      </c>
      <c r="N388" s="90">
        <f t="shared" si="6"/>
        <v>10</v>
      </c>
      <c r="O388" s="90">
        <f t="shared" si="6"/>
        <v>341</v>
      </c>
      <c r="P388" s="90">
        <f t="shared" si="6"/>
        <v>125</v>
      </c>
      <c r="Q388" s="90">
        <f t="shared" si="6"/>
        <v>362</v>
      </c>
      <c r="R388" s="90">
        <f t="shared" si="6"/>
        <v>165</v>
      </c>
      <c r="S388" s="90">
        <f t="shared" si="6"/>
        <v>297</v>
      </c>
      <c r="T388" s="90">
        <f t="shared" si="6"/>
        <v>380</v>
      </c>
      <c r="U388" s="90">
        <f t="shared" si="6"/>
        <v>100</v>
      </c>
      <c r="V388" s="90">
        <f t="shared" si="6"/>
        <v>129</v>
      </c>
      <c r="W388" s="90">
        <f t="shared" si="6"/>
        <v>321</v>
      </c>
      <c r="X388" s="90">
        <f t="shared" si="6"/>
        <v>1460</v>
      </c>
    </row>
    <row r="389" spans="2:24" x14ac:dyDescent="0.2">
      <c r="B389" s="66" t="s">
        <v>5</v>
      </c>
      <c r="C389" s="90">
        <f t="shared" si="6"/>
        <v>0</v>
      </c>
      <c r="D389" s="90">
        <f t="shared" si="6"/>
        <v>0</v>
      </c>
      <c r="E389" s="90">
        <f t="shared" si="6"/>
        <v>0</v>
      </c>
      <c r="F389" s="90">
        <f t="shared" si="6"/>
        <v>0</v>
      </c>
      <c r="G389" s="90">
        <f t="shared" si="6"/>
        <v>0</v>
      </c>
      <c r="H389" s="90">
        <f t="shared" si="6"/>
        <v>0</v>
      </c>
      <c r="I389" s="90">
        <f t="shared" si="6"/>
        <v>1</v>
      </c>
      <c r="J389" s="90">
        <f t="shared" si="6"/>
        <v>0</v>
      </c>
      <c r="K389" s="90">
        <f t="shared" si="6"/>
        <v>0</v>
      </c>
      <c r="L389" s="90">
        <f t="shared" si="6"/>
        <v>0</v>
      </c>
      <c r="M389" s="90">
        <f t="shared" si="6"/>
        <v>0</v>
      </c>
      <c r="N389" s="90">
        <f t="shared" si="6"/>
        <v>7</v>
      </c>
      <c r="O389" s="90">
        <f t="shared" si="6"/>
        <v>269</v>
      </c>
      <c r="P389" s="90">
        <f t="shared" si="6"/>
        <v>73</v>
      </c>
      <c r="Q389" s="90">
        <f t="shared" si="6"/>
        <v>316</v>
      </c>
      <c r="R389" s="90">
        <f t="shared" si="6"/>
        <v>160</v>
      </c>
      <c r="S389" s="90">
        <f t="shared" si="6"/>
        <v>608</v>
      </c>
      <c r="T389" s="90">
        <f t="shared" si="6"/>
        <v>434</v>
      </c>
      <c r="U389" s="90">
        <f t="shared" si="6"/>
        <v>30</v>
      </c>
      <c r="V389" s="90">
        <f t="shared" si="6"/>
        <v>46</v>
      </c>
      <c r="W389" s="90">
        <f t="shared" si="6"/>
        <v>148</v>
      </c>
      <c r="X389" s="90">
        <f t="shared" si="6"/>
        <v>599</v>
      </c>
    </row>
    <row r="390" spans="2:24" x14ac:dyDescent="0.2">
      <c r="B390" s="66" t="s">
        <v>68</v>
      </c>
      <c r="C390" s="90">
        <f t="shared" si="6"/>
        <v>0</v>
      </c>
      <c r="D390" s="90">
        <f t="shared" si="6"/>
        <v>0</v>
      </c>
      <c r="E390" s="90">
        <f t="shared" si="6"/>
        <v>0</v>
      </c>
      <c r="F390" s="90">
        <f t="shared" si="6"/>
        <v>0</v>
      </c>
      <c r="G390" s="90">
        <f t="shared" si="6"/>
        <v>0</v>
      </c>
      <c r="H390" s="90">
        <f t="shared" si="6"/>
        <v>0</v>
      </c>
      <c r="I390" s="90">
        <f t="shared" si="6"/>
        <v>1</v>
      </c>
      <c r="J390" s="90">
        <f t="shared" si="6"/>
        <v>0</v>
      </c>
      <c r="K390" s="90">
        <f t="shared" si="6"/>
        <v>0</v>
      </c>
      <c r="L390" s="90">
        <f t="shared" si="6"/>
        <v>0</v>
      </c>
      <c r="M390" s="90">
        <f t="shared" si="6"/>
        <v>0</v>
      </c>
      <c r="N390" s="90">
        <f t="shared" si="6"/>
        <v>1</v>
      </c>
      <c r="O390" s="90">
        <f t="shared" si="6"/>
        <v>226</v>
      </c>
      <c r="P390" s="90">
        <f t="shared" si="6"/>
        <v>98</v>
      </c>
      <c r="Q390" s="90">
        <f t="shared" si="6"/>
        <v>170</v>
      </c>
      <c r="R390" s="90">
        <f t="shared" si="6"/>
        <v>102</v>
      </c>
      <c r="S390" s="90">
        <f t="shared" si="6"/>
        <v>224</v>
      </c>
      <c r="T390" s="90">
        <f t="shared" si="6"/>
        <v>250</v>
      </c>
      <c r="U390" s="90">
        <f t="shared" si="6"/>
        <v>62</v>
      </c>
      <c r="V390" s="90">
        <f t="shared" si="6"/>
        <v>41</v>
      </c>
      <c r="W390" s="90">
        <f t="shared" si="6"/>
        <v>69</v>
      </c>
      <c r="X390" s="90">
        <f t="shared" si="6"/>
        <v>394</v>
      </c>
    </row>
    <row r="391" spans="2:24" x14ac:dyDescent="0.2">
      <c r="B391" s="66" t="s">
        <v>80</v>
      </c>
      <c r="C391" s="90">
        <f t="shared" si="6"/>
        <v>3</v>
      </c>
      <c r="D391" s="90">
        <f t="shared" si="6"/>
        <v>0</v>
      </c>
      <c r="E391" s="90">
        <f t="shared" si="6"/>
        <v>19</v>
      </c>
      <c r="F391" s="90">
        <f t="shared" si="6"/>
        <v>0</v>
      </c>
      <c r="G391" s="90">
        <f t="shared" si="6"/>
        <v>2</v>
      </c>
      <c r="H391" s="90">
        <f t="shared" si="6"/>
        <v>1</v>
      </c>
      <c r="I391" s="90">
        <f t="shared" si="6"/>
        <v>1</v>
      </c>
      <c r="J391" s="90">
        <f t="shared" si="6"/>
        <v>0</v>
      </c>
      <c r="K391" s="90">
        <f t="shared" si="6"/>
        <v>0</v>
      </c>
      <c r="L391" s="90">
        <f t="shared" si="6"/>
        <v>0</v>
      </c>
      <c r="M391" s="90">
        <f t="shared" si="6"/>
        <v>0</v>
      </c>
      <c r="N391" s="90">
        <f t="shared" si="6"/>
        <v>7</v>
      </c>
      <c r="O391" s="90">
        <f t="shared" si="6"/>
        <v>432</v>
      </c>
      <c r="P391" s="90">
        <f t="shared" si="6"/>
        <v>127</v>
      </c>
      <c r="Q391" s="90">
        <f t="shared" si="6"/>
        <v>550</v>
      </c>
      <c r="R391" s="90">
        <f t="shared" si="6"/>
        <v>269</v>
      </c>
      <c r="S391" s="90">
        <f t="shared" si="6"/>
        <v>411</v>
      </c>
      <c r="T391" s="90">
        <f t="shared" si="6"/>
        <v>507</v>
      </c>
      <c r="U391" s="90">
        <f t="shared" si="6"/>
        <v>82</v>
      </c>
      <c r="V391" s="90">
        <f t="shared" si="6"/>
        <v>98</v>
      </c>
      <c r="W391" s="90">
        <f t="shared" si="6"/>
        <v>273</v>
      </c>
      <c r="X391" s="90">
        <f t="shared" si="6"/>
        <v>985</v>
      </c>
    </row>
    <row r="392" spans="2:24" x14ac:dyDescent="0.2">
      <c r="B392" s="66" t="s">
        <v>2</v>
      </c>
      <c r="C392" s="90">
        <f t="shared" si="6"/>
        <v>3</v>
      </c>
      <c r="D392" s="90">
        <f t="shared" si="6"/>
        <v>1</v>
      </c>
      <c r="E392" s="90">
        <f t="shared" si="6"/>
        <v>0</v>
      </c>
      <c r="F392" s="90">
        <f t="shared" si="6"/>
        <v>2</v>
      </c>
      <c r="G392" s="90">
        <f t="shared" si="6"/>
        <v>2</v>
      </c>
      <c r="H392" s="90">
        <f t="shared" si="6"/>
        <v>2</v>
      </c>
      <c r="I392" s="90">
        <f t="shared" si="6"/>
        <v>296</v>
      </c>
      <c r="J392" s="90">
        <f t="shared" si="6"/>
        <v>3</v>
      </c>
      <c r="K392" s="90">
        <f t="shared" si="6"/>
        <v>1</v>
      </c>
      <c r="L392" s="90">
        <f t="shared" si="6"/>
        <v>0</v>
      </c>
      <c r="M392" s="90">
        <f t="shared" si="6"/>
        <v>1</v>
      </c>
      <c r="N392" s="90">
        <f t="shared" si="6"/>
        <v>0</v>
      </c>
      <c r="O392" s="90">
        <f t="shared" si="6"/>
        <v>1697</v>
      </c>
      <c r="P392" s="90">
        <f t="shared" si="6"/>
        <v>329</v>
      </c>
      <c r="Q392" s="90">
        <f t="shared" si="6"/>
        <v>1441</v>
      </c>
      <c r="R392" s="90">
        <f t="shared" si="6"/>
        <v>422</v>
      </c>
      <c r="S392" s="90">
        <f t="shared" si="6"/>
        <v>1270</v>
      </c>
      <c r="T392" s="90">
        <f t="shared" si="6"/>
        <v>1812</v>
      </c>
      <c r="U392" s="90">
        <f t="shared" si="6"/>
        <v>70</v>
      </c>
      <c r="V392" s="90">
        <f t="shared" si="6"/>
        <v>65</v>
      </c>
      <c r="W392" s="90">
        <f t="shared" si="6"/>
        <v>384</v>
      </c>
      <c r="X392" s="90">
        <f t="shared" si="6"/>
        <v>1498</v>
      </c>
    </row>
    <row r="393" spans="2:24" x14ac:dyDescent="0.2">
      <c r="B393" s="66" t="s">
        <v>70</v>
      </c>
      <c r="C393" s="90">
        <f t="shared" si="6"/>
        <v>359</v>
      </c>
      <c r="D393" s="90">
        <f t="shared" si="6"/>
        <v>176</v>
      </c>
      <c r="E393" s="90">
        <f t="shared" si="6"/>
        <v>111</v>
      </c>
      <c r="F393" s="90">
        <f t="shared" si="6"/>
        <v>146</v>
      </c>
      <c r="G393" s="90">
        <f t="shared" si="6"/>
        <v>460</v>
      </c>
      <c r="H393" s="90">
        <f t="shared" si="6"/>
        <v>213</v>
      </c>
      <c r="I393" s="90">
        <f t="shared" si="6"/>
        <v>6659</v>
      </c>
      <c r="J393" s="90">
        <f t="shared" si="6"/>
        <v>679</v>
      </c>
      <c r="K393" s="90">
        <f t="shared" si="6"/>
        <v>596</v>
      </c>
      <c r="L393" s="90">
        <f t="shared" si="6"/>
        <v>254</v>
      </c>
      <c r="M393" s="90">
        <f t="shared" si="6"/>
        <v>440</v>
      </c>
      <c r="N393" s="90">
        <f t="shared" si="6"/>
        <v>1348</v>
      </c>
      <c r="O393" s="90">
        <f t="shared" si="6"/>
        <v>0</v>
      </c>
      <c r="P393" s="90">
        <f t="shared" ref="P393:X393" si="7">+P362+P333+P304+P275+P246+P217+P188+P159+P130+P101+P72+P43</f>
        <v>78</v>
      </c>
      <c r="Q393" s="90">
        <f t="shared" si="7"/>
        <v>113</v>
      </c>
      <c r="R393" s="90">
        <f t="shared" si="7"/>
        <v>12</v>
      </c>
      <c r="S393" s="90">
        <f t="shared" si="7"/>
        <v>33</v>
      </c>
      <c r="T393" s="90">
        <f t="shared" si="7"/>
        <v>48</v>
      </c>
      <c r="U393" s="90">
        <f t="shared" si="7"/>
        <v>12</v>
      </c>
      <c r="V393" s="90">
        <f t="shared" si="7"/>
        <v>3</v>
      </c>
      <c r="W393" s="90">
        <f t="shared" si="7"/>
        <v>39</v>
      </c>
      <c r="X393" s="90">
        <f t="shared" si="7"/>
        <v>164</v>
      </c>
    </row>
    <row r="394" spans="2:24" x14ac:dyDescent="0.2">
      <c r="B394" s="66" t="s">
        <v>71</v>
      </c>
      <c r="C394" s="90">
        <f t="shared" ref="C394:X402" si="8">+C363+C334+C305+C276+C247+C218+C189+C160+C131+C102+C73+C44</f>
        <v>213</v>
      </c>
      <c r="D394" s="90">
        <f t="shared" si="8"/>
        <v>135</v>
      </c>
      <c r="E394" s="90">
        <f t="shared" si="8"/>
        <v>43</v>
      </c>
      <c r="F394" s="90">
        <f t="shared" si="8"/>
        <v>49</v>
      </c>
      <c r="G394" s="90">
        <f t="shared" si="8"/>
        <v>72</v>
      </c>
      <c r="H394" s="90">
        <f t="shared" si="8"/>
        <v>31</v>
      </c>
      <c r="I394" s="90">
        <f t="shared" si="8"/>
        <v>1076</v>
      </c>
      <c r="J394" s="90">
        <f t="shared" si="8"/>
        <v>206</v>
      </c>
      <c r="K394" s="90">
        <f t="shared" si="8"/>
        <v>133</v>
      </c>
      <c r="L394" s="90">
        <f t="shared" si="8"/>
        <v>77</v>
      </c>
      <c r="M394" s="90">
        <f t="shared" si="8"/>
        <v>130</v>
      </c>
      <c r="N394" s="90">
        <f t="shared" si="8"/>
        <v>257</v>
      </c>
      <c r="O394" s="90">
        <f t="shared" si="8"/>
        <v>69</v>
      </c>
      <c r="P394" s="90">
        <f t="shared" si="8"/>
        <v>0</v>
      </c>
      <c r="Q394" s="90">
        <f t="shared" si="8"/>
        <v>16</v>
      </c>
      <c r="R394" s="90">
        <f t="shared" si="8"/>
        <v>0</v>
      </c>
      <c r="S394" s="90">
        <f t="shared" si="8"/>
        <v>32</v>
      </c>
      <c r="T394" s="90">
        <f t="shared" si="8"/>
        <v>14</v>
      </c>
      <c r="U394" s="90">
        <f t="shared" si="8"/>
        <v>0</v>
      </c>
      <c r="V394" s="90">
        <f t="shared" si="8"/>
        <v>0</v>
      </c>
      <c r="W394" s="90">
        <f t="shared" si="8"/>
        <v>7</v>
      </c>
      <c r="X394" s="90">
        <f t="shared" si="8"/>
        <v>56</v>
      </c>
    </row>
    <row r="395" spans="2:24" x14ac:dyDescent="0.2">
      <c r="B395" s="66" t="s">
        <v>72</v>
      </c>
      <c r="C395" s="90">
        <f t="shared" si="8"/>
        <v>447</v>
      </c>
      <c r="D395" s="90">
        <f t="shared" si="8"/>
        <v>118</v>
      </c>
      <c r="E395" s="90">
        <f t="shared" si="8"/>
        <v>159</v>
      </c>
      <c r="F395" s="90">
        <f t="shared" si="8"/>
        <v>177</v>
      </c>
      <c r="G395" s="90">
        <f t="shared" si="8"/>
        <v>226</v>
      </c>
      <c r="H395" s="90">
        <f t="shared" si="8"/>
        <v>87</v>
      </c>
      <c r="I395" s="90">
        <f t="shared" si="8"/>
        <v>5501</v>
      </c>
      <c r="J395" s="90">
        <f t="shared" si="8"/>
        <v>600</v>
      </c>
      <c r="K395" s="90">
        <f t="shared" si="8"/>
        <v>736</v>
      </c>
      <c r="L395" s="90">
        <f t="shared" si="8"/>
        <v>353</v>
      </c>
      <c r="M395" s="90">
        <f t="shared" si="8"/>
        <v>584</v>
      </c>
      <c r="N395" s="90">
        <f t="shared" si="8"/>
        <v>1230</v>
      </c>
      <c r="O395" s="90">
        <f t="shared" si="8"/>
        <v>251</v>
      </c>
      <c r="P395" s="90">
        <f t="shared" si="8"/>
        <v>22</v>
      </c>
      <c r="Q395" s="90">
        <f t="shared" si="8"/>
        <v>0</v>
      </c>
      <c r="R395" s="90">
        <f t="shared" si="8"/>
        <v>5</v>
      </c>
      <c r="S395" s="90">
        <f t="shared" si="8"/>
        <v>90</v>
      </c>
      <c r="T395" s="90">
        <f t="shared" si="8"/>
        <v>96</v>
      </c>
      <c r="U395" s="90">
        <f t="shared" si="8"/>
        <v>1</v>
      </c>
      <c r="V395" s="90">
        <f t="shared" si="8"/>
        <v>3</v>
      </c>
      <c r="W395" s="90">
        <f t="shared" si="8"/>
        <v>63</v>
      </c>
      <c r="X395" s="90">
        <f t="shared" si="8"/>
        <v>259</v>
      </c>
    </row>
    <row r="396" spans="2:24" x14ac:dyDescent="0.2">
      <c r="B396" s="66" t="s">
        <v>73</v>
      </c>
      <c r="C396" s="90">
        <f t="shared" si="8"/>
        <v>103</v>
      </c>
      <c r="D396" s="90">
        <f t="shared" si="8"/>
        <v>42</v>
      </c>
      <c r="E396" s="90">
        <f t="shared" si="8"/>
        <v>16</v>
      </c>
      <c r="F396" s="90">
        <f t="shared" si="8"/>
        <v>40</v>
      </c>
      <c r="G396" s="90">
        <f t="shared" si="8"/>
        <v>72</v>
      </c>
      <c r="H396" s="90">
        <f t="shared" si="8"/>
        <v>49</v>
      </c>
      <c r="I396" s="90">
        <f t="shared" si="8"/>
        <v>1438</v>
      </c>
      <c r="J396" s="90">
        <f t="shared" si="8"/>
        <v>264</v>
      </c>
      <c r="K396" s="90">
        <f t="shared" si="8"/>
        <v>239</v>
      </c>
      <c r="L396" s="90">
        <f t="shared" si="8"/>
        <v>179</v>
      </c>
      <c r="M396" s="90">
        <f t="shared" si="8"/>
        <v>284</v>
      </c>
      <c r="N396" s="90">
        <f t="shared" si="8"/>
        <v>214</v>
      </c>
      <c r="O396" s="90">
        <f t="shared" si="8"/>
        <v>39</v>
      </c>
      <c r="P396" s="90">
        <f t="shared" si="8"/>
        <v>2</v>
      </c>
      <c r="Q396" s="90">
        <f t="shared" si="8"/>
        <v>6</v>
      </c>
      <c r="R396" s="90">
        <f t="shared" si="8"/>
        <v>0</v>
      </c>
      <c r="S396" s="90">
        <f t="shared" si="8"/>
        <v>35</v>
      </c>
      <c r="T396" s="90">
        <f t="shared" si="8"/>
        <v>25</v>
      </c>
      <c r="U396" s="90">
        <f t="shared" si="8"/>
        <v>0</v>
      </c>
      <c r="V396" s="90">
        <f t="shared" si="8"/>
        <v>0</v>
      </c>
      <c r="W396" s="90">
        <f t="shared" si="8"/>
        <v>9</v>
      </c>
      <c r="X396" s="90">
        <f t="shared" si="8"/>
        <v>59</v>
      </c>
    </row>
    <row r="397" spans="2:24" x14ac:dyDescent="0.2">
      <c r="B397" s="66" t="s">
        <v>74</v>
      </c>
      <c r="C397" s="90">
        <f t="shared" si="8"/>
        <v>188</v>
      </c>
      <c r="D397" s="90">
        <f t="shared" si="8"/>
        <v>100</v>
      </c>
      <c r="E397" s="90">
        <f t="shared" si="8"/>
        <v>151</v>
      </c>
      <c r="F397" s="90">
        <f t="shared" si="8"/>
        <v>194</v>
      </c>
      <c r="G397" s="90">
        <f t="shared" si="8"/>
        <v>208</v>
      </c>
      <c r="H397" s="90">
        <f t="shared" si="8"/>
        <v>50</v>
      </c>
      <c r="I397" s="90">
        <f t="shared" si="8"/>
        <v>4752</v>
      </c>
      <c r="J397" s="90">
        <f t="shared" si="8"/>
        <v>683</v>
      </c>
      <c r="K397" s="90">
        <f t="shared" si="8"/>
        <v>1129</v>
      </c>
      <c r="L397" s="90">
        <f t="shared" si="8"/>
        <v>369</v>
      </c>
      <c r="M397" s="90">
        <f t="shared" si="8"/>
        <v>481</v>
      </c>
      <c r="N397" s="90">
        <f t="shared" si="8"/>
        <v>1093</v>
      </c>
      <c r="O397" s="90">
        <f t="shared" si="8"/>
        <v>90</v>
      </c>
      <c r="P397" s="90">
        <f t="shared" si="8"/>
        <v>14</v>
      </c>
      <c r="Q397" s="90">
        <f t="shared" si="8"/>
        <v>78</v>
      </c>
      <c r="R397" s="90">
        <f t="shared" si="8"/>
        <v>9</v>
      </c>
      <c r="S397" s="90">
        <f t="shared" si="8"/>
        <v>0</v>
      </c>
      <c r="T397" s="90">
        <f t="shared" si="8"/>
        <v>15</v>
      </c>
      <c r="U397" s="90">
        <f t="shared" si="8"/>
        <v>70</v>
      </c>
      <c r="V397" s="90">
        <f t="shared" si="8"/>
        <v>17</v>
      </c>
      <c r="W397" s="90">
        <f t="shared" si="8"/>
        <v>64</v>
      </c>
      <c r="X397" s="90">
        <f t="shared" si="8"/>
        <v>699</v>
      </c>
    </row>
    <row r="398" spans="2:24" x14ac:dyDescent="0.2">
      <c r="B398" s="66" t="s">
        <v>75</v>
      </c>
      <c r="C398" s="90">
        <f t="shared" si="8"/>
        <v>386</v>
      </c>
      <c r="D398" s="90">
        <f t="shared" si="8"/>
        <v>111</v>
      </c>
      <c r="E398" s="90">
        <f t="shared" si="8"/>
        <v>127</v>
      </c>
      <c r="F398" s="90">
        <f t="shared" si="8"/>
        <v>234</v>
      </c>
      <c r="G398" s="90">
        <f t="shared" si="8"/>
        <v>349</v>
      </c>
      <c r="H398" s="90">
        <f t="shared" si="8"/>
        <v>92</v>
      </c>
      <c r="I398" s="90">
        <f t="shared" si="8"/>
        <v>6369</v>
      </c>
      <c r="J398" s="90">
        <f t="shared" si="8"/>
        <v>681</v>
      </c>
      <c r="K398" s="90">
        <f t="shared" si="8"/>
        <v>1054</v>
      </c>
      <c r="L398" s="90">
        <f t="shared" si="8"/>
        <v>379</v>
      </c>
      <c r="M398" s="90">
        <f t="shared" si="8"/>
        <v>662</v>
      </c>
      <c r="N398" s="90">
        <f t="shared" si="8"/>
        <v>1208</v>
      </c>
      <c r="O398" s="90">
        <f t="shared" si="8"/>
        <v>60</v>
      </c>
      <c r="P398" s="90">
        <f t="shared" si="8"/>
        <v>2</v>
      </c>
      <c r="Q398" s="90">
        <f t="shared" si="8"/>
        <v>83</v>
      </c>
      <c r="R398" s="90">
        <f t="shared" si="8"/>
        <v>19</v>
      </c>
      <c r="S398" s="90">
        <f t="shared" si="8"/>
        <v>12</v>
      </c>
      <c r="T398" s="90">
        <f t="shared" si="8"/>
        <v>0</v>
      </c>
      <c r="U398" s="90">
        <f t="shared" si="8"/>
        <v>21</v>
      </c>
      <c r="V398" s="90">
        <f t="shared" si="8"/>
        <v>19</v>
      </c>
      <c r="W398" s="90">
        <f t="shared" si="8"/>
        <v>141</v>
      </c>
      <c r="X398" s="90">
        <f t="shared" si="8"/>
        <v>845</v>
      </c>
    </row>
    <row r="399" spans="2:24" x14ac:dyDescent="0.2">
      <c r="B399" s="66" t="s">
        <v>76</v>
      </c>
      <c r="C399" s="90">
        <f t="shared" si="8"/>
        <v>27</v>
      </c>
      <c r="D399" s="90">
        <f t="shared" si="8"/>
        <v>10</v>
      </c>
      <c r="E399" s="90">
        <f t="shared" si="8"/>
        <v>16</v>
      </c>
      <c r="F399" s="90">
        <f t="shared" si="8"/>
        <v>2</v>
      </c>
      <c r="G399" s="90">
        <f t="shared" si="8"/>
        <v>23</v>
      </c>
      <c r="H399" s="90">
        <f t="shared" si="8"/>
        <v>18</v>
      </c>
      <c r="I399" s="90">
        <f t="shared" si="8"/>
        <v>774</v>
      </c>
      <c r="J399" s="90">
        <f t="shared" si="8"/>
        <v>95</v>
      </c>
      <c r="K399" s="90">
        <f t="shared" si="8"/>
        <v>39</v>
      </c>
      <c r="L399" s="90">
        <f t="shared" si="8"/>
        <v>63</v>
      </c>
      <c r="M399" s="90">
        <f t="shared" si="8"/>
        <v>87</v>
      </c>
      <c r="N399" s="90">
        <f t="shared" si="8"/>
        <v>70</v>
      </c>
      <c r="O399" s="90">
        <f t="shared" si="8"/>
        <v>11</v>
      </c>
      <c r="P399" s="90">
        <f t="shared" si="8"/>
        <v>0</v>
      </c>
      <c r="Q399" s="90">
        <f t="shared" si="8"/>
        <v>0</v>
      </c>
      <c r="R399" s="90">
        <f t="shared" si="8"/>
        <v>2</v>
      </c>
      <c r="S399" s="90">
        <f t="shared" si="8"/>
        <v>43</v>
      </c>
      <c r="T399" s="90">
        <f t="shared" si="8"/>
        <v>14</v>
      </c>
      <c r="U399" s="90">
        <f t="shared" si="8"/>
        <v>0</v>
      </c>
      <c r="V399" s="90">
        <f t="shared" si="8"/>
        <v>3</v>
      </c>
      <c r="W399" s="90">
        <f t="shared" si="8"/>
        <v>21</v>
      </c>
      <c r="X399" s="90">
        <f t="shared" si="8"/>
        <v>132</v>
      </c>
    </row>
    <row r="400" spans="2:24" x14ac:dyDescent="0.2">
      <c r="B400" s="66" t="s">
        <v>77</v>
      </c>
      <c r="C400" s="90">
        <f t="shared" si="8"/>
        <v>142</v>
      </c>
      <c r="D400" s="90">
        <f t="shared" si="8"/>
        <v>82</v>
      </c>
      <c r="E400" s="90">
        <f t="shared" si="8"/>
        <v>37</v>
      </c>
      <c r="F400" s="90">
        <f t="shared" si="8"/>
        <v>95</v>
      </c>
      <c r="G400" s="90">
        <f t="shared" si="8"/>
        <v>95</v>
      </c>
      <c r="H400" s="90">
        <f t="shared" si="8"/>
        <v>53</v>
      </c>
      <c r="I400" s="90">
        <f t="shared" si="8"/>
        <v>1168</v>
      </c>
      <c r="J400" s="90">
        <f t="shared" si="8"/>
        <v>140</v>
      </c>
      <c r="K400" s="90">
        <f t="shared" si="8"/>
        <v>44</v>
      </c>
      <c r="L400" s="90">
        <f t="shared" si="8"/>
        <v>31</v>
      </c>
      <c r="M400" s="90">
        <f t="shared" si="8"/>
        <v>111</v>
      </c>
      <c r="N400" s="90">
        <f t="shared" si="8"/>
        <v>59</v>
      </c>
      <c r="O400" s="90">
        <f t="shared" si="8"/>
        <v>10</v>
      </c>
      <c r="P400" s="90">
        <f t="shared" si="8"/>
        <v>0</v>
      </c>
      <c r="Q400" s="90">
        <f t="shared" si="8"/>
        <v>7</v>
      </c>
      <c r="R400" s="90">
        <f t="shared" si="8"/>
        <v>1</v>
      </c>
      <c r="S400" s="90">
        <f t="shared" si="8"/>
        <v>6</v>
      </c>
      <c r="T400" s="90">
        <f t="shared" si="8"/>
        <v>22</v>
      </c>
      <c r="U400" s="90">
        <f t="shared" si="8"/>
        <v>5</v>
      </c>
      <c r="V400" s="90">
        <f t="shared" si="8"/>
        <v>0</v>
      </c>
      <c r="W400" s="90">
        <f t="shared" si="8"/>
        <v>305</v>
      </c>
      <c r="X400" s="90">
        <f t="shared" si="8"/>
        <v>565</v>
      </c>
    </row>
    <row r="401" spans="2:27" x14ac:dyDescent="0.2">
      <c r="B401" s="66" t="s">
        <v>78</v>
      </c>
      <c r="C401" s="90">
        <f t="shared" si="8"/>
        <v>520</v>
      </c>
      <c r="D401" s="90">
        <f t="shared" si="8"/>
        <v>136</v>
      </c>
      <c r="E401" s="90">
        <f t="shared" si="8"/>
        <v>75</v>
      </c>
      <c r="F401" s="90">
        <f t="shared" si="8"/>
        <v>149</v>
      </c>
      <c r="G401" s="90">
        <f t="shared" si="8"/>
        <v>336</v>
      </c>
      <c r="H401" s="90">
        <f t="shared" si="8"/>
        <v>87</v>
      </c>
      <c r="I401" s="90">
        <f t="shared" si="8"/>
        <v>5262</v>
      </c>
      <c r="J401" s="90">
        <f t="shared" si="8"/>
        <v>248</v>
      </c>
      <c r="K401" s="90">
        <f t="shared" si="8"/>
        <v>189</v>
      </c>
      <c r="L401" s="90">
        <f t="shared" si="8"/>
        <v>65</v>
      </c>
      <c r="M401" s="90">
        <f t="shared" si="8"/>
        <v>269</v>
      </c>
      <c r="N401" s="90">
        <f t="shared" si="8"/>
        <v>292</v>
      </c>
      <c r="O401" s="90">
        <f t="shared" si="8"/>
        <v>39</v>
      </c>
      <c r="P401" s="90">
        <f t="shared" si="8"/>
        <v>9</v>
      </c>
      <c r="Q401" s="90">
        <f t="shared" si="8"/>
        <v>48</v>
      </c>
      <c r="R401" s="90">
        <f t="shared" si="8"/>
        <v>8</v>
      </c>
      <c r="S401" s="90">
        <f t="shared" si="8"/>
        <v>60</v>
      </c>
      <c r="T401" s="90">
        <f t="shared" si="8"/>
        <v>162</v>
      </c>
      <c r="U401" s="90">
        <f t="shared" si="8"/>
        <v>20</v>
      </c>
      <c r="V401" s="90">
        <f t="shared" si="8"/>
        <v>220</v>
      </c>
      <c r="W401" s="90">
        <f t="shared" si="8"/>
        <v>0</v>
      </c>
      <c r="X401" s="90">
        <f t="shared" si="8"/>
        <v>153</v>
      </c>
    </row>
    <row r="402" spans="2:27" ht="13.5" thickBot="1" x14ac:dyDescent="0.25">
      <c r="B402" s="69" t="s">
        <v>79</v>
      </c>
      <c r="C402" s="90">
        <f t="shared" si="8"/>
        <v>5655</v>
      </c>
      <c r="D402" s="90">
        <f t="shared" si="8"/>
        <v>633</v>
      </c>
      <c r="E402" s="90">
        <f t="shared" si="8"/>
        <v>662</v>
      </c>
      <c r="F402" s="90">
        <f t="shared" si="8"/>
        <v>1016</v>
      </c>
      <c r="G402" s="90">
        <f t="shared" si="8"/>
        <v>2424</v>
      </c>
      <c r="H402" s="90">
        <f t="shared" si="8"/>
        <v>680</v>
      </c>
      <c r="I402" s="90">
        <f t="shared" si="8"/>
        <v>39608</v>
      </c>
      <c r="J402" s="90">
        <f t="shared" si="8"/>
        <v>1846</v>
      </c>
      <c r="K402" s="90">
        <f t="shared" si="8"/>
        <v>705</v>
      </c>
      <c r="L402" s="90">
        <f t="shared" si="8"/>
        <v>514</v>
      </c>
      <c r="M402" s="90">
        <f t="shared" si="8"/>
        <v>1266</v>
      </c>
      <c r="N402" s="90">
        <f t="shared" si="8"/>
        <v>1525</v>
      </c>
      <c r="O402" s="90">
        <f t="shared" si="8"/>
        <v>196</v>
      </c>
      <c r="P402" s="90">
        <f t="shared" si="8"/>
        <v>49</v>
      </c>
      <c r="Q402" s="90">
        <f t="shared" si="8"/>
        <v>294</v>
      </c>
      <c r="R402" s="90">
        <f t="shared" si="8"/>
        <v>75</v>
      </c>
      <c r="S402" s="90">
        <f t="shared" si="8"/>
        <v>724</v>
      </c>
      <c r="T402" s="90">
        <f t="shared" si="8"/>
        <v>953</v>
      </c>
      <c r="U402" s="90">
        <f t="shared" si="8"/>
        <v>161</v>
      </c>
      <c r="V402" s="90">
        <f t="shared" si="8"/>
        <v>642</v>
      </c>
      <c r="W402" s="90">
        <f t="shared" si="8"/>
        <v>119</v>
      </c>
      <c r="X402" s="90">
        <f t="shared" si="8"/>
        <v>0</v>
      </c>
    </row>
    <row r="403" spans="2:27" x14ac:dyDescent="0.2">
      <c r="Y403" s="91">
        <f>+SUM(C381:X402)</f>
        <v>221574</v>
      </c>
      <c r="Z403" s="52">
        <f>+SUM(Z2:Z402)</f>
        <v>450848.59753149207</v>
      </c>
      <c r="AA403" s="81">
        <f>+Z403-Y403</f>
        <v>229274.59753149207</v>
      </c>
    </row>
    <row r="404" spans="2:27" x14ac:dyDescent="0.2">
      <c r="F404" s="82" t="s">
        <v>83</v>
      </c>
      <c r="I404" s="83">
        <f>SUMPRODUCT($C$4:$X$25,C381:X402)</f>
        <v>12479953.799999993</v>
      </c>
    </row>
    <row r="405" spans="2:27" x14ac:dyDescent="0.2">
      <c r="F405" s="82" t="s">
        <v>46</v>
      </c>
      <c r="I405" s="84">
        <f>I404/SUM(C381:X402)</f>
        <v>56.324089468980986</v>
      </c>
    </row>
    <row r="414" spans="2:27" x14ac:dyDescent="0.2">
      <c r="G414" s="52" t="s">
        <v>31</v>
      </c>
      <c r="H414" s="81">
        <f>+I54</f>
        <v>2779203.4500000011</v>
      </c>
    </row>
    <row r="415" spans="2:27" x14ac:dyDescent="0.2">
      <c r="G415" s="52" t="s">
        <v>32</v>
      </c>
      <c r="H415" s="81">
        <f>+I83</f>
        <v>3336120.7</v>
      </c>
    </row>
    <row r="416" spans="2:27" x14ac:dyDescent="0.2">
      <c r="G416" s="52" t="s">
        <v>34</v>
      </c>
      <c r="H416" s="81">
        <f>+I112</f>
        <v>2142620.8999999985</v>
      </c>
    </row>
    <row r="417" spans="3:15" x14ac:dyDescent="0.2">
      <c r="G417" s="52" t="s">
        <v>35</v>
      </c>
      <c r="H417" s="81">
        <f>+I141</f>
        <v>2135997.65</v>
      </c>
    </row>
    <row r="418" spans="3:15" x14ac:dyDescent="0.2">
      <c r="G418" s="52" t="s">
        <v>36</v>
      </c>
      <c r="H418" s="81">
        <f>+I170</f>
        <v>2086011.0999999994</v>
      </c>
    </row>
    <row r="419" spans="3:15" x14ac:dyDescent="0.2">
      <c r="G419" s="52" t="s">
        <v>37</v>
      </c>
      <c r="H419" s="81">
        <f>+I199</f>
        <v>0</v>
      </c>
    </row>
    <row r="420" spans="3:15" x14ac:dyDescent="0.2">
      <c r="G420" s="52" t="s">
        <v>49</v>
      </c>
      <c r="H420" s="81">
        <f>+I228</f>
        <v>0</v>
      </c>
    </row>
    <row r="421" spans="3:15" x14ac:dyDescent="0.2">
      <c r="G421" s="52" t="s">
        <v>50</v>
      </c>
      <c r="H421" s="81">
        <f>+I257</f>
        <v>0</v>
      </c>
    </row>
    <row r="422" spans="3:15" x14ac:dyDescent="0.2">
      <c r="G422" s="52" t="s">
        <v>40</v>
      </c>
      <c r="H422" s="81">
        <f>+I286</f>
        <v>0</v>
      </c>
    </row>
    <row r="423" spans="3:15" x14ac:dyDescent="0.2">
      <c r="G423" s="52" t="s">
        <v>41</v>
      </c>
      <c r="H423" s="81">
        <f>+I315</f>
        <v>0</v>
      </c>
    </row>
    <row r="424" spans="3:15" x14ac:dyDescent="0.2">
      <c r="G424" s="52" t="s">
        <v>42</v>
      </c>
      <c r="H424" s="81">
        <f>+I344</f>
        <v>0</v>
      </c>
    </row>
    <row r="425" spans="3:15" x14ac:dyDescent="0.2">
      <c r="G425" s="52" t="s">
        <v>43</v>
      </c>
      <c r="H425" s="81">
        <f>+I373</f>
        <v>0</v>
      </c>
    </row>
    <row r="429" spans="3:15" x14ac:dyDescent="0.2">
      <c r="D429" s="92" t="s">
        <v>95</v>
      </c>
      <c r="E429" s="92" t="s">
        <v>96</v>
      </c>
      <c r="F429" s="92" t="s">
        <v>97</v>
      </c>
      <c r="G429" s="92" t="s">
        <v>98</v>
      </c>
      <c r="H429" s="92" t="s">
        <v>99</v>
      </c>
      <c r="I429" s="92" t="s">
        <v>100</v>
      </c>
      <c r="J429" s="92" t="s">
        <v>101</v>
      </c>
      <c r="K429" s="92" t="s">
        <v>102</v>
      </c>
      <c r="L429" s="92" t="s">
        <v>103</v>
      </c>
      <c r="M429" s="92" t="s">
        <v>104</v>
      </c>
      <c r="N429" s="92" t="s">
        <v>105</v>
      </c>
      <c r="O429" s="92" t="s">
        <v>106</v>
      </c>
    </row>
    <row r="430" spans="3:15" x14ac:dyDescent="0.2">
      <c r="C430" s="52" t="s">
        <v>63</v>
      </c>
      <c r="D430" s="93">
        <f>+H414</f>
        <v>2779203.4500000011</v>
      </c>
      <c r="E430" s="93">
        <f>+H415</f>
        <v>3336120.7</v>
      </c>
      <c r="F430" s="93">
        <f>+H416</f>
        <v>2142620.8999999985</v>
      </c>
      <c r="G430" s="93">
        <f>+H417</f>
        <v>2135997.65</v>
      </c>
      <c r="H430" s="93">
        <f>+H418</f>
        <v>2086011.0999999994</v>
      </c>
      <c r="I430" s="93">
        <f>+H419</f>
        <v>0</v>
      </c>
      <c r="J430" s="93">
        <f>+H420</f>
        <v>0</v>
      </c>
      <c r="K430" s="93">
        <f>+H421</f>
        <v>0</v>
      </c>
      <c r="L430" s="93">
        <f>+H422</f>
        <v>0</v>
      </c>
      <c r="M430" s="93">
        <f>+H423</f>
        <v>0</v>
      </c>
      <c r="N430" s="93">
        <f>+H424</f>
        <v>0</v>
      </c>
      <c r="O430" s="93">
        <f>+H425</f>
        <v>0</v>
      </c>
    </row>
  </sheetData>
  <mergeCells count="14">
    <mergeCell ref="H348:J348"/>
    <mergeCell ref="H379:J379"/>
    <mergeCell ref="H174:J174"/>
    <mergeCell ref="H203:J203"/>
    <mergeCell ref="H232:J232"/>
    <mergeCell ref="H261:J261"/>
    <mergeCell ref="H290:J290"/>
    <mergeCell ref="H319:J319"/>
    <mergeCell ref="H2:J2"/>
    <mergeCell ref="H29:J29"/>
    <mergeCell ref="H58:J58"/>
    <mergeCell ref="H87:J87"/>
    <mergeCell ref="H116:J116"/>
    <mergeCell ref="H145:J145"/>
  </mergeCells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A2C8-8A23-403D-B4D6-33C65C874365}">
  <dimension ref="A2:AR279"/>
  <sheetViews>
    <sheetView showOutlineSymbols="0" showWhiteSpace="0" topLeftCell="A91" zoomScale="55" zoomScaleNormal="55" workbookViewId="0">
      <selection activeCell="C183" sqref="C183:AB208"/>
    </sheetView>
  </sheetViews>
  <sheetFormatPr baseColWidth="10" defaultRowHeight="15" x14ac:dyDescent="0.25"/>
  <cols>
    <col min="2" max="2" width="14.140625" customWidth="1"/>
    <col min="3" max="3" width="9.140625" customWidth="1"/>
    <col min="4" max="4" width="10.7109375" style="48" customWidth="1"/>
    <col min="5" max="5" width="7.85546875" customWidth="1"/>
    <col min="6" max="7" width="10.7109375" customWidth="1"/>
    <col min="8" max="8" width="12" customWidth="1"/>
    <col min="9" max="9" width="11.5703125" customWidth="1"/>
    <col min="17" max="17" width="10.28515625" customWidth="1"/>
    <col min="19" max="19" width="30.85546875" bestFit="1" customWidth="1"/>
    <col min="21" max="21" width="12" bestFit="1" customWidth="1"/>
  </cols>
  <sheetData>
    <row r="2" spans="1:25" x14ac:dyDescent="0.25">
      <c r="D2" s="94">
        <f>+X10</f>
        <v>9.7000000000000455</v>
      </c>
      <c r="E2" s="94">
        <f>+D2</f>
        <v>9.7000000000000455</v>
      </c>
      <c r="F2" s="94">
        <f t="shared" ref="F2:Q3" si="0">+E2</f>
        <v>9.7000000000000455</v>
      </c>
      <c r="G2" s="94">
        <f t="shared" si="0"/>
        <v>9.7000000000000455</v>
      </c>
      <c r="H2" s="94">
        <f t="shared" si="0"/>
        <v>9.7000000000000455</v>
      </c>
      <c r="I2" s="94">
        <f t="shared" si="0"/>
        <v>9.7000000000000455</v>
      </c>
      <c r="J2" s="94">
        <f t="shared" si="0"/>
        <v>9.7000000000000455</v>
      </c>
      <c r="K2" s="94">
        <f t="shared" si="0"/>
        <v>9.7000000000000455</v>
      </c>
      <c r="L2" s="94">
        <f t="shared" si="0"/>
        <v>9.7000000000000455</v>
      </c>
      <c r="M2" s="94">
        <f t="shared" si="0"/>
        <v>9.7000000000000455</v>
      </c>
      <c r="N2" s="94">
        <f t="shared" si="0"/>
        <v>9.7000000000000455</v>
      </c>
      <c r="O2" s="94">
        <f t="shared" si="0"/>
        <v>9.7000000000000455</v>
      </c>
      <c r="P2" s="94">
        <f>+N2</f>
        <v>9.7000000000000455</v>
      </c>
      <c r="Q2" s="94">
        <f t="shared" si="0"/>
        <v>9.7000000000000455</v>
      </c>
    </row>
    <row r="3" spans="1:25" x14ac:dyDescent="0.25">
      <c r="D3" s="94">
        <f>+W10</f>
        <v>4.45</v>
      </c>
      <c r="E3" s="94">
        <f>+D3</f>
        <v>4.45</v>
      </c>
      <c r="F3" s="94">
        <f t="shared" si="0"/>
        <v>4.45</v>
      </c>
      <c r="G3" s="94">
        <f t="shared" si="0"/>
        <v>4.45</v>
      </c>
      <c r="H3" s="94">
        <f t="shared" si="0"/>
        <v>4.45</v>
      </c>
      <c r="I3" s="94">
        <f t="shared" si="0"/>
        <v>4.45</v>
      </c>
      <c r="J3" s="94">
        <f t="shared" si="0"/>
        <v>4.45</v>
      </c>
      <c r="K3" s="94">
        <f t="shared" si="0"/>
        <v>4.45</v>
      </c>
      <c r="L3" s="94">
        <f t="shared" si="0"/>
        <v>4.45</v>
      </c>
      <c r="M3" s="94">
        <f t="shared" si="0"/>
        <v>4.45</v>
      </c>
      <c r="N3" s="94">
        <f t="shared" si="0"/>
        <v>4.45</v>
      </c>
      <c r="O3" s="94">
        <f t="shared" si="0"/>
        <v>4.45</v>
      </c>
      <c r="P3" s="94">
        <f>+N3</f>
        <v>4.45</v>
      </c>
      <c r="Q3" s="94">
        <f t="shared" si="0"/>
        <v>4.45</v>
      </c>
    </row>
    <row r="4" spans="1:25" x14ac:dyDescent="0.25">
      <c r="D4" s="94">
        <v>12.549999999999999</v>
      </c>
      <c r="E4" s="94">
        <v>12.549999999999999</v>
      </c>
      <c r="F4" s="94">
        <v>12.549999999999999</v>
      </c>
      <c r="G4" s="94">
        <v>12.549999999999999</v>
      </c>
      <c r="H4" s="94">
        <v>12.549999999999999</v>
      </c>
      <c r="I4" s="94">
        <v>12.549999999999999</v>
      </c>
      <c r="J4" s="94">
        <v>12.549999999999999</v>
      </c>
      <c r="K4" s="94">
        <v>12.549999999999999</v>
      </c>
      <c r="L4" s="94">
        <v>12.549999999999999</v>
      </c>
      <c r="M4" s="94">
        <v>12.549999999999999</v>
      </c>
      <c r="N4" s="94">
        <v>12.549999999999999</v>
      </c>
      <c r="O4" s="94">
        <v>12.549999999999999</v>
      </c>
      <c r="P4" s="94">
        <v>12.549999999999999</v>
      </c>
      <c r="Q4" s="94">
        <v>12.549999999999999</v>
      </c>
    </row>
    <row r="5" spans="1:25" x14ac:dyDescent="0.25"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</row>
    <row r="6" spans="1:25" x14ac:dyDescent="0.25">
      <c r="D6" s="48">
        <v>25.3</v>
      </c>
      <c r="E6" s="48">
        <v>25.3</v>
      </c>
      <c r="F6" s="48">
        <v>25.3</v>
      </c>
      <c r="G6" s="48">
        <v>25.3</v>
      </c>
      <c r="H6" s="48">
        <v>25.3</v>
      </c>
      <c r="I6" s="48">
        <v>25.3</v>
      </c>
      <c r="J6" s="48">
        <v>25.3</v>
      </c>
      <c r="K6" s="48">
        <v>25.3</v>
      </c>
      <c r="L6" s="48">
        <v>25.3</v>
      </c>
      <c r="M6" s="48">
        <v>25.3</v>
      </c>
      <c r="N6" s="48">
        <v>25.3</v>
      </c>
      <c r="O6" s="48">
        <v>25.3</v>
      </c>
      <c r="P6" s="48">
        <v>25.3</v>
      </c>
      <c r="Q6" s="48">
        <v>25.3</v>
      </c>
    </row>
    <row r="7" spans="1:25" x14ac:dyDescent="0.25">
      <c r="D7" s="48">
        <v>30.02</v>
      </c>
      <c r="E7" s="48">
        <v>30.02</v>
      </c>
      <c r="F7" s="48">
        <v>30.02</v>
      </c>
      <c r="G7" s="48">
        <v>30.02</v>
      </c>
      <c r="H7" s="48">
        <v>30.02</v>
      </c>
      <c r="I7" s="48">
        <v>30.02</v>
      </c>
      <c r="J7" s="48">
        <v>30.02</v>
      </c>
      <c r="K7" s="48">
        <v>30.02</v>
      </c>
      <c r="L7" s="48">
        <v>30.02</v>
      </c>
      <c r="M7" s="48">
        <v>30.02</v>
      </c>
      <c r="N7" s="48">
        <v>30.02</v>
      </c>
      <c r="O7" s="48">
        <v>30.02</v>
      </c>
      <c r="P7" s="48">
        <v>30.02</v>
      </c>
      <c r="Q7" s="48">
        <v>30.02</v>
      </c>
    </row>
    <row r="8" spans="1:25" x14ac:dyDescent="0.25">
      <c r="D8" s="95" t="s">
        <v>107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</row>
    <row r="9" spans="1:25" x14ac:dyDescent="0.25">
      <c r="B9" s="96" t="s">
        <v>108</v>
      </c>
      <c r="C9" s="97" t="s">
        <v>109</v>
      </c>
      <c r="D9" s="97" t="s">
        <v>110</v>
      </c>
      <c r="E9" s="97" t="s">
        <v>111</v>
      </c>
      <c r="F9" s="97" t="s">
        <v>112</v>
      </c>
      <c r="G9" s="97" t="s">
        <v>113</v>
      </c>
      <c r="H9" s="97" t="s">
        <v>114</v>
      </c>
      <c r="I9" s="97" t="s">
        <v>115</v>
      </c>
      <c r="J9" s="97" t="s">
        <v>116</v>
      </c>
      <c r="K9" s="97" t="s">
        <v>117</v>
      </c>
      <c r="L9" s="97" t="s">
        <v>118</v>
      </c>
      <c r="M9" s="97" t="s">
        <v>119</v>
      </c>
      <c r="N9" s="97" t="s">
        <v>120</v>
      </c>
      <c r="O9" s="97" t="s">
        <v>121</v>
      </c>
      <c r="P9" s="97" t="s">
        <v>122</v>
      </c>
      <c r="Q9" s="97" t="s">
        <v>123</v>
      </c>
    </row>
    <row r="10" spans="1:25" x14ac:dyDescent="0.25">
      <c r="A10" t="s">
        <v>124</v>
      </c>
      <c r="B10" s="96" t="s">
        <v>110</v>
      </c>
      <c r="C10" s="97">
        <v>625.5</v>
      </c>
      <c r="D10" s="98">
        <f>C10-C10</f>
        <v>0</v>
      </c>
      <c r="E10" s="99">
        <v>11.5</v>
      </c>
      <c r="F10" s="99">
        <v>22.5</v>
      </c>
      <c r="G10" s="99">
        <v>29.5</v>
      </c>
      <c r="H10" s="99">
        <v>35.5</v>
      </c>
      <c r="I10" s="99">
        <v>42.5</v>
      </c>
      <c r="J10" s="99">
        <v>48.5</v>
      </c>
      <c r="K10" s="100">
        <v>0</v>
      </c>
      <c r="L10" s="99">
        <f>+M10-X10</f>
        <v>55.799999999999955</v>
      </c>
      <c r="M10" s="99">
        <v>65.5</v>
      </c>
      <c r="N10" s="99">
        <f>+M10+W10</f>
        <v>69.95</v>
      </c>
      <c r="O10" s="99">
        <f>+N10+Y10</f>
        <v>82.5</v>
      </c>
      <c r="P10" s="99">
        <f>+M10+T10</f>
        <v>90.8</v>
      </c>
      <c r="Q10" s="99">
        <f>+M10+U10</f>
        <v>95.52</v>
      </c>
      <c r="T10">
        <v>25.3</v>
      </c>
      <c r="U10">
        <v>30.02</v>
      </c>
      <c r="W10" s="101">
        <v>4.45</v>
      </c>
      <c r="X10" s="101">
        <f>690.6-680.9</f>
        <v>9.7000000000000455</v>
      </c>
      <c r="Y10" s="101">
        <v>12.549999999999999</v>
      </c>
    </row>
    <row r="11" spans="1:25" x14ac:dyDescent="0.25">
      <c r="A11" t="s">
        <v>125</v>
      </c>
      <c r="B11" s="96" t="s">
        <v>126</v>
      </c>
      <c r="C11" s="97">
        <v>637</v>
      </c>
      <c r="D11" s="99">
        <f>C11-C10</f>
        <v>11.5</v>
      </c>
      <c r="E11" s="98">
        <v>0</v>
      </c>
      <c r="F11" s="102">
        <v>11</v>
      </c>
      <c r="G11" s="102">
        <v>18</v>
      </c>
      <c r="H11" s="102">
        <v>24</v>
      </c>
      <c r="I11" s="102">
        <v>31</v>
      </c>
      <c r="J11" s="102">
        <v>37</v>
      </c>
      <c r="K11" s="100">
        <v>0</v>
      </c>
      <c r="L11" s="103">
        <f t="shared" ref="L11:L16" si="1">+M11-X11</f>
        <v>44.299999999999955</v>
      </c>
      <c r="M11" s="102">
        <v>54</v>
      </c>
      <c r="N11" s="102">
        <f t="shared" ref="N11:N18" si="2">+M11+W11</f>
        <v>58.45</v>
      </c>
      <c r="O11" s="102">
        <f t="shared" ref="O11:O20" si="3">+N11+Y11</f>
        <v>71</v>
      </c>
      <c r="P11" s="102">
        <f t="shared" ref="P11:P16" si="4">+M11+T11</f>
        <v>79.3</v>
      </c>
      <c r="Q11" s="102">
        <f t="shared" ref="Q11:Q16" si="5">+M11+U11</f>
        <v>84.02</v>
      </c>
      <c r="T11">
        <v>25.3</v>
      </c>
      <c r="U11">
        <v>30.02</v>
      </c>
      <c r="W11" s="104">
        <f>+W10</f>
        <v>4.45</v>
      </c>
      <c r="X11" s="104">
        <f>+X10</f>
        <v>9.7000000000000455</v>
      </c>
      <c r="Y11" s="94">
        <v>12.549999999999999</v>
      </c>
    </row>
    <row r="12" spans="1:25" x14ac:dyDescent="0.25">
      <c r="A12" t="s">
        <v>127</v>
      </c>
      <c r="B12" s="96" t="s">
        <v>112</v>
      </c>
      <c r="C12" s="97">
        <v>648</v>
      </c>
      <c r="D12" s="99">
        <f>C12-C10</f>
        <v>22.5</v>
      </c>
      <c r="E12" s="102">
        <f>C12-C11</f>
        <v>11</v>
      </c>
      <c r="F12" s="98">
        <v>0</v>
      </c>
      <c r="G12" s="105">
        <v>7</v>
      </c>
      <c r="H12" s="105">
        <v>13</v>
      </c>
      <c r="I12" s="105">
        <v>20</v>
      </c>
      <c r="J12" s="105">
        <v>26</v>
      </c>
      <c r="K12" s="100">
        <v>0</v>
      </c>
      <c r="L12" s="106">
        <f t="shared" si="1"/>
        <v>33.299999999999955</v>
      </c>
      <c r="M12" s="105">
        <v>43</v>
      </c>
      <c r="N12" s="105">
        <f t="shared" si="2"/>
        <v>47.45</v>
      </c>
      <c r="O12" s="105">
        <f t="shared" si="3"/>
        <v>60</v>
      </c>
      <c r="P12" s="105">
        <f t="shared" si="4"/>
        <v>68.3</v>
      </c>
      <c r="Q12" s="105">
        <f t="shared" si="5"/>
        <v>73.02</v>
      </c>
      <c r="T12">
        <v>25.3</v>
      </c>
      <c r="U12">
        <v>30.02</v>
      </c>
      <c r="W12" s="104">
        <f t="shared" ref="W12:X23" si="6">+W11</f>
        <v>4.45</v>
      </c>
      <c r="X12" s="104">
        <f t="shared" si="6"/>
        <v>9.7000000000000455</v>
      </c>
      <c r="Y12" s="94">
        <v>12.549999999999999</v>
      </c>
    </row>
    <row r="13" spans="1:25" x14ac:dyDescent="0.25">
      <c r="A13" t="s">
        <v>128</v>
      </c>
      <c r="B13" s="96" t="s">
        <v>113</v>
      </c>
      <c r="C13" s="97">
        <v>655</v>
      </c>
      <c r="D13" s="99">
        <f>C13-C10</f>
        <v>29.5</v>
      </c>
      <c r="E13" s="102">
        <f>C13-C11</f>
        <v>18</v>
      </c>
      <c r="F13" s="105">
        <v>7</v>
      </c>
      <c r="G13" s="98">
        <v>0</v>
      </c>
      <c r="H13" s="107">
        <v>6</v>
      </c>
      <c r="I13" s="107">
        <v>13</v>
      </c>
      <c r="J13" s="107">
        <v>19</v>
      </c>
      <c r="K13" s="100">
        <v>0</v>
      </c>
      <c r="L13" s="107">
        <f t="shared" si="1"/>
        <v>26.299999999999955</v>
      </c>
      <c r="M13" s="107">
        <v>36</v>
      </c>
      <c r="N13" s="107">
        <f t="shared" si="2"/>
        <v>40.450000000000003</v>
      </c>
      <c r="O13" s="107">
        <f t="shared" si="3"/>
        <v>53</v>
      </c>
      <c r="P13" s="107">
        <f t="shared" si="4"/>
        <v>61.3</v>
      </c>
      <c r="Q13" s="107">
        <f t="shared" si="5"/>
        <v>66.02</v>
      </c>
      <c r="T13">
        <v>25.3</v>
      </c>
      <c r="U13">
        <v>30.02</v>
      </c>
      <c r="W13" s="104">
        <f t="shared" si="6"/>
        <v>4.45</v>
      </c>
      <c r="X13" s="104">
        <f t="shared" si="6"/>
        <v>9.7000000000000455</v>
      </c>
      <c r="Y13" s="94">
        <v>12.549999999999999</v>
      </c>
    </row>
    <row r="14" spans="1:25" x14ac:dyDescent="0.25">
      <c r="A14" t="s">
        <v>129</v>
      </c>
      <c r="B14" s="96" t="s">
        <v>114</v>
      </c>
      <c r="C14" s="97">
        <v>661</v>
      </c>
      <c r="D14" s="99">
        <f>C14-C10</f>
        <v>35.5</v>
      </c>
      <c r="E14" s="102">
        <f>C14-C11</f>
        <v>24</v>
      </c>
      <c r="F14" s="105">
        <v>13</v>
      </c>
      <c r="G14" s="107">
        <v>6</v>
      </c>
      <c r="H14" s="98">
        <v>0</v>
      </c>
      <c r="I14" s="108">
        <v>7</v>
      </c>
      <c r="J14" s="108">
        <v>13</v>
      </c>
      <c r="K14" s="100">
        <v>0</v>
      </c>
      <c r="L14" s="109">
        <f t="shared" si="1"/>
        <v>20.299999999999955</v>
      </c>
      <c r="M14" s="108">
        <v>30</v>
      </c>
      <c r="N14" s="108">
        <f t="shared" si="2"/>
        <v>34.450000000000003</v>
      </c>
      <c r="O14" s="108">
        <f t="shared" si="3"/>
        <v>47</v>
      </c>
      <c r="P14" s="108">
        <f t="shared" si="4"/>
        <v>55.3</v>
      </c>
      <c r="Q14" s="108">
        <f t="shared" si="5"/>
        <v>60.019999999999996</v>
      </c>
      <c r="T14">
        <v>25.3</v>
      </c>
      <c r="U14">
        <v>30.02</v>
      </c>
      <c r="W14" s="104">
        <f t="shared" si="6"/>
        <v>4.45</v>
      </c>
      <c r="X14" s="104">
        <f t="shared" si="6"/>
        <v>9.7000000000000455</v>
      </c>
      <c r="Y14" s="94">
        <v>12.549999999999999</v>
      </c>
    </row>
    <row r="15" spans="1:25" x14ac:dyDescent="0.25">
      <c r="A15" t="s">
        <v>130</v>
      </c>
      <c r="B15" s="96" t="s">
        <v>115</v>
      </c>
      <c r="C15" s="97">
        <v>668</v>
      </c>
      <c r="D15" s="99">
        <f>C15-C10</f>
        <v>42.5</v>
      </c>
      <c r="E15" s="102">
        <f>C15-C11</f>
        <v>31</v>
      </c>
      <c r="F15" s="105">
        <v>20</v>
      </c>
      <c r="G15" s="107">
        <v>13</v>
      </c>
      <c r="H15" s="108">
        <v>7</v>
      </c>
      <c r="I15" s="98">
        <v>0</v>
      </c>
      <c r="J15" s="110">
        <v>6</v>
      </c>
      <c r="K15" s="100">
        <v>0</v>
      </c>
      <c r="L15" s="111">
        <f t="shared" si="1"/>
        <v>13.299999999999955</v>
      </c>
      <c r="M15" s="110">
        <v>23</v>
      </c>
      <c r="N15" s="110">
        <f t="shared" si="2"/>
        <v>27.45</v>
      </c>
      <c r="O15" s="110">
        <f t="shared" si="3"/>
        <v>40</v>
      </c>
      <c r="P15" s="110">
        <f t="shared" si="4"/>
        <v>48.3</v>
      </c>
      <c r="Q15" s="110">
        <f t="shared" si="5"/>
        <v>53.019999999999996</v>
      </c>
      <c r="T15">
        <v>25.3</v>
      </c>
      <c r="U15">
        <v>30.02</v>
      </c>
      <c r="W15" s="104">
        <f t="shared" si="6"/>
        <v>4.45</v>
      </c>
      <c r="X15" s="104">
        <f t="shared" si="6"/>
        <v>9.7000000000000455</v>
      </c>
      <c r="Y15" s="94">
        <v>12.549999999999999</v>
      </c>
    </row>
    <row r="16" spans="1:25" x14ac:dyDescent="0.25">
      <c r="A16" t="s">
        <v>131</v>
      </c>
      <c r="B16" s="96" t="s">
        <v>116</v>
      </c>
      <c r="C16" s="97">
        <v>674</v>
      </c>
      <c r="D16" s="99">
        <f>C16-C10</f>
        <v>48.5</v>
      </c>
      <c r="E16" s="102">
        <f>C16-C11</f>
        <v>37</v>
      </c>
      <c r="F16" s="105">
        <v>26</v>
      </c>
      <c r="G16" s="107">
        <v>19</v>
      </c>
      <c r="H16" s="108">
        <v>13</v>
      </c>
      <c r="I16" s="110">
        <v>6</v>
      </c>
      <c r="J16" s="98">
        <v>0</v>
      </c>
      <c r="K16" s="100">
        <v>0</v>
      </c>
      <c r="L16" s="112">
        <f t="shared" si="1"/>
        <v>7.2999999999999545</v>
      </c>
      <c r="M16" s="113">
        <v>17</v>
      </c>
      <c r="N16" s="113">
        <f t="shared" si="2"/>
        <v>21.45</v>
      </c>
      <c r="O16" s="113">
        <f t="shared" si="3"/>
        <v>34</v>
      </c>
      <c r="P16" s="113">
        <f t="shared" si="4"/>
        <v>42.3</v>
      </c>
      <c r="Q16" s="113">
        <f t="shared" si="5"/>
        <v>47.019999999999996</v>
      </c>
      <c r="T16">
        <v>25.3</v>
      </c>
      <c r="U16">
        <v>30.02</v>
      </c>
      <c r="W16" s="104">
        <f t="shared" si="6"/>
        <v>4.45</v>
      </c>
      <c r="X16" s="104">
        <f t="shared" si="6"/>
        <v>9.7000000000000455</v>
      </c>
      <c r="Y16" s="94">
        <v>12.549999999999999</v>
      </c>
    </row>
    <row r="17" spans="1:25" x14ac:dyDescent="0.25">
      <c r="A17" t="s">
        <v>132</v>
      </c>
      <c r="B17" s="114" t="s">
        <v>117</v>
      </c>
      <c r="C17" s="115">
        <v>679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16">
        <v>0</v>
      </c>
      <c r="L17" s="100">
        <v>0</v>
      </c>
      <c r="M17" s="117">
        <v>12</v>
      </c>
      <c r="N17" s="117">
        <v>0</v>
      </c>
      <c r="O17" s="117">
        <v>0</v>
      </c>
      <c r="P17" s="117">
        <v>0</v>
      </c>
      <c r="Q17" s="117">
        <v>0</v>
      </c>
      <c r="T17">
        <v>25.3</v>
      </c>
      <c r="U17">
        <v>30.02</v>
      </c>
      <c r="W17" s="104">
        <f t="shared" si="6"/>
        <v>4.45</v>
      </c>
      <c r="X17" s="104">
        <f t="shared" si="6"/>
        <v>9.7000000000000455</v>
      </c>
      <c r="Y17" s="94">
        <v>12.549999999999999</v>
      </c>
    </row>
    <row r="18" spans="1:25" x14ac:dyDescent="0.25">
      <c r="B18" s="96" t="s">
        <v>118</v>
      </c>
      <c r="C18" s="97"/>
      <c r="D18" s="99">
        <f t="shared" ref="D18:J18" si="7">+D19-D2</f>
        <v>55.799999999999955</v>
      </c>
      <c r="E18" s="103">
        <f t="shared" si="7"/>
        <v>44.299999999999955</v>
      </c>
      <c r="F18" s="106">
        <f t="shared" si="7"/>
        <v>33.299999999999955</v>
      </c>
      <c r="G18" s="107">
        <f t="shared" si="7"/>
        <v>26.299999999999955</v>
      </c>
      <c r="H18" s="109">
        <f t="shared" si="7"/>
        <v>20.299999999999955</v>
      </c>
      <c r="I18" s="111">
        <f t="shared" si="7"/>
        <v>13.299999999999955</v>
      </c>
      <c r="J18" s="112">
        <f t="shared" si="7"/>
        <v>7.2999999999999545</v>
      </c>
      <c r="K18" s="100">
        <v>0</v>
      </c>
      <c r="L18" s="116">
        <v>0</v>
      </c>
      <c r="M18" s="118">
        <f>+M2</f>
        <v>9.7000000000000455</v>
      </c>
      <c r="N18" s="118">
        <f t="shared" si="2"/>
        <v>14.150000000000045</v>
      </c>
      <c r="O18" s="118">
        <f t="shared" si="3"/>
        <v>26.700000000000045</v>
      </c>
      <c r="P18" s="118">
        <f t="shared" ref="P18" si="8">+M18+T18</f>
        <v>35.000000000000043</v>
      </c>
      <c r="Q18" s="118">
        <f t="shared" ref="Q18" si="9">+M18+U18</f>
        <v>39.720000000000041</v>
      </c>
      <c r="T18">
        <v>25.3</v>
      </c>
      <c r="U18">
        <v>30.02</v>
      </c>
      <c r="W18" s="104">
        <f t="shared" si="6"/>
        <v>4.45</v>
      </c>
      <c r="X18" s="104">
        <f t="shared" si="6"/>
        <v>9.7000000000000455</v>
      </c>
      <c r="Y18" s="94">
        <v>12.549999999999999</v>
      </c>
    </row>
    <row r="19" spans="1:25" x14ac:dyDescent="0.25">
      <c r="A19" t="s">
        <v>133</v>
      </c>
      <c r="B19" s="96" t="s">
        <v>119</v>
      </c>
      <c r="C19" s="97">
        <v>691</v>
      </c>
      <c r="D19" s="99">
        <f>C19-C10</f>
        <v>65.5</v>
      </c>
      <c r="E19" s="102">
        <f>C19-C11</f>
        <v>54</v>
      </c>
      <c r="F19" s="105">
        <v>43</v>
      </c>
      <c r="G19" s="107">
        <v>36</v>
      </c>
      <c r="H19" s="108">
        <v>30</v>
      </c>
      <c r="I19" s="110">
        <v>23</v>
      </c>
      <c r="J19" s="113">
        <v>17</v>
      </c>
      <c r="K19" s="117">
        <v>12</v>
      </c>
      <c r="L19" s="118">
        <f>+M18</f>
        <v>9.7000000000000455</v>
      </c>
      <c r="M19" s="98">
        <v>0</v>
      </c>
      <c r="N19" s="119">
        <f>+W10</f>
        <v>4.45</v>
      </c>
      <c r="O19" s="119">
        <f t="shared" si="3"/>
        <v>17</v>
      </c>
      <c r="P19" s="119">
        <f>+'[3]PPTO TEM-FQ'!$L$39</f>
        <v>25.3</v>
      </c>
      <c r="Q19" s="119">
        <v>30.02</v>
      </c>
      <c r="T19">
        <v>25.3</v>
      </c>
      <c r="U19">
        <v>30.02</v>
      </c>
      <c r="W19" s="104">
        <f t="shared" si="6"/>
        <v>4.45</v>
      </c>
      <c r="X19" s="104">
        <f t="shared" si="6"/>
        <v>9.7000000000000455</v>
      </c>
      <c r="Y19" s="94">
        <v>12.549999999999999</v>
      </c>
    </row>
    <row r="20" spans="1:25" x14ac:dyDescent="0.25">
      <c r="B20" s="96" t="s">
        <v>120</v>
      </c>
      <c r="C20" s="97"/>
      <c r="D20" s="99">
        <f>+D19+D3</f>
        <v>69.95</v>
      </c>
      <c r="E20" s="102">
        <f t="shared" ref="E20:M21" si="10">+E19+E3</f>
        <v>58.45</v>
      </c>
      <c r="F20" s="105">
        <f t="shared" si="10"/>
        <v>47.45</v>
      </c>
      <c r="G20" s="107">
        <f t="shared" si="10"/>
        <v>40.450000000000003</v>
      </c>
      <c r="H20" s="108">
        <f t="shared" si="10"/>
        <v>34.450000000000003</v>
      </c>
      <c r="I20" s="110">
        <f t="shared" si="10"/>
        <v>27.45</v>
      </c>
      <c r="J20" s="113">
        <f t="shared" si="10"/>
        <v>21.45</v>
      </c>
      <c r="K20" s="117">
        <v>0</v>
      </c>
      <c r="L20" s="118">
        <f t="shared" si="10"/>
        <v>14.150000000000045</v>
      </c>
      <c r="M20" s="119">
        <f>+W10</f>
        <v>4.45</v>
      </c>
      <c r="N20" s="98">
        <v>0</v>
      </c>
      <c r="O20" s="99">
        <f t="shared" si="3"/>
        <v>12.549999999999999</v>
      </c>
      <c r="P20" s="120">
        <f>+P19-N19</f>
        <v>20.85</v>
      </c>
      <c r="Q20" s="120">
        <f>+Q19-N19</f>
        <v>25.57</v>
      </c>
      <c r="T20">
        <v>25.3</v>
      </c>
      <c r="U20">
        <v>30.02</v>
      </c>
      <c r="W20" s="104">
        <f t="shared" si="6"/>
        <v>4.45</v>
      </c>
      <c r="X20" s="104">
        <f t="shared" si="6"/>
        <v>9.7000000000000455</v>
      </c>
      <c r="Y20" s="94">
        <v>12.549999999999999</v>
      </c>
    </row>
    <row r="21" spans="1:25" x14ac:dyDescent="0.25">
      <c r="B21" s="96" t="s">
        <v>121</v>
      </c>
      <c r="C21" s="97"/>
      <c r="D21" s="99">
        <f>+D20+D4</f>
        <v>82.5</v>
      </c>
      <c r="E21" s="102">
        <f t="shared" si="10"/>
        <v>71</v>
      </c>
      <c r="F21" s="105">
        <f t="shared" si="10"/>
        <v>60</v>
      </c>
      <c r="G21" s="107">
        <f t="shared" si="10"/>
        <v>53</v>
      </c>
      <c r="H21" s="108">
        <f t="shared" si="10"/>
        <v>47</v>
      </c>
      <c r="I21" s="110">
        <f t="shared" si="10"/>
        <v>40</v>
      </c>
      <c r="J21" s="113">
        <f t="shared" si="10"/>
        <v>34</v>
      </c>
      <c r="K21" s="117">
        <v>0</v>
      </c>
      <c r="L21" s="118">
        <f t="shared" si="10"/>
        <v>26.700000000000045</v>
      </c>
      <c r="M21" s="118">
        <f t="shared" si="10"/>
        <v>17</v>
      </c>
      <c r="N21" s="99">
        <f>+Y10</f>
        <v>12.549999999999999</v>
      </c>
      <c r="O21" s="98">
        <v>0</v>
      </c>
      <c r="P21" s="121">
        <f>+P19-O19</f>
        <v>8.3000000000000007</v>
      </c>
      <c r="Q21" s="121">
        <f>+Q19-P19+P21</f>
        <v>13.02</v>
      </c>
      <c r="W21" s="104">
        <f t="shared" si="6"/>
        <v>4.45</v>
      </c>
      <c r="X21" s="104">
        <f t="shared" si="6"/>
        <v>9.7000000000000455</v>
      </c>
      <c r="Y21" s="94">
        <v>12.549999999999999</v>
      </c>
    </row>
    <row r="22" spans="1:25" x14ac:dyDescent="0.25">
      <c r="B22" s="122" t="s">
        <v>122</v>
      </c>
      <c r="C22" s="97">
        <f>+C19+D6</f>
        <v>716.3</v>
      </c>
      <c r="D22" s="99">
        <f>+D19+D6</f>
        <v>90.8</v>
      </c>
      <c r="E22" s="102">
        <f t="shared" ref="E22:J22" si="11">+E19+E6</f>
        <v>79.3</v>
      </c>
      <c r="F22" s="105">
        <f t="shared" si="11"/>
        <v>68.3</v>
      </c>
      <c r="G22" s="107">
        <f t="shared" si="11"/>
        <v>61.3</v>
      </c>
      <c r="H22" s="108">
        <f t="shared" si="11"/>
        <v>55.3</v>
      </c>
      <c r="I22" s="110">
        <f t="shared" si="11"/>
        <v>48.3</v>
      </c>
      <c r="J22" s="113">
        <f t="shared" si="11"/>
        <v>42.3</v>
      </c>
      <c r="K22" s="100">
        <v>0</v>
      </c>
      <c r="L22" s="118">
        <f t="shared" ref="L22" si="12">+L19+L6</f>
        <v>35.000000000000043</v>
      </c>
      <c r="M22" s="119">
        <f>+P19</f>
        <v>25.3</v>
      </c>
      <c r="N22" s="120">
        <f>+P20</f>
        <v>20.85</v>
      </c>
      <c r="O22" s="121">
        <f>+P21</f>
        <v>8.3000000000000007</v>
      </c>
      <c r="P22" s="98">
        <v>0</v>
      </c>
      <c r="Q22" s="123">
        <f>+'[3]PPTO TEM-FQ'!$L$41</f>
        <v>4.0999999999999979</v>
      </c>
      <c r="T22">
        <v>25.3</v>
      </c>
      <c r="U22">
        <v>30.02</v>
      </c>
      <c r="W22" s="104">
        <f t="shared" si="6"/>
        <v>4.45</v>
      </c>
      <c r="X22" s="104">
        <f t="shared" si="6"/>
        <v>9.7000000000000455</v>
      </c>
      <c r="Y22" s="94">
        <v>12.549999999999999</v>
      </c>
    </row>
    <row r="23" spans="1:25" x14ac:dyDescent="0.25">
      <c r="B23" s="122" t="s">
        <v>123</v>
      </c>
      <c r="C23" s="97">
        <f>+C19+D7</f>
        <v>721.02</v>
      </c>
      <c r="D23" s="99">
        <f>+D19+D7</f>
        <v>95.52</v>
      </c>
      <c r="E23" s="102">
        <f t="shared" ref="E23:J23" si="13">+E19+E7</f>
        <v>84.02</v>
      </c>
      <c r="F23" s="105">
        <f t="shared" si="13"/>
        <v>73.02</v>
      </c>
      <c r="G23" s="107">
        <f t="shared" si="13"/>
        <v>66.02</v>
      </c>
      <c r="H23" s="108">
        <f t="shared" si="13"/>
        <v>60.019999999999996</v>
      </c>
      <c r="I23" s="110">
        <f t="shared" si="13"/>
        <v>53.019999999999996</v>
      </c>
      <c r="J23" s="113">
        <f t="shared" si="13"/>
        <v>47.019999999999996</v>
      </c>
      <c r="K23" s="100">
        <v>0</v>
      </c>
      <c r="L23" s="118">
        <f t="shared" ref="L23" si="14">+L19+L7</f>
        <v>39.720000000000041</v>
      </c>
      <c r="M23" s="119">
        <f>+Q19</f>
        <v>30.02</v>
      </c>
      <c r="N23" s="120">
        <f>+Q20</f>
        <v>25.57</v>
      </c>
      <c r="O23" s="121">
        <f>+Q21</f>
        <v>13.02</v>
      </c>
      <c r="P23" s="123">
        <f>+Q22</f>
        <v>4.0999999999999979</v>
      </c>
      <c r="Q23" s="98">
        <v>0</v>
      </c>
      <c r="T23">
        <v>25.3</v>
      </c>
      <c r="U23">
        <v>30.02</v>
      </c>
      <c r="W23" s="104">
        <f t="shared" si="6"/>
        <v>4.45</v>
      </c>
      <c r="X23" s="104">
        <f t="shared" si="6"/>
        <v>9.7000000000000455</v>
      </c>
      <c r="Y23" s="94">
        <v>12.549999999999999</v>
      </c>
    </row>
    <row r="25" spans="1:25" x14ac:dyDescent="0.25">
      <c r="B25" s="124" t="s">
        <v>31</v>
      </c>
    </row>
    <row r="26" spans="1:25" x14ac:dyDescent="0.25">
      <c r="D26" s="96" t="s">
        <v>134</v>
      </c>
      <c r="E26" s="96"/>
      <c r="F26" s="96"/>
      <c r="G26" s="96"/>
      <c r="H26" s="96"/>
      <c r="I26" s="96"/>
      <c r="J26" s="96"/>
      <c r="K26" s="96"/>
      <c r="L26" s="96"/>
      <c r="M26" s="96"/>
      <c r="N26" s="125"/>
      <c r="O26" s="125"/>
      <c r="P26" s="126"/>
      <c r="Q26" s="126"/>
    </row>
    <row r="27" spans="1:25" x14ac:dyDescent="0.25">
      <c r="B27" s="96" t="s">
        <v>108</v>
      </c>
      <c r="D27" s="97" t="s">
        <v>110</v>
      </c>
      <c r="E27" s="97" t="s">
        <v>111</v>
      </c>
      <c r="F27" s="97" t="s">
        <v>112</v>
      </c>
      <c r="G27" s="97" t="s">
        <v>113</v>
      </c>
      <c r="H27" s="97" t="s">
        <v>114</v>
      </c>
      <c r="I27" s="97" t="s">
        <v>115</v>
      </c>
      <c r="J27" s="97" t="s">
        <v>116</v>
      </c>
      <c r="K27" s="97" t="s">
        <v>117</v>
      </c>
      <c r="L27" s="97" t="s">
        <v>118</v>
      </c>
      <c r="M27" s="97" t="s">
        <v>119</v>
      </c>
      <c r="N27" s="97" t="s">
        <v>120</v>
      </c>
      <c r="O27" s="97" t="s">
        <v>121</v>
      </c>
      <c r="P27" s="97" t="s">
        <v>122</v>
      </c>
      <c r="Q27" s="97" t="s">
        <v>123</v>
      </c>
    </row>
    <row r="28" spans="1:25" x14ac:dyDescent="0.25">
      <c r="A28" t="s">
        <v>124</v>
      </c>
      <c r="B28" s="96" t="s">
        <v>110</v>
      </c>
      <c r="D28" s="127">
        <v>0</v>
      </c>
      <c r="E28" s="127">
        <v>416</v>
      </c>
      <c r="F28" s="127">
        <v>869</v>
      </c>
      <c r="G28" s="127">
        <v>14</v>
      </c>
      <c r="H28" s="127">
        <v>413</v>
      </c>
      <c r="I28" s="127">
        <v>599</v>
      </c>
      <c r="J28" s="127">
        <v>129</v>
      </c>
      <c r="K28" s="127">
        <v>0</v>
      </c>
      <c r="L28" s="127">
        <v>205</v>
      </c>
      <c r="M28" s="127">
        <v>3773</v>
      </c>
      <c r="N28" s="128">
        <v>0</v>
      </c>
      <c r="O28" s="128">
        <v>0</v>
      </c>
      <c r="P28" s="128">
        <v>1</v>
      </c>
      <c r="Q28" s="128">
        <v>0</v>
      </c>
    </row>
    <row r="29" spans="1:25" x14ac:dyDescent="0.25">
      <c r="A29" t="s">
        <v>125</v>
      </c>
      <c r="B29" s="96" t="s">
        <v>126</v>
      </c>
      <c r="D29" s="127">
        <v>549</v>
      </c>
      <c r="E29" s="127">
        <v>0</v>
      </c>
      <c r="F29" s="127">
        <v>113</v>
      </c>
      <c r="G29" s="127">
        <v>6</v>
      </c>
      <c r="H29" s="127">
        <v>52</v>
      </c>
      <c r="I29" s="127">
        <v>37</v>
      </c>
      <c r="J29" s="127">
        <v>12</v>
      </c>
      <c r="K29" s="127">
        <v>0</v>
      </c>
      <c r="L29" s="127">
        <v>13</v>
      </c>
      <c r="M29" s="127">
        <v>631</v>
      </c>
      <c r="N29" s="128">
        <v>0</v>
      </c>
      <c r="O29" s="128">
        <v>0</v>
      </c>
      <c r="P29" s="128">
        <v>0</v>
      </c>
      <c r="Q29" s="128">
        <v>0</v>
      </c>
      <c r="S29" t="s">
        <v>83</v>
      </c>
      <c r="U29" s="45">
        <f>SUMPRODUCT($D$10:$Q$23,D28:Q41)</f>
        <v>1378924.4399999995</v>
      </c>
    </row>
    <row r="30" spans="1:25" x14ac:dyDescent="0.25">
      <c r="A30" t="s">
        <v>127</v>
      </c>
      <c r="B30" s="96" t="s">
        <v>112</v>
      </c>
      <c r="D30" s="127">
        <v>738</v>
      </c>
      <c r="E30" s="127">
        <v>82</v>
      </c>
      <c r="F30" s="127">
        <v>0</v>
      </c>
      <c r="G30" s="127">
        <v>44</v>
      </c>
      <c r="H30" s="127">
        <v>393</v>
      </c>
      <c r="I30" s="127">
        <v>618</v>
      </c>
      <c r="J30" s="127">
        <v>102</v>
      </c>
      <c r="K30" s="127">
        <v>0</v>
      </c>
      <c r="L30" s="127">
        <v>106</v>
      </c>
      <c r="M30" s="127">
        <v>2409</v>
      </c>
      <c r="N30" s="128">
        <v>0</v>
      </c>
      <c r="O30" s="128">
        <v>0</v>
      </c>
      <c r="P30" s="128">
        <v>0</v>
      </c>
      <c r="Q30" s="128">
        <v>0</v>
      </c>
      <c r="S30" t="s">
        <v>46</v>
      </c>
      <c r="U30">
        <f>U29/SUM(D28:Q41)</f>
        <v>34.976776582792198</v>
      </c>
    </row>
    <row r="31" spans="1:25" x14ac:dyDescent="0.25">
      <c r="A31" t="s">
        <v>128</v>
      </c>
      <c r="B31" s="96" t="s">
        <v>113</v>
      </c>
      <c r="D31" s="127">
        <v>21</v>
      </c>
      <c r="E31" s="127">
        <v>4</v>
      </c>
      <c r="F31" s="127">
        <v>54</v>
      </c>
      <c r="G31" s="127">
        <v>0</v>
      </c>
      <c r="H31" s="127">
        <v>50</v>
      </c>
      <c r="I31" s="127">
        <v>56</v>
      </c>
      <c r="J31" s="127">
        <v>0</v>
      </c>
      <c r="K31" s="127">
        <v>0</v>
      </c>
      <c r="L31" s="127">
        <v>3</v>
      </c>
      <c r="M31" s="127">
        <v>215</v>
      </c>
      <c r="N31" s="128">
        <v>0</v>
      </c>
      <c r="O31" s="128">
        <v>0</v>
      </c>
      <c r="P31" s="128">
        <v>0</v>
      </c>
      <c r="Q31" s="128">
        <v>0</v>
      </c>
    </row>
    <row r="32" spans="1:25" x14ac:dyDescent="0.25">
      <c r="A32" t="s">
        <v>129</v>
      </c>
      <c r="B32" s="96" t="s">
        <v>114</v>
      </c>
      <c r="D32" s="127">
        <v>713</v>
      </c>
      <c r="E32" s="127">
        <v>52</v>
      </c>
      <c r="F32" s="127">
        <v>430</v>
      </c>
      <c r="G32" s="127">
        <v>84</v>
      </c>
      <c r="H32" s="127">
        <v>0</v>
      </c>
      <c r="I32" s="127">
        <v>0</v>
      </c>
      <c r="J32" s="127">
        <v>263</v>
      </c>
      <c r="K32" s="127">
        <v>0</v>
      </c>
      <c r="L32" s="127">
        <v>179</v>
      </c>
      <c r="M32" s="127">
        <v>2787</v>
      </c>
      <c r="N32" s="128">
        <v>0</v>
      </c>
      <c r="O32" s="128">
        <v>0</v>
      </c>
      <c r="P32" s="128">
        <v>0</v>
      </c>
      <c r="Q32" s="128">
        <v>0</v>
      </c>
    </row>
    <row r="33" spans="1:32" x14ac:dyDescent="0.25">
      <c r="A33" t="s">
        <v>130</v>
      </c>
      <c r="B33" s="96" t="s">
        <v>115</v>
      </c>
      <c r="D33" s="127">
        <v>345</v>
      </c>
      <c r="E33" s="127">
        <v>25</v>
      </c>
      <c r="F33" s="127">
        <v>298</v>
      </c>
      <c r="G33" s="127">
        <v>55</v>
      </c>
      <c r="H33" s="127">
        <v>0</v>
      </c>
      <c r="I33" s="127">
        <v>0</v>
      </c>
      <c r="J33" s="127">
        <v>197</v>
      </c>
      <c r="K33" s="127">
        <v>0</v>
      </c>
      <c r="L33" s="127">
        <v>92</v>
      </c>
      <c r="M33" s="127">
        <v>1335</v>
      </c>
      <c r="N33" s="128">
        <v>0</v>
      </c>
      <c r="O33" s="128">
        <v>0</v>
      </c>
      <c r="P33" s="128">
        <v>0</v>
      </c>
      <c r="Q33" s="128">
        <v>0</v>
      </c>
    </row>
    <row r="34" spans="1:32" x14ac:dyDescent="0.25">
      <c r="A34" t="s">
        <v>131</v>
      </c>
      <c r="B34" s="96" t="s">
        <v>116</v>
      </c>
      <c r="D34" s="127">
        <v>134</v>
      </c>
      <c r="E34" s="127">
        <v>19</v>
      </c>
      <c r="F34" s="127">
        <v>114</v>
      </c>
      <c r="G34" s="127">
        <v>4</v>
      </c>
      <c r="H34" s="127">
        <v>112</v>
      </c>
      <c r="I34" s="127">
        <v>259</v>
      </c>
      <c r="J34" s="127">
        <v>0</v>
      </c>
      <c r="K34" s="127">
        <v>0</v>
      </c>
      <c r="L34" s="127">
        <v>19</v>
      </c>
      <c r="M34" s="127">
        <v>501</v>
      </c>
      <c r="N34" s="128">
        <v>0</v>
      </c>
      <c r="O34" s="128">
        <v>0</v>
      </c>
      <c r="P34" s="128">
        <v>0</v>
      </c>
      <c r="Q34" s="128">
        <v>1</v>
      </c>
    </row>
    <row r="35" spans="1:32" x14ac:dyDescent="0.25">
      <c r="A35" t="s">
        <v>132</v>
      </c>
      <c r="B35" s="96" t="s">
        <v>117</v>
      </c>
      <c r="D35" s="127">
        <v>0</v>
      </c>
      <c r="E35" s="127">
        <v>0</v>
      </c>
      <c r="F35" s="127">
        <v>0</v>
      </c>
      <c r="G35" s="127">
        <v>0</v>
      </c>
      <c r="H35" s="127">
        <v>0</v>
      </c>
      <c r="I35" s="127">
        <v>0</v>
      </c>
      <c r="J35" s="127">
        <v>0</v>
      </c>
      <c r="K35" s="127">
        <v>0</v>
      </c>
      <c r="L35" s="127">
        <v>0</v>
      </c>
      <c r="M35" s="127">
        <v>0</v>
      </c>
      <c r="N35" s="128">
        <v>0</v>
      </c>
      <c r="O35" s="128">
        <v>0</v>
      </c>
      <c r="P35" s="128">
        <v>0</v>
      </c>
      <c r="Q35" s="128">
        <v>0</v>
      </c>
    </row>
    <row r="36" spans="1:32" x14ac:dyDescent="0.25">
      <c r="B36" s="96" t="s">
        <v>118</v>
      </c>
      <c r="D36" s="127">
        <v>132</v>
      </c>
      <c r="E36" s="127">
        <v>13</v>
      </c>
      <c r="F36" s="127">
        <v>60</v>
      </c>
      <c r="G36" s="127">
        <v>2</v>
      </c>
      <c r="H36" s="127">
        <v>79</v>
      </c>
      <c r="I36" s="127">
        <v>167</v>
      </c>
      <c r="J36" s="127">
        <v>25</v>
      </c>
      <c r="K36" s="127">
        <v>0</v>
      </c>
      <c r="L36" s="127">
        <v>0</v>
      </c>
      <c r="M36" s="127">
        <v>115</v>
      </c>
      <c r="N36" s="128">
        <v>1</v>
      </c>
      <c r="O36" s="128">
        <v>0</v>
      </c>
      <c r="P36" s="128">
        <v>0</v>
      </c>
      <c r="Q36" s="128">
        <v>0</v>
      </c>
    </row>
    <row r="37" spans="1:32" x14ac:dyDescent="0.25">
      <c r="A37" t="s">
        <v>133</v>
      </c>
      <c r="B37" s="96" t="s">
        <v>119</v>
      </c>
      <c r="D37" s="127">
        <v>3266</v>
      </c>
      <c r="E37" s="127">
        <v>430</v>
      </c>
      <c r="F37" s="127">
        <v>2073</v>
      </c>
      <c r="G37" s="127">
        <v>157</v>
      </c>
      <c r="H37" s="127">
        <v>1906</v>
      </c>
      <c r="I37" s="127">
        <v>1133</v>
      </c>
      <c r="J37" s="127">
        <v>433</v>
      </c>
      <c r="K37" s="127">
        <v>0</v>
      </c>
      <c r="L37" s="127">
        <v>121</v>
      </c>
      <c r="M37" s="127">
        <v>0</v>
      </c>
      <c r="N37" s="128">
        <v>91</v>
      </c>
      <c r="O37" s="128">
        <v>366</v>
      </c>
      <c r="P37" s="128">
        <v>623</v>
      </c>
      <c r="Q37" s="128">
        <v>2147</v>
      </c>
    </row>
    <row r="38" spans="1:32" x14ac:dyDescent="0.25">
      <c r="B38" s="96" t="s">
        <v>120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201</v>
      </c>
      <c r="N38" s="128">
        <v>0</v>
      </c>
      <c r="O38" s="128">
        <v>31</v>
      </c>
      <c r="P38" s="128">
        <v>99</v>
      </c>
      <c r="Q38" s="128">
        <v>370</v>
      </c>
    </row>
    <row r="39" spans="1:32" x14ac:dyDescent="0.25">
      <c r="B39" s="96" t="s">
        <v>121</v>
      </c>
      <c r="D39" s="128">
        <v>0</v>
      </c>
      <c r="E39" s="128">
        <v>0</v>
      </c>
      <c r="F39" s="128">
        <v>0</v>
      </c>
      <c r="G39" s="128">
        <v>0</v>
      </c>
      <c r="H39" s="128">
        <v>1</v>
      </c>
      <c r="I39" s="128">
        <v>0</v>
      </c>
      <c r="J39" s="128">
        <v>1</v>
      </c>
      <c r="K39" s="128">
        <v>0</v>
      </c>
      <c r="L39" s="128">
        <v>0</v>
      </c>
      <c r="M39" s="128">
        <v>308</v>
      </c>
      <c r="N39" s="128">
        <v>22</v>
      </c>
      <c r="O39" s="128">
        <v>0</v>
      </c>
      <c r="P39" s="128">
        <v>173</v>
      </c>
      <c r="Q39" s="128">
        <v>190</v>
      </c>
    </row>
    <row r="40" spans="1:32" x14ac:dyDescent="0.25">
      <c r="B40" s="122" t="s">
        <v>122</v>
      </c>
      <c r="D40" s="128">
        <v>0</v>
      </c>
      <c r="E40" s="128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0</v>
      </c>
      <c r="K40" s="128">
        <v>0</v>
      </c>
      <c r="L40" s="128">
        <v>0</v>
      </c>
      <c r="M40" s="128">
        <v>876</v>
      </c>
      <c r="N40" s="128">
        <v>86</v>
      </c>
      <c r="O40" s="128">
        <v>85</v>
      </c>
      <c r="P40" s="128">
        <v>0</v>
      </c>
      <c r="Q40" s="128">
        <v>122</v>
      </c>
    </row>
    <row r="41" spans="1:32" x14ac:dyDescent="0.25">
      <c r="B41" s="122" t="s">
        <v>123</v>
      </c>
      <c r="D41" s="128">
        <v>0</v>
      </c>
      <c r="E41" s="128">
        <v>0</v>
      </c>
      <c r="F41" s="128">
        <v>0</v>
      </c>
      <c r="G41" s="128">
        <v>0</v>
      </c>
      <c r="H41" s="128">
        <v>1</v>
      </c>
      <c r="I41" s="128">
        <v>0</v>
      </c>
      <c r="J41" s="128">
        <v>2</v>
      </c>
      <c r="K41" s="128">
        <v>0</v>
      </c>
      <c r="L41" s="128">
        <v>0</v>
      </c>
      <c r="M41" s="128">
        <v>2120</v>
      </c>
      <c r="N41" s="128">
        <v>325</v>
      </c>
      <c r="O41" s="128">
        <v>216</v>
      </c>
      <c r="P41" s="128">
        <v>110</v>
      </c>
      <c r="Q41" s="128">
        <v>0</v>
      </c>
    </row>
    <row r="42" spans="1:32" x14ac:dyDescent="0.25">
      <c r="D42"/>
      <c r="E42" s="48"/>
      <c r="R42" s="45">
        <f>+SUM(D28:M37)</f>
        <v>30855</v>
      </c>
      <c r="S42" s="45">
        <f>+[4]Solicitudes!$P$6</f>
        <v>33549</v>
      </c>
      <c r="T42" s="45">
        <f>+S42-R42</f>
        <v>2694</v>
      </c>
    </row>
    <row r="43" spans="1:32" x14ac:dyDescent="0.25">
      <c r="B43" s="124" t="s">
        <v>135</v>
      </c>
      <c r="D43"/>
      <c r="E43" s="48"/>
    </row>
    <row r="44" spans="1:32" x14ac:dyDescent="0.25">
      <c r="D44" s="96" t="s">
        <v>134</v>
      </c>
      <c r="E44" s="96"/>
      <c r="F44" s="96"/>
      <c r="G44" s="96"/>
      <c r="H44" s="96"/>
      <c r="I44" s="96"/>
      <c r="J44" s="96"/>
      <c r="K44" s="96"/>
      <c r="L44" s="96"/>
      <c r="M44" s="96"/>
      <c r="N44" s="125"/>
      <c r="O44" s="125"/>
      <c r="P44" s="126"/>
      <c r="Q44" s="126"/>
    </row>
    <row r="45" spans="1:32" x14ac:dyDescent="0.25">
      <c r="B45" s="96" t="s">
        <v>108</v>
      </c>
      <c r="D45" s="97" t="s">
        <v>110</v>
      </c>
      <c r="E45" s="97" t="s">
        <v>111</v>
      </c>
      <c r="F45" s="97" t="s">
        <v>112</v>
      </c>
      <c r="G45" s="97" t="s">
        <v>113</v>
      </c>
      <c r="H45" s="97" t="s">
        <v>114</v>
      </c>
      <c r="I45" s="97" t="s">
        <v>115</v>
      </c>
      <c r="J45" s="97" t="s">
        <v>116</v>
      </c>
      <c r="K45" s="97" t="s">
        <v>117</v>
      </c>
      <c r="L45" s="97" t="s">
        <v>118</v>
      </c>
      <c r="M45" s="97" t="s">
        <v>119</v>
      </c>
      <c r="N45" s="97" t="s">
        <v>120</v>
      </c>
      <c r="O45" s="97" t="s">
        <v>121</v>
      </c>
      <c r="P45" s="97" t="s">
        <v>122</v>
      </c>
      <c r="Q45" s="97" t="s">
        <v>123</v>
      </c>
    </row>
    <row r="46" spans="1:32" x14ac:dyDescent="0.25">
      <c r="A46" t="s">
        <v>124</v>
      </c>
      <c r="B46" s="96" t="s">
        <v>110</v>
      </c>
      <c r="D46" s="127">
        <v>0</v>
      </c>
      <c r="E46" s="127">
        <v>544</v>
      </c>
      <c r="F46" s="127">
        <v>476</v>
      </c>
      <c r="G46" s="127">
        <v>32</v>
      </c>
      <c r="H46" s="127">
        <v>469</v>
      </c>
      <c r="I46" s="127">
        <v>669</v>
      </c>
      <c r="J46" s="127">
        <v>127</v>
      </c>
      <c r="K46" s="127">
        <v>0</v>
      </c>
      <c r="L46" s="127">
        <v>255</v>
      </c>
      <c r="M46" s="127">
        <v>4960</v>
      </c>
      <c r="N46" s="128">
        <v>0</v>
      </c>
      <c r="O46" s="128">
        <v>0</v>
      </c>
      <c r="P46" s="128">
        <v>3</v>
      </c>
      <c r="Q46" s="128">
        <v>1</v>
      </c>
      <c r="X46" s="129">
        <f t="shared" ref="X46:AE53" si="15">+D46/$R$60</f>
        <v>0</v>
      </c>
      <c r="Y46" s="129">
        <f t="shared" si="15"/>
        <v>1.2804217860000942E-2</v>
      </c>
      <c r="Z46" s="129">
        <f t="shared" si="15"/>
        <v>1.1203690627500824E-2</v>
      </c>
      <c r="AA46" s="129">
        <f t="shared" si="15"/>
        <v>7.5318928588240827E-4</v>
      </c>
      <c r="AB46" s="129">
        <f t="shared" si="15"/>
        <v>1.1038930471214048E-2</v>
      </c>
      <c r="AC46" s="129">
        <f t="shared" si="15"/>
        <v>1.5746363507979099E-2</v>
      </c>
      <c r="AD46" s="129">
        <f t="shared" si="15"/>
        <v>2.989219978345808E-3</v>
      </c>
      <c r="AE46" s="129">
        <f t="shared" si="15"/>
        <v>0</v>
      </c>
      <c r="AF46" s="129">
        <f t="shared" ref="AF46:AF53" si="16">+M46/$R$60</f>
        <v>0.11674433931177329</v>
      </c>
    </row>
    <row r="47" spans="1:32" x14ac:dyDescent="0.25">
      <c r="A47" t="s">
        <v>125</v>
      </c>
      <c r="B47" s="96" t="s">
        <v>126</v>
      </c>
      <c r="D47" s="127">
        <v>707</v>
      </c>
      <c r="E47" s="127">
        <v>0</v>
      </c>
      <c r="F47" s="127">
        <v>55</v>
      </c>
      <c r="G47" s="127">
        <v>1</v>
      </c>
      <c r="H47" s="127">
        <v>65</v>
      </c>
      <c r="I47" s="127">
        <v>43</v>
      </c>
      <c r="J47" s="127">
        <v>23</v>
      </c>
      <c r="K47" s="127">
        <v>0</v>
      </c>
      <c r="L47" s="127">
        <v>18</v>
      </c>
      <c r="M47" s="127">
        <v>643</v>
      </c>
      <c r="N47" s="128">
        <v>0</v>
      </c>
      <c r="O47" s="128">
        <v>0</v>
      </c>
      <c r="P47" s="128">
        <v>0</v>
      </c>
      <c r="Q47" s="128">
        <v>0</v>
      </c>
      <c r="S47" t="s">
        <v>83</v>
      </c>
      <c r="U47" s="45">
        <f>SUMPRODUCT($D$10:$Q$23,D46:Q59)</f>
        <v>1561124.8499999999</v>
      </c>
      <c r="X47" s="129">
        <f t="shared" si="15"/>
        <v>1.6640775784964458E-2</v>
      </c>
      <c r="Y47" s="129">
        <f t="shared" si="15"/>
        <v>0</v>
      </c>
      <c r="Z47" s="129">
        <f t="shared" si="15"/>
        <v>1.2945440851103893E-3</v>
      </c>
      <c r="AA47" s="129">
        <f t="shared" si="15"/>
        <v>2.3537165183825258E-5</v>
      </c>
      <c r="AB47" s="129">
        <f t="shared" si="15"/>
        <v>1.5299157369486418E-3</v>
      </c>
      <c r="AC47" s="129">
        <f t="shared" si="15"/>
        <v>1.0120981029044863E-3</v>
      </c>
      <c r="AD47" s="129">
        <f t="shared" si="15"/>
        <v>5.4135479922798096E-4</v>
      </c>
      <c r="AE47" s="129">
        <f t="shared" si="15"/>
        <v>0</v>
      </c>
      <c r="AF47" s="129">
        <f t="shared" si="16"/>
        <v>1.5134397213199643E-2</v>
      </c>
    </row>
    <row r="48" spans="1:32" x14ac:dyDescent="0.25">
      <c r="A48" t="s">
        <v>127</v>
      </c>
      <c r="B48" s="96" t="s">
        <v>112</v>
      </c>
      <c r="D48" s="127">
        <v>504</v>
      </c>
      <c r="E48" s="127">
        <v>43</v>
      </c>
      <c r="F48" s="127">
        <v>0</v>
      </c>
      <c r="G48" s="127">
        <v>49</v>
      </c>
      <c r="H48" s="127">
        <v>333</v>
      </c>
      <c r="I48" s="127">
        <v>599</v>
      </c>
      <c r="J48" s="127">
        <v>82</v>
      </c>
      <c r="K48" s="127">
        <v>0</v>
      </c>
      <c r="L48" s="127">
        <v>82</v>
      </c>
      <c r="M48" s="127">
        <v>2032</v>
      </c>
      <c r="N48" s="128">
        <v>1</v>
      </c>
      <c r="O48" s="128">
        <v>0</v>
      </c>
      <c r="P48" s="128">
        <v>0</v>
      </c>
      <c r="Q48" s="128">
        <v>0</v>
      </c>
      <c r="S48" t="s">
        <v>46</v>
      </c>
      <c r="U48">
        <f>U47/SUM(D46:Q59)</f>
        <v>36.744453467024428</v>
      </c>
      <c r="X48" s="129">
        <f t="shared" si="15"/>
        <v>1.1862731252647932E-2</v>
      </c>
      <c r="Y48" s="129">
        <f t="shared" si="15"/>
        <v>1.0120981029044863E-3</v>
      </c>
      <c r="Z48" s="129">
        <f t="shared" si="15"/>
        <v>0</v>
      </c>
      <c r="AA48" s="129">
        <f t="shared" si="15"/>
        <v>1.1533210940074378E-3</v>
      </c>
      <c r="AB48" s="129">
        <f t="shared" si="15"/>
        <v>7.8378760062138113E-3</v>
      </c>
      <c r="AC48" s="129">
        <f t="shared" si="15"/>
        <v>1.4098761945111331E-2</v>
      </c>
      <c r="AD48" s="129">
        <f t="shared" si="15"/>
        <v>1.9300475450736714E-3</v>
      </c>
      <c r="AE48" s="129">
        <f t="shared" si="15"/>
        <v>0</v>
      </c>
      <c r="AF48" s="129">
        <f t="shared" si="16"/>
        <v>4.7827519653532928E-2</v>
      </c>
    </row>
    <row r="49" spans="1:32" x14ac:dyDescent="0.25">
      <c r="A49" t="s">
        <v>128</v>
      </c>
      <c r="B49" s="96" t="s">
        <v>113</v>
      </c>
      <c r="D49" s="127">
        <v>34</v>
      </c>
      <c r="E49" s="127">
        <v>1</v>
      </c>
      <c r="F49" s="127">
        <v>48</v>
      </c>
      <c r="G49" s="127">
        <v>0</v>
      </c>
      <c r="H49" s="127">
        <v>54</v>
      </c>
      <c r="I49" s="127">
        <v>57</v>
      </c>
      <c r="J49" s="127">
        <v>0</v>
      </c>
      <c r="K49" s="127">
        <v>0</v>
      </c>
      <c r="L49" s="127">
        <v>0</v>
      </c>
      <c r="M49" s="127">
        <v>222</v>
      </c>
      <c r="N49" s="128">
        <v>0</v>
      </c>
      <c r="O49" s="128">
        <v>0</v>
      </c>
      <c r="P49" s="128">
        <v>0</v>
      </c>
      <c r="Q49" s="128">
        <v>0</v>
      </c>
      <c r="X49" s="129">
        <f t="shared" si="15"/>
        <v>8.0026361625005885E-4</v>
      </c>
      <c r="Y49" s="129">
        <f t="shared" si="15"/>
        <v>2.3537165183825258E-5</v>
      </c>
      <c r="Z49" s="129">
        <f t="shared" si="15"/>
        <v>1.1297839288236125E-3</v>
      </c>
      <c r="AA49" s="129">
        <f t="shared" si="15"/>
        <v>0</v>
      </c>
      <c r="AB49" s="129">
        <f t="shared" si="15"/>
        <v>1.2710069199265641E-3</v>
      </c>
      <c r="AC49" s="129">
        <f t="shared" si="15"/>
        <v>1.3416184154780399E-3</v>
      </c>
      <c r="AD49" s="129">
        <f t="shared" si="15"/>
        <v>0</v>
      </c>
      <c r="AE49" s="129">
        <f t="shared" si="15"/>
        <v>0</v>
      </c>
      <c r="AF49" s="129">
        <f t="shared" si="16"/>
        <v>5.2252506708092075E-3</v>
      </c>
    </row>
    <row r="50" spans="1:32" x14ac:dyDescent="0.25">
      <c r="A50" t="s">
        <v>129</v>
      </c>
      <c r="B50" s="96" t="s">
        <v>114</v>
      </c>
      <c r="D50" s="127">
        <v>733</v>
      </c>
      <c r="E50" s="127">
        <v>49</v>
      </c>
      <c r="F50" s="127">
        <v>322</v>
      </c>
      <c r="G50" s="127">
        <v>96</v>
      </c>
      <c r="H50" s="127">
        <v>0</v>
      </c>
      <c r="I50" s="127">
        <v>0</v>
      </c>
      <c r="J50" s="127">
        <v>261</v>
      </c>
      <c r="K50" s="127">
        <v>0</v>
      </c>
      <c r="L50" s="127">
        <v>197</v>
      </c>
      <c r="M50" s="127">
        <v>2421</v>
      </c>
      <c r="N50" s="128">
        <v>0</v>
      </c>
      <c r="O50" s="128">
        <v>0</v>
      </c>
      <c r="P50" s="128">
        <v>0</v>
      </c>
      <c r="Q50" s="128">
        <v>0</v>
      </c>
      <c r="X50" s="129">
        <f t="shared" si="15"/>
        <v>1.7252742079743914E-2</v>
      </c>
      <c r="Y50" s="129">
        <f t="shared" si="15"/>
        <v>1.1533210940074378E-3</v>
      </c>
      <c r="Z50" s="129">
        <f t="shared" si="15"/>
        <v>7.5789671891917341E-3</v>
      </c>
      <c r="AA50" s="129">
        <f t="shared" si="15"/>
        <v>2.259567857647225E-3</v>
      </c>
      <c r="AB50" s="129">
        <f t="shared" si="15"/>
        <v>0</v>
      </c>
      <c r="AC50" s="129">
        <f t="shared" si="15"/>
        <v>0</v>
      </c>
      <c r="AD50" s="129">
        <f t="shared" si="15"/>
        <v>6.1432001129783928E-3</v>
      </c>
      <c r="AE50" s="129">
        <f t="shared" si="15"/>
        <v>0</v>
      </c>
      <c r="AF50" s="129">
        <f t="shared" si="16"/>
        <v>5.6983476910040957E-2</v>
      </c>
    </row>
    <row r="51" spans="1:32" x14ac:dyDescent="0.25">
      <c r="A51" t="s">
        <v>130</v>
      </c>
      <c r="B51" s="96" t="s">
        <v>115</v>
      </c>
      <c r="D51" s="127">
        <v>408</v>
      </c>
      <c r="E51" s="127">
        <v>23</v>
      </c>
      <c r="F51" s="127">
        <v>250</v>
      </c>
      <c r="G51" s="127">
        <v>70</v>
      </c>
      <c r="H51" s="127">
        <v>0</v>
      </c>
      <c r="I51" s="127">
        <v>0</v>
      </c>
      <c r="J51" s="127">
        <v>276</v>
      </c>
      <c r="K51" s="127">
        <v>0</v>
      </c>
      <c r="L51" s="127">
        <v>144</v>
      </c>
      <c r="M51" s="127">
        <v>1579</v>
      </c>
      <c r="N51" s="128">
        <v>0</v>
      </c>
      <c r="O51" s="128">
        <v>0</v>
      </c>
      <c r="P51" s="128">
        <v>0</v>
      </c>
      <c r="Q51" s="128">
        <v>0</v>
      </c>
      <c r="X51" s="129">
        <f t="shared" si="15"/>
        <v>9.6031633950007054E-3</v>
      </c>
      <c r="Y51" s="129">
        <f t="shared" si="15"/>
        <v>5.4135479922798096E-4</v>
      </c>
      <c r="Z51" s="129">
        <f t="shared" si="15"/>
        <v>5.8842912959563148E-3</v>
      </c>
      <c r="AA51" s="129">
        <f t="shared" si="15"/>
        <v>1.6476015628677683E-3</v>
      </c>
      <c r="AB51" s="129">
        <f t="shared" si="15"/>
        <v>0</v>
      </c>
      <c r="AC51" s="129">
        <f t="shared" si="15"/>
        <v>0</v>
      </c>
      <c r="AD51" s="129">
        <f t="shared" si="15"/>
        <v>6.496257590735772E-3</v>
      </c>
      <c r="AE51" s="129">
        <f t="shared" si="15"/>
        <v>0</v>
      </c>
      <c r="AF51" s="129">
        <f t="shared" si="16"/>
        <v>3.7165183825260087E-2</v>
      </c>
    </row>
    <row r="52" spans="1:32" x14ac:dyDescent="0.25">
      <c r="A52" t="s">
        <v>131</v>
      </c>
      <c r="B52" s="96" t="s">
        <v>116</v>
      </c>
      <c r="D52" s="127">
        <v>120</v>
      </c>
      <c r="E52" s="127">
        <v>22</v>
      </c>
      <c r="F52" s="127">
        <v>108</v>
      </c>
      <c r="G52" s="127">
        <v>0</v>
      </c>
      <c r="H52" s="127">
        <v>120</v>
      </c>
      <c r="I52" s="127">
        <v>347</v>
      </c>
      <c r="J52" s="127">
        <v>0</v>
      </c>
      <c r="K52" s="127">
        <v>0</v>
      </c>
      <c r="L52" s="127">
        <v>26</v>
      </c>
      <c r="M52" s="127">
        <v>481</v>
      </c>
      <c r="N52" s="128">
        <v>0</v>
      </c>
      <c r="O52" s="128">
        <v>0</v>
      </c>
      <c r="P52" s="128">
        <v>0</v>
      </c>
      <c r="Q52" s="128">
        <v>1</v>
      </c>
      <c r="X52" s="129">
        <f t="shared" si="15"/>
        <v>2.8244598220590312E-3</v>
      </c>
      <c r="Y52" s="129">
        <f t="shared" si="15"/>
        <v>5.1781763404415567E-4</v>
      </c>
      <c r="Z52" s="129">
        <f t="shared" si="15"/>
        <v>2.5420138398531281E-3</v>
      </c>
      <c r="AA52" s="129">
        <f t="shared" si="15"/>
        <v>0</v>
      </c>
      <c r="AB52" s="129">
        <f t="shared" si="15"/>
        <v>2.8244598220590312E-3</v>
      </c>
      <c r="AC52" s="129">
        <f t="shared" si="15"/>
        <v>8.1673963187873649E-3</v>
      </c>
      <c r="AD52" s="129">
        <f t="shared" si="15"/>
        <v>0</v>
      </c>
      <c r="AE52" s="129">
        <f t="shared" si="15"/>
        <v>0</v>
      </c>
      <c r="AF52" s="129">
        <f t="shared" si="16"/>
        <v>1.132137645341995E-2</v>
      </c>
    </row>
    <row r="53" spans="1:32" x14ac:dyDescent="0.25">
      <c r="A53" t="s">
        <v>132</v>
      </c>
      <c r="B53" s="96" t="s">
        <v>117</v>
      </c>
      <c r="D53" s="127">
        <v>0</v>
      </c>
      <c r="E53" s="127">
        <v>0</v>
      </c>
      <c r="F53" s="127">
        <v>0</v>
      </c>
      <c r="G53" s="127">
        <v>0</v>
      </c>
      <c r="H53" s="127">
        <v>0</v>
      </c>
      <c r="I53" s="127">
        <v>0</v>
      </c>
      <c r="J53" s="127">
        <v>0</v>
      </c>
      <c r="K53" s="127">
        <v>0</v>
      </c>
      <c r="L53" s="127">
        <v>0</v>
      </c>
      <c r="M53" s="127">
        <v>0</v>
      </c>
      <c r="N53" s="128">
        <v>0</v>
      </c>
      <c r="O53" s="128">
        <v>0</v>
      </c>
      <c r="P53" s="128">
        <v>0</v>
      </c>
      <c r="Q53" s="128">
        <v>0</v>
      </c>
      <c r="X53" s="129">
        <f t="shared" si="15"/>
        <v>0</v>
      </c>
      <c r="Y53" s="129">
        <f t="shared" si="15"/>
        <v>0</v>
      </c>
      <c r="Z53" s="129">
        <f t="shared" si="15"/>
        <v>0</v>
      </c>
      <c r="AA53" s="129">
        <f t="shared" si="15"/>
        <v>0</v>
      </c>
      <c r="AB53" s="129">
        <f t="shared" si="15"/>
        <v>0</v>
      </c>
      <c r="AC53" s="129">
        <f t="shared" si="15"/>
        <v>0</v>
      </c>
      <c r="AD53" s="129">
        <f t="shared" si="15"/>
        <v>0</v>
      </c>
      <c r="AE53" s="129">
        <f t="shared" si="15"/>
        <v>0</v>
      </c>
      <c r="AF53" s="129">
        <f t="shared" si="16"/>
        <v>0</v>
      </c>
    </row>
    <row r="54" spans="1:32" x14ac:dyDescent="0.25">
      <c r="B54" s="96" t="s">
        <v>118</v>
      </c>
      <c r="D54" s="127">
        <v>201</v>
      </c>
      <c r="E54" s="127">
        <v>11</v>
      </c>
      <c r="F54" s="127">
        <v>37</v>
      </c>
      <c r="G54" s="127">
        <v>7</v>
      </c>
      <c r="H54" s="127">
        <v>81</v>
      </c>
      <c r="I54" s="127">
        <v>215</v>
      </c>
      <c r="J54" s="127">
        <v>23</v>
      </c>
      <c r="K54" s="127">
        <v>0</v>
      </c>
      <c r="L54" s="127">
        <v>0</v>
      </c>
      <c r="M54" s="127">
        <v>177</v>
      </c>
      <c r="N54" s="128">
        <v>0</v>
      </c>
      <c r="O54" s="128">
        <v>0</v>
      </c>
      <c r="P54" s="128">
        <v>0</v>
      </c>
      <c r="Q54" s="128">
        <v>0</v>
      </c>
      <c r="X54" s="129"/>
      <c r="Y54" s="129"/>
      <c r="Z54" s="129"/>
      <c r="AA54" s="129"/>
      <c r="AB54" s="129"/>
      <c r="AC54" s="129"/>
      <c r="AD54" s="129"/>
      <c r="AE54" s="129"/>
      <c r="AF54" s="129"/>
    </row>
    <row r="55" spans="1:32" x14ac:dyDescent="0.25">
      <c r="A55" t="s">
        <v>133</v>
      </c>
      <c r="B55" s="96" t="s">
        <v>119</v>
      </c>
      <c r="D55" s="127">
        <v>4535</v>
      </c>
      <c r="E55" s="127">
        <v>508</v>
      </c>
      <c r="F55" s="127">
        <v>2050</v>
      </c>
      <c r="G55" s="127">
        <v>239</v>
      </c>
      <c r="H55" s="127">
        <v>2495</v>
      </c>
      <c r="I55" s="127">
        <v>1249</v>
      </c>
      <c r="J55" s="127">
        <v>521</v>
      </c>
      <c r="K55" s="127">
        <v>0</v>
      </c>
      <c r="L55" s="127">
        <v>130</v>
      </c>
      <c r="M55" s="127">
        <v>0</v>
      </c>
      <c r="N55" s="128">
        <v>57</v>
      </c>
      <c r="O55" s="128">
        <v>340</v>
      </c>
      <c r="P55" s="128">
        <v>690</v>
      </c>
      <c r="Q55" s="128">
        <v>2578</v>
      </c>
      <c r="X55" s="129">
        <f t="shared" ref="X55:AE55" si="17">+D55/$R$60</f>
        <v>0.10674104410864756</v>
      </c>
      <c r="Y55" s="129">
        <f t="shared" si="17"/>
        <v>1.1956879913383232E-2</v>
      </c>
      <c r="Z55" s="129">
        <f t="shared" si="17"/>
        <v>4.825118862684178E-2</v>
      </c>
      <c r="AA55" s="129">
        <f t="shared" si="17"/>
        <v>5.6253824789342368E-3</v>
      </c>
      <c r="AB55" s="129">
        <f t="shared" si="17"/>
        <v>5.8725227133644024E-2</v>
      </c>
      <c r="AC55" s="129">
        <f t="shared" si="17"/>
        <v>2.9397919314597749E-2</v>
      </c>
      <c r="AD55" s="129">
        <f t="shared" si="17"/>
        <v>1.226286306077296E-2</v>
      </c>
      <c r="AE55" s="129">
        <f t="shared" si="17"/>
        <v>0</v>
      </c>
      <c r="AF55" s="129">
        <f>+M55/$R$60</f>
        <v>0</v>
      </c>
    </row>
    <row r="56" spans="1:32" x14ac:dyDescent="0.25">
      <c r="B56" s="96" t="s">
        <v>120</v>
      </c>
      <c r="D56" s="128">
        <v>0</v>
      </c>
      <c r="E56" s="128">
        <v>0</v>
      </c>
      <c r="F56" s="128">
        <v>0</v>
      </c>
      <c r="G56" s="128">
        <v>0</v>
      </c>
      <c r="H56" s="128">
        <v>0</v>
      </c>
      <c r="I56" s="128">
        <v>0</v>
      </c>
      <c r="J56" s="128">
        <v>0</v>
      </c>
      <c r="K56" s="128">
        <v>0</v>
      </c>
      <c r="L56" s="128">
        <v>0</v>
      </c>
      <c r="M56" s="128">
        <v>115</v>
      </c>
      <c r="N56" s="128">
        <v>0</v>
      </c>
      <c r="O56" s="128">
        <v>34</v>
      </c>
      <c r="P56" s="128">
        <v>98</v>
      </c>
      <c r="Q56" s="128">
        <v>224</v>
      </c>
      <c r="X56" s="130"/>
      <c r="Y56" s="130"/>
      <c r="Z56" s="130"/>
      <c r="AA56" s="130"/>
      <c r="AB56" s="130"/>
      <c r="AC56" s="130"/>
      <c r="AD56" s="130"/>
      <c r="AE56" s="130"/>
      <c r="AF56" s="130"/>
    </row>
    <row r="57" spans="1:32" x14ac:dyDescent="0.25">
      <c r="B57" s="96" t="s">
        <v>121</v>
      </c>
      <c r="D57" s="128">
        <v>0</v>
      </c>
      <c r="E57" s="128">
        <v>0</v>
      </c>
      <c r="F57" s="128">
        <v>0</v>
      </c>
      <c r="G57" s="128">
        <v>0</v>
      </c>
      <c r="H57" s="128">
        <v>0</v>
      </c>
      <c r="I57" s="128">
        <v>0</v>
      </c>
      <c r="J57" s="128">
        <v>0</v>
      </c>
      <c r="K57" s="128">
        <v>0</v>
      </c>
      <c r="L57" s="128">
        <v>0</v>
      </c>
      <c r="M57" s="128">
        <v>309</v>
      </c>
      <c r="N57" s="128">
        <v>13</v>
      </c>
      <c r="O57" s="128">
        <v>0</v>
      </c>
      <c r="P57" s="128">
        <v>111</v>
      </c>
      <c r="Q57" s="128">
        <v>185</v>
      </c>
      <c r="X57" s="130"/>
      <c r="Y57" s="130"/>
      <c r="Z57" s="130"/>
      <c r="AA57" s="130"/>
      <c r="AB57" s="130"/>
      <c r="AC57" s="130"/>
      <c r="AD57" s="130"/>
      <c r="AE57" s="130"/>
      <c r="AF57" s="130"/>
    </row>
    <row r="58" spans="1:32" x14ac:dyDescent="0.25">
      <c r="B58" s="122" t="s">
        <v>122</v>
      </c>
      <c r="D58" s="128">
        <v>0</v>
      </c>
      <c r="E58" s="128">
        <v>0</v>
      </c>
      <c r="F58" s="128">
        <v>0</v>
      </c>
      <c r="G58" s="128">
        <v>0</v>
      </c>
      <c r="H58" s="128">
        <v>0</v>
      </c>
      <c r="I58" s="128">
        <v>0</v>
      </c>
      <c r="J58" s="128">
        <v>1</v>
      </c>
      <c r="K58" s="128">
        <v>0</v>
      </c>
      <c r="L58" s="128">
        <v>0</v>
      </c>
      <c r="M58" s="128">
        <v>803</v>
      </c>
      <c r="N58" s="128">
        <v>100</v>
      </c>
      <c r="O58" s="128">
        <v>67</v>
      </c>
      <c r="P58" s="128">
        <v>0</v>
      </c>
      <c r="Q58" s="128">
        <v>87</v>
      </c>
      <c r="X58" s="130"/>
      <c r="Y58" s="130"/>
      <c r="Z58" s="130"/>
      <c r="AA58" s="130"/>
      <c r="AB58" s="130"/>
      <c r="AC58" s="130"/>
      <c r="AD58" s="130"/>
      <c r="AE58" s="130"/>
      <c r="AF58" s="130"/>
    </row>
    <row r="59" spans="1:32" x14ac:dyDescent="0.25">
      <c r="B59" s="122" t="s">
        <v>123</v>
      </c>
      <c r="D59" s="128">
        <v>0</v>
      </c>
      <c r="E59" s="128">
        <v>0</v>
      </c>
      <c r="F59" s="128">
        <v>0</v>
      </c>
      <c r="G59" s="128">
        <v>0</v>
      </c>
      <c r="H59" s="128">
        <v>0</v>
      </c>
      <c r="I59" s="128">
        <v>0</v>
      </c>
      <c r="J59" s="128">
        <v>1</v>
      </c>
      <c r="K59" s="128">
        <v>0</v>
      </c>
      <c r="L59" s="128">
        <v>0</v>
      </c>
      <c r="M59" s="128">
        <v>2359</v>
      </c>
      <c r="N59" s="128">
        <v>231</v>
      </c>
      <c r="O59" s="128">
        <v>200</v>
      </c>
      <c r="P59" s="128">
        <v>118</v>
      </c>
      <c r="Q59" s="128">
        <v>0</v>
      </c>
      <c r="X59" s="130"/>
      <c r="Y59" s="130"/>
      <c r="Z59" s="130"/>
      <c r="AA59" s="130"/>
      <c r="AB59" s="130"/>
      <c r="AC59" s="130"/>
      <c r="AD59" s="130"/>
      <c r="AE59" s="130"/>
      <c r="AF59" s="130"/>
    </row>
    <row r="60" spans="1:32" x14ac:dyDescent="0.25">
      <c r="D60"/>
      <c r="E60" s="48"/>
      <c r="R60" s="45">
        <f>+SUM(D46:Q59)</f>
        <v>42486</v>
      </c>
      <c r="S60" s="45">
        <f>+[4]Solicitudes!$O$6</f>
        <v>46035</v>
      </c>
      <c r="T60" s="45">
        <f>+S60-R60</f>
        <v>3549</v>
      </c>
    </row>
    <row r="61" spans="1:32" x14ac:dyDescent="0.25">
      <c r="B61" s="124" t="s">
        <v>136</v>
      </c>
      <c r="D61"/>
      <c r="E61" s="48"/>
    </row>
    <row r="62" spans="1:32" x14ac:dyDescent="0.25">
      <c r="D62" s="96" t="s">
        <v>134</v>
      </c>
      <c r="E62" s="96"/>
      <c r="F62" s="96"/>
      <c r="G62" s="96"/>
      <c r="H62" s="96"/>
      <c r="I62" s="96"/>
      <c r="J62" s="96"/>
      <c r="K62" s="96"/>
      <c r="L62" s="96"/>
      <c r="M62" s="96"/>
      <c r="N62" s="125"/>
      <c r="O62" s="125"/>
      <c r="P62" s="126"/>
      <c r="Q62" s="126"/>
      <c r="Y62" s="45">
        <f>+R60+'PAX KM BT'!AD414+'PAX KM CL'!Y343</f>
        <v>42486</v>
      </c>
    </row>
    <row r="63" spans="1:32" x14ac:dyDescent="0.25">
      <c r="B63" s="96" t="s">
        <v>108</v>
      </c>
      <c r="D63" s="97" t="s">
        <v>110</v>
      </c>
      <c r="E63" s="97" t="s">
        <v>111</v>
      </c>
      <c r="F63" s="97" t="s">
        <v>112</v>
      </c>
      <c r="G63" s="97" t="s">
        <v>113</v>
      </c>
      <c r="H63" s="97" t="s">
        <v>114</v>
      </c>
      <c r="I63" s="97" t="s">
        <v>115</v>
      </c>
      <c r="J63" s="97" t="s">
        <v>116</v>
      </c>
      <c r="K63" s="97" t="s">
        <v>117</v>
      </c>
      <c r="L63" s="97" t="s">
        <v>118</v>
      </c>
      <c r="M63" s="97" t="s">
        <v>119</v>
      </c>
      <c r="N63" s="97" t="s">
        <v>120</v>
      </c>
      <c r="O63" s="97" t="s">
        <v>121</v>
      </c>
      <c r="P63" s="97" t="s">
        <v>122</v>
      </c>
      <c r="Q63" s="97" t="s">
        <v>123</v>
      </c>
    </row>
    <row r="64" spans="1:32" x14ac:dyDescent="0.25">
      <c r="A64" t="s">
        <v>124</v>
      </c>
      <c r="B64" s="96" t="s">
        <v>110</v>
      </c>
      <c r="D64" s="127">
        <v>0</v>
      </c>
      <c r="E64" s="127">
        <v>611</v>
      </c>
      <c r="F64" s="127">
        <v>682</v>
      </c>
      <c r="G64" s="127">
        <v>30</v>
      </c>
      <c r="H64" s="127">
        <v>373</v>
      </c>
      <c r="I64" s="127">
        <v>609</v>
      </c>
      <c r="J64" s="127">
        <v>124</v>
      </c>
      <c r="K64" s="127">
        <v>0</v>
      </c>
      <c r="L64" s="127">
        <v>277</v>
      </c>
      <c r="M64" s="127">
        <v>3477</v>
      </c>
      <c r="N64" s="128">
        <v>0</v>
      </c>
      <c r="O64" s="128">
        <v>0</v>
      </c>
      <c r="P64" s="128">
        <v>0</v>
      </c>
      <c r="Q64" s="128">
        <v>0</v>
      </c>
    </row>
    <row r="65" spans="1:21" x14ac:dyDescent="0.25">
      <c r="A65" t="s">
        <v>125</v>
      </c>
      <c r="B65" s="96" t="s">
        <v>126</v>
      </c>
      <c r="D65" s="127">
        <v>476</v>
      </c>
      <c r="E65" s="127">
        <v>0</v>
      </c>
      <c r="F65" s="127">
        <v>70</v>
      </c>
      <c r="G65" s="127">
        <v>1</v>
      </c>
      <c r="H65" s="127">
        <v>47</v>
      </c>
      <c r="I65" s="127">
        <v>41</v>
      </c>
      <c r="J65" s="127">
        <v>8</v>
      </c>
      <c r="K65" s="127">
        <v>0</v>
      </c>
      <c r="L65" s="127">
        <v>13</v>
      </c>
      <c r="M65" s="127">
        <v>649</v>
      </c>
      <c r="N65" s="128">
        <v>0</v>
      </c>
      <c r="O65" s="128">
        <v>0</v>
      </c>
      <c r="P65" s="128">
        <v>0</v>
      </c>
      <c r="Q65" s="128">
        <v>0</v>
      </c>
      <c r="S65" t="s">
        <v>83</v>
      </c>
      <c r="U65" s="45">
        <f>SUMPRODUCT($D$10:$Q$23,D64:Q77)</f>
        <v>1741672.5700000005</v>
      </c>
    </row>
    <row r="66" spans="1:21" x14ac:dyDescent="0.25">
      <c r="A66" t="s">
        <v>127</v>
      </c>
      <c r="B66" s="96" t="s">
        <v>112</v>
      </c>
      <c r="D66" s="127">
        <v>573</v>
      </c>
      <c r="E66" s="127">
        <v>83</v>
      </c>
      <c r="F66" s="127">
        <v>0</v>
      </c>
      <c r="G66" s="127">
        <v>48</v>
      </c>
      <c r="H66" s="127">
        <v>432</v>
      </c>
      <c r="I66" s="127">
        <v>551</v>
      </c>
      <c r="J66" s="127">
        <v>317</v>
      </c>
      <c r="K66" s="127">
        <v>0</v>
      </c>
      <c r="L66" s="127">
        <v>108</v>
      </c>
      <c r="M66" s="127">
        <v>2672</v>
      </c>
      <c r="N66" s="128">
        <v>1</v>
      </c>
      <c r="O66" s="128">
        <v>0</v>
      </c>
      <c r="P66" s="128">
        <v>0</v>
      </c>
      <c r="Q66" s="128">
        <v>0</v>
      </c>
      <c r="S66" t="s">
        <v>46</v>
      </c>
      <c r="U66">
        <f>U65/SUM(D64:Q77)</f>
        <v>23.902404001866447</v>
      </c>
    </row>
    <row r="67" spans="1:21" x14ac:dyDescent="0.25">
      <c r="A67" t="s">
        <v>128</v>
      </c>
      <c r="B67" s="96" t="s">
        <v>113</v>
      </c>
      <c r="D67" s="127">
        <v>33</v>
      </c>
      <c r="E67" s="127">
        <v>0</v>
      </c>
      <c r="F67" s="127">
        <v>50</v>
      </c>
      <c r="G67" s="127">
        <v>0</v>
      </c>
      <c r="H67" s="127">
        <v>65</v>
      </c>
      <c r="I67" s="127">
        <v>80</v>
      </c>
      <c r="J67" s="127">
        <v>18</v>
      </c>
      <c r="K67" s="127">
        <v>0</v>
      </c>
      <c r="L67" s="127">
        <v>0</v>
      </c>
      <c r="M67" s="127">
        <v>280</v>
      </c>
      <c r="N67" s="128">
        <v>0</v>
      </c>
      <c r="O67" s="128">
        <v>0</v>
      </c>
      <c r="P67" s="128">
        <v>0</v>
      </c>
      <c r="Q67" s="128">
        <v>0</v>
      </c>
    </row>
    <row r="68" spans="1:21" x14ac:dyDescent="0.25">
      <c r="A68" t="s">
        <v>129</v>
      </c>
      <c r="B68" s="96" t="s">
        <v>114</v>
      </c>
      <c r="D68" s="127">
        <v>685</v>
      </c>
      <c r="E68" s="127">
        <v>58</v>
      </c>
      <c r="F68" s="127">
        <v>354</v>
      </c>
      <c r="G68" s="127">
        <v>123</v>
      </c>
      <c r="H68" s="127">
        <v>0</v>
      </c>
      <c r="I68" s="127">
        <v>1</v>
      </c>
      <c r="J68" s="127">
        <v>711</v>
      </c>
      <c r="K68" s="127">
        <v>0</v>
      </c>
      <c r="L68" s="127">
        <v>179</v>
      </c>
      <c r="M68" s="127">
        <v>2928</v>
      </c>
      <c r="N68" s="128">
        <v>0</v>
      </c>
      <c r="O68" s="128">
        <v>0</v>
      </c>
      <c r="P68" s="128">
        <v>0</v>
      </c>
      <c r="Q68" s="128">
        <v>2</v>
      </c>
    </row>
    <row r="69" spans="1:21" x14ac:dyDescent="0.25">
      <c r="A69" t="s">
        <v>130</v>
      </c>
      <c r="B69" s="96" t="s">
        <v>115</v>
      </c>
      <c r="D69" s="127">
        <v>337</v>
      </c>
      <c r="E69" s="127">
        <v>10</v>
      </c>
      <c r="F69" s="127">
        <v>196</v>
      </c>
      <c r="G69" s="127">
        <v>54</v>
      </c>
      <c r="H69" s="127">
        <v>2</v>
      </c>
      <c r="I69" s="127">
        <v>0</v>
      </c>
      <c r="J69" s="127">
        <v>456</v>
      </c>
      <c r="K69" s="127">
        <v>0</v>
      </c>
      <c r="L69" s="127">
        <v>122</v>
      </c>
      <c r="M69" s="127">
        <v>1866</v>
      </c>
      <c r="N69" s="128">
        <v>0</v>
      </c>
      <c r="O69" s="128">
        <v>0</v>
      </c>
      <c r="P69" s="128">
        <v>0</v>
      </c>
      <c r="Q69" s="128">
        <v>0</v>
      </c>
    </row>
    <row r="70" spans="1:21" x14ac:dyDescent="0.25">
      <c r="A70" t="s">
        <v>131</v>
      </c>
      <c r="B70" s="96" t="s">
        <v>116</v>
      </c>
      <c r="D70" s="127">
        <v>107</v>
      </c>
      <c r="E70" s="127">
        <v>15</v>
      </c>
      <c r="F70" s="127">
        <v>130</v>
      </c>
      <c r="G70" s="127">
        <v>2</v>
      </c>
      <c r="H70" s="127">
        <v>158</v>
      </c>
      <c r="I70" s="127">
        <v>264</v>
      </c>
      <c r="J70" s="127">
        <v>0</v>
      </c>
      <c r="K70" s="127">
        <v>0</v>
      </c>
      <c r="L70" s="127">
        <v>144</v>
      </c>
      <c r="M70" s="127">
        <v>627</v>
      </c>
      <c r="N70" s="128">
        <v>0</v>
      </c>
      <c r="O70" s="128">
        <v>0</v>
      </c>
      <c r="P70" s="128">
        <v>0</v>
      </c>
      <c r="Q70" s="128">
        <v>0</v>
      </c>
    </row>
    <row r="71" spans="1:21" x14ac:dyDescent="0.25">
      <c r="A71" t="s">
        <v>132</v>
      </c>
      <c r="B71" s="96" t="s">
        <v>117</v>
      </c>
      <c r="D71" s="127">
        <v>0</v>
      </c>
      <c r="E71" s="127">
        <v>0</v>
      </c>
      <c r="F71" s="127">
        <v>0</v>
      </c>
      <c r="G71" s="127">
        <v>0</v>
      </c>
      <c r="H71" s="127">
        <v>0</v>
      </c>
      <c r="I71" s="127">
        <v>0</v>
      </c>
      <c r="J71" s="127">
        <v>0</v>
      </c>
      <c r="K71" s="127">
        <v>0</v>
      </c>
      <c r="L71" s="127">
        <v>0</v>
      </c>
      <c r="M71" s="127">
        <v>16472</v>
      </c>
      <c r="N71" s="128">
        <v>0</v>
      </c>
      <c r="O71" s="128">
        <v>0</v>
      </c>
      <c r="P71" s="128">
        <v>0</v>
      </c>
      <c r="Q71" s="128">
        <v>0</v>
      </c>
    </row>
    <row r="72" spans="1:21" x14ac:dyDescent="0.25">
      <c r="B72" s="96" t="s">
        <v>118</v>
      </c>
      <c r="D72" s="127">
        <v>161</v>
      </c>
      <c r="E72" s="127">
        <v>14</v>
      </c>
      <c r="F72" s="127">
        <v>60</v>
      </c>
      <c r="G72" s="127">
        <v>1</v>
      </c>
      <c r="H72" s="127">
        <v>130</v>
      </c>
      <c r="I72" s="127">
        <v>174</v>
      </c>
      <c r="J72" s="127">
        <v>59</v>
      </c>
      <c r="K72" s="127">
        <v>0</v>
      </c>
      <c r="L72" s="127">
        <v>0</v>
      </c>
      <c r="M72" s="127">
        <v>185</v>
      </c>
      <c r="N72" s="128">
        <v>1</v>
      </c>
      <c r="O72" s="128">
        <v>0</v>
      </c>
      <c r="P72" s="128">
        <v>0</v>
      </c>
      <c r="Q72" s="128">
        <v>0</v>
      </c>
    </row>
    <row r="73" spans="1:21" x14ac:dyDescent="0.25">
      <c r="A73" t="s">
        <v>133</v>
      </c>
      <c r="B73" s="96" t="s">
        <v>119</v>
      </c>
      <c r="D73" s="127">
        <v>2724</v>
      </c>
      <c r="E73" s="127">
        <v>437</v>
      </c>
      <c r="F73" s="127">
        <v>2139</v>
      </c>
      <c r="G73" s="127">
        <v>226</v>
      </c>
      <c r="H73" s="127">
        <v>2306</v>
      </c>
      <c r="I73" s="127">
        <v>890</v>
      </c>
      <c r="J73" s="127">
        <v>559</v>
      </c>
      <c r="K73" s="127">
        <v>14815</v>
      </c>
      <c r="L73" s="127">
        <v>133</v>
      </c>
      <c r="M73" s="127">
        <v>0</v>
      </c>
      <c r="N73" s="128">
        <v>63</v>
      </c>
      <c r="O73" s="128">
        <v>278</v>
      </c>
      <c r="P73" s="128">
        <v>488</v>
      </c>
      <c r="Q73" s="128">
        <v>1581</v>
      </c>
    </row>
    <row r="74" spans="1:21" x14ac:dyDescent="0.25">
      <c r="B74" s="96" t="s">
        <v>120</v>
      </c>
      <c r="D74" s="128">
        <v>0</v>
      </c>
      <c r="E74" s="128">
        <v>0</v>
      </c>
      <c r="F74" s="128">
        <v>0</v>
      </c>
      <c r="G74" s="128">
        <v>0</v>
      </c>
      <c r="H74" s="128">
        <v>0</v>
      </c>
      <c r="I74" s="128">
        <v>0</v>
      </c>
      <c r="J74" s="128">
        <v>2</v>
      </c>
      <c r="K74" s="128">
        <v>0</v>
      </c>
      <c r="L74" s="128">
        <v>0</v>
      </c>
      <c r="M74" s="128">
        <v>1248</v>
      </c>
      <c r="N74" s="128">
        <v>0</v>
      </c>
      <c r="O74" s="128">
        <v>52</v>
      </c>
      <c r="P74" s="128">
        <v>108</v>
      </c>
      <c r="Q74" s="128">
        <v>235</v>
      </c>
    </row>
    <row r="75" spans="1:21" x14ac:dyDescent="0.25">
      <c r="B75" s="96" t="s">
        <v>121</v>
      </c>
      <c r="D75" s="128">
        <v>0</v>
      </c>
      <c r="E75" s="128">
        <v>0</v>
      </c>
      <c r="F75" s="128">
        <v>0</v>
      </c>
      <c r="G75" s="128">
        <v>0</v>
      </c>
      <c r="H75" s="128">
        <v>0</v>
      </c>
      <c r="I75" s="128">
        <v>0</v>
      </c>
      <c r="J75" s="128">
        <v>1</v>
      </c>
      <c r="K75" s="128">
        <v>0</v>
      </c>
      <c r="L75" s="128">
        <v>0</v>
      </c>
      <c r="M75" s="128">
        <v>711</v>
      </c>
      <c r="N75" s="128">
        <v>120</v>
      </c>
      <c r="O75" s="128">
        <v>0</v>
      </c>
      <c r="P75" s="128">
        <v>151</v>
      </c>
      <c r="Q75" s="128">
        <v>177</v>
      </c>
    </row>
    <row r="76" spans="1:21" x14ac:dyDescent="0.25">
      <c r="B76" s="122" t="s">
        <v>122</v>
      </c>
      <c r="D76" s="128">
        <v>0</v>
      </c>
      <c r="E76" s="128">
        <v>0</v>
      </c>
      <c r="F76" s="128">
        <v>0</v>
      </c>
      <c r="G76" s="128">
        <v>0</v>
      </c>
      <c r="H76" s="128">
        <v>0</v>
      </c>
      <c r="I76" s="128">
        <v>0</v>
      </c>
      <c r="J76" s="128">
        <v>0</v>
      </c>
      <c r="K76" s="128">
        <v>0</v>
      </c>
      <c r="L76" s="128">
        <v>0</v>
      </c>
      <c r="M76" s="128">
        <v>982</v>
      </c>
      <c r="N76" s="128">
        <v>102</v>
      </c>
      <c r="O76" s="128">
        <v>87</v>
      </c>
      <c r="P76" s="128">
        <v>0</v>
      </c>
      <c r="Q76" s="128">
        <v>104</v>
      </c>
    </row>
    <row r="77" spans="1:21" x14ac:dyDescent="0.25">
      <c r="B77" s="122" t="s">
        <v>123</v>
      </c>
      <c r="D77" s="128">
        <v>0</v>
      </c>
      <c r="E77" s="128">
        <v>0</v>
      </c>
      <c r="F77" s="128">
        <v>0</v>
      </c>
      <c r="G77" s="128">
        <v>0</v>
      </c>
      <c r="H77" s="128">
        <v>0</v>
      </c>
      <c r="I77" s="128">
        <v>0</v>
      </c>
      <c r="J77" s="128">
        <v>1</v>
      </c>
      <c r="K77" s="128">
        <v>0</v>
      </c>
      <c r="L77" s="128">
        <v>0</v>
      </c>
      <c r="M77" s="128">
        <v>2018</v>
      </c>
      <c r="N77" s="128">
        <v>287</v>
      </c>
      <c r="O77" s="128">
        <v>150</v>
      </c>
      <c r="P77" s="128">
        <v>104</v>
      </c>
      <c r="Q77" s="128">
        <v>0</v>
      </c>
    </row>
    <row r="78" spans="1:21" x14ac:dyDescent="0.25">
      <c r="D78"/>
      <c r="E78" s="48"/>
      <c r="R78" s="45">
        <f>+SUM(D64:M73)</f>
        <v>63812</v>
      </c>
      <c r="S78" s="45">
        <f>+[4]Solicitudes!$N$6</f>
        <v>41696</v>
      </c>
      <c r="T78" s="45">
        <f>+S78-R78</f>
        <v>-22116</v>
      </c>
    </row>
    <row r="79" spans="1:21" x14ac:dyDescent="0.25">
      <c r="B79" s="124" t="s">
        <v>137</v>
      </c>
      <c r="D79"/>
      <c r="E79" s="48"/>
    </row>
    <row r="80" spans="1:21" x14ac:dyDescent="0.25">
      <c r="D80" s="96" t="s">
        <v>134</v>
      </c>
      <c r="E80" s="96"/>
      <c r="F80" s="96"/>
      <c r="G80" s="96"/>
      <c r="H80" s="96"/>
      <c r="I80" s="96"/>
      <c r="J80" s="96"/>
      <c r="K80" s="96"/>
      <c r="L80" s="96"/>
      <c r="M80" s="96"/>
      <c r="N80" s="125"/>
      <c r="O80" s="125"/>
      <c r="P80" s="126"/>
      <c r="Q80" s="126"/>
    </row>
    <row r="81" spans="1:21" x14ac:dyDescent="0.25">
      <c r="B81" s="96" t="s">
        <v>108</v>
      </c>
      <c r="D81" s="97" t="s">
        <v>110</v>
      </c>
      <c r="E81" s="97" t="s">
        <v>111</v>
      </c>
      <c r="F81" s="97" t="s">
        <v>112</v>
      </c>
      <c r="G81" s="97" t="s">
        <v>113</v>
      </c>
      <c r="H81" s="97" t="s">
        <v>114</v>
      </c>
      <c r="I81" s="97" t="s">
        <v>115</v>
      </c>
      <c r="J81" s="97" t="s">
        <v>116</v>
      </c>
      <c r="K81" s="97" t="s">
        <v>117</v>
      </c>
      <c r="L81" s="97" t="s">
        <v>118</v>
      </c>
      <c r="M81" s="97" t="s">
        <v>119</v>
      </c>
      <c r="N81" s="97" t="s">
        <v>120</v>
      </c>
      <c r="O81" s="97" t="s">
        <v>121</v>
      </c>
      <c r="P81" s="97" t="s">
        <v>122</v>
      </c>
      <c r="Q81" s="97" t="s">
        <v>123</v>
      </c>
    </row>
    <row r="82" spans="1:21" x14ac:dyDescent="0.25">
      <c r="A82" t="s">
        <v>124</v>
      </c>
      <c r="B82" s="96" t="s">
        <v>110</v>
      </c>
      <c r="D82" s="127">
        <v>0</v>
      </c>
      <c r="E82" s="127">
        <v>818</v>
      </c>
      <c r="F82" s="127">
        <v>609</v>
      </c>
      <c r="G82" s="127">
        <v>30</v>
      </c>
      <c r="H82" s="127">
        <v>411</v>
      </c>
      <c r="I82" s="127">
        <v>671</v>
      </c>
      <c r="J82" s="127">
        <v>126</v>
      </c>
      <c r="K82" s="127">
        <v>0</v>
      </c>
      <c r="L82" s="127">
        <v>478</v>
      </c>
      <c r="M82" s="127">
        <v>4676</v>
      </c>
      <c r="N82" s="128">
        <v>0</v>
      </c>
      <c r="O82" s="128">
        <v>0</v>
      </c>
      <c r="P82" s="128">
        <v>1</v>
      </c>
      <c r="Q82" s="128">
        <v>0</v>
      </c>
    </row>
    <row r="83" spans="1:21" x14ac:dyDescent="0.25">
      <c r="A83" t="s">
        <v>125</v>
      </c>
      <c r="B83" s="96" t="s">
        <v>126</v>
      </c>
      <c r="D83" s="127">
        <v>500</v>
      </c>
      <c r="E83" s="127">
        <v>0</v>
      </c>
      <c r="F83" s="127">
        <v>23</v>
      </c>
      <c r="G83" s="127">
        <v>3</v>
      </c>
      <c r="H83" s="127">
        <v>71</v>
      </c>
      <c r="I83" s="127">
        <v>71</v>
      </c>
      <c r="J83" s="127">
        <v>22</v>
      </c>
      <c r="K83" s="127">
        <v>0</v>
      </c>
      <c r="L83" s="127">
        <v>22</v>
      </c>
      <c r="M83" s="127">
        <v>789</v>
      </c>
      <c r="N83" s="128">
        <v>0</v>
      </c>
      <c r="O83" s="128">
        <v>0</v>
      </c>
      <c r="P83" s="128">
        <v>0</v>
      </c>
      <c r="Q83" s="128">
        <v>0</v>
      </c>
      <c r="S83" t="s">
        <v>83</v>
      </c>
      <c r="U83" s="45">
        <f>SUMPRODUCT($D$10:$Q$23,D82:Q95)</f>
        <v>2097125.2700000003</v>
      </c>
    </row>
    <row r="84" spans="1:21" x14ac:dyDescent="0.25">
      <c r="A84" t="s">
        <v>127</v>
      </c>
      <c r="B84" s="96" t="s">
        <v>112</v>
      </c>
      <c r="D84" s="127">
        <v>440</v>
      </c>
      <c r="E84" s="127">
        <v>40</v>
      </c>
      <c r="F84" s="127">
        <v>0</v>
      </c>
      <c r="G84" s="127">
        <v>65</v>
      </c>
      <c r="H84" s="127">
        <v>450</v>
      </c>
      <c r="I84" s="127">
        <v>655</v>
      </c>
      <c r="J84" s="127">
        <v>332</v>
      </c>
      <c r="K84" s="127">
        <v>0</v>
      </c>
      <c r="L84" s="127">
        <v>96</v>
      </c>
      <c r="M84" s="127">
        <v>3091</v>
      </c>
      <c r="N84" s="128">
        <v>0</v>
      </c>
      <c r="O84" s="128">
        <v>0</v>
      </c>
      <c r="P84" s="128">
        <v>0</v>
      </c>
      <c r="Q84" s="128">
        <v>0</v>
      </c>
      <c r="S84" t="s">
        <v>46</v>
      </c>
      <c r="U84">
        <f>U83/SUM(D82:Q95)</f>
        <v>25.992479983143703</v>
      </c>
    </row>
    <row r="85" spans="1:21" x14ac:dyDescent="0.25">
      <c r="A85" t="s">
        <v>128</v>
      </c>
      <c r="B85" s="96" t="s">
        <v>113</v>
      </c>
      <c r="D85" s="127">
        <v>28</v>
      </c>
      <c r="E85" s="127">
        <v>4</v>
      </c>
      <c r="F85" s="127">
        <v>64</v>
      </c>
      <c r="G85" s="127">
        <v>0</v>
      </c>
      <c r="H85" s="127">
        <v>77</v>
      </c>
      <c r="I85" s="127">
        <v>96</v>
      </c>
      <c r="J85" s="127">
        <v>16</v>
      </c>
      <c r="K85" s="127">
        <v>0</v>
      </c>
      <c r="L85" s="127">
        <v>0</v>
      </c>
      <c r="M85" s="127">
        <v>270</v>
      </c>
      <c r="N85" s="128">
        <v>0</v>
      </c>
      <c r="O85" s="128">
        <v>0</v>
      </c>
      <c r="P85" s="128">
        <v>0</v>
      </c>
      <c r="Q85" s="128">
        <v>0</v>
      </c>
    </row>
    <row r="86" spans="1:21" x14ac:dyDescent="0.25">
      <c r="A86" t="s">
        <v>129</v>
      </c>
      <c r="B86" s="96" t="s">
        <v>114</v>
      </c>
      <c r="D86" s="127">
        <v>661</v>
      </c>
      <c r="E86" s="127">
        <v>78</v>
      </c>
      <c r="F86" s="127">
        <v>394</v>
      </c>
      <c r="G86" s="127">
        <v>147</v>
      </c>
      <c r="H86" s="127">
        <v>0</v>
      </c>
      <c r="I86" s="127">
        <v>1</v>
      </c>
      <c r="J86" s="127">
        <v>829</v>
      </c>
      <c r="K86" s="127">
        <v>0</v>
      </c>
      <c r="L86" s="127">
        <v>269</v>
      </c>
      <c r="M86" s="127">
        <v>4769</v>
      </c>
      <c r="N86" s="128">
        <v>0</v>
      </c>
      <c r="O86" s="128">
        <v>0</v>
      </c>
      <c r="P86" s="128">
        <v>0</v>
      </c>
      <c r="Q86" s="128">
        <v>0</v>
      </c>
    </row>
    <row r="87" spans="1:21" x14ac:dyDescent="0.25">
      <c r="A87" t="s">
        <v>130</v>
      </c>
      <c r="B87" s="96" t="s">
        <v>115</v>
      </c>
      <c r="D87" s="127">
        <v>361</v>
      </c>
      <c r="E87" s="127">
        <v>26</v>
      </c>
      <c r="F87" s="127">
        <v>205</v>
      </c>
      <c r="G87" s="127">
        <v>66</v>
      </c>
      <c r="H87" s="127">
        <v>0</v>
      </c>
      <c r="I87" s="127">
        <v>0</v>
      </c>
      <c r="J87" s="127">
        <v>488</v>
      </c>
      <c r="K87" s="127">
        <v>0</v>
      </c>
      <c r="L87" s="127">
        <v>191</v>
      </c>
      <c r="M87" s="127">
        <v>2526</v>
      </c>
      <c r="N87" s="128">
        <v>0</v>
      </c>
      <c r="O87" s="128">
        <v>0</v>
      </c>
      <c r="P87" s="128">
        <v>2</v>
      </c>
      <c r="Q87" s="128">
        <v>2</v>
      </c>
    </row>
    <row r="88" spans="1:21" x14ac:dyDescent="0.25">
      <c r="A88" t="s">
        <v>131</v>
      </c>
      <c r="B88" s="96" t="s">
        <v>116</v>
      </c>
      <c r="D88" s="127">
        <v>138</v>
      </c>
      <c r="E88" s="127">
        <v>25</v>
      </c>
      <c r="F88" s="127">
        <v>89</v>
      </c>
      <c r="G88" s="127">
        <v>2</v>
      </c>
      <c r="H88" s="127">
        <v>192</v>
      </c>
      <c r="I88" s="127">
        <v>332</v>
      </c>
      <c r="J88" s="127">
        <v>0</v>
      </c>
      <c r="K88" s="127">
        <v>0</v>
      </c>
      <c r="L88" s="127">
        <v>121</v>
      </c>
      <c r="M88" s="127">
        <v>755</v>
      </c>
      <c r="N88" s="128">
        <v>0</v>
      </c>
      <c r="O88" s="128">
        <v>0</v>
      </c>
      <c r="P88" s="128">
        <v>0</v>
      </c>
      <c r="Q88" s="128">
        <v>0</v>
      </c>
    </row>
    <row r="89" spans="1:21" x14ac:dyDescent="0.25">
      <c r="A89" t="s">
        <v>132</v>
      </c>
      <c r="B89" s="96" t="s">
        <v>117</v>
      </c>
      <c r="D89" s="127">
        <v>0</v>
      </c>
      <c r="E89" s="127">
        <v>0</v>
      </c>
      <c r="F89" s="127">
        <v>0</v>
      </c>
      <c r="G89" s="127">
        <v>0</v>
      </c>
      <c r="H89" s="127">
        <v>0</v>
      </c>
      <c r="I89" s="127">
        <v>0</v>
      </c>
      <c r="J89" s="127">
        <v>0</v>
      </c>
      <c r="K89" s="127">
        <v>0</v>
      </c>
      <c r="L89" s="127">
        <v>0</v>
      </c>
      <c r="M89" s="127">
        <v>14508</v>
      </c>
      <c r="N89" s="128">
        <v>0</v>
      </c>
      <c r="O89" s="128">
        <v>0</v>
      </c>
      <c r="P89" s="128">
        <v>0</v>
      </c>
      <c r="Q89" s="128">
        <v>0</v>
      </c>
    </row>
    <row r="90" spans="1:21" x14ac:dyDescent="0.25">
      <c r="B90" s="96" t="s">
        <v>118</v>
      </c>
      <c r="D90" s="127">
        <v>180</v>
      </c>
      <c r="E90" s="127">
        <v>22</v>
      </c>
      <c r="F90" s="127">
        <v>58</v>
      </c>
      <c r="G90" s="127">
        <v>1</v>
      </c>
      <c r="H90" s="127">
        <v>161</v>
      </c>
      <c r="I90" s="127">
        <v>261</v>
      </c>
      <c r="J90" s="127">
        <v>70</v>
      </c>
      <c r="K90" s="127">
        <v>0</v>
      </c>
      <c r="L90" s="127">
        <v>0</v>
      </c>
      <c r="M90" s="127">
        <v>187</v>
      </c>
      <c r="N90" s="128">
        <v>0</v>
      </c>
      <c r="O90" s="128">
        <v>0</v>
      </c>
      <c r="P90" s="128">
        <v>0</v>
      </c>
      <c r="Q90" s="128">
        <v>1</v>
      </c>
    </row>
    <row r="91" spans="1:21" x14ac:dyDescent="0.25">
      <c r="A91" t="s">
        <v>133</v>
      </c>
      <c r="B91" s="96" t="s">
        <v>119</v>
      </c>
      <c r="D91" s="127">
        <v>3907</v>
      </c>
      <c r="E91" s="127">
        <v>493</v>
      </c>
      <c r="F91" s="127">
        <v>2487</v>
      </c>
      <c r="G91" s="127">
        <v>251</v>
      </c>
      <c r="H91" s="127">
        <v>2802</v>
      </c>
      <c r="I91" s="127">
        <v>1932</v>
      </c>
      <c r="J91" s="127">
        <v>484</v>
      </c>
      <c r="K91" s="127">
        <v>13646</v>
      </c>
      <c r="L91" s="127">
        <v>134</v>
      </c>
      <c r="M91" s="127">
        <v>0</v>
      </c>
      <c r="N91" s="128">
        <v>35</v>
      </c>
      <c r="O91" s="128">
        <v>404</v>
      </c>
      <c r="P91" s="128">
        <v>649</v>
      </c>
      <c r="Q91" s="128">
        <v>1971</v>
      </c>
    </row>
    <row r="92" spans="1:21" x14ac:dyDescent="0.25">
      <c r="B92" s="96" t="s">
        <v>120</v>
      </c>
      <c r="D92" s="128">
        <v>0</v>
      </c>
      <c r="E92" s="128">
        <v>0</v>
      </c>
      <c r="F92" s="128">
        <v>0</v>
      </c>
      <c r="G92" s="128">
        <v>0</v>
      </c>
      <c r="H92" s="128">
        <v>1</v>
      </c>
      <c r="I92" s="128">
        <v>0</v>
      </c>
      <c r="J92" s="128">
        <v>2</v>
      </c>
      <c r="K92" s="128">
        <v>0</v>
      </c>
      <c r="L92" s="128">
        <v>0</v>
      </c>
      <c r="M92" s="128">
        <v>1473</v>
      </c>
      <c r="N92" s="128">
        <v>0</v>
      </c>
      <c r="O92" s="128">
        <v>62</v>
      </c>
      <c r="P92" s="128">
        <v>133</v>
      </c>
      <c r="Q92" s="128">
        <v>270</v>
      </c>
    </row>
    <row r="93" spans="1:21" x14ac:dyDescent="0.25">
      <c r="B93" s="96" t="s">
        <v>121</v>
      </c>
      <c r="D93" s="128">
        <v>0</v>
      </c>
      <c r="E93" s="128">
        <v>0</v>
      </c>
      <c r="F93" s="128">
        <v>0</v>
      </c>
      <c r="G93" s="128">
        <v>0</v>
      </c>
      <c r="H93" s="128">
        <v>1</v>
      </c>
      <c r="I93" s="128">
        <v>0</v>
      </c>
      <c r="J93" s="128">
        <v>1</v>
      </c>
      <c r="K93" s="128">
        <v>0</v>
      </c>
      <c r="L93" s="128">
        <v>0</v>
      </c>
      <c r="M93" s="128">
        <v>722</v>
      </c>
      <c r="N93" s="128">
        <v>154</v>
      </c>
      <c r="O93" s="128">
        <v>0</v>
      </c>
      <c r="P93" s="128">
        <v>127</v>
      </c>
      <c r="Q93" s="128">
        <v>232</v>
      </c>
    </row>
    <row r="94" spans="1:21" x14ac:dyDescent="0.25">
      <c r="B94" s="122" t="s">
        <v>122</v>
      </c>
      <c r="D94" s="128">
        <v>0</v>
      </c>
      <c r="E94" s="128">
        <v>0</v>
      </c>
      <c r="F94" s="128">
        <v>0</v>
      </c>
      <c r="G94" s="128">
        <v>0</v>
      </c>
      <c r="H94" s="128">
        <v>0</v>
      </c>
      <c r="I94" s="128">
        <v>0</v>
      </c>
      <c r="J94" s="128">
        <v>2</v>
      </c>
      <c r="K94" s="128">
        <v>0</v>
      </c>
      <c r="L94" s="128">
        <v>0</v>
      </c>
      <c r="M94" s="128">
        <v>1272</v>
      </c>
      <c r="N94" s="128">
        <v>160</v>
      </c>
      <c r="O94" s="128">
        <v>101</v>
      </c>
      <c r="P94" s="128">
        <v>0</v>
      </c>
      <c r="Q94" s="128">
        <v>188</v>
      </c>
    </row>
    <row r="95" spans="1:21" x14ac:dyDescent="0.25">
      <c r="B95" s="122" t="s">
        <v>123</v>
      </c>
      <c r="D95" s="128">
        <v>0</v>
      </c>
      <c r="E95" s="128">
        <v>0</v>
      </c>
      <c r="F95" s="128">
        <v>0</v>
      </c>
      <c r="G95" s="128">
        <v>0</v>
      </c>
      <c r="H95" s="128">
        <v>0</v>
      </c>
      <c r="I95" s="128">
        <v>0</v>
      </c>
      <c r="J95" s="128">
        <v>0</v>
      </c>
      <c r="K95" s="128">
        <v>0</v>
      </c>
      <c r="L95" s="128">
        <v>0</v>
      </c>
      <c r="M95" s="128">
        <v>2671</v>
      </c>
      <c r="N95" s="128">
        <v>383</v>
      </c>
      <c r="O95" s="128">
        <v>226</v>
      </c>
      <c r="P95" s="128">
        <v>143</v>
      </c>
      <c r="Q95" s="128">
        <v>0</v>
      </c>
    </row>
    <row r="96" spans="1:21" x14ac:dyDescent="0.25">
      <c r="D96"/>
      <c r="E96" s="48"/>
      <c r="R96" s="45">
        <f>+SUM(D82:M91)</f>
        <v>69293</v>
      </c>
      <c r="S96" s="45">
        <f>+[4]Solicitudes!$M$6</f>
        <v>42879</v>
      </c>
      <c r="T96" s="45">
        <f>+S96-R96</f>
        <v>-26414</v>
      </c>
    </row>
    <row r="97" spans="1:21" x14ac:dyDescent="0.25">
      <c r="B97" s="124" t="s">
        <v>138</v>
      </c>
      <c r="D97"/>
      <c r="E97" s="48"/>
    </row>
    <row r="98" spans="1:21" x14ac:dyDescent="0.25">
      <c r="D98" s="96" t="s">
        <v>134</v>
      </c>
      <c r="E98" s="96"/>
      <c r="F98" s="96"/>
      <c r="G98" s="96"/>
      <c r="H98" s="96"/>
      <c r="I98" s="96"/>
      <c r="J98" s="96"/>
      <c r="K98" s="96"/>
      <c r="L98" s="96"/>
      <c r="M98" s="96"/>
      <c r="N98" s="125"/>
      <c r="O98" s="125"/>
      <c r="P98" s="126"/>
      <c r="Q98" s="126"/>
    </row>
    <row r="99" spans="1:21" x14ac:dyDescent="0.25">
      <c r="B99" s="96" t="s">
        <v>108</v>
      </c>
      <c r="D99" s="97" t="s">
        <v>110</v>
      </c>
      <c r="E99" s="97" t="s">
        <v>111</v>
      </c>
      <c r="F99" s="97" t="s">
        <v>112</v>
      </c>
      <c r="G99" s="97" t="s">
        <v>113</v>
      </c>
      <c r="H99" s="97" t="s">
        <v>114</v>
      </c>
      <c r="I99" s="97" t="s">
        <v>115</v>
      </c>
      <c r="J99" s="97" t="s">
        <v>116</v>
      </c>
      <c r="K99" s="97" t="s">
        <v>117</v>
      </c>
      <c r="L99" s="97" t="s">
        <v>118</v>
      </c>
      <c r="M99" s="97" t="s">
        <v>119</v>
      </c>
      <c r="N99" s="97" t="s">
        <v>120</v>
      </c>
      <c r="O99" s="97" t="s">
        <v>121</v>
      </c>
      <c r="P99" s="97" t="s">
        <v>122</v>
      </c>
      <c r="Q99" s="97" t="s">
        <v>123</v>
      </c>
    </row>
    <row r="100" spans="1:21" x14ac:dyDescent="0.25">
      <c r="A100" t="s">
        <v>124</v>
      </c>
      <c r="B100" s="96" t="s">
        <v>110</v>
      </c>
      <c r="D100" s="127">
        <v>0</v>
      </c>
      <c r="E100" s="127">
        <v>766</v>
      </c>
      <c r="F100" s="127">
        <v>552</v>
      </c>
      <c r="G100" s="127">
        <v>78</v>
      </c>
      <c r="H100" s="127">
        <v>460</v>
      </c>
      <c r="I100" s="127">
        <v>565</v>
      </c>
      <c r="J100" s="127">
        <v>152</v>
      </c>
      <c r="K100" s="127">
        <v>0</v>
      </c>
      <c r="L100" s="127">
        <v>446</v>
      </c>
      <c r="M100" s="127">
        <v>4939</v>
      </c>
      <c r="N100" s="128">
        <v>0</v>
      </c>
      <c r="O100" s="128">
        <v>0</v>
      </c>
      <c r="P100" s="128">
        <v>1</v>
      </c>
      <c r="Q100" s="128">
        <v>3</v>
      </c>
    </row>
    <row r="101" spans="1:21" x14ac:dyDescent="0.25">
      <c r="A101" t="s">
        <v>125</v>
      </c>
      <c r="B101" s="96" t="s">
        <v>126</v>
      </c>
      <c r="D101" s="127">
        <v>506</v>
      </c>
      <c r="E101" s="127">
        <v>0</v>
      </c>
      <c r="F101" s="127">
        <v>36</v>
      </c>
      <c r="G101" s="127">
        <v>3</v>
      </c>
      <c r="H101" s="127">
        <v>69</v>
      </c>
      <c r="I101" s="127">
        <v>55</v>
      </c>
      <c r="J101" s="127">
        <v>23</v>
      </c>
      <c r="K101" s="127">
        <v>0</v>
      </c>
      <c r="L101" s="127">
        <v>18</v>
      </c>
      <c r="M101" s="127">
        <v>736</v>
      </c>
      <c r="N101" s="128">
        <v>0</v>
      </c>
      <c r="O101" s="128">
        <v>1</v>
      </c>
      <c r="P101" s="128">
        <v>0</v>
      </c>
      <c r="Q101" s="128">
        <v>0</v>
      </c>
      <c r="S101" t="s">
        <v>83</v>
      </c>
      <c r="U101" s="45">
        <f>SUMPRODUCT($D$10:$Q$23,D100:Q113)</f>
        <v>2013556.65</v>
      </c>
    </row>
    <row r="102" spans="1:21" x14ac:dyDescent="0.25">
      <c r="A102" t="s">
        <v>127</v>
      </c>
      <c r="B102" s="96" t="s">
        <v>112</v>
      </c>
      <c r="D102" s="127">
        <v>469</v>
      </c>
      <c r="E102" s="127">
        <v>23</v>
      </c>
      <c r="F102" s="127">
        <v>0</v>
      </c>
      <c r="G102" s="127">
        <v>74</v>
      </c>
      <c r="H102" s="127">
        <v>555</v>
      </c>
      <c r="I102" s="127">
        <v>655</v>
      </c>
      <c r="J102" s="127">
        <v>311</v>
      </c>
      <c r="K102" s="127">
        <v>0</v>
      </c>
      <c r="L102" s="127">
        <v>92</v>
      </c>
      <c r="M102" s="127">
        <v>3166</v>
      </c>
      <c r="N102" s="128">
        <v>0</v>
      </c>
      <c r="O102" s="128">
        <v>0</v>
      </c>
      <c r="P102" s="128">
        <v>0</v>
      </c>
      <c r="Q102" s="128">
        <v>0</v>
      </c>
      <c r="S102" t="s">
        <v>46</v>
      </c>
      <c r="U102">
        <f>U101/SUM(D100:Q113)</f>
        <v>27.074486695082758</v>
      </c>
    </row>
    <row r="103" spans="1:21" x14ac:dyDescent="0.25">
      <c r="A103" t="s">
        <v>128</v>
      </c>
      <c r="B103" s="96" t="s">
        <v>113</v>
      </c>
      <c r="D103" s="127">
        <v>75</v>
      </c>
      <c r="E103" s="127">
        <v>2</v>
      </c>
      <c r="F103" s="127">
        <v>57</v>
      </c>
      <c r="G103" s="127">
        <v>0</v>
      </c>
      <c r="H103" s="127">
        <v>102</v>
      </c>
      <c r="I103" s="127">
        <v>68</v>
      </c>
      <c r="J103" s="127">
        <v>9</v>
      </c>
      <c r="K103" s="127">
        <v>0</v>
      </c>
      <c r="L103" s="127">
        <v>3</v>
      </c>
      <c r="M103" s="127">
        <v>267</v>
      </c>
      <c r="N103" s="128">
        <v>0</v>
      </c>
      <c r="O103" s="128">
        <v>0</v>
      </c>
      <c r="P103" s="128">
        <v>0</v>
      </c>
      <c r="Q103" s="128">
        <v>0</v>
      </c>
    </row>
    <row r="104" spans="1:21" x14ac:dyDescent="0.25">
      <c r="A104" t="s">
        <v>129</v>
      </c>
      <c r="B104" s="96" t="s">
        <v>114</v>
      </c>
      <c r="D104" s="127">
        <v>734</v>
      </c>
      <c r="E104" s="127">
        <v>83</v>
      </c>
      <c r="F104" s="127">
        <v>495</v>
      </c>
      <c r="G104" s="127">
        <v>120</v>
      </c>
      <c r="H104" s="127">
        <v>0</v>
      </c>
      <c r="I104" s="127">
        <v>0</v>
      </c>
      <c r="J104" s="127">
        <v>1008</v>
      </c>
      <c r="K104" s="127">
        <v>0</v>
      </c>
      <c r="L104" s="127">
        <v>294</v>
      </c>
      <c r="M104" s="127">
        <v>4594</v>
      </c>
      <c r="N104" s="128">
        <v>0</v>
      </c>
      <c r="O104" s="128">
        <v>1</v>
      </c>
      <c r="P104" s="128">
        <v>0</v>
      </c>
      <c r="Q104" s="128">
        <v>0</v>
      </c>
    </row>
    <row r="105" spans="1:21" x14ac:dyDescent="0.25">
      <c r="A105" t="s">
        <v>130</v>
      </c>
      <c r="B105" s="96" t="s">
        <v>115</v>
      </c>
      <c r="D105" s="127">
        <v>287</v>
      </c>
      <c r="E105" s="127">
        <v>25</v>
      </c>
      <c r="F105" s="127">
        <v>220</v>
      </c>
      <c r="G105" s="127">
        <v>53</v>
      </c>
      <c r="H105" s="127">
        <v>0</v>
      </c>
      <c r="I105" s="127">
        <v>0</v>
      </c>
      <c r="J105" s="127">
        <v>371</v>
      </c>
      <c r="K105" s="127">
        <v>0</v>
      </c>
      <c r="L105" s="127">
        <v>165</v>
      </c>
      <c r="M105" s="127">
        <v>2010</v>
      </c>
      <c r="N105" s="128">
        <v>0</v>
      </c>
      <c r="O105" s="128">
        <v>0</v>
      </c>
      <c r="P105" s="128">
        <v>0</v>
      </c>
      <c r="Q105" s="128">
        <v>0</v>
      </c>
    </row>
    <row r="106" spans="1:21" x14ac:dyDescent="0.25">
      <c r="A106" t="s">
        <v>131</v>
      </c>
      <c r="B106" s="96" t="s">
        <v>116</v>
      </c>
      <c r="D106" s="127">
        <v>144</v>
      </c>
      <c r="E106" s="127">
        <v>21</v>
      </c>
      <c r="F106" s="127">
        <v>82</v>
      </c>
      <c r="G106" s="127">
        <v>3</v>
      </c>
      <c r="H106" s="127">
        <v>220</v>
      </c>
      <c r="I106" s="127">
        <v>290</v>
      </c>
      <c r="J106" s="127">
        <v>0</v>
      </c>
      <c r="K106" s="127">
        <v>0</v>
      </c>
      <c r="L106" s="127">
        <v>70</v>
      </c>
      <c r="M106" s="127">
        <v>688</v>
      </c>
      <c r="N106" s="128">
        <v>0</v>
      </c>
      <c r="O106" s="128">
        <v>0</v>
      </c>
      <c r="P106" s="128">
        <v>0</v>
      </c>
      <c r="Q106" s="128">
        <v>0</v>
      </c>
    </row>
    <row r="107" spans="1:21" x14ac:dyDescent="0.25">
      <c r="A107" t="s">
        <v>132</v>
      </c>
      <c r="B107" s="96" t="s">
        <v>117</v>
      </c>
      <c r="D107" s="127">
        <v>0</v>
      </c>
      <c r="E107" s="127">
        <v>0</v>
      </c>
      <c r="F107" s="127">
        <v>0</v>
      </c>
      <c r="G107" s="127">
        <v>0</v>
      </c>
      <c r="H107" s="127">
        <v>0</v>
      </c>
      <c r="I107" s="127">
        <v>0</v>
      </c>
      <c r="J107" s="127">
        <v>0</v>
      </c>
      <c r="K107" s="127">
        <v>0</v>
      </c>
      <c r="L107" s="127">
        <v>0</v>
      </c>
      <c r="M107" s="127">
        <v>12767</v>
      </c>
      <c r="N107" s="128">
        <v>0</v>
      </c>
      <c r="O107" s="128">
        <v>0</v>
      </c>
      <c r="P107" s="128">
        <v>0</v>
      </c>
      <c r="Q107" s="128">
        <v>0</v>
      </c>
    </row>
    <row r="108" spans="1:21" x14ac:dyDescent="0.25">
      <c r="B108" s="96" t="s">
        <v>118</v>
      </c>
      <c r="D108" s="127">
        <v>169</v>
      </c>
      <c r="E108" s="127">
        <v>36</v>
      </c>
      <c r="F108" s="127">
        <v>77</v>
      </c>
      <c r="G108" s="127">
        <v>5</v>
      </c>
      <c r="H108" s="127">
        <v>172</v>
      </c>
      <c r="I108" s="127">
        <v>203</v>
      </c>
      <c r="J108" s="127">
        <v>56</v>
      </c>
      <c r="K108" s="127">
        <v>0</v>
      </c>
      <c r="L108" s="127">
        <v>0</v>
      </c>
      <c r="M108" s="127">
        <v>196</v>
      </c>
      <c r="N108" s="128">
        <v>0</v>
      </c>
      <c r="O108" s="128">
        <v>0</v>
      </c>
      <c r="P108" s="128">
        <v>0</v>
      </c>
      <c r="Q108" s="128">
        <v>0</v>
      </c>
    </row>
    <row r="109" spans="1:21" x14ac:dyDescent="0.25">
      <c r="A109" t="s">
        <v>133</v>
      </c>
      <c r="B109" s="96" t="s">
        <v>119</v>
      </c>
      <c r="D109" s="127">
        <v>3902</v>
      </c>
      <c r="E109" s="127">
        <v>522</v>
      </c>
      <c r="F109" s="127">
        <v>2476</v>
      </c>
      <c r="G109" s="127">
        <v>265</v>
      </c>
      <c r="H109" s="127">
        <v>3043</v>
      </c>
      <c r="I109" s="127">
        <v>1653</v>
      </c>
      <c r="J109" s="127">
        <v>484</v>
      </c>
      <c r="K109" s="127">
        <v>11202</v>
      </c>
      <c r="L109" s="127">
        <v>95</v>
      </c>
      <c r="M109" s="127">
        <v>0</v>
      </c>
      <c r="N109" s="128">
        <v>44</v>
      </c>
      <c r="O109" s="128">
        <v>297</v>
      </c>
      <c r="P109" s="128">
        <v>564</v>
      </c>
      <c r="Q109" s="128">
        <v>1712</v>
      </c>
    </row>
    <row r="110" spans="1:21" x14ac:dyDescent="0.25">
      <c r="B110" s="96" t="s">
        <v>120</v>
      </c>
      <c r="D110" s="128">
        <v>0</v>
      </c>
      <c r="E110" s="128">
        <v>0</v>
      </c>
      <c r="F110" s="128">
        <v>0</v>
      </c>
      <c r="G110" s="128">
        <v>0</v>
      </c>
      <c r="H110" s="128">
        <v>0</v>
      </c>
      <c r="I110" s="128">
        <v>0</v>
      </c>
      <c r="J110" s="128">
        <v>1</v>
      </c>
      <c r="K110" s="128">
        <v>0</v>
      </c>
      <c r="L110" s="128">
        <v>0</v>
      </c>
      <c r="M110" s="128">
        <v>1192</v>
      </c>
      <c r="N110" s="128">
        <v>0</v>
      </c>
      <c r="O110" s="128">
        <v>51</v>
      </c>
      <c r="P110" s="128">
        <v>130</v>
      </c>
      <c r="Q110" s="128">
        <v>289</v>
      </c>
    </row>
    <row r="111" spans="1:21" x14ac:dyDescent="0.25">
      <c r="B111" s="96" t="s">
        <v>121</v>
      </c>
      <c r="D111" s="128">
        <v>0</v>
      </c>
      <c r="E111" s="128">
        <v>0</v>
      </c>
      <c r="F111" s="128">
        <v>0</v>
      </c>
      <c r="G111" s="128">
        <v>0</v>
      </c>
      <c r="H111" s="128">
        <v>0</v>
      </c>
      <c r="I111" s="128">
        <v>0</v>
      </c>
      <c r="J111" s="128">
        <v>0</v>
      </c>
      <c r="K111" s="128">
        <v>0</v>
      </c>
      <c r="L111" s="128">
        <v>0</v>
      </c>
      <c r="M111" s="128">
        <v>576</v>
      </c>
      <c r="N111" s="128">
        <v>121</v>
      </c>
      <c r="O111" s="128">
        <v>0</v>
      </c>
      <c r="P111" s="128">
        <v>151</v>
      </c>
      <c r="Q111" s="128">
        <v>172</v>
      </c>
    </row>
    <row r="112" spans="1:21" x14ac:dyDescent="0.25">
      <c r="B112" s="122" t="s">
        <v>122</v>
      </c>
      <c r="D112" s="128">
        <v>0</v>
      </c>
      <c r="E112" s="128">
        <v>0</v>
      </c>
      <c r="F112" s="128">
        <v>0</v>
      </c>
      <c r="G112" s="128">
        <v>0</v>
      </c>
      <c r="H112" s="128">
        <v>0</v>
      </c>
      <c r="I112" s="128">
        <v>0</v>
      </c>
      <c r="J112" s="128">
        <v>0</v>
      </c>
      <c r="K112" s="128">
        <v>0</v>
      </c>
      <c r="L112" s="128">
        <v>0</v>
      </c>
      <c r="M112" s="128">
        <v>1086</v>
      </c>
      <c r="N112" s="128">
        <v>150</v>
      </c>
      <c r="O112" s="128">
        <v>87</v>
      </c>
      <c r="P112" s="128">
        <v>0</v>
      </c>
      <c r="Q112" s="128">
        <v>187</v>
      </c>
    </row>
    <row r="113" spans="1:21" x14ac:dyDescent="0.25">
      <c r="B113" s="122" t="s">
        <v>123</v>
      </c>
      <c r="D113" s="128">
        <v>0</v>
      </c>
      <c r="E113" s="128">
        <v>0</v>
      </c>
      <c r="F113" s="128">
        <v>0</v>
      </c>
      <c r="G113" s="128">
        <v>0</v>
      </c>
      <c r="H113" s="128">
        <v>0</v>
      </c>
      <c r="I113" s="128">
        <v>0</v>
      </c>
      <c r="J113" s="128">
        <v>0</v>
      </c>
      <c r="K113" s="128">
        <v>0</v>
      </c>
      <c r="L113" s="128">
        <v>0</v>
      </c>
      <c r="M113" s="128">
        <v>2266</v>
      </c>
      <c r="N113" s="128">
        <v>371</v>
      </c>
      <c r="O113" s="128">
        <v>142</v>
      </c>
      <c r="P113" s="128">
        <v>144</v>
      </c>
      <c r="Q113" s="128">
        <v>0</v>
      </c>
    </row>
    <row r="114" spans="1:21" x14ac:dyDescent="0.25">
      <c r="D114"/>
      <c r="E114" s="48"/>
      <c r="R114" s="45">
        <f>+SUM(D100:M109)</f>
        <v>64632</v>
      </c>
      <c r="S114" s="45">
        <f>+[4]Solicitudes!$L$6</f>
        <v>46429</v>
      </c>
      <c r="T114" s="45">
        <f>+S114-R114</f>
        <v>-18203</v>
      </c>
    </row>
    <row r="115" spans="1:21" x14ac:dyDescent="0.25">
      <c r="B115" s="124" t="s">
        <v>139</v>
      </c>
      <c r="D115"/>
      <c r="E115" s="48"/>
      <c r="T115" s="45">
        <f>+S115-R115</f>
        <v>0</v>
      </c>
    </row>
    <row r="116" spans="1:21" x14ac:dyDescent="0.25">
      <c r="D116" s="96" t="s">
        <v>134</v>
      </c>
      <c r="E116" s="96"/>
      <c r="F116" s="96"/>
      <c r="G116" s="96"/>
      <c r="H116" s="96"/>
      <c r="I116" s="96"/>
      <c r="J116" s="96"/>
      <c r="K116" s="96"/>
      <c r="L116" s="96"/>
      <c r="M116" s="96"/>
      <c r="N116" s="125"/>
      <c r="O116" s="125"/>
      <c r="P116" s="126"/>
      <c r="Q116" s="126"/>
    </row>
    <row r="117" spans="1:21" x14ac:dyDescent="0.25">
      <c r="B117" s="96" t="s">
        <v>108</v>
      </c>
      <c r="D117" s="97" t="s">
        <v>110</v>
      </c>
      <c r="E117" s="97" t="s">
        <v>111</v>
      </c>
      <c r="F117" s="97" t="s">
        <v>112</v>
      </c>
      <c r="G117" s="97" t="s">
        <v>113</v>
      </c>
      <c r="H117" s="97" t="s">
        <v>114</v>
      </c>
      <c r="I117" s="97" t="s">
        <v>115</v>
      </c>
      <c r="J117" s="97" t="s">
        <v>116</v>
      </c>
      <c r="K117" s="97" t="s">
        <v>117</v>
      </c>
      <c r="L117" s="97" t="s">
        <v>118</v>
      </c>
      <c r="M117" s="97" t="s">
        <v>119</v>
      </c>
      <c r="N117" s="97" t="s">
        <v>120</v>
      </c>
      <c r="O117" s="97" t="s">
        <v>121</v>
      </c>
      <c r="P117" s="97" t="s">
        <v>122</v>
      </c>
      <c r="Q117" s="97" t="s">
        <v>123</v>
      </c>
    </row>
    <row r="118" spans="1:21" x14ac:dyDescent="0.25">
      <c r="A118" t="s">
        <v>124</v>
      </c>
      <c r="B118" s="96" t="s">
        <v>110</v>
      </c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8"/>
      <c r="O118" s="128"/>
      <c r="P118" s="128"/>
      <c r="Q118" s="128"/>
    </row>
    <row r="119" spans="1:21" x14ac:dyDescent="0.25">
      <c r="A119" t="s">
        <v>125</v>
      </c>
      <c r="B119" s="96" t="s">
        <v>126</v>
      </c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8"/>
      <c r="O119" s="128"/>
      <c r="P119" s="128"/>
      <c r="Q119" s="128"/>
      <c r="S119" t="s">
        <v>83</v>
      </c>
      <c r="U119" s="45">
        <f>SUMPRODUCT($D$10:$Q$23,D118:Q131)</f>
        <v>0</v>
      </c>
    </row>
    <row r="120" spans="1:21" x14ac:dyDescent="0.25">
      <c r="A120" t="s">
        <v>127</v>
      </c>
      <c r="B120" s="96" t="s">
        <v>112</v>
      </c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8"/>
      <c r="O120" s="128"/>
      <c r="P120" s="128"/>
      <c r="Q120" s="128"/>
      <c r="S120" t="s">
        <v>46</v>
      </c>
      <c r="U120" t="e">
        <f>U119/SUM(D118:Q131)</f>
        <v>#DIV/0!</v>
      </c>
    </row>
    <row r="121" spans="1:21" x14ac:dyDescent="0.25">
      <c r="A121" t="s">
        <v>128</v>
      </c>
      <c r="B121" s="96" t="s">
        <v>113</v>
      </c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8"/>
      <c r="O121" s="128"/>
      <c r="P121" s="128"/>
      <c r="Q121" s="128"/>
    </row>
    <row r="122" spans="1:21" x14ac:dyDescent="0.25">
      <c r="A122" t="s">
        <v>129</v>
      </c>
      <c r="B122" s="96" t="s">
        <v>114</v>
      </c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8"/>
      <c r="O122" s="128"/>
      <c r="P122" s="128"/>
      <c r="Q122" s="128"/>
    </row>
    <row r="123" spans="1:21" x14ac:dyDescent="0.25">
      <c r="A123" t="s">
        <v>130</v>
      </c>
      <c r="B123" s="96" t="s">
        <v>115</v>
      </c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8"/>
      <c r="O123" s="128"/>
      <c r="P123" s="128"/>
      <c r="Q123" s="128"/>
    </row>
    <row r="124" spans="1:21" x14ac:dyDescent="0.25">
      <c r="A124" t="s">
        <v>131</v>
      </c>
      <c r="B124" s="96" t="s">
        <v>116</v>
      </c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8"/>
      <c r="O124" s="128"/>
      <c r="P124" s="128"/>
      <c r="Q124" s="128"/>
    </row>
    <row r="125" spans="1:21" x14ac:dyDescent="0.25">
      <c r="A125" t="s">
        <v>132</v>
      </c>
      <c r="B125" s="96" t="s">
        <v>117</v>
      </c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8"/>
      <c r="O125" s="128"/>
      <c r="P125" s="128"/>
      <c r="Q125" s="128"/>
    </row>
    <row r="126" spans="1:21" x14ac:dyDescent="0.25">
      <c r="B126" s="96" t="s">
        <v>118</v>
      </c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8"/>
      <c r="O126" s="128"/>
      <c r="P126" s="128"/>
      <c r="Q126" s="128"/>
    </row>
    <row r="127" spans="1:21" x14ac:dyDescent="0.25">
      <c r="A127" t="s">
        <v>133</v>
      </c>
      <c r="B127" s="96" t="s">
        <v>119</v>
      </c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8"/>
      <c r="O127" s="128"/>
      <c r="P127" s="128"/>
      <c r="Q127" s="128"/>
    </row>
    <row r="128" spans="1:21" x14ac:dyDescent="0.25">
      <c r="B128" s="96" t="s">
        <v>120</v>
      </c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</row>
    <row r="129" spans="1:21" x14ac:dyDescent="0.25">
      <c r="B129" s="96" t="s">
        <v>121</v>
      </c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</row>
    <row r="130" spans="1:21" x14ac:dyDescent="0.25">
      <c r="B130" s="122" t="s">
        <v>122</v>
      </c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</row>
    <row r="131" spans="1:21" x14ac:dyDescent="0.25">
      <c r="B131" s="122" t="s">
        <v>123</v>
      </c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</row>
    <row r="132" spans="1:21" x14ac:dyDescent="0.25">
      <c r="D132"/>
      <c r="E132" s="48"/>
      <c r="R132" s="45">
        <f>+SUM(D118:M127)</f>
        <v>0</v>
      </c>
      <c r="S132" s="45">
        <f>+[4]Solicitudes!$K$6</f>
        <v>35209</v>
      </c>
      <c r="T132" s="45">
        <f>+S132-R132</f>
        <v>35209</v>
      </c>
    </row>
    <row r="133" spans="1:21" x14ac:dyDescent="0.25">
      <c r="B133" s="124" t="s">
        <v>140</v>
      </c>
      <c r="D133"/>
      <c r="E133" s="48"/>
    </row>
    <row r="134" spans="1:21" x14ac:dyDescent="0.25">
      <c r="D134" s="96" t="s">
        <v>134</v>
      </c>
      <c r="E134" s="96"/>
      <c r="F134" s="96"/>
      <c r="G134" s="96"/>
      <c r="H134" s="96"/>
      <c r="I134" s="96"/>
      <c r="J134" s="96"/>
      <c r="K134" s="96"/>
      <c r="L134" s="96"/>
      <c r="M134" s="96"/>
      <c r="N134" s="125"/>
      <c r="O134" s="125"/>
      <c r="P134" s="126"/>
      <c r="Q134" s="126"/>
    </row>
    <row r="135" spans="1:21" x14ac:dyDescent="0.25">
      <c r="B135" s="96" t="s">
        <v>108</v>
      </c>
      <c r="D135" s="97" t="s">
        <v>110</v>
      </c>
      <c r="E135" s="97" t="s">
        <v>111</v>
      </c>
      <c r="F135" s="97" t="s">
        <v>112</v>
      </c>
      <c r="G135" s="97" t="s">
        <v>113</v>
      </c>
      <c r="H135" s="97" t="s">
        <v>114</v>
      </c>
      <c r="I135" s="97" t="s">
        <v>115</v>
      </c>
      <c r="J135" s="97" t="s">
        <v>116</v>
      </c>
      <c r="K135" s="97" t="s">
        <v>117</v>
      </c>
      <c r="L135" s="97" t="s">
        <v>118</v>
      </c>
      <c r="M135" s="97" t="s">
        <v>119</v>
      </c>
      <c r="N135" s="97" t="s">
        <v>120</v>
      </c>
      <c r="O135" s="97" t="s">
        <v>121</v>
      </c>
      <c r="P135" s="97" t="s">
        <v>122</v>
      </c>
      <c r="Q135" s="97" t="s">
        <v>123</v>
      </c>
    </row>
    <row r="136" spans="1:21" x14ac:dyDescent="0.25">
      <c r="A136" t="s">
        <v>124</v>
      </c>
      <c r="B136" s="96" t="s">
        <v>110</v>
      </c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8"/>
      <c r="O136" s="128"/>
      <c r="P136" s="128"/>
      <c r="Q136" s="128"/>
    </row>
    <row r="137" spans="1:21" x14ac:dyDescent="0.25">
      <c r="A137" t="s">
        <v>125</v>
      </c>
      <c r="B137" s="96" t="s">
        <v>126</v>
      </c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8"/>
      <c r="O137" s="128"/>
      <c r="P137" s="128"/>
      <c r="Q137" s="128"/>
      <c r="S137" t="s">
        <v>83</v>
      </c>
      <c r="U137" s="45">
        <f>SUMPRODUCT($D$10:$Q$23,D136:Q149)</f>
        <v>0</v>
      </c>
    </row>
    <row r="138" spans="1:21" x14ac:dyDescent="0.25">
      <c r="A138" t="s">
        <v>127</v>
      </c>
      <c r="B138" s="96" t="s">
        <v>112</v>
      </c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8"/>
      <c r="O138" s="128"/>
      <c r="P138" s="128"/>
      <c r="Q138" s="128"/>
      <c r="S138" t="s">
        <v>46</v>
      </c>
      <c r="U138" t="e">
        <f>U137/SUM(D136:Q149)</f>
        <v>#DIV/0!</v>
      </c>
    </row>
    <row r="139" spans="1:21" x14ac:dyDescent="0.25">
      <c r="A139" t="s">
        <v>128</v>
      </c>
      <c r="B139" s="96" t="s">
        <v>113</v>
      </c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8"/>
      <c r="O139" s="128"/>
      <c r="P139" s="128"/>
      <c r="Q139" s="128"/>
    </row>
    <row r="140" spans="1:21" x14ac:dyDescent="0.25">
      <c r="A140" t="s">
        <v>129</v>
      </c>
      <c r="B140" s="96" t="s">
        <v>114</v>
      </c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8"/>
      <c r="O140" s="128"/>
      <c r="P140" s="128"/>
      <c r="Q140" s="128"/>
    </row>
    <row r="141" spans="1:21" x14ac:dyDescent="0.25">
      <c r="A141" t="s">
        <v>130</v>
      </c>
      <c r="B141" s="96" t="s">
        <v>115</v>
      </c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8"/>
      <c r="O141" s="128"/>
      <c r="P141" s="128"/>
      <c r="Q141" s="128"/>
    </row>
    <row r="142" spans="1:21" x14ac:dyDescent="0.25">
      <c r="A142" t="s">
        <v>131</v>
      </c>
      <c r="B142" s="96" t="s">
        <v>116</v>
      </c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8"/>
      <c r="O142" s="128"/>
      <c r="P142" s="128"/>
      <c r="Q142" s="128"/>
    </row>
    <row r="143" spans="1:21" x14ac:dyDescent="0.25">
      <c r="A143" t="s">
        <v>132</v>
      </c>
      <c r="B143" s="96" t="s">
        <v>117</v>
      </c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8"/>
      <c r="O143" s="128"/>
      <c r="P143" s="128"/>
      <c r="Q143" s="128"/>
    </row>
    <row r="144" spans="1:21" x14ac:dyDescent="0.25">
      <c r="B144" s="96" t="s">
        <v>118</v>
      </c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8"/>
      <c r="O144" s="128"/>
      <c r="P144" s="128"/>
      <c r="Q144" s="128"/>
    </row>
    <row r="145" spans="1:21" x14ac:dyDescent="0.25">
      <c r="A145" t="s">
        <v>133</v>
      </c>
      <c r="B145" s="96" t="s">
        <v>119</v>
      </c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8"/>
      <c r="O145" s="128"/>
      <c r="P145" s="128"/>
      <c r="Q145" s="128"/>
    </row>
    <row r="146" spans="1:21" x14ac:dyDescent="0.25">
      <c r="B146" s="96" t="s">
        <v>120</v>
      </c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</row>
    <row r="147" spans="1:21" x14ac:dyDescent="0.25">
      <c r="B147" s="96" t="s">
        <v>121</v>
      </c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</row>
    <row r="148" spans="1:21" x14ac:dyDescent="0.25">
      <c r="B148" s="122" t="s">
        <v>122</v>
      </c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</row>
    <row r="149" spans="1:21" x14ac:dyDescent="0.25">
      <c r="B149" s="122" t="s">
        <v>123</v>
      </c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</row>
    <row r="150" spans="1:21" x14ac:dyDescent="0.25">
      <c r="D150"/>
      <c r="E150" s="48"/>
      <c r="R150" s="45">
        <f>+SUM(D136:Q149)</f>
        <v>0</v>
      </c>
      <c r="S150" s="45">
        <f>+[4]Solicitudes!$J$6</f>
        <v>42940</v>
      </c>
      <c r="T150" s="45">
        <f>+S150-R150</f>
        <v>42940</v>
      </c>
    </row>
    <row r="151" spans="1:21" x14ac:dyDescent="0.25">
      <c r="B151" s="124" t="s">
        <v>141</v>
      </c>
      <c r="D151"/>
      <c r="E151" s="48"/>
    </row>
    <row r="152" spans="1:21" x14ac:dyDescent="0.25">
      <c r="D152" s="96" t="s">
        <v>134</v>
      </c>
      <c r="E152" s="96"/>
      <c r="F152" s="96"/>
      <c r="G152" s="96"/>
      <c r="H152" s="96"/>
      <c r="I152" s="96"/>
      <c r="J152" s="96"/>
      <c r="K152" s="96"/>
      <c r="L152" s="96"/>
      <c r="M152" s="96"/>
      <c r="N152" s="125"/>
      <c r="O152" s="125"/>
      <c r="P152" s="126"/>
      <c r="Q152" s="126"/>
    </row>
    <row r="153" spans="1:21" x14ac:dyDescent="0.25">
      <c r="B153" s="96" t="s">
        <v>108</v>
      </c>
      <c r="D153" s="97" t="s">
        <v>110</v>
      </c>
      <c r="E153" s="97" t="s">
        <v>111</v>
      </c>
      <c r="F153" s="97" t="s">
        <v>112</v>
      </c>
      <c r="G153" s="97" t="s">
        <v>113</v>
      </c>
      <c r="H153" s="97" t="s">
        <v>114</v>
      </c>
      <c r="I153" s="97" t="s">
        <v>115</v>
      </c>
      <c r="J153" s="97" t="s">
        <v>116</v>
      </c>
      <c r="K153" s="97" t="s">
        <v>117</v>
      </c>
      <c r="L153" s="97" t="s">
        <v>118</v>
      </c>
      <c r="M153" s="97" t="s">
        <v>119</v>
      </c>
      <c r="N153" s="97" t="s">
        <v>120</v>
      </c>
      <c r="O153" s="97" t="s">
        <v>121</v>
      </c>
      <c r="P153" s="97" t="s">
        <v>122</v>
      </c>
      <c r="Q153" s="97" t="s">
        <v>123</v>
      </c>
    </row>
    <row r="154" spans="1:21" x14ac:dyDescent="0.25">
      <c r="A154" t="s">
        <v>124</v>
      </c>
      <c r="B154" s="96" t="s">
        <v>110</v>
      </c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8"/>
      <c r="O154" s="128"/>
      <c r="P154" s="128"/>
      <c r="Q154" s="128"/>
    </row>
    <row r="155" spans="1:21" x14ac:dyDescent="0.25">
      <c r="A155" t="s">
        <v>125</v>
      </c>
      <c r="B155" s="96" t="s">
        <v>126</v>
      </c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8"/>
      <c r="O155" s="128"/>
      <c r="P155" s="128"/>
      <c r="Q155" s="128"/>
      <c r="S155" t="s">
        <v>83</v>
      </c>
      <c r="U155" s="45">
        <f>SUMPRODUCT($D$10:$Q$23,D154:Q167)</f>
        <v>0</v>
      </c>
    </row>
    <row r="156" spans="1:21" x14ac:dyDescent="0.25">
      <c r="A156" t="s">
        <v>127</v>
      </c>
      <c r="B156" s="96" t="s">
        <v>112</v>
      </c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8"/>
      <c r="O156" s="128"/>
      <c r="P156" s="128"/>
      <c r="Q156" s="128"/>
      <c r="S156" t="s">
        <v>46</v>
      </c>
      <c r="U156" t="e">
        <f>U155/SUM(D154:Q167)</f>
        <v>#DIV/0!</v>
      </c>
    </row>
    <row r="157" spans="1:21" x14ac:dyDescent="0.25">
      <c r="A157" t="s">
        <v>128</v>
      </c>
      <c r="B157" s="96" t="s">
        <v>113</v>
      </c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8"/>
      <c r="O157" s="128"/>
      <c r="P157" s="128"/>
      <c r="Q157" s="128"/>
    </row>
    <row r="158" spans="1:21" x14ac:dyDescent="0.25">
      <c r="A158" t="s">
        <v>129</v>
      </c>
      <c r="B158" s="96" t="s">
        <v>114</v>
      </c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8"/>
      <c r="O158" s="128"/>
      <c r="P158" s="128"/>
      <c r="Q158" s="128"/>
    </row>
    <row r="159" spans="1:21" x14ac:dyDescent="0.25">
      <c r="A159" t="s">
        <v>130</v>
      </c>
      <c r="B159" s="96" t="s">
        <v>115</v>
      </c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8"/>
      <c r="O159" s="128"/>
      <c r="P159" s="128"/>
      <c r="Q159" s="128"/>
    </row>
    <row r="160" spans="1:21" x14ac:dyDescent="0.25">
      <c r="A160" t="s">
        <v>131</v>
      </c>
      <c r="B160" s="96" t="s">
        <v>116</v>
      </c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8"/>
      <c r="O160" s="128"/>
      <c r="P160" s="128"/>
      <c r="Q160" s="128"/>
    </row>
    <row r="161" spans="1:21" x14ac:dyDescent="0.25">
      <c r="A161" t="s">
        <v>132</v>
      </c>
      <c r="B161" s="96" t="s">
        <v>117</v>
      </c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8"/>
      <c r="O161" s="128"/>
      <c r="P161" s="128"/>
      <c r="Q161" s="128"/>
    </row>
    <row r="162" spans="1:21" x14ac:dyDescent="0.25">
      <c r="B162" s="96" t="s">
        <v>118</v>
      </c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8"/>
      <c r="O162" s="128"/>
      <c r="P162" s="128"/>
      <c r="Q162" s="128"/>
    </row>
    <row r="163" spans="1:21" x14ac:dyDescent="0.25">
      <c r="A163" t="s">
        <v>133</v>
      </c>
      <c r="B163" s="96" t="s">
        <v>119</v>
      </c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8"/>
      <c r="O163" s="128"/>
      <c r="P163" s="128"/>
      <c r="Q163" s="128"/>
    </row>
    <row r="164" spans="1:21" x14ac:dyDescent="0.25">
      <c r="B164" s="96" t="s">
        <v>120</v>
      </c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</row>
    <row r="165" spans="1:21" x14ac:dyDescent="0.25">
      <c r="B165" s="96" t="s">
        <v>121</v>
      </c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</row>
    <row r="166" spans="1:21" x14ac:dyDescent="0.25">
      <c r="B166" s="122" t="s">
        <v>122</v>
      </c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</row>
    <row r="167" spans="1:21" x14ac:dyDescent="0.25">
      <c r="B167" s="122" t="s">
        <v>123</v>
      </c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</row>
    <row r="168" spans="1:21" x14ac:dyDescent="0.25">
      <c r="D168"/>
      <c r="E168" s="48"/>
      <c r="R168" s="45">
        <f>+SUM(D154:Q167)</f>
        <v>0</v>
      </c>
      <c r="S168" s="45">
        <f>+[4]Solicitudes!$I$6</f>
        <v>46749</v>
      </c>
      <c r="T168" s="45">
        <f>+S168-R168</f>
        <v>46749</v>
      </c>
    </row>
    <row r="169" spans="1:21" x14ac:dyDescent="0.25">
      <c r="B169" s="124" t="s">
        <v>142</v>
      </c>
      <c r="D169"/>
      <c r="E169" s="48"/>
      <c r="R169">
        <v>66142</v>
      </c>
      <c r="S169" s="45">
        <f>+R169-R168</f>
        <v>66142</v>
      </c>
    </row>
    <row r="170" spans="1:21" x14ac:dyDescent="0.25">
      <c r="D170" s="96" t="s">
        <v>134</v>
      </c>
      <c r="E170" s="96"/>
      <c r="F170" s="96"/>
      <c r="G170" s="96"/>
      <c r="H170" s="96"/>
      <c r="I170" s="96"/>
      <c r="J170" s="96"/>
      <c r="K170" s="96"/>
      <c r="L170" s="96"/>
      <c r="M170" s="96"/>
      <c r="N170" s="125"/>
      <c r="O170" s="125"/>
      <c r="P170" s="126"/>
      <c r="Q170" s="126"/>
    </row>
    <row r="171" spans="1:21" x14ac:dyDescent="0.25">
      <c r="B171" s="96" t="s">
        <v>108</v>
      </c>
      <c r="D171" s="97" t="s">
        <v>110</v>
      </c>
      <c r="E171" s="97" t="s">
        <v>111</v>
      </c>
      <c r="F171" s="97" t="s">
        <v>112</v>
      </c>
      <c r="G171" s="97" t="s">
        <v>113</v>
      </c>
      <c r="H171" s="97" t="s">
        <v>114</v>
      </c>
      <c r="I171" s="97" t="s">
        <v>115</v>
      </c>
      <c r="J171" s="97" t="s">
        <v>116</v>
      </c>
      <c r="K171" s="97" t="s">
        <v>117</v>
      </c>
      <c r="L171" s="97" t="s">
        <v>118</v>
      </c>
      <c r="M171" s="97" t="s">
        <v>119</v>
      </c>
      <c r="N171" s="97" t="s">
        <v>120</v>
      </c>
      <c r="O171" s="97" t="s">
        <v>121</v>
      </c>
      <c r="P171" s="97" t="s">
        <v>122</v>
      </c>
      <c r="Q171" s="97" t="s">
        <v>123</v>
      </c>
    </row>
    <row r="172" spans="1:21" x14ac:dyDescent="0.25">
      <c r="A172" t="s">
        <v>124</v>
      </c>
      <c r="B172" s="96" t="s">
        <v>110</v>
      </c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8"/>
      <c r="O172" s="128"/>
      <c r="P172" s="128"/>
      <c r="Q172" s="128"/>
    </row>
    <row r="173" spans="1:21" x14ac:dyDescent="0.25">
      <c r="A173" t="s">
        <v>125</v>
      </c>
      <c r="B173" s="96" t="s">
        <v>126</v>
      </c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8"/>
      <c r="O173" s="128"/>
      <c r="P173" s="128"/>
      <c r="Q173" s="128"/>
      <c r="S173" t="s">
        <v>83</v>
      </c>
      <c r="U173" s="45">
        <f>SUMPRODUCT($D$10:$Q$23,D172:Q185)</f>
        <v>0</v>
      </c>
    </row>
    <row r="174" spans="1:21" x14ac:dyDescent="0.25">
      <c r="A174" t="s">
        <v>127</v>
      </c>
      <c r="B174" s="96" t="s">
        <v>112</v>
      </c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8"/>
      <c r="O174" s="128"/>
      <c r="P174" s="128"/>
      <c r="Q174" s="128"/>
      <c r="S174" t="s">
        <v>46</v>
      </c>
      <c r="U174" t="e">
        <f>U173/SUM(D172:Q185)</f>
        <v>#DIV/0!</v>
      </c>
    </row>
    <row r="175" spans="1:21" x14ac:dyDescent="0.25">
      <c r="A175" t="s">
        <v>128</v>
      </c>
      <c r="B175" s="96" t="s">
        <v>113</v>
      </c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8"/>
      <c r="O175" s="128"/>
      <c r="P175" s="128"/>
      <c r="Q175" s="128"/>
    </row>
    <row r="176" spans="1:21" x14ac:dyDescent="0.25">
      <c r="A176" t="s">
        <v>129</v>
      </c>
      <c r="B176" s="96" t="s">
        <v>114</v>
      </c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8"/>
      <c r="O176" s="128"/>
      <c r="P176" s="128"/>
      <c r="Q176" s="128"/>
    </row>
    <row r="177" spans="1:21" x14ac:dyDescent="0.25">
      <c r="A177" t="s">
        <v>130</v>
      </c>
      <c r="B177" s="96" t="s">
        <v>115</v>
      </c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8"/>
      <c r="O177" s="128"/>
      <c r="P177" s="128"/>
      <c r="Q177" s="128"/>
    </row>
    <row r="178" spans="1:21" x14ac:dyDescent="0.25">
      <c r="A178" t="s">
        <v>131</v>
      </c>
      <c r="B178" s="96" t="s">
        <v>116</v>
      </c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8"/>
      <c r="O178" s="128"/>
      <c r="P178" s="128"/>
      <c r="Q178" s="128"/>
    </row>
    <row r="179" spans="1:21" x14ac:dyDescent="0.25">
      <c r="A179" t="s">
        <v>132</v>
      </c>
      <c r="B179" s="96" t="s">
        <v>117</v>
      </c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8"/>
      <c r="O179" s="128"/>
      <c r="P179" s="128"/>
      <c r="Q179" s="128"/>
    </row>
    <row r="180" spans="1:21" x14ac:dyDescent="0.25">
      <c r="B180" s="96" t="s">
        <v>118</v>
      </c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8"/>
      <c r="O180" s="128"/>
      <c r="P180" s="128"/>
      <c r="Q180" s="128"/>
    </row>
    <row r="181" spans="1:21" x14ac:dyDescent="0.25">
      <c r="A181" t="s">
        <v>133</v>
      </c>
      <c r="B181" s="96" t="s">
        <v>119</v>
      </c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8"/>
      <c r="O181" s="128"/>
      <c r="P181" s="128"/>
      <c r="Q181" s="128"/>
    </row>
    <row r="182" spans="1:21" x14ac:dyDescent="0.25">
      <c r="B182" s="96" t="s">
        <v>120</v>
      </c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</row>
    <row r="183" spans="1:21" x14ac:dyDescent="0.25">
      <c r="B183" s="96" t="s">
        <v>121</v>
      </c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</row>
    <row r="184" spans="1:21" x14ac:dyDescent="0.25">
      <c r="B184" s="122" t="s">
        <v>122</v>
      </c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</row>
    <row r="185" spans="1:21" x14ac:dyDescent="0.25">
      <c r="B185" s="122" t="s">
        <v>123</v>
      </c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</row>
    <row r="186" spans="1:21" x14ac:dyDescent="0.25">
      <c r="D186"/>
      <c r="E186" s="48"/>
      <c r="R186" s="45">
        <f>+SUM(D172:Q185)</f>
        <v>0</v>
      </c>
      <c r="S186" s="45">
        <f>+[4]Solicitudes!$H$6</f>
        <v>46826</v>
      </c>
      <c r="T186" s="45">
        <f>+S186-R186</f>
        <v>46826</v>
      </c>
    </row>
    <row r="187" spans="1:21" x14ac:dyDescent="0.25">
      <c r="B187" s="124" t="s">
        <v>143</v>
      </c>
      <c r="D187"/>
      <c r="E187" s="48"/>
    </row>
    <row r="188" spans="1:21" x14ac:dyDescent="0.25">
      <c r="D188" s="96" t="s">
        <v>134</v>
      </c>
      <c r="E188" s="96"/>
      <c r="F188" s="96"/>
      <c r="G188" s="96"/>
      <c r="H188" s="96"/>
      <c r="I188" s="96"/>
      <c r="J188" s="96"/>
      <c r="K188" s="96"/>
      <c r="L188" s="96"/>
      <c r="M188" s="96"/>
      <c r="N188" s="125"/>
      <c r="O188" s="125"/>
      <c r="P188" s="126"/>
      <c r="Q188" s="126"/>
    </row>
    <row r="189" spans="1:21" x14ac:dyDescent="0.25">
      <c r="B189" s="96" t="s">
        <v>108</v>
      </c>
      <c r="D189" s="97" t="s">
        <v>110</v>
      </c>
      <c r="E189" s="97" t="s">
        <v>111</v>
      </c>
      <c r="F189" s="97" t="s">
        <v>112</v>
      </c>
      <c r="G189" s="97" t="s">
        <v>113</v>
      </c>
      <c r="H189" s="97" t="s">
        <v>114</v>
      </c>
      <c r="I189" s="97" t="s">
        <v>115</v>
      </c>
      <c r="J189" s="97" t="s">
        <v>116</v>
      </c>
      <c r="K189" s="97" t="s">
        <v>117</v>
      </c>
      <c r="L189" s="97" t="s">
        <v>118</v>
      </c>
      <c r="M189" s="97" t="s">
        <v>119</v>
      </c>
      <c r="N189" s="97" t="s">
        <v>120</v>
      </c>
      <c r="O189" s="97" t="s">
        <v>121</v>
      </c>
      <c r="P189" s="97" t="s">
        <v>122</v>
      </c>
      <c r="Q189" s="97" t="s">
        <v>123</v>
      </c>
    </row>
    <row r="190" spans="1:21" x14ac:dyDescent="0.25">
      <c r="A190" t="s">
        <v>124</v>
      </c>
      <c r="B190" s="96" t="s">
        <v>110</v>
      </c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8"/>
      <c r="O190" s="128"/>
      <c r="P190" s="128"/>
      <c r="Q190" s="128"/>
    </row>
    <row r="191" spans="1:21" x14ac:dyDescent="0.25">
      <c r="A191" t="s">
        <v>125</v>
      </c>
      <c r="B191" s="96" t="s">
        <v>126</v>
      </c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8"/>
      <c r="O191" s="128"/>
      <c r="P191" s="128"/>
      <c r="Q191" s="128"/>
      <c r="S191" t="s">
        <v>83</v>
      </c>
      <c r="U191" s="45">
        <f>SUMPRODUCT($D$10:$Q$23,D190:Q203)</f>
        <v>0</v>
      </c>
    </row>
    <row r="192" spans="1:21" x14ac:dyDescent="0.25">
      <c r="A192" t="s">
        <v>127</v>
      </c>
      <c r="B192" s="96" t="s">
        <v>112</v>
      </c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8"/>
      <c r="O192" s="128"/>
      <c r="P192" s="128"/>
      <c r="Q192" s="128"/>
      <c r="S192" t="s">
        <v>46</v>
      </c>
      <c r="U192" t="e">
        <f>U191/SUM(D190:Q203)</f>
        <v>#DIV/0!</v>
      </c>
    </row>
    <row r="193" spans="1:28" x14ac:dyDescent="0.25">
      <c r="A193" t="s">
        <v>128</v>
      </c>
      <c r="B193" s="96" t="s">
        <v>113</v>
      </c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8"/>
      <c r="O193" s="128"/>
      <c r="P193" s="128"/>
      <c r="Q193" s="128"/>
    </row>
    <row r="194" spans="1:28" x14ac:dyDescent="0.25">
      <c r="A194" t="s">
        <v>129</v>
      </c>
      <c r="B194" s="96" t="s">
        <v>114</v>
      </c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8"/>
      <c r="O194" s="128"/>
      <c r="P194" s="128"/>
      <c r="Q194" s="128"/>
    </row>
    <row r="195" spans="1:28" x14ac:dyDescent="0.25">
      <c r="A195" t="s">
        <v>130</v>
      </c>
      <c r="B195" s="96" t="s">
        <v>115</v>
      </c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8"/>
      <c r="O195" s="128"/>
      <c r="P195" s="128"/>
      <c r="Q195" s="128"/>
    </row>
    <row r="196" spans="1:28" x14ac:dyDescent="0.25">
      <c r="A196" t="s">
        <v>131</v>
      </c>
      <c r="B196" s="96" t="s">
        <v>116</v>
      </c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8"/>
      <c r="O196" s="128"/>
      <c r="P196" s="128"/>
      <c r="Q196" s="128"/>
    </row>
    <row r="197" spans="1:28" x14ac:dyDescent="0.25">
      <c r="A197" t="s">
        <v>132</v>
      </c>
      <c r="B197" s="96" t="s">
        <v>117</v>
      </c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8"/>
      <c r="O197" s="128"/>
      <c r="P197" s="128"/>
      <c r="Q197" s="128"/>
    </row>
    <row r="198" spans="1:28" x14ac:dyDescent="0.25">
      <c r="B198" s="96" t="s">
        <v>118</v>
      </c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8"/>
      <c r="O198" s="128"/>
      <c r="P198" s="128"/>
      <c r="Q198" s="128"/>
    </row>
    <row r="199" spans="1:28" x14ac:dyDescent="0.25">
      <c r="A199" t="s">
        <v>133</v>
      </c>
      <c r="B199" s="96" t="s">
        <v>119</v>
      </c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8"/>
      <c r="O199" s="128"/>
      <c r="P199" s="128"/>
      <c r="Q199" s="128"/>
    </row>
    <row r="200" spans="1:28" x14ac:dyDescent="0.25">
      <c r="B200" s="96" t="s">
        <v>120</v>
      </c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</row>
    <row r="201" spans="1:28" x14ac:dyDescent="0.25">
      <c r="B201" s="96" t="s">
        <v>121</v>
      </c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</row>
    <row r="202" spans="1:28" x14ac:dyDescent="0.25">
      <c r="B202" s="122" t="s">
        <v>122</v>
      </c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</row>
    <row r="203" spans="1:28" x14ac:dyDescent="0.25">
      <c r="B203" s="122" t="s">
        <v>123</v>
      </c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</row>
    <row r="204" spans="1:28" x14ac:dyDescent="0.25">
      <c r="D204"/>
      <c r="E204" s="48"/>
      <c r="R204" s="45">
        <f>+SUM(D190:M199)</f>
        <v>0</v>
      </c>
      <c r="S204" s="45">
        <f>+[4]Solicitudes!$G$6</f>
        <v>46029</v>
      </c>
      <c r="T204" s="45">
        <f>+S204-R204</f>
        <v>46029</v>
      </c>
    </row>
    <row r="205" spans="1:28" x14ac:dyDescent="0.25">
      <c r="B205" s="124" t="s">
        <v>144</v>
      </c>
      <c r="D205"/>
      <c r="E205" s="48"/>
      <c r="R205" s="45">
        <f>+'[1]REAL 2025'!E122</f>
        <v>0</v>
      </c>
      <c r="S205" s="45">
        <f>+R205-R204</f>
        <v>0</v>
      </c>
    </row>
    <row r="206" spans="1:28" x14ac:dyDescent="0.25">
      <c r="D206" s="96" t="s">
        <v>134</v>
      </c>
      <c r="E206" s="96"/>
      <c r="F206" s="96"/>
      <c r="G206" s="96"/>
      <c r="H206" s="96"/>
      <c r="I206" s="96"/>
      <c r="J206" s="96"/>
      <c r="K206" s="96"/>
      <c r="L206" s="96"/>
      <c r="M206" s="96"/>
      <c r="N206" s="125"/>
      <c r="O206" s="125"/>
      <c r="P206" s="126"/>
      <c r="Q206" s="126"/>
      <c r="Y206">
        <v>37773</v>
      </c>
      <c r="Z206">
        <v>26234</v>
      </c>
      <c r="AA206">
        <v>64606</v>
      </c>
      <c r="AB206">
        <v>58542</v>
      </c>
    </row>
    <row r="207" spans="1:28" x14ac:dyDescent="0.25">
      <c r="B207" s="96" t="s">
        <v>108</v>
      </c>
      <c r="D207" s="97" t="s">
        <v>110</v>
      </c>
      <c r="E207" s="97" t="s">
        <v>111</v>
      </c>
      <c r="F207" s="97" t="s">
        <v>112</v>
      </c>
      <c r="G207" s="97" t="s">
        <v>113</v>
      </c>
      <c r="H207" s="97" t="s">
        <v>114</v>
      </c>
      <c r="I207" s="97" t="s">
        <v>115</v>
      </c>
      <c r="J207" s="97" t="s">
        <v>116</v>
      </c>
      <c r="K207" s="97" t="s">
        <v>117</v>
      </c>
      <c r="L207" s="97" t="s">
        <v>118</v>
      </c>
      <c r="M207" s="97" t="s">
        <v>119</v>
      </c>
      <c r="N207" s="97" t="s">
        <v>120</v>
      </c>
      <c r="O207" s="97" t="s">
        <v>121</v>
      </c>
      <c r="P207" s="97" t="s">
        <v>122</v>
      </c>
      <c r="Q207" s="97" t="s">
        <v>123</v>
      </c>
      <c r="Y207" s="45">
        <f>+R240-Y206</f>
        <v>-37773</v>
      </c>
      <c r="Z207" s="45">
        <f>+R222-Z206</f>
        <v>-26234</v>
      </c>
      <c r="AA207" s="45">
        <f>+R205-AA206</f>
        <v>-64606</v>
      </c>
      <c r="AB207" s="45">
        <f>+R186-AB206</f>
        <v>-58542</v>
      </c>
    </row>
    <row r="208" spans="1:28" x14ac:dyDescent="0.25">
      <c r="A208" t="s">
        <v>124</v>
      </c>
      <c r="B208" s="96" t="s">
        <v>110</v>
      </c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8"/>
      <c r="O208" s="128"/>
      <c r="P208" s="128"/>
      <c r="Q208" s="128"/>
    </row>
    <row r="209" spans="1:21" x14ac:dyDescent="0.25">
      <c r="A209" t="s">
        <v>125</v>
      </c>
      <c r="B209" s="96" t="s">
        <v>126</v>
      </c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8"/>
      <c r="O209" s="128"/>
      <c r="P209" s="128"/>
      <c r="Q209" s="128"/>
      <c r="S209" t="s">
        <v>83</v>
      </c>
      <c r="U209" s="45">
        <f>SUMPRODUCT($D$10:$Q$23,D208:Q221)</f>
        <v>0</v>
      </c>
    </row>
    <row r="210" spans="1:21" x14ac:dyDescent="0.25">
      <c r="A210" t="s">
        <v>127</v>
      </c>
      <c r="B210" s="96" t="s">
        <v>112</v>
      </c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8"/>
      <c r="O210" s="128"/>
      <c r="P210" s="128"/>
      <c r="Q210" s="128"/>
      <c r="S210" t="s">
        <v>46</v>
      </c>
      <c r="U210" t="e">
        <f>U209/SUM(D208:Q221)</f>
        <v>#DIV/0!</v>
      </c>
    </row>
    <row r="211" spans="1:21" x14ac:dyDescent="0.25">
      <c r="A211" t="s">
        <v>128</v>
      </c>
      <c r="B211" s="96" t="s">
        <v>113</v>
      </c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8"/>
      <c r="O211" s="128"/>
      <c r="P211" s="128"/>
      <c r="Q211" s="128"/>
    </row>
    <row r="212" spans="1:21" x14ac:dyDescent="0.25">
      <c r="A212" t="s">
        <v>129</v>
      </c>
      <c r="B212" s="96" t="s">
        <v>114</v>
      </c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8"/>
      <c r="O212" s="128"/>
      <c r="P212" s="128"/>
      <c r="Q212" s="128"/>
    </row>
    <row r="213" spans="1:21" x14ac:dyDescent="0.25">
      <c r="A213" t="s">
        <v>130</v>
      </c>
      <c r="B213" s="96" t="s">
        <v>115</v>
      </c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8"/>
      <c r="O213" s="128"/>
      <c r="P213" s="128"/>
      <c r="Q213" s="128"/>
    </row>
    <row r="214" spans="1:21" x14ac:dyDescent="0.25">
      <c r="A214" t="s">
        <v>131</v>
      </c>
      <c r="B214" s="96" t="s">
        <v>116</v>
      </c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8"/>
      <c r="O214" s="128"/>
      <c r="P214" s="128"/>
      <c r="Q214" s="128"/>
    </row>
    <row r="215" spans="1:21" x14ac:dyDescent="0.25">
      <c r="A215" t="s">
        <v>132</v>
      </c>
      <c r="B215" s="96" t="s">
        <v>117</v>
      </c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8"/>
      <c r="O215" s="128"/>
      <c r="P215" s="128"/>
      <c r="Q215" s="128"/>
    </row>
    <row r="216" spans="1:21" x14ac:dyDescent="0.25">
      <c r="A216" t="s">
        <v>133</v>
      </c>
      <c r="B216" s="96" t="s">
        <v>118</v>
      </c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8"/>
      <c r="O216" s="128"/>
      <c r="P216" s="128"/>
      <c r="Q216" s="128"/>
    </row>
    <row r="217" spans="1:21" x14ac:dyDescent="0.25">
      <c r="B217" s="96" t="s">
        <v>119</v>
      </c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8"/>
      <c r="O217" s="128"/>
      <c r="P217" s="128"/>
      <c r="Q217" s="128"/>
    </row>
    <row r="218" spans="1:21" x14ac:dyDescent="0.25">
      <c r="B218" s="96" t="s">
        <v>120</v>
      </c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</row>
    <row r="219" spans="1:21" x14ac:dyDescent="0.25">
      <c r="B219" s="96" t="s">
        <v>121</v>
      </c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</row>
    <row r="220" spans="1:21" x14ac:dyDescent="0.25">
      <c r="B220" s="122" t="s">
        <v>122</v>
      </c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</row>
    <row r="221" spans="1:21" x14ac:dyDescent="0.25">
      <c r="B221" s="122" t="s">
        <v>123</v>
      </c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</row>
    <row r="222" spans="1:21" x14ac:dyDescent="0.25">
      <c r="R222" s="45">
        <f>+SUM(D208:Q221)</f>
        <v>0</v>
      </c>
      <c r="S222" s="45">
        <f>+[4]Solicitudes!$F$6</f>
        <v>27364</v>
      </c>
      <c r="T222" s="45">
        <f>+S222-R222</f>
        <v>27364</v>
      </c>
    </row>
    <row r="223" spans="1:21" x14ac:dyDescent="0.25">
      <c r="B223" s="124" t="s">
        <v>145</v>
      </c>
    </row>
    <row r="224" spans="1:21" x14ac:dyDescent="0.25">
      <c r="D224" s="96" t="s">
        <v>134</v>
      </c>
      <c r="E224" s="96"/>
      <c r="F224" s="96"/>
      <c r="G224" s="96"/>
      <c r="H224" s="96"/>
      <c r="I224" s="96"/>
      <c r="J224" s="96"/>
      <c r="K224" s="96"/>
      <c r="L224" s="96"/>
      <c r="M224" s="96"/>
      <c r="N224" s="125"/>
      <c r="O224" s="125"/>
      <c r="P224" s="126"/>
      <c r="Q224" s="126"/>
    </row>
    <row r="225" spans="1:44" x14ac:dyDescent="0.25">
      <c r="B225" s="96" t="s">
        <v>108</v>
      </c>
      <c r="D225" s="97" t="s">
        <v>110</v>
      </c>
      <c r="E225" s="97" t="s">
        <v>111</v>
      </c>
      <c r="F225" s="97" t="s">
        <v>112</v>
      </c>
      <c r="G225" s="97" t="s">
        <v>113</v>
      </c>
      <c r="H225" s="97" t="s">
        <v>114</v>
      </c>
      <c r="I225" s="97" t="s">
        <v>115</v>
      </c>
      <c r="J225" s="97" t="s">
        <v>116</v>
      </c>
      <c r="K225" s="97" t="s">
        <v>117</v>
      </c>
      <c r="L225" s="97" t="s">
        <v>118</v>
      </c>
      <c r="M225" s="97" t="s">
        <v>119</v>
      </c>
      <c r="N225" s="97" t="s">
        <v>120</v>
      </c>
      <c r="O225" s="97" t="s">
        <v>121</v>
      </c>
      <c r="P225" s="97" t="s">
        <v>122</v>
      </c>
      <c r="Q225" s="97" t="s">
        <v>123</v>
      </c>
    </row>
    <row r="226" spans="1:44" x14ac:dyDescent="0.25">
      <c r="A226" t="s">
        <v>124</v>
      </c>
      <c r="B226" s="96" t="s">
        <v>110</v>
      </c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8"/>
      <c r="O226" s="128"/>
      <c r="P226" s="128"/>
      <c r="Q226" s="128"/>
      <c r="Y226" s="131">
        <v>0</v>
      </c>
      <c r="Z226" s="131">
        <v>2</v>
      </c>
      <c r="AA226" s="131">
        <v>15</v>
      </c>
      <c r="AB226" s="131">
        <v>0</v>
      </c>
      <c r="AC226" s="131">
        <v>0</v>
      </c>
      <c r="AD226" s="131">
        <v>116</v>
      </c>
      <c r="AE226" s="131">
        <v>5</v>
      </c>
      <c r="AF226" s="131">
        <v>0</v>
      </c>
      <c r="AG226" s="131">
        <v>272</v>
      </c>
      <c r="AJ226" s="132">
        <f t="shared" ref="AJ226:AR233" si="18">+Y226/$AH$240</f>
        <v>0</v>
      </c>
      <c r="AK226" s="132">
        <f t="shared" si="18"/>
        <v>7.1047957371225573E-4</v>
      </c>
      <c r="AL226" s="132">
        <f t="shared" si="18"/>
        <v>5.3285968028419185E-3</v>
      </c>
      <c r="AM226" s="132">
        <f t="shared" si="18"/>
        <v>0</v>
      </c>
      <c r="AN226" s="132">
        <f t="shared" si="18"/>
        <v>0</v>
      </c>
      <c r="AO226" s="132">
        <f t="shared" si="18"/>
        <v>4.1207815275310831E-2</v>
      </c>
      <c r="AP226" s="132">
        <f t="shared" si="18"/>
        <v>1.7761989342806395E-3</v>
      </c>
      <c r="AQ226" s="132">
        <f t="shared" si="18"/>
        <v>0</v>
      </c>
      <c r="AR226" s="132">
        <f t="shared" si="18"/>
        <v>9.6625222024866786E-2</v>
      </c>
    </row>
    <row r="227" spans="1:44" x14ac:dyDescent="0.25">
      <c r="A227" t="s">
        <v>125</v>
      </c>
      <c r="B227" s="96" t="s">
        <v>126</v>
      </c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8"/>
      <c r="O227" s="128"/>
      <c r="P227" s="128"/>
      <c r="Q227" s="128"/>
      <c r="S227" t="s">
        <v>83</v>
      </c>
      <c r="U227" s="45">
        <f>SUMPRODUCT($D$10:$Q$23,D226:Q239)</f>
        <v>0</v>
      </c>
      <c r="Y227" s="131">
        <v>27</v>
      </c>
      <c r="Z227" s="131">
        <v>0</v>
      </c>
      <c r="AA227" s="131">
        <v>2</v>
      </c>
      <c r="AB227" s="131">
        <v>24</v>
      </c>
      <c r="AC227" s="131">
        <v>5</v>
      </c>
      <c r="AD227" s="131">
        <v>28</v>
      </c>
      <c r="AE227" s="131">
        <v>46</v>
      </c>
      <c r="AF227" s="131">
        <v>0</v>
      </c>
      <c r="AG227" s="131">
        <v>162</v>
      </c>
      <c r="AJ227" s="132">
        <f t="shared" si="18"/>
        <v>9.5914742451154531E-3</v>
      </c>
      <c r="AK227" s="132">
        <f t="shared" si="18"/>
        <v>0</v>
      </c>
      <c r="AL227" s="132">
        <f t="shared" si="18"/>
        <v>7.1047957371225573E-4</v>
      </c>
      <c r="AM227" s="132">
        <f t="shared" si="18"/>
        <v>8.5257548845470692E-3</v>
      </c>
      <c r="AN227" s="132">
        <f t="shared" si="18"/>
        <v>1.7761989342806395E-3</v>
      </c>
      <c r="AO227" s="132">
        <f t="shared" si="18"/>
        <v>9.9467140319715805E-3</v>
      </c>
      <c r="AP227" s="132">
        <f t="shared" si="18"/>
        <v>1.6341030195381884E-2</v>
      </c>
      <c r="AQ227" s="132">
        <f t="shared" si="18"/>
        <v>0</v>
      </c>
      <c r="AR227" s="132">
        <f t="shared" si="18"/>
        <v>5.7548845470692715E-2</v>
      </c>
    </row>
    <row r="228" spans="1:44" x14ac:dyDescent="0.25">
      <c r="A228" t="s">
        <v>127</v>
      </c>
      <c r="B228" s="96" t="s">
        <v>112</v>
      </c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8"/>
      <c r="O228" s="128"/>
      <c r="P228" s="128"/>
      <c r="Q228" s="128"/>
      <c r="S228" t="s">
        <v>46</v>
      </c>
      <c r="U228" s="133" t="e">
        <f>U227/SUM(D226:Q239)</f>
        <v>#DIV/0!</v>
      </c>
      <c r="Y228" s="131">
        <v>38</v>
      </c>
      <c r="Z228" s="131">
        <v>2</v>
      </c>
      <c r="AA228" s="131">
        <v>0</v>
      </c>
      <c r="AB228" s="131">
        <v>4</v>
      </c>
      <c r="AC228" s="131">
        <v>0</v>
      </c>
      <c r="AD228" s="131">
        <v>165</v>
      </c>
      <c r="AE228" s="131">
        <v>30</v>
      </c>
      <c r="AF228" s="131">
        <v>0</v>
      </c>
      <c r="AG228" s="131">
        <v>227</v>
      </c>
      <c r="AJ228" s="132">
        <f t="shared" si="18"/>
        <v>1.3499111900532859E-2</v>
      </c>
      <c r="AK228" s="132">
        <f t="shared" si="18"/>
        <v>7.1047957371225573E-4</v>
      </c>
      <c r="AL228" s="132">
        <f t="shared" si="18"/>
        <v>0</v>
      </c>
      <c r="AM228" s="132">
        <f t="shared" si="18"/>
        <v>1.4209591474245115E-3</v>
      </c>
      <c r="AN228" s="132">
        <f t="shared" si="18"/>
        <v>0</v>
      </c>
      <c r="AO228" s="132">
        <f t="shared" si="18"/>
        <v>5.8614564831261103E-2</v>
      </c>
      <c r="AP228" s="132">
        <f t="shared" si="18"/>
        <v>1.0657193605683837E-2</v>
      </c>
      <c r="AQ228" s="132">
        <f t="shared" si="18"/>
        <v>0</v>
      </c>
      <c r="AR228" s="132">
        <f t="shared" si="18"/>
        <v>8.0639431616341031E-2</v>
      </c>
    </row>
    <row r="229" spans="1:44" x14ac:dyDescent="0.25">
      <c r="A229" t="s">
        <v>128</v>
      </c>
      <c r="B229" s="96" t="s">
        <v>113</v>
      </c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8"/>
      <c r="O229" s="128"/>
      <c r="P229" s="128"/>
      <c r="Q229" s="128"/>
      <c r="Y229" s="131">
        <v>4</v>
      </c>
      <c r="Z229" s="131">
        <v>0</v>
      </c>
      <c r="AA229" s="131">
        <v>3</v>
      </c>
      <c r="AB229" s="131">
        <v>0</v>
      </c>
      <c r="AC229" s="131">
        <v>0</v>
      </c>
      <c r="AD229" s="131">
        <v>35</v>
      </c>
      <c r="AE229" s="131">
        <v>2</v>
      </c>
      <c r="AF229" s="131">
        <v>0</v>
      </c>
      <c r="AG229" s="131">
        <v>47</v>
      </c>
      <c r="AJ229" s="132">
        <f t="shared" si="18"/>
        <v>1.4209591474245115E-3</v>
      </c>
      <c r="AK229" s="132">
        <f t="shared" si="18"/>
        <v>0</v>
      </c>
      <c r="AL229" s="132">
        <f t="shared" si="18"/>
        <v>1.0657193605683837E-3</v>
      </c>
      <c r="AM229" s="132">
        <f t="shared" si="18"/>
        <v>0</v>
      </c>
      <c r="AN229" s="132">
        <f t="shared" si="18"/>
        <v>0</v>
      </c>
      <c r="AO229" s="132">
        <f t="shared" si="18"/>
        <v>1.2433392539964476E-2</v>
      </c>
      <c r="AP229" s="132">
        <f t="shared" si="18"/>
        <v>7.1047957371225573E-4</v>
      </c>
      <c r="AQ229" s="132">
        <f t="shared" si="18"/>
        <v>0</v>
      </c>
      <c r="AR229" s="132">
        <f t="shared" si="18"/>
        <v>1.6696269982238009E-2</v>
      </c>
    </row>
    <row r="230" spans="1:44" x14ac:dyDescent="0.25">
      <c r="A230" t="s">
        <v>129</v>
      </c>
      <c r="B230" s="96" t="s">
        <v>114</v>
      </c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8"/>
      <c r="O230" s="128"/>
      <c r="P230" s="128"/>
      <c r="Q230" s="128"/>
      <c r="Y230" s="131">
        <v>33</v>
      </c>
      <c r="Z230" s="131">
        <v>10</v>
      </c>
      <c r="AA230" s="131">
        <v>32</v>
      </c>
      <c r="AB230" s="131">
        <v>22</v>
      </c>
      <c r="AC230" s="131">
        <v>0</v>
      </c>
      <c r="AD230" s="131">
        <v>0</v>
      </c>
      <c r="AE230" s="131">
        <v>12</v>
      </c>
      <c r="AF230" s="131">
        <v>0</v>
      </c>
      <c r="AG230" s="131">
        <v>144</v>
      </c>
      <c r="AJ230" s="132">
        <f t="shared" si="18"/>
        <v>1.1722912966252221E-2</v>
      </c>
      <c r="AK230" s="132">
        <f t="shared" si="18"/>
        <v>3.552397868561279E-3</v>
      </c>
      <c r="AL230" s="132">
        <f t="shared" si="18"/>
        <v>1.1367673179396092E-2</v>
      </c>
      <c r="AM230" s="132">
        <f t="shared" si="18"/>
        <v>7.8152753108348127E-3</v>
      </c>
      <c r="AN230" s="132">
        <f t="shared" si="18"/>
        <v>0</v>
      </c>
      <c r="AO230" s="132">
        <f t="shared" si="18"/>
        <v>0</v>
      </c>
      <c r="AP230" s="132">
        <f t="shared" si="18"/>
        <v>4.2628774422735346E-3</v>
      </c>
      <c r="AQ230" s="132">
        <f t="shared" si="18"/>
        <v>0</v>
      </c>
      <c r="AR230" s="132">
        <f t="shared" si="18"/>
        <v>5.1154529307282419E-2</v>
      </c>
    </row>
    <row r="231" spans="1:44" x14ac:dyDescent="0.25">
      <c r="A231" t="s">
        <v>130</v>
      </c>
      <c r="B231" s="96" t="s">
        <v>115</v>
      </c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8"/>
      <c r="O231" s="128"/>
      <c r="P231" s="128"/>
      <c r="Q231" s="128"/>
      <c r="Y231" s="131">
        <v>33</v>
      </c>
      <c r="Z231" s="131">
        <v>9</v>
      </c>
      <c r="AA231" s="131">
        <v>14</v>
      </c>
      <c r="AB231" s="131">
        <v>5</v>
      </c>
      <c r="AC231" s="131">
        <v>0</v>
      </c>
      <c r="AD231" s="131">
        <v>0</v>
      </c>
      <c r="AE231" s="131">
        <v>80</v>
      </c>
      <c r="AF231" s="131">
        <v>0</v>
      </c>
      <c r="AG231" s="131">
        <v>236</v>
      </c>
      <c r="AJ231" s="132">
        <f t="shared" si="18"/>
        <v>1.1722912966252221E-2</v>
      </c>
      <c r="AK231" s="132">
        <f t="shared" si="18"/>
        <v>3.1971580817051512E-3</v>
      </c>
      <c r="AL231" s="132">
        <f t="shared" si="18"/>
        <v>4.9733570159857902E-3</v>
      </c>
      <c r="AM231" s="132">
        <f t="shared" si="18"/>
        <v>1.7761989342806395E-3</v>
      </c>
      <c r="AN231" s="132">
        <f t="shared" si="18"/>
        <v>0</v>
      </c>
      <c r="AO231" s="132">
        <f t="shared" si="18"/>
        <v>0</v>
      </c>
      <c r="AP231" s="132">
        <f t="shared" si="18"/>
        <v>2.8419182948490232E-2</v>
      </c>
      <c r="AQ231" s="132">
        <f t="shared" si="18"/>
        <v>0</v>
      </c>
      <c r="AR231" s="132">
        <f t="shared" si="18"/>
        <v>8.3836589698046179E-2</v>
      </c>
    </row>
    <row r="232" spans="1:44" x14ac:dyDescent="0.25">
      <c r="A232" t="s">
        <v>131</v>
      </c>
      <c r="B232" s="96" t="s">
        <v>116</v>
      </c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8"/>
      <c r="O232" s="128"/>
      <c r="P232" s="128"/>
      <c r="Q232" s="128"/>
      <c r="Y232" s="131">
        <v>2</v>
      </c>
      <c r="Z232" s="131">
        <v>16</v>
      </c>
      <c r="AA232" s="131">
        <v>9</v>
      </c>
      <c r="AB232" s="131">
        <v>2</v>
      </c>
      <c r="AC232" s="131">
        <v>0</v>
      </c>
      <c r="AD232" s="131">
        <v>26</v>
      </c>
      <c r="AE232" s="131">
        <v>0</v>
      </c>
      <c r="AF232" s="131">
        <v>0</v>
      </c>
      <c r="AG232" s="131">
        <v>90</v>
      </c>
      <c r="AJ232" s="132">
        <f t="shared" si="18"/>
        <v>7.1047957371225573E-4</v>
      </c>
      <c r="AK232" s="132">
        <f t="shared" si="18"/>
        <v>5.6838365896980459E-3</v>
      </c>
      <c r="AL232" s="132">
        <f t="shared" si="18"/>
        <v>3.1971580817051512E-3</v>
      </c>
      <c r="AM232" s="132">
        <f t="shared" si="18"/>
        <v>7.1047957371225573E-4</v>
      </c>
      <c r="AN232" s="132">
        <f t="shared" si="18"/>
        <v>0</v>
      </c>
      <c r="AO232" s="132">
        <f t="shared" si="18"/>
        <v>9.2362344582593257E-3</v>
      </c>
      <c r="AP232" s="132">
        <f t="shared" si="18"/>
        <v>0</v>
      </c>
      <c r="AQ232" s="132">
        <f t="shared" si="18"/>
        <v>0</v>
      </c>
      <c r="AR232" s="132">
        <f t="shared" si="18"/>
        <v>3.1971580817051509E-2</v>
      </c>
    </row>
    <row r="233" spans="1:44" x14ac:dyDescent="0.25">
      <c r="A233" t="s">
        <v>132</v>
      </c>
      <c r="B233" s="96" t="s">
        <v>117</v>
      </c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8"/>
      <c r="O233" s="128"/>
      <c r="P233" s="128"/>
      <c r="Q233" s="128"/>
      <c r="Y233" s="131">
        <v>0</v>
      </c>
      <c r="Z233" s="131">
        <v>0</v>
      </c>
      <c r="AA233" s="131">
        <v>0</v>
      </c>
      <c r="AB233" s="131">
        <v>0</v>
      </c>
      <c r="AC233" s="131">
        <v>0</v>
      </c>
      <c r="AD233" s="131">
        <v>0</v>
      </c>
      <c r="AE233" s="131">
        <v>0</v>
      </c>
      <c r="AF233" s="131">
        <v>0</v>
      </c>
      <c r="AG233" s="131">
        <v>0</v>
      </c>
      <c r="AJ233" s="132">
        <f t="shared" si="18"/>
        <v>0</v>
      </c>
      <c r="AK233" s="132">
        <f t="shared" si="18"/>
        <v>0</v>
      </c>
      <c r="AL233" s="132">
        <f t="shared" si="18"/>
        <v>0</v>
      </c>
      <c r="AM233" s="132">
        <f t="shared" si="18"/>
        <v>0</v>
      </c>
      <c r="AN233" s="132">
        <f t="shared" si="18"/>
        <v>0</v>
      </c>
      <c r="AO233" s="132">
        <f t="shared" si="18"/>
        <v>0</v>
      </c>
      <c r="AP233" s="132">
        <f t="shared" si="18"/>
        <v>0</v>
      </c>
      <c r="AQ233" s="132">
        <f t="shared" si="18"/>
        <v>0</v>
      </c>
      <c r="AR233" s="132">
        <f t="shared" si="18"/>
        <v>0</v>
      </c>
    </row>
    <row r="234" spans="1:44" x14ac:dyDescent="0.25">
      <c r="B234" s="96" t="s">
        <v>118</v>
      </c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8"/>
      <c r="O234" s="128"/>
      <c r="P234" s="128"/>
      <c r="Q234" s="128"/>
      <c r="Y234" s="131"/>
      <c r="Z234" s="131"/>
      <c r="AA234" s="131"/>
      <c r="AB234" s="131"/>
      <c r="AC234" s="131"/>
      <c r="AD234" s="131"/>
      <c r="AE234" s="131"/>
      <c r="AF234" s="131"/>
      <c r="AG234" s="131"/>
      <c r="AJ234" s="132"/>
      <c r="AK234" s="132"/>
      <c r="AL234" s="132"/>
      <c r="AM234" s="132"/>
      <c r="AN234" s="132"/>
      <c r="AO234" s="132"/>
      <c r="AP234" s="132"/>
      <c r="AQ234" s="132"/>
      <c r="AR234" s="132"/>
    </row>
    <row r="235" spans="1:44" x14ac:dyDescent="0.25">
      <c r="A235" t="s">
        <v>133</v>
      </c>
      <c r="B235" s="96" t="s">
        <v>119</v>
      </c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8"/>
      <c r="O235" s="128"/>
      <c r="P235" s="128"/>
      <c r="Q235" s="128"/>
      <c r="Y235" s="131">
        <v>147</v>
      </c>
      <c r="Z235" s="131">
        <v>93</v>
      </c>
      <c r="AA235" s="131">
        <v>212</v>
      </c>
      <c r="AB235" s="131">
        <v>49</v>
      </c>
      <c r="AC235" s="131">
        <v>33</v>
      </c>
      <c r="AD235" s="131">
        <v>198</v>
      </c>
      <c r="AE235" s="131">
        <v>47</v>
      </c>
      <c r="AF235" s="131">
        <v>0</v>
      </c>
      <c r="AG235" s="131">
        <v>0</v>
      </c>
      <c r="AJ235" s="132">
        <f t="shared" ref="AJ235:AR235" si="19">+Y235/$AH$240</f>
        <v>5.2220248667850799E-2</v>
      </c>
      <c r="AK235" s="132">
        <f t="shared" si="19"/>
        <v>3.3037300177619897E-2</v>
      </c>
      <c r="AL235" s="132">
        <f t="shared" si="19"/>
        <v>7.5310834813499108E-2</v>
      </c>
      <c r="AM235" s="132">
        <f t="shared" si="19"/>
        <v>1.7406749555950268E-2</v>
      </c>
      <c r="AN235" s="132">
        <f t="shared" si="19"/>
        <v>1.1722912966252221E-2</v>
      </c>
      <c r="AO235" s="132">
        <f t="shared" si="19"/>
        <v>7.0337477797513315E-2</v>
      </c>
      <c r="AP235" s="132">
        <f t="shared" si="19"/>
        <v>1.6696269982238009E-2</v>
      </c>
      <c r="AQ235" s="132">
        <f t="shared" si="19"/>
        <v>0</v>
      </c>
      <c r="AR235" s="132">
        <f t="shared" si="19"/>
        <v>0</v>
      </c>
    </row>
    <row r="236" spans="1:44" x14ac:dyDescent="0.25">
      <c r="B236" s="96" t="s">
        <v>120</v>
      </c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Y236" s="131"/>
      <c r="Z236" s="131"/>
      <c r="AA236" s="131"/>
      <c r="AB236" s="131"/>
      <c r="AC236" s="131"/>
      <c r="AD236" s="131"/>
      <c r="AE236" s="131"/>
      <c r="AF236" s="131"/>
      <c r="AG236" s="131"/>
      <c r="AJ236" s="132"/>
      <c r="AK236" s="132"/>
      <c r="AL236" s="132"/>
      <c r="AM236" s="132"/>
      <c r="AN236" s="132"/>
      <c r="AO236" s="132"/>
      <c r="AP236" s="132"/>
      <c r="AQ236" s="132"/>
      <c r="AR236" s="132"/>
    </row>
    <row r="237" spans="1:44" x14ac:dyDescent="0.25">
      <c r="B237" s="96" t="s">
        <v>121</v>
      </c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Y237" s="131"/>
      <c r="Z237" s="131"/>
      <c r="AA237" s="131"/>
      <c r="AB237" s="131"/>
      <c r="AC237" s="131"/>
      <c r="AD237" s="131"/>
      <c r="AE237" s="131"/>
      <c r="AF237" s="131"/>
      <c r="AG237" s="131"/>
      <c r="AJ237" s="132"/>
      <c r="AK237" s="132"/>
      <c r="AL237" s="132"/>
      <c r="AM237" s="132"/>
      <c r="AN237" s="132"/>
      <c r="AO237" s="132"/>
      <c r="AP237" s="132"/>
      <c r="AQ237" s="132"/>
      <c r="AR237" s="132"/>
    </row>
    <row r="238" spans="1:44" x14ac:dyDescent="0.25">
      <c r="B238" s="122" t="s">
        <v>122</v>
      </c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Y238" s="131"/>
      <c r="Z238" s="131"/>
      <c r="AA238" s="131"/>
      <c r="AB238" s="131"/>
      <c r="AC238" s="131"/>
      <c r="AD238" s="131"/>
      <c r="AE238" s="131"/>
      <c r="AF238" s="131"/>
      <c r="AG238" s="131"/>
      <c r="AJ238" s="132"/>
      <c r="AK238" s="132"/>
      <c r="AL238" s="132"/>
      <c r="AM238" s="132"/>
      <c r="AN238" s="132"/>
      <c r="AO238" s="132"/>
      <c r="AP238" s="132"/>
      <c r="AQ238" s="132"/>
      <c r="AR238" s="132"/>
    </row>
    <row r="239" spans="1:44" x14ac:dyDescent="0.25">
      <c r="B239" s="122" t="s">
        <v>123</v>
      </c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Y239" s="131"/>
      <c r="Z239" s="131"/>
      <c r="AA239" s="131"/>
      <c r="AB239" s="131"/>
      <c r="AC239" s="131"/>
      <c r="AD239" s="131"/>
      <c r="AE239" s="131"/>
      <c r="AF239" s="131"/>
      <c r="AG239" s="131"/>
      <c r="AJ239" s="132"/>
      <c r="AK239" s="132"/>
      <c r="AL239" s="132"/>
      <c r="AM239" s="132"/>
      <c r="AN239" s="132"/>
      <c r="AO239" s="132"/>
      <c r="AP239" s="132"/>
      <c r="AQ239" s="132"/>
      <c r="AR239" s="132"/>
    </row>
    <row r="240" spans="1:44" x14ac:dyDescent="0.25">
      <c r="D240"/>
      <c r="E240" s="48"/>
      <c r="M240" s="45">
        <f>+SUM(D226:M235)+SUM(D208:M216)+SUM(D190:M199)+SUM(D172:M181)+SUM(D154:M163)+SUM(D136:M145)+SUM(D118:M127)+SUM(D100:M109)+SUM(D82:M91)+SUM(D64:M73)+SUM(D46:M55)+SUM(D28:M37)</f>
        <v>262351</v>
      </c>
      <c r="N240" s="45"/>
      <c r="O240" s="45"/>
      <c r="P240" s="45"/>
      <c r="Q240" s="45"/>
      <c r="R240" s="45">
        <f>+SUM(D226:M235)</f>
        <v>0</v>
      </c>
      <c r="S240" s="45">
        <f>+[4]Solicitudes!$E$6</f>
        <v>27946</v>
      </c>
      <c r="T240" s="45">
        <f>+S240-R240</f>
        <v>27946</v>
      </c>
      <c r="AH240">
        <f>+SUM(Y226:AG235)</f>
        <v>2815</v>
      </c>
    </row>
    <row r="241" spans="4:19" x14ac:dyDescent="0.25">
      <c r="D241"/>
      <c r="E241" s="48"/>
      <c r="S241" s="45"/>
    </row>
    <row r="242" spans="4:19" x14ac:dyDescent="0.25">
      <c r="D242"/>
      <c r="E242" s="48"/>
      <c r="G242" t="s">
        <v>146</v>
      </c>
      <c r="H242" t="s">
        <v>63</v>
      </c>
    </row>
    <row r="243" spans="4:19" x14ac:dyDescent="0.25">
      <c r="D243"/>
      <c r="E243" s="48"/>
      <c r="G243" t="s">
        <v>147</v>
      </c>
      <c r="H243" s="45">
        <f>+U29</f>
        <v>1378924.4399999995</v>
      </c>
    </row>
    <row r="244" spans="4:19" x14ac:dyDescent="0.25">
      <c r="D244"/>
      <c r="E244" s="48"/>
      <c r="G244" t="s">
        <v>148</v>
      </c>
      <c r="H244" s="45">
        <f>+U47</f>
        <v>1561124.8499999999</v>
      </c>
    </row>
    <row r="245" spans="4:19" x14ac:dyDescent="0.25">
      <c r="D245"/>
      <c r="E245" s="48"/>
      <c r="G245" t="s">
        <v>149</v>
      </c>
      <c r="H245" s="45">
        <f>+U65</f>
        <v>1741672.5700000005</v>
      </c>
    </row>
    <row r="246" spans="4:19" x14ac:dyDescent="0.25">
      <c r="D246"/>
      <c r="E246" s="48"/>
      <c r="G246" t="s">
        <v>150</v>
      </c>
      <c r="H246" s="45">
        <f>+U83</f>
        <v>2097125.2700000003</v>
      </c>
    </row>
    <row r="247" spans="4:19" x14ac:dyDescent="0.25">
      <c r="D247"/>
      <c r="E247" s="48"/>
      <c r="G247" t="s">
        <v>151</v>
      </c>
      <c r="H247" s="45">
        <f>+U101</f>
        <v>2013556.65</v>
      </c>
    </row>
    <row r="248" spans="4:19" x14ac:dyDescent="0.25">
      <c r="D248"/>
      <c r="E248" s="48"/>
      <c r="G248" t="s">
        <v>152</v>
      </c>
      <c r="H248" s="45">
        <f>+U119</f>
        <v>0</v>
      </c>
    </row>
    <row r="249" spans="4:19" x14ac:dyDescent="0.25">
      <c r="D249"/>
      <c r="E249" s="48"/>
      <c r="G249" t="s">
        <v>153</v>
      </c>
      <c r="H249" s="45">
        <f>+U137</f>
        <v>0</v>
      </c>
    </row>
    <row r="250" spans="4:19" x14ac:dyDescent="0.25">
      <c r="D250"/>
      <c r="E250" s="48"/>
      <c r="G250" t="s">
        <v>154</v>
      </c>
      <c r="H250" s="45">
        <f>+U155</f>
        <v>0</v>
      </c>
    </row>
    <row r="251" spans="4:19" x14ac:dyDescent="0.25">
      <c r="D251"/>
      <c r="E251" s="48"/>
      <c r="G251" t="s">
        <v>155</v>
      </c>
      <c r="H251" s="45">
        <f>+U173</f>
        <v>0</v>
      </c>
    </row>
    <row r="252" spans="4:19" x14ac:dyDescent="0.25">
      <c r="D252"/>
      <c r="E252" s="48"/>
      <c r="G252" t="s">
        <v>156</v>
      </c>
      <c r="H252" s="45">
        <f>+U191</f>
        <v>0</v>
      </c>
    </row>
    <row r="253" spans="4:19" x14ac:dyDescent="0.25">
      <c r="D253"/>
      <c r="E253" s="48"/>
      <c r="G253" t="s">
        <v>157</v>
      </c>
      <c r="H253" s="45">
        <f>+U209</f>
        <v>0</v>
      </c>
    </row>
    <row r="254" spans="4:19" x14ac:dyDescent="0.25">
      <c r="D254"/>
      <c r="E254" s="48"/>
      <c r="G254" t="s">
        <v>158</v>
      </c>
      <c r="H254" s="45">
        <f>+U227</f>
        <v>0</v>
      </c>
    </row>
    <row r="255" spans="4:19" x14ac:dyDescent="0.25">
      <c r="D255"/>
      <c r="E255" s="48"/>
    </row>
    <row r="256" spans="4:19" x14ac:dyDescent="0.25">
      <c r="D256" t="s">
        <v>95</v>
      </c>
      <c r="E256" t="s">
        <v>96</v>
      </c>
      <c r="F256" t="s">
        <v>97</v>
      </c>
      <c r="G256" t="s">
        <v>98</v>
      </c>
      <c r="H256" t="s">
        <v>99</v>
      </c>
      <c r="I256" t="s">
        <v>100</v>
      </c>
      <c r="J256" t="s">
        <v>101</v>
      </c>
      <c r="K256" t="s">
        <v>102</v>
      </c>
      <c r="L256" t="s">
        <v>103</v>
      </c>
      <c r="M256" t="s">
        <v>104</v>
      </c>
      <c r="N256" t="s">
        <v>105</v>
      </c>
      <c r="O256" t="s">
        <v>106</v>
      </c>
    </row>
    <row r="257" spans="2:17" x14ac:dyDescent="0.25">
      <c r="C257" t="s">
        <v>159</v>
      </c>
      <c r="D257" s="45">
        <f>+H243</f>
        <v>1378924.4399999995</v>
      </c>
      <c r="E257" s="134">
        <f>+H244</f>
        <v>1561124.8499999999</v>
      </c>
      <c r="F257" s="45">
        <f>+H245</f>
        <v>1741672.5700000005</v>
      </c>
      <c r="G257" s="45">
        <f>+H246</f>
        <v>2097125.2700000003</v>
      </c>
      <c r="H257" s="45">
        <f>+H247</f>
        <v>2013556.65</v>
      </c>
      <c r="I257" s="45">
        <f>+H248</f>
        <v>0</v>
      </c>
      <c r="J257" s="45">
        <f>+H249</f>
        <v>0</v>
      </c>
      <c r="K257" s="45">
        <f>+H250</f>
        <v>0</v>
      </c>
      <c r="L257" s="45">
        <f>+H251</f>
        <v>0</v>
      </c>
      <c r="M257" s="45">
        <f>+H252</f>
        <v>0</v>
      </c>
      <c r="N257" s="45">
        <f>+H253</f>
        <v>0</v>
      </c>
      <c r="O257" s="45">
        <f>+H254</f>
        <v>0</v>
      </c>
    </row>
    <row r="258" spans="2:17" x14ac:dyDescent="0.25">
      <c r="D258"/>
      <c r="E258" s="48"/>
    </row>
    <row r="259" spans="2:17" x14ac:dyDescent="0.25">
      <c r="D259"/>
      <c r="E259" s="48"/>
    </row>
    <row r="260" spans="2:17" x14ac:dyDescent="0.25">
      <c r="D260"/>
      <c r="E260" s="48"/>
    </row>
    <row r="261" spans="2:17" x14ac:dyDescent="0.25">
      <c r="D261"/>
      <c r="E261" s="48"/>
    </row>
    <row r="262" spans="2:17" x14ac:dyDescent="0.25">
      <c r="D262" s="96" t="s">
        <v>134</v>
      </c>
      <c r="E262" s="96"/>
      <c r="F262" s="96"/>
      <c r="G262" s="96"/>
      <c r="H262" s="96"/>
      <c r="I262" s="96"/>
      <c r="J262" s="96"/>
      <c r="K262" s="96"/>
      <c r="L262" s="96"/>
      <c r="M262" s="96"/>
      <c r="N262" s="125"/>
      <c r="O262" s="125"/>
      <c r="P262" s="126"/>
      <c r="Q262" s="126"/>
    </row>
    <row r="263" spans="2:17" x14ac:dyDescent="0.25">
      <c r="B263" s="96" t="s">
        <v>108</v>
      </c>
      <c r="D263" s="97" t="s">
        <v>110</v>
      </c>
      <c r="E263" s="97" t="s">
        <v>111</v>
      </c>
      <c r="F263" s="97" t="s">
        <v>112</v>
      </c>
      <c r="G263" s="97" t="s">
        <v>113</v>
      </c>
      <c r="H263" s="97" t="s">
        <v>114</v>
      </c>
      <c r="I263" s="97" t="s">
        <v>115</v>
      </c>
      <c r="J263" s="97" t="s">
        <v>116</v>
      </c>
      <c r="K263" s="97" t="s">
        <v>117</v>
      </c>
      <c r="L263" s="97" t="s">
        <v>118</v>
      </c>
      <c r="M263" s="97" t="s">
        <v>119</v>
      </c>
      <c r="N263" s="97" t="s">
        <v>120</v>
      </c>
      <c r="O263" s="97" t="s">
        <v>121</v>
      </c>
      <c r="P263" s="97" t="s">
        <v>122</v>
      </c>
      <c r="Q263" s="97" t="s">
        <v>123</v>
      </c>
    </row>
    <row r="264" spans="2:17" x14ac:dyDescent="0.25">
      <c r="B264" s="96" t="s">
        <v>110</v>
      </c>
      <c r="D264" s="135">
        <f>+D28+D46+D64+D82+D100+D118+D136+D154+D172+D190+D208+D226</f>
        <v>0</v>
      </c>
      <c r="E264" s="135">
        <f t="shared" ref="E264:Q264" si="20">+E28+E46+E64+E82+E100+E118+E136+E154+E172+E190+E208+E226</f>
        <v>3155</v>
      </c>
      <c r="F264" s="135">
        <f t="shared" si="20"/>
        <v>3188</v>
      </c>
      <c r="G264" s="135">
        <f t="shared" si="20"/>
        <v>184</v>
      </c>
      <c r="H264" s="135">
        <f t="shared" si="20"/>
        <v>2126</v>
      </c>
      <c r="I264" s="135">
        <f t="shared" si="20"/>
        <v>3113</v>
      </c>
      <c r="J264" s="135">
        <f t="shared" si="20"/>
        <v>658</v>
      </c>
      <c r="K264" s="135">
        <f t="shared" si="20"/>
        <v>0</v>
      </c>
      <c r="L264" s="135">
        <f t="shared" si="20"/>
        <v>1661</v>
      </c>
      <c r="M264" s="135">
        <f t="shared" si="20"/>
        <v>21825</v>
      </c>
      <c r="N264" s="135">
        <f t="shared" si="20"/>
        <v>0</v>
      </c>
      <c r="O264" s="135">
        <f t="shared" si="20"/>
        <v>0</v>
      </c>
      <c r="P264" s="135">
        <f t="shared" si="20"/>
        <v>6</v>
      </c>
      <c r="Q264" s="135">
        <f t="shared" si="20"/>
        <v>4</v>
      </c>
    </row>
    <row r="265" spans="2:17" x14ac:dyDescent="0.25">
      <c r="B265" s="96" t="s">
        <v>126</v>
      </c>
      <c r="D265" s="135">
        <f t="shared" ref="D265:Q277" si="21">+D29+D47+D65+D83+D101+D119+D137+D155+D173+D191+D209+D227</f>
        <v>2738</v>
      </c>
      <c r="E265" s="135">
        <f t="shared" si="21"/>
        <v>0</v>
      </c>
      <c r="F265" s="135">
        <f t="shared" si="21"/>
        <v>297</v>
      </c>
      <c r="G265" s="135">
        <f t="shared" si="21"/>
        <v>14</v>
      </c>
      <c r="H265" s="135">
        <f t="shared" si="21"/>
        <v>304</v>
      </c>
      <c r="I265" s="135">
        <f t="shared" si="21"/>
        <v>247</v>
      </c>
      <c r="J265" s="135">
        <f t="shared" si="21"/>
        <v>88</v>
      </c>
      <c r="K265" s="135">
        <f t="shared" si="21"/>
        <v>0</v>
      </c>
      <c r="L265" s="135">
        <f t="shared" si="21"/>
        <v>84</v>
      </c>
      <c r="M265" s="135">
        <f t="shared" si="21"/>
        <v>3448</v>
      </c>
      <c r="N265" s="135">
        <f t="shared" si="21"/>
        <v>0</v>
      </c>
      <c r="O265" s="135">
        <f t="shared" si="21"/>
        <v>1</v>
      </c>
      <c r="P265" s="135">
        <f t="shared" si="21"/>
        <v>0</v>
      </c>
      <c r="Q265" s="135">
        <f t="shared" si="21"/>
        <v>0</v>
      </c>
    </row>
    <row r="266" spans="2:17" x14ac:dyDescent="0.25">
      <c r="B266" s="96" t="s">
        <v>112</v>
      </c>
      <c r="D266" s="135">
        <f t="shared" si="21"/>
        <v>2724</v>
      </c>
      <c r="E266" s="135">
        <f t="shared" si="21"/>
        <v>271</v>
      </c>
      <c r="F266" s="135">
        <f t="shared" si="21"/>
        <v>0</v>
      </c>
      <c r="G266" s="135">
        <f t="shared" si="21"/>
        <v>280</v>
      </c>
      <c r="H266" s="135">
        <f t="shared" si="21"/>
        <v>2163</v>
      </c>
      <c r="I266" s="135">
        <f t="shared" si="21"/>
        <v>3078</v>
      </c>
      <c r="J266" s="135">
        <f t="shared" si="21"/>
        <v>1144</v>
      </c>
      <c r="K266" s="135">
        <f t="shared" si="21"/>
        <v>0</v>
      </c>
      <c r="L266" s="135">
        <f t="shared" si="21"/>
        <v>484</v>
      </c>
      <c r="M266" s="135">
        <f t="shared" si="21"/>
        <v>13370</v>
      </c>
      <c r="N266" s="135">
        <f t="shared" si="21"/>
        <v>2</v>
      </c>
      <c r="O266" s="135">
        <f t="shared" si="21"/>
        <v>0</v>
      </c>
      <c r="P266" s="135">
        <f t="shared" si="21"/>
        <v>0</v>
      </c>
      <c r="Q266" s="135">
        <f t="shared" si="21"/>
        <v>0</v>
      </c>
    </row>
    <row r="267" spans="2:17" x14ac:dyDescent="0.25">
      <c r="B267" s="96" t="s">
        <v>113</v>
      </c>
      <c r="D267" s="135">
        <f t="shared" si="21"/>
        <v>191</v>
      </c>
      <c r="E267" s="135">
        <f t="shared" si="21"/>
        <v>11</v>
      </c>
      <c r="F267" s="135">
        <f t="shared" si="21"/>
        <v>273</v>
      </c>
      <c r="G267" s="135">
        <f t="shared" si="21"/>
        <v>0</v>
      </c>
      <c r="H267" s="135">
        <f t="shared" si="21"/>
        <v>348</v>
      </c>
      <c r="I267" s="135">
        <f t="shared" si="21"/>
        <v>357</v>
      </c>
      <c r="J267" s="135">
        <f t="shared" si="21"/>
        <v>43</v>
      </c>
      <c r="K267" s="135">
        <f t="shared" si="21"/>
        <v>0</v>
      </c>
      <c r="L267" s="135">
        <f t="shared" si="21"/>
        <v>6</v>
      </c>
      <c r="M267" s="135">
        <f t="shared" si="21"/>
        <v>1254</v>
      </c>
      <c r="N267" s="135">
        <f t="shared" si="21"/>
        <v>0</v>
      </c>
      <c r="O267" s="135">
        <f t="shared" si="21"/>
        <v>0</v>
      </c>
      <c r="P267" s="135">
        <f t="shared" si="21"/>
        <v>0</v>
      </c>
      <c r="Q267" s="135">
        <f t="shared" si="21"/>
        <v>0</v>
      </c>
    </row>
    <row r="268" spans="2:17" x14ac:dyDescent="0.25">
      <c r="B268" s="96" t="s">
        <v>114</v>
      </c>
      <c r="D268" s="135">
        <f t="shared" si="21"/>
        <v>3526</v>
      </c>
      <c r="E268" s="135">
        <f t="shared" si="21"/>
        <v>320</v>
      </c>
      <c r="F268" s="135">
        <f t="shared" si="21"/>
        <v>1995</v>
      </c>
      <c r="G268" s="135">
        <f t="shared" si="21"/>
        <v>570</v>
      </c>
      <c r="H268" s="135">
        <f t="shared" si="21"/>
        <v>0</v>
      </c>
      <c r="I268" s="135">
        <f t="shared" si="21"/>
        <v>2</v>
      </c>
      <c r="J268" s="135">
        <f t="shared" si="21"/>
        <v>3072</v>
      </c>
      <c r="K268" s="135">
        <f t="shared" si="21"/>
        <v>0</v>
      </c>
      <c r="L268" s="135">
        <f t="shared" si="21"/>
        <v>1118</v>
      </c>
      <c r="M268" s="135">
        <f t="shared" si="21"/>
        <v>17499</v>
      </c>
      <c r="N268" s="135">
        <f t="shared" si="21"/>
        <v>0</v>
      </c>
      <c r="O268" s="135">
        <f t="shared" si="21"/>
        <v>1</v>
      </c>
      <c r="P268" s="135">
        <f t="shared" si="21"/>
        <v>0</v>
      </c>
      <c r="Q268" s="135">
        <f t="shared" si="21"/>
        <v>2</v>
      </c>
    </row>
    <row r="269" spans="2:17" x14ac:dyDescent="0.25">
      <c r="B269" s="96" t="s">
        <v>115</v>
      </c>
      <c r="D269" s="135">
        <f t="shared" si="21"/>
        <v>1738</v>
      </c>
      <c r="E269" s="135">
        <f t="shared" si="21"/>
        <v>109</v>
      </c>
      <c r="F269" s="135">
        <f t="shared" si="21"/>
        <v>1169</v>
      </c>
      <c r="G269" s="135">
        <f t="shared" si="21"/>
        <v>298</v>
      </c>
      <c r="H269" s="135">
        <f t="shared" si="21"/>
        <v>2</v>
      </c>
      <c r="I269" s="135">
        <f t="shared" si="21"/>
        <v>0</v>
      </c>
      <c r="J269" s="135">
        <f t="shared" si="21"/>
        <v>1788</v>
      </c>
      <c r="K269" s="135">
        <f t="shared" si="21"/>
        <v>0</v>
      </c>
      <c r="L269" s="135">
        <f t="shared" si="21"/>
        <v>714</v>
      </c>
      <c r="M269" s="135">
        <f t="shared" si="21"/>
        <v>9316</v>
      </c>
      <c r="N269" s="135">
        <f t="shared" si="21"/>
        <v>0</v>
      </c>
      <c r="O269" s="135">
        <f t="shared" si="21"/>
        <v>0</v>
      </c>
      <c r="P269" s="135">
        <f t="shared" si="21"/>
        <v>2</v>
      </c>
      <c r="Q269" s="135">
        <f t="shared" si="21"/>
        <v>2</v>
      </c>
    </row>
    <row r="270" spans="2:17" x14ac:dyDescent="0.25">
      <c r="B270" s="96" t="s">
        <v>116</v>
      </c>
      <c r="D270" s="135">
        <f t="shared" si="21"/>
        <v>643</v>
      </c>
      <c r="E270" s="135">
        <f t="shared" si="21"/>
        <v>102</v>
      </c>
      <c r="F270" s="135">
        <f t="shared" si="21"/>
        <v>523</v>
      </c>
      <c r="G270" s="135">
        <f t="shared" si="21"/>
        <v>11</v>
      </c>
      <c r="H270" s="135">
        <f t="shared" si="21"/>
        <v>802</v>
      </c>
      <c r="I270" s="135">
        <f t="shared" si="21"/>
        <v>1492</v>
      </c>
      <c r="J270" s="135">
        <f t="shared" si="21"/>
        <v>0</v>
      </c>
      <c r="K270" s="135">
        <f t="shared" si="21"/>
        <v>0</v>
      </c>
      <c r="L270" s="135">
        <f t="shared" si="21"/>
        <v>380</v>
      </c>
      <c r="M270" s="135">
        <f t="shared" si="21"/>
        <v>3052</v>
      </c>
      <c r="N270" s="135">
        <f t="shared" si="21"/>
        <v>0</v>
      </c>
      <c r="O270" s="135">
        <f t="shared" si="21"/>
        <v>0</v>
      </c>
      <c r="P270" s="135">
        <f t="shared" si="21"/>
        <v>0</v>
      </c>
      <c r="Q270" s="135">
        <f t="shared" si="21"/>
        <v>2</v>
      </c>
    </row>
    <row r="271" spans="2:17" x14ac:dyDescent="0.25">
      <c r="B271" s="96" t="s">
        <v>117</v>
      </c>
      <c r="D271" s="135">
        <f t="shared" si="21"/>
        <v>0</v>
      </c>
      <c r="E271" s="135">
        <f t="shared" si="21"/>
        <v>0</v>
      </c>
      <c r="F271" s="135">
        <f t="shared" si="21"/>
        <v>0</v>
      </c>
      <c r="G271" s="135">
        <f t="shared" si="21"/>
        <v>0</v>
      </c>
      <c r="H271" s="135">
        <f t="shared" si="21"/>
        <v>0</v>
      </c>
      <c r="I271" s="135">
        <f t="shared" si="21"/>
        <v>0</v>
      </c>
      <c r="J271" s="135">
        <f t="shared" si="21"/>
        <v>0</v>
      </c>
      <c r="K271" s="135">
        <f t="shared" si="21"/>
        <v>0</v>
      </c>
      <c r="L271" s="135">
        <f t="shared" si="21"/>
        <v>0</v>
      </c>
      <c r="M271" s="135">
        <f t="shared" si="21"/>
        <v>43747</v>
      </c>
      <c r="N271" s="135">
        <f t="shared" si="21"/>
        <v>0</v>
      </c>
      <c r="O271" s="135">
        <f t="shared" si="21"/>
        <v>0</v>
      </c>
      <c r="P271" s="135">
        <f t="shared" si="21"/>
        <v>0</v>
      </c>
      <c r="Q271" s="135">
        <f t="shared" si="21"/>
        <v>0</v>
      </c>
    </row>
    <row r="272" spans="2:17" x14ac:dyDescent="0.25">
      <c r="B272" s="96" t="s">
        <v>118</v>
      </c>
      <c r="D272" s="135">
        <f t="shared" si="21"/>
        <v>843</v>
      </c>
      <c r="E272" s="135">
        <f t="shared" si="21"/>
        <v>96</v>
      </c>
      <c r="F272" s="135">
        <f t="shared" si="21"/>
        <v>292</v>
      </c>
      <c r="G272" s="135">
        <f t="shared" si="21"/>
        <v>16</v>
      </c>
      <c r="H272" s="135">
        <f t="shared" si="21"/>
        <v>623</v>
      </c>
      <c r="I272" s="135">
        <f t="shared" si="21"/>
        <v>1020</v>
      </c>
      <c r="J272" s="135">
        <f t="shared" si="21"/>
        <v>233</v>
      </c>
      <c r="K272" s="135">
        <f t="shared" si="21"/>
        <v>0</v>
      </c>
      <c r="L272" s="135">
        <f t="shared" si="21"/>
        <v>0</v>
      </c>
      <c r="M272" s="135">
        <f t="shared" si="21"/>
        <v>860</v>
      </c>
      <c r="N272" s="135">
        <f t="shared" si="21"/>
        <v>2</v>
      </c>
      <c r="O272" s="135">
        <f t="shared" si="21"/>
        <v>0</v>
      </c>
      <c r="P272" s="135">
        <f t="shared" si="21"/>
        <v>0</v>
      </c>
      <c r="Q272" s="135">
        <f t="shared" si="21"/>
        <v>1</v>
      </c>
    </row>
    <row r="273" spans="2:17" x14ac:dyDescent="0.25">
      <c r="B273" s="96" t="s">
        <v>119</v>
      </c>
      <c r="D273" s="135">
        <f t="shared" si="21"/>
        <v>18334</v>
      </c>
      <c r="E273" s="135">
        <f t="shared" si="21"/>
        <v>2390</v>
      </c>
      <c r="F273" s="135">
        <f t="shared" si="21"/>
        <v>11225</v>
      </c>
      <c r="G273" s="135">
        <f t="shared" si="21"/>
        <v>1138</v>
      </c>
      <c r="H273" s="135">
        <f t="shared" si="21"/>
        <v>12552</v>
      </c>
      <c r="I273" s="135">
        <f t="shared" si="21"/>
        <v>6857</v>
      </c>
      <c r="J273" s="135">
        <f t="shared" si="21"/>
        <v>2481</v>
      </c>
      <c r="K273" s="135">
        <f t="shared" si="21"/>
        <v>39663</v>
      </c>
      <c r="L273" s="135">
        <f t="shared" si="21"/>
        <v>613</v>
      </c>
      <c r="M273" s="135">
        <f t="shared" si="21"/>
        <v>0</v>
      </c>
      <c r="N273" s="135">
        <f t="shared" si="21"/>
        <v>290</v>
      </c>
      <c r="O273" s="135">
        <f t="shared" si="21"/>
        <v>1685</v>
      </c>
      <c r="P273" s="135">
        <f t="shared" si="21"/>
        <v>3014</v>
      </c>
      <c r="Q273" s="135">
        <f t="shared" si="21"/>
        <v>9989</v>
      </c>
    </row>
    <row r="274" spans="2:17" x14ac:dyDescent="0.25">
      <c r="B274" s="96" t="s">
        <v>120</v>
      </c>
      <c r="D274" s="135">
        <f t="shared" si="21"/>
        <v>0</v>
      </c>
      <c r="E274" s="135">
        <f t="shared" si="21"/>
        <v>0</v>
      </c>
      <c r="F274" s="135">
        <f t="shared" si="21"/>
        <v>0</v>
      </c>
      <c r="G274" s="135">
        <f t="shared" si="21"/>
        <v>0</v>
      </c>
      <c r="H274" s="135">
        <f t="shared" si="21"/>
        <v>1</v>
      </c>
      <c r="I274" s="135">
        <f t="shared" si="21"/>
        <v>0</v>
      </c>
      <c r="J274" s="135">
        <f t="shared" si="21"/>
        <v>5</v>
      </c>
      <c r="K274" s="135">
        <f t="shared" si="21"/>
        <v>0</v>
      </c>
      <c r="L274" s="135">
        <f t="shared" si="21"/>
        <v>0</v>
      </c>
      <c r="M274" s="135">
        <f t="shared" si="21"/>
        <v>4229</v>
      </c>
      <c r="N274" s="135">
        <f t="shared" si="21"/>
        <v>0</v>
      </c>
      <c r="O274" s="135">
        <f t="shared" si="21"/>
        <v>230</v>
      </c>
      <c r="P274" s="135">
        <f t="shared" si="21"/>
        <v>568</v>
      </c>
      <c r="Q274" s="135">
        <f t="shared" si="21"/>
        <v>1388</v>
      </c>
    </row>
    <row r="275" spans="2:17" x14ac:dyDescent="0.25">
      <c r="B275" s="96" t="s">
        <v>121</v>
      </c>
      <c r="D275" s="135">
        <f t="shared" si="21"/>
        <v>0</v>
      </c>
      <c r="E275" s="135">
        <f t="shared" si="21"/>
        <v>0</v>
      </c>
      <c r="F275" s="135">
        <f t="shared" si="21"/>
        <v>0</v>
      </c>
      <c r="G275" s="135">
        <f t="shared" si="21"/>
        <v>0</v>
      </c>
      <c r="H275" s="135">
        <f t="shared" si="21"/>
        <v>2</v>
      </c>
      <c r="I275" s="135">
        <f t="shared" si="21"/>
        <v>0</v>
      </c>
      <c r="J275" s="135">
        <f t="shared" si="21"/>
        <v>3</v>
      </c>
      <c r="K275" s="135">
        <f t="shared" si="21"/>
        <v>0</v>
      </c>
      <c r="L275" s="135">
        <f t="shared" si="21"/>
        <v>0</v>
      </c>
      <c r="M275" s="135">
        <f t="shared" si="21"/>
        <v>2626</v>
      </c>
      <c r="N275" s="135">
        <f t="shared" si="21"/>
        <v>430</v>
      </c>
      <c r="O275" s="135">
        <f t="shared" si="21"/>
        <v>0</v>
      </c>
      <c r="P275" s="135">
        <f t="shared" si="21"/>
        <v>713</v>
      </c>
      <c r="Q275" s="135">
        <f t="shared" si="21"/>
        <v>956</v>
      </c>
    </row>
    <row r="276" spans="2:17" x14ac:dyDescent="0.25">
      <c r="B276" s="122" t="s">
        <v>122</v>
      </c>
      <c r="D276" s="135">
        <f t="shared" si="21"/>
        <v>0</v>
      </c>
      <c r="E276" s="135">
        <f t="shared" si="21"/>
        <v>0</v>
      </c>
      <c r="F276" s="135">
        <f t="shared" si="21"/>
        <v>0</v>
      </c>
      <c r="G276" s="135">
        <f t="shared" si="21"/>
        <v>0</v>
      </c>
      <c r="H276" s="135">
        <f t="shared" si="21"/>
        <v>0</v>
      </c>
      <c r="I276" s="135">
        <f t="shared" si="21"/>
        <v>0</v>
      </c>
      <c r="J276" s="135">
        <f t="shared" si="21"/>
        <v>3</v>
      </c>
      <c r="K276" s="135">
        <f t="shared" si="21"/>
        <v>0</v>
      </c>
      <c r="L276" s="135">
        <f t="shared" si="21"/>
        <v>0</v>
      </c>
      <c r="M276" s="135">
        <f t="shared" si="21"/>
        <v>5019</v>
      </c>
      <c r="N276" s="135">
        <f t="shared" si="21"/>
        <v>598</v>
      </c>
      <c r="O276" s="135">
        <f t="shared" si="21"/>
        <v>427</v>
      </c>
      <c r="P276" s="135">
        <f t="shared" si="21"/>
        <v>0</v>
      </c>
      <c r="Q276" s="135">
        <f t="shared" si="21"/>
        <v>688</v>
      </c>
    </row>
    <row r="277" spans="2:17" x14ac:dyDescent="0.25">
      <c r="B277" s="122" t="s">
        <v>123</v>
      </c>
      <c r="D277" s="135">
        <f t="shared" si="21"/>
        <v>0</v>
      </c>
      <c r="E277" s="135">
        <f t="shared" si="21"/>
        <v>0</v>
      </c>
      <c r="F277" s="135">
        <f t="shared" si="21"/>
        <v>0</v>
      </c>
      <c r="G277" s="135">
        <f t="shared" si="21"/>
        <v>0</v>
      </c>
      <c r="H277" s="135">
        <f t="shared" si="21"/>
        <v>1</v>
      </c>
      <c r="I277" s="135">
        <f t="shared" si="21"/>
        <v>0</v>
      </c>
      <c r="J277" s="135">
        <f t="shared" si="21"/>
        <v>4</v>
      </c>
      <c r="K277" s="135">
        <f t="shared" si="21"/>
        <v>0</v>
      </c>
      <c r="L277" s="135">
        <f t="shared" si="21"/>
        <v>0</v>
      </c>
      <c r="M277" s="135">
        <f t="shared" si="21"/>
        <v>11434</v>
      </c>
      <c r="N277" s="135">
        <f t="shared" si="21"/>
        <v>1597</v>
      </c>
      <c r="O277" s="135">
        <f t="shared" si="21"/>
        <v>934</v>
      </c>
      <c r="P277" s="135">
        <f t="shared" si="21"/>
        <v>619</v>
      </c>
      <c r="Q277" s="135">
        <f t="shared" si="21"/>
        <v>0</v>
      </c>
    </row>
    <row r="278" spans="2:17" x14ac:dyDescent="0.25">
      <c r="D278"/>
      <c r="E278" s="48"/>
    </row>
    <row r="279" spans="2:17" x14ac:dyDescent="0.25">
      <c r="D279"/>
      <c r="E279" s="48"/>
    </row>
  </sheetData>
  <mergeCells count="1">
    <mergeCell ref="D8:Q8"/>
  </mergeCells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A4D8-5835-4DC8-86A0-91FFDE7566D9}">
  <dimension ref="A2:N122"/>
  <sheetViews>
    <sheetView topLeftCell="A37" zoomScale="70" zoomScaleNormal="70" workbookViewId="0">
      <selection activeCell="C183" sqref="C183:AB208"/>
    </sheetView>
  </sheetViews>
  <sheetFormatPr baseColWidth="10" defaultRowHeight="15" x14ac:dyDescent="0.25"/>
  <cols>
    <col min="2" max="2" width="24.5703125" customWidth="1"/>
  </cols>
  <sheetData>
    <row r="2" spans="1:10" ht="30" x14ac:dyDescent="0.25">
      <c r="B2" s="136" t="s">
        <v>160</v>
      </c>
      <c r="C2" s="136" t="s">
        <v>161</v>
      </c>
      <c r="D2" s="136" t="s">
        <v>162</v>
      </c>
      <c r="E2" s="136" t="s">
        <v>163</v>
      </c>
      <c r="F2" s="136" t="s">
        <v>164</v>
      </c>
    </row>
    <row r="3" spans="1:10" x14ac:dyDescent="0.25">
      <c r="B3" s="136" t="s">
        <v>161</v>
      </c>
      <c r="C3" s="137">
        <v>0</v>
      </c>
      <c r="D3" s="138">
        <v>19.599999999999909</v>
      </c>
      <c r="E3" s="138">
        <v>32.5</v>
      </c>
      <c r="F3" s="139">
        <v>40.200000000000045</v>
      </c>
    </row>
    <row r="4" spans="1:10" x14ac:dyDescent="0.25">
      <c r="B4" s="136" t="s">
        <v>162</v>
      </c>
      <c r="C4" s="138">
        <v>19.599999999999909</v>
      </c>
      <c r="D4" s="137">
        <v>0</v>
      </c>
      <c r="E4" s="138">
        <v>12.900000000000091</v>
      </c>
      <c r="F4" s="139">
        <v>20.600000000000136</v>
      </c>
    </row>
    <row r="5" spans="1:10" x14ac:dyDescent="0.25">
      <c r="B5" s="136" t="s">
        <v>163</v>
      </c>
      <c r="C5" s="138">
        <v>32.5</v>
      </c>
      <c r="D5" s="138">
        <v>12.900000000000091</v>
      </c>
      <c r="E5" s="137">
        <v>0</v>
      </c>
      <c r="F5" s="139">
        <v>7.7000000000000455</v>
      </c>
    </row>
    <row r="6" spans="1:10" x14ac:dyDescent="0.25">
      <c r="B6" s="136" t="s">
        <v>164</v>
      </c>
      <c r="C6" s="139">
        <v>40.200000000000045</v>
      </c>
      <c r="D6" s="138">
        <v>20.600000000000136</v>
      </c>
      <c r="E6" s="139">
        <v>7.7000000000000455</v>
      </c>
      <c r="F6" s="140">
        <v>0</v>
      </c>
    </row>
    <row r="9" spans="1:10" ht="30" x14ac:dyDescent="0.25">
      <c r="A9" t="s">
        <v>165</v>
      </c>
      <c r="B9" s="136" t="s">
        <v>160</v>
      </c>
      <c r="C9" s="136" t="s">
        <v>161</v>
      </c>
      <c r="D9" s="136" t="s">
        <v>162</v>
      </c>
      <c r="E9" s="136" t="s">
        <v>163</v>
      </c>
      <c r="F9" s="136" t="s">
        <v>164</v>
      </c>
      <c r="G9" s="141" t="s">
        <v>30</v>
      </c>
    </row>
    <row r="10" spans="1:10" x14ac:dyDescent="0.25">
      <c r="B10" s="136" t="s">
        <v>161</v>
      </c>
      <c r="C10" s="137">
        <v>1835</v>
      </c>
      <c r="D10" s="138">
        <v>988</v>
      </c>
      <c r="E10" s="138">
        <v>9978</v>
      </c>
      <c r="F10" s="139">
        <v>15471</v>
      </c>
      <c r="G10" s="142">
        <f>SUM(C10:F10)</f>
        <v>28272</v>
      </c>
    </row>
    <row r="11" spans="1:10" x14ac:dyDescent="0.25">
      <c r="B11" s="136" t="s">
        <v>162</v>
      </c>
      <c r="C11" s="138">
        <v>1350</v>
      </c>
      <c r="D11" s="137">
        <v>186</v>
      </c>
      <c r="E11" s="143">
        <v>924</v>
      </c>
      <c r="F11" s="139">
        <v>2790</v>
      </c>
      <c r="G11" s="144">
        <f>SUM(C11:F11)</f>
        <v>5250</v>
      </c>
    </row>
    <row r="12" spans="1:10" x14ac:dyDescent="0.25">
      <c r="B12" s="136" t="s">
        <v>163</v>
      </c>
      <c r="C12" s="138">
        <v>10228</v>
      </c>
      <c r="D12" s="138">
        <v>1329</v>
      </c>
      <c r="E12" s="137">
        <v>156</v>
      </c>
      <c r="F12" s="139">
        <v>6882</v>
      </c>
      <c r="G12" s="144">
        <f>SUM(C12:F12)</f>
        <v>18595</v>
      </c>
    </row>
    <row r="13" spans="1:10" x14ac:dyDescent="0.25">
      <c r="B13" s="136" t="s">
        <v>164</v>
      </c>
      <c r="C13" s="139">
        <v>16264</v>
      </c>
      <c r="D13" s="139">
        <v>3006</v>
      </c>
      <c r="E13" s="139">
        <v>5620</v>
      </c>
      <c r="F13" s="140">
        <v>138</v>
      </c>
      <c r="G13" s="144">
        <f>SUM(C13:F13)</f>
        <v>25028</v>
      </c>
      <c r="I13" t="s">
        <v>63</v>
      </c>
      <c r="J13">
        <f>+SUMPRODUCT($C$3:$F$6,C10:F13)</f>
        <v>2222993.5000000033</v>
      </c>
    </row>
    <row r="14" spans="1:10" x14ac:dyDescent="0.25">
      <c r="B14" s="141" t="s">
        <v>30</v>
      </c>
      <c r="C14" s="142">
        <f>SUM(C10:C13)</f>
        <v>29677</v>
      </c>
      <c r="D14" s="144">
        <f>SUM(D10:D13)</f>
        <v>5509</v>
      </c>
      <c r="E14" s="144">
        <f>SUM(E10:E13)</f>
        <v>16678</v>
      </c>
      <c r="F14" s="144">
        <f>SUM(F10:F13)</f>
        <v>25281</v>
      </c>
      <c r="G14" s="144">
        <f>SUM(C14:F14)</f>
        <v>77145</v>
      </c>
    </row>
    <row r="17" spans="1:10" ht="30" x14ac:dyDescent="0.25">
      <c r="A17" t="s">
        <v>135</v>
      </c>
      <c r="B17" s="136" t="s">
        <v>160</v>
      </c>
      <c r="C17" s="136" t="s">
        <v>161</v>
      </c>
      <c r="D17" s="136" t="s">
        <v>162</v>
      </c>
      <c r="E17" s="136" t="s">
        <v>163</v>
      </c>
      <c r="F17" s="136" t="s">
        <v>164</v>
      </c>
      <c r="G17" s="141" t="s">
        <v>30</v>
      </c>
    </row>
    <row r="18" spans="1:10" x14ac:dyDescent="0.25">
      <c r="B18" s="136" t="s">
        <v>161</v>
      </c>
      <c r="C18" s="137">
        <v>2040</v>
      </c>
      <c r="D18" s="138">
        <v>780</v>
      </c>
      <c r="E18" s="138">
        <v>10113</v>
      </c>
      <c r="F18" s="139">
        <v>14153</v>
      </c>
      <c r="G18" s="142">
        <f>SUM(C18:F18)</f>
        <v>27086</v>
      </c>
    </row>
    <row r="19" spans="1:10" x14ac:dyDescent="0.25">
      <c r="B19" s="136" t="s">
        <v>162</v>
      </c>
      <c r="C19" s="138">
        <v>1222</v>
      </c>
      <c r="D19" s="137">
        <v>185</v>
      </c>
      <c r="E19" s="143">
        <v>1058</v>
      </c>
      <c r="F19" s="139">
        <v>2078</v>
      </c>
      <c r="G19" s="144">
        <f>SUM(C19:F19)</f>
        <v>4543</v>
      </c>
    </row>
    <row r="20" spans="1:10" x14ac:dyDescent="0.25">
      <c r="B20" s="136" t="s">
        <v>163</v>
      </c>
      <c r="C20" s="138">
        <v>11073</v>
      </c>
      <c r="D20" s="138">
        <v>1151</v>
      </c>
      <c r="E20" s="137">
        <v>172</v>
      </c>
      <c r="F20" s="139">
        <v>7531</v>
      </c>
      <c r="G20" s="144">
        <f>SUM(C20:F20)</f>
        <v>19927</v>
      </c>
    </row>
    <row r="21" spans="1:10" x14ac:dyDescent="0.25">
      <c r="B21" s="136" t="s">
        <v>164</v>
      </c>
      <c r="C21" s="139">
        <v>15403</v>
      </c>
      <c r="D21" s="139">
        <v>2522</v>
      </c>
      <c r="E21" s="139">
        <v>6613</v>
      </c>
      <c r="F21" s="140">
        <v>184</v>
      </c>
      <c r="G21" s="144">
        <f>SUM(C21:F21)</f>
        <v>24722</v>
      </c>
      <c r="I21" t="s">
        <v>63</v>
      </c>
      <c r="J21">
        <f>+SUMPRODUCT($C$3:$F$6,C18:F21)</f>
        <v>2148100.3000000021</v>
      </c>
    </row>
    <row r="22" spans="1:10" x14ac:dyDescent="0.25">
      <c r="B22" s="141" t="s">
        <v>30</v>
      </c>
      <c r="C22" s="142">
        <f>SUM(C18:C21)</f>
        <v>29738</v>
      </c>
      <c r="D22" s="144">
        <f>SUM(D18:D21)</f>
        <v>4638</v>
      </c>
      <c r="E22" s="144">
        <f>SUM(E18:E21)</f>
        <v>17956</v>
      </c>
      <c r="F22" s="144">
        <f>SUM(F18:F21)</f>
        <v>23946</v>
      </c>
      <c r="G22" s="144">
        <f>SUM(C22:F22)</f>
        <v>76278</v>
      </c>
    </row>
    <row r="25" spans="1:10" ht="30" x14ac:dyDescent="0.25">
      <c r="A25" t="s">
        <v>136</v>
      </c>
      <c r="B25" s="136" t="s">
        <v>160</v>
      </c>
      <c r="C25" s="136" t="s">
        <v>161</v>
      </c>
      <c r="D25" s="136" t="s">
        <v>162</v>
      </c>
      <c r="E25" s="136" t="s">
        <v>163</v>
      </c>
      <c r="F25" s="136" t="s">
        <v>164</v>
      </c>
      <c r="G25" s="141" t="s">
        <v>30</v>
      </c>
    </row>
    <row r="26" spans="1:10" x14ac:dyDescent="0.25">
      <c r="B26" s="136" t="s">
        <v>161</v>
      </c>
      <c r="C26" s="137">
        <v>2568</v>
      </c>
      <c r="D26" s="138">
        <v>1277</v>
      </c>
      <c r="E26" s="138">
        <v>5191</v>
      </c>
      <c r="F26" s="139">
        <v>4046</v>
      </c>
      <c r="G26" s="142">
        <f>SUM(C26:F26)</f>
        <v>13082</v>
      </c>
    </row>
    <row r="27" spans="1:10" x14ac:dyDescent="0.25">
      <c r="B27" s="136" t="s">
        <v>162</v>
      </c>
      <c r="C27" s="138">
        <v>2630</v>
      </c>
      <c r="D27" s="137">
        <v>244</v>
      </c>
      <c r="E27" s="143">
        <v>697</v>
      </c>
      <c r="F27" s="139">
        <v>795</v>
      </c>
      <c r="G27" s="144">
        <f>SUM(C27:F27)</f>
        <v>4366</v>
      </c>
    </row>
    <row r="28" spans="1:10" x14ac:dyDescent="0.25">
      <c r="B28" s="136" t="s">
        <v>163</v>
      </c>
      <c r="C28" s="138">
        <v>6466</v>
      </c>
      <c r="D28" s="138">
        <v>877</v>
      </c>
      <c r="E28" s="137">
        <v>527</v>
      </c>
      <c r="F28" s="139">
        <v>2781</v>
      </c>
      <c r="G28" s="144">
        <f>SUM(C28:F28)</f>
        <v>10651</v>
      </c>
    </row>
    <row r="29" spans="1:10" x14ac:dyDescent="0.25">
      <c r="B29" s="136" t="s">
        <v>164</v>
      </c>
      <c r="C29" s="139">
        <v>6642</v>
      </c>
      <c r="D29" s="139">
        <v>1136</v>
      </c>
      <c r="E29" s="139">
        <v>2583</v>
      </c>
      <c r="F29" s="140">
        <v>147</v>
      </c>
      <c r="G29" s="144">
        <f>SUM(C29:F29)</f>
        <v>10508</v>
      </c>
      <c r="I29" t="s">
        <v>63</v>
      </c>
      <c r="J29">
        <f>+SUMPRODUCT($C$3:$F$6,C26:F29)</f>
        <v>986473.30000000086</v>
      </c>
    </row>
    <row r="30" spans="1:10" x14ac:dyDescent="0.25">
      <c r="B30" s="141" t="s">
        <v>30</v>
      </c>
      <c r="C30" s="142">
        <f>SUM(C26:C29)</f>
        <v>18306</v>
      </c>
      <c r="D30" s="144">
        <f>SUM(D26:D29)</f>
        <v>3534</v>
      </c>
      <c r="E30" s="144">
        <f>SUM(E26:E29)</f>
        <v>8998</v>
      </c>
      <c r="F30" s="144">
        <f>SUM(F26:F29)</f>
        <v>7769</v>
      </c>
      <c r="G30" s="144">
        <f>SUM(C30:F30)</f>
        <v>38607</v>
      </c>
    </row>
    <row r="33" spans="1:10" ht="30" x14ac:dyDescent="0.25">
      <c r="A33" t="s">
        <v>137</v>
      </c>
      <c r="B33" s="136" t="s">
        <v>160</v>
      </c>
      <c r="C33" s="136" t="s">
        <v>161</v>
      </c>
      <c r="D33" s="136" t="s">
        <v>162</v>
      </c>
      <c r="E33" s="136" t="s">
        <v>163</v>
      </c>
      <c r="F33" s="136" t="s">
        <v>164</v>
      </c>
      <c r="G33" s="141" t="s">
        <v>30</v>
      </c>
    </row>
    <row r="34" spans="1:10" x14ac:dyDescent="0.25">
      <c r="B34" s="136" t="s">
        <v>161</v>
      </c>
      <c r="C34" s="137">
        <v>1728</v>
      </c>
      <c r="D34" s="138">
        <v>1301</v>
      </c>
      <c r="E34" s="138">
        <v>4506</v>
      </c>
      <c r="F34" s="139">
        <v>2893</v>
      </c>
      <c r="G34" s="142">
        <f>SUM(C34:F34)</f>
        <v>10428</v>
      </c>
    </row>
    <row r="35" spans="1:10" x14ac:dyDescent="0.25">
      <c r="B35" s="136" t="s">
        <v>162</v>
      </c>
      <c r="C35" s="138">
        <v>2221</v>
      </c>
      <c r="D35" s="137">
        <v>208</v>
      </c>
      <c r="E35" s="143">
        <v>765</v>
      </c>
      <c r="F35" s="139">
        <v>664</v>
      </c>
      <c r="G35" s="144">
        <f>SUM(C35:F35)</f>
        <v>3858</v>
      </c>
    </row>
    <row r="36" spans="1:10" x14ac:dyDescent="0.25">
      <c r="B36" s="136" t="s">
        <v>163</v>
      </c>
      <c r="C36" s="138">
        <v>5667</v>
      </c>
      <c r="D36" s="138">
        <v>1056</v>
      </c>
      <c r="E36" s="137">
        <v>388</v>
      </c>
      <c r="F36" s="139">
        <v>2150</v>
      </c>
      <c r="G36" s="144">
        <f>SUM(C36:F36)</f>
        <v>9261</v>
      </c>
    </row>
    <row r="37" spans="1:10" x14ac:dyDescent="0.25">
      <c r="B37" s="136" t="s">
        <v>164</v>
      </c>
      <c r="C37" s="139">
        <v>4666</v>
      </c>
      <c r="D37" s="139">
        <v>987</v>
      </c>
      <c r="E37" s="139">
        <v>1840</v>
      </c>
      <c r="F37" s="140">
        <v>148</v>
      </c>
      <c r="G37" s="144">
        <f>SUM(C37:F37)</f>
        <v>7641</v>
      </c>
      <c r="I37" t="s">
        <v>63</v>
      </c>
      <c r="J37">
        <f>+SUMPRODUCT($C$3:$F$6,C34:F37)</f>
        <v>791750.0000000007</v>
      </c>
    </row>
    <row r="38" spans="1:10" x14ac:dyDescent="0.25">
      <c r="B38" s="141" t="s">
        <v>30</v>
      </c>
      <c r="C38" s="142">
        <f>SUM(C34:C37)</f>
        <v>14282</v>
      </c>
      <c r="D38" s="144">
        <f>SUM(D34:D37)</f>
        <v>3552</v>
      </c>
      <c r="E38" s="144">
        <f>SUM(E34:E37)</f>
        <v>7499</v>
      </c>
      <c r="F38" s="144">
        <f>SUM(F34:F37)</f>
        <v>5855</v>
      </c>
      <c r="G38" s="144">
        <f>SUM(C38:F38)</f>
        <v>31188</v>
      </c>
    </row>
    <row r="41" spans="1:10" ht="30" x14ac:dyDescent="0.25">
      <c r="A41" t="s">
        <v>138</v>
      </c>
      <c r="B41" s="136" t="s">
        <v>160</v>
      </c>
      <c r="C41" s="136" t="s">
        <v>161</v>
      </c>
      <c r="D41" s="136" t="s">
        <v>162</v>
      </c>
      <c r="E41" s="136" t="s">
        <v>163</v>
      </c>
      <c r="F41" s="136" t="s">
        <v>164</v>
      </c>
      <c r="G41" s="141" t="s">
        <v>30</v>
      </c>
    </row>
    <row r="42" spans="1:10" x14ac:dyDescent="0.25">
      <c r="B42" s="136" t="s">
        <v>161</v>
      </c>
      <c r="C42" s="137">
        <v>1764</v>
      </c>
      <c r="D42" s="138">
        <v>1219</v>
      </c>
      <c r="E42" s="138">
        <v>4647</v>
      </c>
      <c r="F42" s="139">
        <v>2812</v>
      </c>
      <c r="G42" s="142">
        <f>SUM(C42:F42)</f>
        <v>10442</v>
      </c>
    </row>
    <row r="43" spans="1:10" x14ac:dyDescent="0.25">
      <c r="B43" s="136" t="s">
        <v>162</v>
      </c>
      <c r="C43" s="138">
        <v>1788</v>
      </c>
      <c r="D43" s="137">
        <v>128</v>
      </c>
      <c r="E43" s="143">
        <v>684</v>
      </c>
      <c r="F43" s="139">
        <v>557</v>
      </c>
      <c r="G43" s="144">
        <f>SUM(C43:F43)</f>
        <v>3157</v>
      </c>
    </row>
    <row r="44" spans="1:10" x14ac:dyDescent="0.25">
      <c r="B44" s="136" t="s">
        <v>163</v>
      </c>
      <c r="C44" s="138">
        <v>5702</v>
      </c>
      <c r="D44" s="138">
        <v>979</v>
      </c>
      <c r="E44" s="137">
        <v>334</v>
      </c>
      <c r="F44" s="139">
        <v>2125</v>
      </c>
      <c r="G44" s="144">
        <f>SUM(C44:F44)</f>
        <v>9140</v>
      </c>
    </row>
    <row r="45" spans="1:10" x14ac:dyDescent="0.25">
      <c r="B45" s="136" t="s">
        <v>164</v>
      </c>
      <c r="C45" s="139">
        <v>4311</v>
      </c>
      <c r="D45" s="139">
        <v>809</v>
      </c>
      <c r="E45" s="139">
        <v>1958</v>
      </c>
      <c r="F45" s="140">
        <v>97</v>
      </c>
      <c r="G45" s="144">
        <f>SUM(C45:F45)</f>
        <v>7175</v>
      </c>
      <c r="I45" t="s">
        <v>63</v>
      </c>
      <c r="J45">
        <f>+SUMPRODUCT($C$3:$F$6,C42:F45)</f>
        <v>762655.70000000054</v>
      </c>
    </row>
    <row r="46" spans="1:10" x14ac:dyDescent="0.25">
      <c r="B46" s="141" t="s">
        <v>30</v>
      </c>
      <c r="C46" s="142">
        <f>SUM(C42:C45)</f>
        <v>13565</v>
      </c>
      <c r="D46" s="144">
        <f>SUM(D42:D45)</f>
        <v>3135</v>
      </c>
      <c r="E46" s="144">
        <f>SUM(E42:E45)</f>
        <v>7623</v>
      </c>
      <c r="F46" s="144">
        <f>SUM(F42:F45)</f>
        <v>5591</v>
      </c>
      <c r="G46" s="144">
        <f>SUM(C46:F46)</f>
        <v>29914</v>
      </c>
    </row>
    <row r="49" spans="1:10" ht="30" x14ac:dyDescent="0.25">
      <c r="A49" t="s">
        <v>139</v>
      </c>
      <c r="B49" s="136" t="s">
        <v>160</v>
      </c>
      <c r="C49" s="136" t="s">
        <v>161</v>
      </c>
      <c r="D49" s="136" t="s">
        <v>162</v>
      </c>
      <c r="E49" s="136" t="s">
        <v>163</v>
      </c>
      <c r="F49" s="136" t="s">
        <v>164</v>
      </c>
      <c r="G49" s="141" t="s">
        <v>30</v>
      </c>
    </row>
    <row r="50" spans="1:10" x14ac:dyDescent="0.25">
      <c r="B50" s="136" t="s">
        <v>161</v>
      </c>
      <c r="C50" s="137"/>
      <c r="D50" s="138"/>
      <c r="E50" s="138"/>
      <c r="F50" s="139"/>
      <c r="G50" s="142">
        <f>SUM(C50:F50)</f>
        <v>0</v>
      </c>
    </row>
    <row r="51" spans="1:10" x14ac:dyDescent="0.25">
      <c r="B51" s="136" t="s">
        <v>162</v>
      </c>
      <c r="C51" s="138"/>
      <c r="D51" s="137"/>
      <c r="E51" s="143"/>
      <c r="F51" s="139"/>
      <c r="G51" s="144">
        <f>SUM(C51:F51)</f>
        <v>0</v>
      </c>
    </row>
    <row r="52" spans="1:10" x14ac:dyDescent="0.25">
      <c r="B52" s="136" t="s">
        <v>163</v>
      </c>
      <c r="C52" s="138"/>
      <c r="D52" s="138"/>
      <c r="E52" s="137"/>
      <c r="F52" s="139"/>
      <c r="G52" s="144">
        <f>SUM(C52:F52)</f>
        <v>0</v>
      </c>
    </row>
    <row r="53" spans="1:10" x14ac:dyDescent="0.25">
      <c r="B53" s="136" t="s">
        <v>164</v>
      </c>
      <c r="C53" s="139"/>
      <c r="D53" s="139"/>
      <c r="E53" s="139"/>
      <c r="F53" s="140"/>
      <c r="G53" s="144">
        <f>SUM(C53:F53)</f>
        <v>0</v>
      </c>
      <c r="I53" t="s">
        <v>63</v>
      </c>
      <c r="J53">
        <f>+SUMPRODUCT($C$3:$F$6,C50:F53)</f>
        <v>0</v>
      </c>
    </row>
    <row r="54" spans="1:10" x14ac:dyDescent="0.25">
      <c r="B54" s="141" t="s">
        <v>30</v>
      </c>
      <c r="C54" s="142">
        <f>SUM(C50:C53)</f>
        <v>0</v>
      </c>
      <c r="D54" s="144">
        <f>SUM(D50:D53)</f>
        <v>0</v>
      </c>
      <c r="E54" s="144">
        <f>SUM(E50:E53)</f>
        <v>0</v>
      </c>
      <c r="F54" s="144">
        <f>SUM(F50:F53)</f>
        <v>0</v>
      </c>
      <c r="G54" s="144">
        <f>SUM(C54:F54)</f>
        <v>0</v>
      </c>
    </row>
    <row r="57" spans="1:10" ht="30" x14ac:dyDescent="0.25">
      <c r="A57" t="s">
        <v>140</v>
      </c>
      <c r="B57" s="136" t="s">
        <v>160</v>
      </c>
      <c r="C57" s="136" t="s">
        <v>161</v>
      </c>
      <c r="D57" s="136" t="s">
        <v>162</v>
      </c>
      <c r="E57" s="136" t="s">
        <v>163</v>
      </c>
      <c r="F57" s="136" t="s">
        <v>164</v>
      </c>
      <c r="G57" s="141" t="s">
        <v>30</v>
      </c>
    </row>
    <row r="58" spans="1:10" x14ac:dyDescent="0.25">
      <c r="B58" s="136" t="s">
        <v>161</v>
      </c>
      <c r="C58" s="137"/>
      <c r="D58" s="138"/>
      <c r="E58" s="138"/>
      <c r="F58" s="139"/>
      <c r="G58" s="142">
        <f>SUM(C58:F58)</f>
        <v>0</v>
      </c>
    </row>
    <row r="59" spans="1:10" x14ac:dyDescent="0.25">
      <c r="B59" s="136" t="s">
        <v>162</v>
      </c>
      <c r="C59" s="138"/>
      <c r="D59" s="137"/>
      <c r="E59" s="143"/>
      <c r="F59" s="139"/>
      <c r="G59" s="144">
        <f>SUM(C59:F59)</f>
        <v>0</v>
      </c>
    </row>
    <row r="60" spans="1:10" x14ac:dyDescent="0.25">
      <c r="B60" s="136" t="s">
        <v>163</v>
      </c>
      <c r="C60" s="138"/>
      <c r="D60" s="138"/>
      <c r="E60" s="137"/>
      <c r="F60" s="139"/>
      <c r="G60" s="144">
        <f>SUM(C60:F60)</f>
        <v>0</v>
      </c>
    </row>
    <row r="61" spans="1:10" x14ac:dyDescent="0.25">
      <c r="B61" s="136" t="s">
        <v>164</v>
      </c>
      <c r="C61" s="139"/>
      <c r="D61" s="139"/>
      <c r="E61" s="139"/>
      <c r="F61" s="140"/>
      <c r="G61" s="144">
        <f>SUM(C61:F61)</f>
        <v>0</v>
      </c>
      <c r="I61" t="s">
        <v>63</v>
      </c>
      <c r="J61">
        <f>+SUMPRODUCT($C$3:$F$6,C58:F61)</f>
        <v>0</v>
      </c>
    </row>
    <row r="62" spans="1:10" x14ac:dyDescent="0.25">
      <c r="B62" s="141" t="s">
        <v>30</v>
      </c>
      <c r="C62" s="142">
        <f>SUM(C58:C61)</f>
        <v>0</v>
      </c>
      <c r="D62" s="144">
        <f>SUM(D58:D61)</f>
        <v>0</v>
      </c>
      <c r="E62" s="144">
        <f>SUM(E58:E61)</f>
        <v>0</v>
      </c>
      <c r="F62" s="144">
        <f>SUM(F58:F61)</f>
        <v>0</v>
      </c>
      <c r="G62" s="144">
        <f>SUM(C62:F62)</f>
        <v>0</v>
      </c>
    </row>
    <row r="65" spans="1:10" ht="30" x14ac:dyDescent="0.25">
      <c r="A65" t="s">
        <v>141</v>
      </c>
      <c r="B65" s="136" t="s">
        <v>160</v>
      </c>
      <c r="C65" s="136" t="s">
        <v>161</v>
      </c>
      <c r="D65" s="136" t="s">
        <v>162</v>
      </c>
      <c r="E65" s="136" t="s">
        <v>163</v>
      </c>
      <c r="F65" s="136" t="s">
        <v>164</v>
      </c>
      <c r="G65" s="141" t="s">
        <v>30</v>
      </c>
    </row>
    <row r="66" spans="1:10" x14ac:dyDescent="0.25">
      <c r="B66" s="136" t="s">
        <v>161</v>
      </c>
      <c r="C66" s="137"/>
      <c r="D66" s="138"/>
      <c r="E66" s="138"/>
      <c r="F66" s="139"/>
      <c r="G66" s="142">
        <f>SUM(C66:F66)</f>
        <v>0</v>
      </c>
    </row>
    <row r="67" spans="1:10" x14ac:dyDescent="0.25">
      <c r="B67" s="136" t="s">
        <v>162</v>
      </c>
      <c r="C67" s="138"/>
      <c r="D67" s="137"/>
      <c r="E67" s="143"/>
      <c r="F67" s="139"/>
      <c r="G67" s="144">
        <f>SUM(C67:F67)</f>
        <v>0</v>
      </c>
    </row>
    <row r="68" spans="1:10" x14ac:dyDescent="0.25">
      <c r="B68" s="136" t="s">
        <v>163</v>
      </c>
      <c r="C68" s="138"/>
      <c r="D68" s="138"/>
      <c r="E68" s="137"/>
      <c r="F68" s="139"/>
      <c r="G68" s="144">
        <f>SUM(C68:F68)</f>
        <v>0</v>
      </c>
    </row>
    <row r="69" spans="1:10" x14ac:dyDescent="0.25">
      <c r="B69" s="136" t="s">
        <v>164</v>
      </c>
      <c r="C69" s="139"/>
      <c r="D69" s="139"/>
      <c r="E69" s="139"/>
      <c r="F69" s="140"/>
      <c r="G69" s="144">
        <f>SUM(C69:F69)</f>
        <v>0</v>
      </c>
      <c r="I69" t="s">
        <v>63</v>
      </c>
      <c r="J69">
        <f>+SUMPRODUCT($C$3:$F$6,C66:F69)</f>
        <v>0</v>
      </c>
    </row>
    <row r="70" spans="1:10" x14ac:dyDescent="0.25">
      <c r="B70" s="141" t="s">
        <v>30</v>
      </c>
      <c r="C70" s="142">
        <f>SUM(C66:C69)</f>
        <v>0</v>
      </c>
      <c r="D70" s="144">
        <f>SUM(D66:D69)</f>
        <v>0</v>
      </c>
      <c r="E70" s="144">
        <f>SUM(E66:E69)</f>
        <v>0</v>
      </c>
      <c r="F70" s="144">
        <f>SUM(F66:F69)</f>
        <v>0</v>
      </c>
      <c r="G70" s="144">
        <f>SUM(C70:F70)</f>
        <v>0</v>
      </c>
    </row>
    <row r="73" spans="1:10" ht="30" x14ac:dyDescent="0.25">
      <c r="A73" t="s">
        <v>142</v>
      </c>
      <c r="B73" s="136" t="s">
        <v>160</v>
      </c>
      <c r="C73" s="136" t="s">
        <v>161</v>
      </c>
      <c r="D73" s="136" t="s">
        <v>162</v>
      </c>
      <c r="E73" s="136" t="s">
        <v>163</v>
      </c>
      <c r="F73" s="136" t="s">
        <v>164</v>
      </c>
      <c r="G73" s="141" t="s">
        <v>30</v>
      </c>
    </row>
    <row r="74" spans="1:10" x14ac:dyDescent="0.25">
      <c r="B74" s="136" t="s">
        <v>161</v>
      </c>
      <c r="C74" s="137"/>
      <c r="D74" s="138"/>
      <c r="E74" s="138"/>
      <c r="F74" s="139"/>
      <c r="G74" s="142">
        <f>SUM(C74:F74)</f>
        <v>0</v>
      </c>
    </row>
    <row r="75" spans="1:10" x14ac:dyDescent="0.25">
      <c r="B75" s="136" t="s">
        <v>162</v>
      </c>
      <c r="C75" s="138"/>
      <c r="D75" s="137"/>
      <c r="E75" s="143"/>
      <c r="F75" s="139"/>
      <c r="G75" s="144">
        <f>SUM(C75:F75)</f>
        <v>0</v>
      </c>
    </row>
    <row r="76" spans="1:10" x14ac:dyDescent="0.25">
      <c r="B76" s="136" t="s">
        <v>163</v>
      </c>
      <c r="C76" s="138"/>
      <c r="D76" s="138"/>
      <c r="E76" s="137"/>
      <c r="F76" s="139"/>
      <c r="G76" s="144">
        <f>SUM(C76:F76)</f>
        <v>0</v>
      </c>
    </row>
    <row r="77" spans="1:10" x14ac:dyDescent="0.25">
      <c r="B77" s="136" t="s">
        <v>164</v>
      </c>
      <c r="C77" s="139"/>
      <c r="D77" s="139"/>
      <c r="E77" s="139"/>
      <c r="F77" s="140"/>
      <c r="G77" s="144">
        <f>SUM(C77:F77)</f>
        <v>0</v>
      </c>
      <c r="I77" t="s">
        <v>63</v>
      </c>
      <c r="J77">
        <f>+SUMPRODUCT($C$3:$F$6,C74:F77)</f>
        <v>0</v>
      </c>
    </row>
    <row r="78" spans="1:10" x14ac:dyDescent="0.25">
      <c r="B78" s="141" t="s">
        <v>30</v>
      </c>
      <c r="C78" s="142">
        <f>SUM(C74:C77)</f>
        <v>0</v>
      </c>
      <c r="D78" s="144">
        <f>SUM(D74:D77)</f>
        <v>0</v>
      </c>
      <c r="E78" s="144">
        <f>SUM(E74:E77)</f>
        <v>0</v>
      </c>
      <c r="F78" s="144">
        <f>SUM(F74:F77)</f>
        <v>0</v>
      </c>
      <c r="G78" s="144">
        <f>SUM(C78:F78)</f>
        <v>0</v>
      </c>
    </row>
    <row r="81" spans="1:10" ht="30" x14ac:dyDescent="0.25">
      <c r="A81" t="s">
        <v>143</v>
      </c>
      <c r="B81" s="136" t="s">
        <v>160</v>
      </c>
      <c r="C81" s="136" t="s">
        <v>161</v>
      </c>
      <c r="D81" s="136" t="s">
        <v>162</v>
      </c>
      <c r="E81" s="136" t="s">
        <v>163</v>
      </c>
      <c r="F81" s="136" t="s">
        <v>164</v>
      </c>
      <c r="G81" s="141" t="s">
        <v>30</v>
      </c>
    </row>
    <row r="82" spans="1:10" x14ac:dyDescent="0.25">
      <c r="B82" s="136" t="s">
        <v>161</v>
      </c>
      <c r="C82" s="137"/>
      <c r="D82" s="138"/>
      <c r="E82" s="138"/>
      <c r="F82" s="139"/>
      <c r="G82" s="142">
        <f>SUM(C82:F82)</f>
        <v>0</v>
      </c>
    </row>
    <row r="83" spans="1:10" x14ac:dyDescent="0.25">
      <c r="B83" s="136" t="s">
        <v>162</v>
      </c>
      <c r="C83" s="138"/>
      <c r="D83" s="137"/>
      <c r="E83" s="143"/>
      <c r="F83" s="139"/>
      <c r="G83" s="144">
        <f>SUM(C83:F83)</f>
        <v>0</v>
      </c>
    </row>
    <row r="84" spans="1:10" x14ac:dyDescent="0.25">
      <c r="B84" s="136" t="s">
        <v>163</v>
      </c>
      <c r="C84" s="138"/>
      <c r="D84" s="138"/>
      <c r="E84" s="137"/>
      <c r="F84" s="139"/>
      <c r="G84" s="144">
        <f>SUM(C84:F84)</f>
        <v>0</v>
      </c>
    </row>
    <row r="85" spans="1:10" x14ac:dyDescent="0.25">
      <c r="B85" s="136" t="s">
        <v>164</v>
      </c>
      <c r="C85" s="139"/>
      <c r="D85" s="139"/>
      <c r="E85" s="139"/>
      <c r="F85" s="140"/>
      <c r="G85" s="144">
        <f>SUM(C85:F85)</f>
        <v>0</v>
      </c>
      <c r="I85" t="s">
        <v>63</v>
      </c>
      <c r="J85">
        <f>+SUMPRODUCT($C$3:$F$6,C82:F85)</f>
        <v>0</v>
      </c>
    </row>
    <row r="86" spans="1:10" x14ac:dyDescent="0.25">
      <c r="B86" s="141" t="s">
        <v>30</v>
      </c>
      <c r="C86" s="142">
        <f>SUM(C82:C85)</f>
        <v>0</v>
      </c>
      <c r="D86" s="144">
        <f>SUM(D82:D85)</f>
        <v>0</v>
      </c>
      <c r="E86" s="144">
        <f>SUM(E82:E85)</f>
        <v>0</v>
      </c>
      <c r="F86" s="144">
        <f>SUM(F82:F85)</f>
        <v>0</v>
      </c>
      <c r="G86" s="144">
        <f>SUM(C86:F86)</f>
        <v>0</v>
      </c>
    </row>
    <row r="89" spans="1:10" ht="30" x14ac:dyDescent="0.25">
      <c r="A89" t="s">
        <v>144</v>
      </c>
      <c r="B89" s="136" t="s">
        <v>160</v>
      </c>
      <c r="C89" s="136" t="s">
        <v>161</v>
      </c>
      <c r="D89" s="136" t="s">
        <v>162</v>
      </c>
      <c r="E89" s="136" t="s">
        <v>163</v>
      </c>
      <c r="F89" s="136" t="s">
        <v>164</v>
      </c>
      <c r="G89" s="141" t="s">
        <v>30</v>
      </c>
    </row>
    <row r="90" spans="1:10" x14ac:dyDescent="0.25">
      <c r="B90" s="136" t="s">
        <v>161</v>
      </c>
      <c r="C90" s="137"/>
      <c r="D90" s="138"/>
      <c r="E90" s="138"/>
      <c r="F90" s="139"/>
      <c r="G90" s="142">
        <f>SUM(C90:F90)</f>
        <v>0</v>
      </c>
    </row>
    <row r="91" spans="1:10" x14ac:dyDescent="0.25">
      <c r="B91" s="136" t="s">
        <v>162</v>
      </c>
      <c r="C91" s="138"/>
      <c r="D91" s="137"/>
      <c r="E91" s="143"/>
      <c r="F91" s="139"/>
      <c r="G91" s="144">
        <f>SUM(C91:F91)</f>
        <v>0</v>
      </c>
    </row>
    <row r="92" spans="1:10" x14ac:dyDescent="0.25">
      <c r="B92" s="136" t="s">
        <v>163</v>
      </c>
      <c r="C92" s="138"/>
      <c r="D92" s="138"/>
      <c r="E92" s="137"/>
      <c r="F92" s="139"/>
      <c r="G92" s="144">
        <f>SUM(C92:F92)</f>
        <v>0</v>
      </c>
    </row>
    <row r="93" spans="1:10" x14ac:dyDescent="0.25">
      <c r="B93" s="136" t="s">
        <v>164</v>
      </c>
      <c r="C93" s="139"/>
      <c r="D93" s="139"/>
      <c r="E93" s="139"/>
      <c r="F93" s="140"/>
      <c r="G93" s="144">
        <f>SUM(C93:F93)</f>
        <v>0</v>
      </c>
      <c r="I93" t="s">
        <v>63</v>
      </c>
      <c r="J93">
        <f>+SUMPRODUCT($C$3:$F$6,C90:F93)</f>
        <v>0</v>
      </c>
    </row>
    <row r="94" spans="1:10" x14ac:dyDescent="0.25">
      <c r="B94" s="141" t="s">
        <v>30</v>
      </c>
      <c r="C94" s="142">
        <f>SUM(C90:C93)</f>
        <v>0</v>
      </c>
      <c r="D94" s="144">
        <f>SUM(D90:D93)</f>
        <v>0</v>
      </c>
      <c r="E94" s="144">
        <f>SUM(E90:E93)</f>
        <v>0</v>
      </c>
      <c r="F94" s="144">
        <f>SUM(F90:F93)</f>
        <v>0</v>
      </c>
      <c r="G94" s="144">
        <f>SUM(C94:F94)</f>
        <v>0</v>
      </c>
    </row>
    <row r="97" spans="1:10" ht="30" x14ac:dyDescent="0.25">
      <c r="A97" t="s">
        <v>145</v>
      </c>
      <c r="B97" s="136" t="s">
        <v>160</v>
      </c>
      <c r="C97" s="136" t="s">
        <v>161</v>
      </c>
      <c r="D97" s="136" t="s">
        <v>162</v>
      </c>
      <c r="E97" s="136" t="s">
        <v>163</v>
      </c>
      <c r="F97" s="136" t="s">
        <v>164</v>
      </c>
      <c r="G97" s="141" t="s">
        <v>30</v>
      </c>
    </row>
    <row r="98" spans="1:10" x14ac:dyDescent="0.25">
      <c r="B98" s="136" t="s">
        <v>161</v>
      </c>
      <c r="C98" s="137"/>
      <c r="D98" s="138"/>
      <c r="E98" s="138"/>
      <c r="F98" s="139"/>
      <c r="G98" s="142">
        <f>SUM(C98:F98)</f>
        <v>0</v>
      </c>
    </row>
    <row r="99" spans="1:10" x14ac:dyDescent="0.25">
      <c r="B99" s="136" t="s">
        <v>162</v>
      </c>
      <c r="C99" s="138"/>
      <c r="D99" s="137"/>
      <c r="E99" s="143"/>
      <c r="F99" s="139"/>
      <c r="G99" s="144">
        <f>SUM(C99:F99)</f>
        <v>0</v>
      </c>
    </row>
    <row r="100" spans="1:10" x14ac:dyDescent="0.25">
      <c r="B100" s="136" t="s">
        <v>163</v>
      </c>
      <c r="C100" s="138"/>
      <c r="D100" s="138"/>
      <c r="E100" s="137"/>
      <c r="F100" s="139"/>
      <c r="G100" s="144">
        <f>SUM(C100:F100)</f>
        <v>0</v>
      </c>
    </row>
    <row r="101" spans="1:10" x14ac:dyDescent="0.25">
      <c r="B101" s="136" t="s">
        <v>164</v>
      </c>
      <c r="C101" s="139"/>
      <c r="D101" s="139"/>
      <c r="E101" s="139"/>
      <c r="F101" s="140"/>
      <c r="G101" s="144">
        <f>SUM(C101:F101)</f>
        <v>0</v>
      </c>
      <c r="I101" t="s">
        <v>63</v>
      </c>
      <c r="J101">
        <f>+SUMPRODUCT($C$3:$F$6,C98:F101)</f>
        <v>0</v>
      </c>
    </row>
    <row r="102" spans="1:10" x14ac:dyDescent="0.25">
      <c r="B102" s="141" t="s">
        <v>30</v>
      </c>
      <c r="C102" s="142">
        <f>SUM(C98:C101)</f>
        <v>0</v>
      </c>
      <c r="D102" s="144">
        <f>SUM(D98:D101)</f>
        <v>0</v>
      </c>
      <c r="E102" s="144">
        <f>SUM(E98:E101)</f>
        <v>0</v>
      </c>
      <c r="F102" s="144">
        <f>SUM(F98:F101)</f>
        <v>0</v>
      </c>
      <c r="G102" s="144">
        <f>SUM(C102:F102)</f>
        <v>0</v>
      </c>
    </row>
    <row r="105" spans="1:10" ht="30" x14ac:dyDescent="0.25">
      <c r="A105" t="s">
        <v>166</v>
      </c>
      <c r="B105" s="136" t="s">
        <v>160</v>
      </c>
      <c r="C105" s="136" t="s">
        <v>161</v>
      </c>
      <c r="D105" s="136" t="s">
        <v>162</v>
      </c>
      <c r="E105" s="136" t="s">
        <v>163</v>
      </c>
      <c r="F105" s="136" t="s">
        <v>164</v>
      </c>
      <c r="G105" s="141" t="s">
        <v>30</v>
      </c>
    </row>
    <row r="106" spans="1:10" x14ac:dyDescent="0.25">
      <c r="B106" s="136" t="s">
        <v>161</v>
      </c>
      <c r="C106" s="137">
        <f>+C10+C18+C26+C34+C42+C50+C58+C66+C74+C82+C90+C98</f>
        <v>9935</v>
      </c>
      <c r="D106" s="138">
        <f t="shared" ref="D106:F106" si="0">+D10+D18+D26+D34+D42+D50+D58+D66+D74+D82+D90+D98</f>
        <v>5565</v>
      </c>
      <c r="E106" s="138">
        <f t="shared" si="0"/>
        <v>34435</v>
      </c>
      <c r="F106" s="139">
        <f t="shared" si="0"/>
        <v>39375</v>
      </c>
      <c r="G106" s="145">
        <f>SUM(C106:F106)</f>
        <v>89310</v>
      </c>
    </row>
    <row r="107" spans="1:10" x14ac:dyDescent="0.25">
      <c r="B107" s="136" t="s">
        <v>162</v>
      </c>
      <c r="C107" s="138">
        <f t="shared" ref="C107:F109" si="1">+C11+C19+C27+C35+C43+C51+C59+C67+C75+C83+C91+C99</f>
        <v>9211</v>
      </c>
      <c r="D107" s="137">
        <f t="shared" si="1"/>
        <v>951</v>
      </c>
      <c r="E107" s="143">
        <f t="shared" si="1"/>
        <v>4128</v>
      </c>
      <c r="F107" s="139">
        <f t="shared" si="1"/>
        <v>6884</v>
      </c>
      <c r="G107" s="146">
        <f>SUM(C107:F107)</f>
        <v>21174</v>
      </c>
    </row>
    <row r="108" spans="1:10" x14ac:dyDescent="0.25">
      <c r="B108" s="136" t="s">
        <v>163</v>
      </c>
      <c r="C108" s="138">
        <f t="shared" si="1"/>
        <v>39136</v>
      </c>
      <c r="D108" s="138">
        <f t="shared" si="1"/>
        <v>5392</v>
      </c>
      <c r="E108" s="137">
        <f t="shared" si="1"/>
        <v>1577</v>
      </c>
      <c r="F108" s="139">
        <f t="shared" si="1"/>
        <v>21469</v>
      </c>
      <c r="G108" s="146">
        <f>SUM(C108:F108)</f>
        <v>67574</v>
      </c>
    </row>
    <row r="109" spans="1:10" x14ac:dyDescent="0.25">
      <c r="B109" s="136" t="s">
        <v>164</v>
      </c>
      <c r="C109" s="139">
        <f t="shared" si="1"/>
        <v>47286</v>
      </c>
      <c r="D109" s="139">
        <f t="shared" si="1"/>
        <v>8460</v>
      </c>
      <c r="E109" s="139">
        <f t="shared" si="1"/>
        <v>18614</v>
      </c>
      <c r="F109" s="140">
        <f t="shared" si="1"/>
        <v>714</v>
      </c>
      <c r="G109" s="146">
        <f>SUM(C109:F109)</f>
        <v>75074</v>
      </c>
      <c r="I109" t="s">
        <v>63</v>
      </c>
      <c r="J109">
        <f>+SUMPRODUCT($C$3:$F$6,C106:F109)</f>
        <v>6911972.8000000063</v>
      </c>
    </row>
    <row r="110" spans="1:10" x14ac:dyDescent="0.25">
      <c r="B110" s="141" t="s">
        <v>30</v>
      </c>
      <c r="C110" s="145">
        <f>SUM(C106:C109)</f>
        <v>105568</v>
      </c>
      <c r="D110" s="146">
        <f>SUM(D106:D109)</f>
        <v>20368</v>
      </c>
      <c r="E110" s="146">
        <f>SUM(E106:E109)</f>
        <v>58754</v>
      </c>
      <c r="F110" s="146">
        <f>SUM(F106:F109)</f>
        <v>68442</v>
      </c>
      <c r="G110" s="146">
        <f>SUM(C110:F110)</f>
        <v>253132</v>
      </c>
    </row>
    <row r="113" spans="2:14" x14ac:dyDescent="0.25">
      <c r="C113" s="48" t="s">
        <v>95</v>
      </c>
      <c r="D113" s="48" t="s">
        <v>96</v>
      </c>
      <c r="E113" s="48" t="s">
        <v>97</v>
      </c>
      <c r="F113" s="48" t="s">
        <v>98</v>
      </c>
      <c r="G113" s="48" t="s">
        <v>99</v>
      </c>
      <c r="H113" s="48" t="s">
        <v>100</v>
      </c>
      <c r="I113" s="48" t="s">
        <v>101</v>
      </c>
      <c r="J113" s="48" t="s">
        <v>102</v>
      </c>
      <c r="K113" s="48" t="s">
        <v>103</v>
      </c>
      <c r="L113" s="48" t="s">
        <v>104</v>
      </c>
      <c r="M113" s="48" t="s">
        <v>105</v>
      </c>
      <c r="N113" s="48" t="s">
        <v>106</v>
      </c>
    </row>
    <row r="114" spans="2:14" x14ac:dyDescent="0.25">
      <c r="B114" t="s">
        <v>167</v>
      </c>
      <c r="C114" s="48">
        <f>+J13</f>
        <v>2222993.5000000033</v>
      </c>
      <c r="D114" s="48">
        <f>+J21</f>
        <v>2148100.3000000021</v>
      </c>
      <c r="E114" s="48">
        <f>+J29</f>
        <v>986473.30000000086</v>
      </c>
      <c r="F114" s="48">
        <f>+J37</f>
        <v>791750.0000000007</v>
      </c>
      <c r="G114" s="48">
        <f>+J45</f>
        <v>762655.70000000054</v>
      </c>
      <c r="H114" s="48">
        <f>+J53</f>
        <v>0</v>
      </c>
      <c r="I114" s="48">
        <f>+J61</f>
        <v>0</v>
      </c>
      <c r="J114" s="48">
        <f>+J69</f>
        <v>0</v>
      </c>
      <c r="K114" s="48">
        <f>+J77</f>
        <v>0</v>
      </c>
      <c r="L114" s="48">
        <f>+J85</f>
        <v>0</v>
      </c>
      <c r="M114" s="48">
        <f>+J93</f>
        <v>0</v>
      </c>
      <c r="N114" s="48">
        <f>+J101</f>
        <v>0</v>
      </c>
    </row>
    <row r="121" spans="2:14" x14ac:dyDescent="0.25">
      <c r="E121" s="45">
        <f>+G108+E106+E107+E109</f>
        <v>124751</v>
      </c>
    </row>
    <row r="122" spans="2:14" x14ac:dyDescent="0.25">
      <c r="E122">
        <f>+E121/G110</f>
        <v>0.49282982791586999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PAX KM BT</vt:lpstr>
      <vt:lpstr>PAX KM CL</vt:lpstr>
      <vt:lpstr>PAX KM VT</vt:lpstr>
      <vt:lpstr>PAX KM LL-LP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Sebastian Ortiz Pinar</dc:creator>
  <cp:lastModifiedBy>Christian Sebastian Ortiz Pinar</cp:lastModifiedBy>
  <dcterms:created xsi:type="dcterms:W3CDTF">2026-06-09T19:30:41Z</dcterms:created>
  <dcterms:modified xsi:type="dcterms:W3CDTF">2026-06-09T19:30:50Z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