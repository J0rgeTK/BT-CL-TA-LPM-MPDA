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0. Tarifas/"/>
    </mc:Choice>
  </mc:AlternateContent>
  <xr:revisionPtr revIDLastSave="12" documentId="13_ncr:1_{6C55FEE3-EA1E-4C7C-9388-03510ED97FA3}" xr6:coauthVersionLast="47" xr6:coauthVersionMax="47" xr10:uidLastSave="{FE3AE871-F1FE-4A09-B632-9CE0F616C724}"/>
  <bookViews>
    <workbookView xWindow="-120" yWindow="-120" windowWidth="29040" windowHeight="15720" tabRatio="451" firstSheet="9" activeTab="9" xr2:uid="{1CA4A7BE-226B-4A25-8D07-E3A624BF4D41}"/>
  </bookViews>
  <sheets>
    <sheet name="CortoLaja 2025" sheetId="1" state="hidden" r:id="rId1"/>
    <sheet name="Hoja1" sheetId="5" state="hidden" r:id="rId2"/>
    <sheet name="Tren Araucanía 2025" sheetId="4" state="hidden" r:id="rId3"/>
    <sheet name="Biotren 2024" sheetId="8" state="hidden" r:id="rId4"/>
    <sheet name="BT-25 por Estación" sheetId="6" state="hidden" r:id="rId5"/>
    <sheet name="Biotren 2025" sheetId="7" state="hidden" r:id="rId6"/>
    <sheet name="Llanquihue - La Paloma" sheetId="9" state="hidden" r:id="rId7"/>
    <sheet name="Tren Araucanía 2026" sheetId="12" r:id="rId8"/>
    <sheet name="Biotren 2026" sheetId="11" r:id="rId9"/>
    <sheet name="BT-26 por Estación" sheetId="10" r:id="rId10"/>
    <sheet name="CortoLaja 2026" sheetId="13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2" l="1" a="1"/>
  <c r="O51" i="12" s="1"/>
  <c r="O34" i="12" a="1"/>
  <c r="O34" i="12" s="1"/>
  <c r="O17" i="12" a="1"/>
  <c r="O17" i="12" s="1"/>
  <c r="Z84" i="10" a="1"/>
  <c r="Z84" i="10" s="1"/>
  <c r="Z56" i="10" a="1"/>
  <c r="Z56" i="10" s="1"/>
  <c r="Z28" i="10" a="1"/>
  <c r="Z28" i="10" s="1"/>
  <c r="K39" i="11" a="1"/>
  <c r="K39" i="11" s="1"/>
  <c r="K26" i="11" a="1"/>
  <c r="K26" i="11" s="1"/>
  <c r="K13" i="11" a="1"/>
  <c r="K13" i="11" s="1"/>
  <c r="C29" i="11"/>
  <c r="D29" i="11"/>
  <c r="E29" i="11"/>
  <c r="F29" i="11"/>
  <c r="G29" i="11"/>
  <c r="H29" i="11"/>
  <c r="I29" i="11"/>
  <c r="J29" i="11"/>
  <c r="K29" i="11"/>
  <c r="C30" i="11"/>
  <c r="D30" i="11"/>
  <c r="E30" i="11"/>
  <c r="F30" i="11"/>
  <c r="G30" i="11"/>
  <c r="H30" i="11"/>
  <c r="I30" i="11"/>
  <c r="J30" i="11"/>
  <c r="K30" i="11"/>
  <c r="C31" i="11"/>
  <c r="D31" i="11"/>
  <c r="E31" i="11"/>
  <c r="F31" i="11"/>
  <c r="G31" i="11"/>
  <c r="H31" i="11"/>
  <c r="I31" i="11"/>
  <c r="J31" i="11"/>
  <c r="K31" i="11"/>
  <c r="C32" i="11"/>
  <c r="D32" i="11"/>
  <c r="E32" i="11"/>
  <c r="F32" i="11"/>
  <c r="G32" i="11"/>
  <c r="H32" i="11"/>
  <c r="I32" i="11"/>
  <c r="J32" i="11"/>
  <c r="K32" i="11"/>
  <c r="C33" i="11"/>
  <c r="D33" i="11"/>
  <c r="E33" i="11"/>
  <c r="F33" i="11"/>
  <c r="G33" i="11"/>
  <c r="H33" i="11"/>
  <c r="I33" i="11"/>
  <c r="J33" i="11"/>
  <c r="K33" i="11"/>
  <c r="C34" i="11"/>
  <c r="D34" i="11"/>
  <c r="E34" i="11"/>
  <c r="F34" i="11"/>
  <c r="G34" i="11"/>
  <c r="H34" i="11"/>
  <c r="I34" i="11"/>
  <c r="J34" i="11"/>
  <c r="K34" i="11"/>
  <c r="C35" i="11"/>
  <c r="D35" i="11"/>
  <c r="E35" i="11"/>
  <c r="F35" i="11"/>
  <c r="G35" i="11"/>
  <c r="H35" i="11"/>
  <c r="I35" i="11"/>
  <c r="J35" i="11"/>
  <c r="K35" i="11"/>
  <c r="C36" i="11"/>
  <c r="D36" i="11"/>
  <c r="E36" i="11"/>
  <c r="F36" i="11"/>
  <c r="G36" i="11"/>
  <c r="H36" i="11"/>
  <c r="I36" i="11"/>
  <c r="J36" i="11"/>
  <c r="K36" i="11"/>
  <c r="C37" i="11"/>
  <c r="D37" i="11"/>
  <c r="E37" i="11"/>
  <c r="F37" i="11"/>
  <c r="G37" i="11"/>
  <c r="H37" i="11"/>
  <c r="I37" i="11"/>
  <c r="J37" i="11"/>
  <c r="K37" i="11"/>
  <c r="C38" i="11"/>
  <c r="D38" i="11"/>
  <c r="E38" i="11"/>
  <c r="F38" i="11"/>
  <c r="G38" i="11"/>
  <c r="H38" i="11"/>
  <c r="I38" i="11"/>
  <c r="J38" i="11"/>
  <c r="K38" i="11"/>
  <c r="B30" i="11"/>
  <c r="B31" i="11"/>
  <c r="B32" i="11"/>
  <c r="B33" i="11"/>
  <c r="B34" i="11"/>
  <c r="B35" i="11"/>
  <c r="B36" i="11"/>
  <c r="B37" i="11"/>
  <c r="B38" i="11"/>
  <c r="B29" i="11"/>
  <c r="C16" i="11"/>
  <c r="D16" i="11"/>
  <c r="E16" i="11"/>
  <c r="F16" i="11"/>
  <c r="G16" i="11"/>
  <c r="H16" i="11"/>
  <c r="I16" i="11"/>
  <c r="J16" i="11"/>
  <c r="K16" i="11"/>
  <c r="C17" i="11"/>
  <c r="D17" i="11"/>
  <c r="E17" i="11"/>
  <c r="F17" i="11"/>
  <c r="G17" i="11"/>
  <c r="H17" i="11"/>
  <c r="I17" i="11"/>
  <c r="J17" i="11"/>
  <c r="K17" i="11"/>
  <c r="C18" i="11"/>
  <c r="D18" i="11"/>
  <c r="E18" i="11"/>
  <c r="F18" i="11"/>
  <c r="G18" i="11"/>
  <c r="H18" i="11"/>
  <c r="I18" i="11"/>
  <c r="J18" i="11"/>
  <c r="K18" i="11"/>
  <c r="C19" i="11"/>
  <c r="D19" i="11"/>
  <c r="E19" i="11"/>
  <c r="F19" i="11"/>
  <c r="G19" i="11"/>
  <c r="H19" i="11"/>
  <c r="I19" i="11"/>
  <c r="J19" i="11"/>
  <c r="K19" i="11"/>
  <c r="C20" i="11"/>
  <c r="D20" i="11"/>
  <c r="E20" i="11"/>
  <c r="F20" i="11"/>
  <c r="G20" i="11"/>
  <c r="H20" i="11"/>
  <c r="I20" i="11"/>
  <c r="J20" i="11"/>
  <c r="K20" i="11"/>
  <c r="C21" i="11"/>
  <c r="D21" i="11"/>
  <c r="E21" i="11"/>
  <c r="F21" i="11"/>
  <c r="G21" i="11"/>
  <c r="H21" i="11"/>
  <c r="I21" i="11"/>
  <c r="J21" i="11"/>
  <c r="K21" i="11"/>
  <c r="C22" i="11"/>
  <c r="D22" i="11"/>
  <c r="E22" i="11"/>
  <c r="F22" i="11"/>
  <c r="G22" i="11"/>
  <c r="H22" i="11"/>
  <c r="I22" i="11"/>
  <c r="J22" i="11"/>
  <c r="K22" i="11"/>
  <c r="C23" i="11"/>
  <c r="D23" i="11"/>
  <c r="E23" i="11"/>
  <c r="F23" i="11"/>
  <c r="G23" i="11"/>
  <c r="H23" i="11"/>
  <c r="I23" i="11"/>
  <c r="J23" i="11"/>
  <c r="K23" i="11"/>
  <c r="C24" i="11"/>
  <c r="D24" i="11"/>
  <c r="E24" i="11"/>
  <c r="F24" i="11"/>
  <c r="G24" i="11"/>
  <c r="H24" i="11"/>
  <c r="I24" i="11"/>
  <c r="J24" i="11"/>
  <c r="K24" i="11"/>
  <c r="C25" i="11"/>
  <c r="D25" i="11"/>
  <c r="E25" i="11"/>
  <c r="F25" i="11"/>
  <c r="G25" i="11"/>
  <c r="H25" i="11"/>
  <c r="I25" i="11"/>
  <c r="J25" i="11"/>
  <c r="K25" i="11"/>
  <c r="B17" i="11"/>
  <c r="B18" i="11"/>
  <c r="B19" i="11"/>
  <c r="B20" i="11"/>
  <c r="B21" i="11"/>
  <c r="B22" i="11"/>
  <c r="B23" i="11"/>
  <c r="B24" i="11"/>
  <c r="B25" i="11"/>
  <c r="B16" i="11"/>
  <c r="C3" i="11"/>
  <c r="D3" i="11"/>
  <c r="E3" i="11"/>
  <c r="F3" i="11"/>
  <c r="G3" i="11"/>
  <c r="H3" i="11"/>
  <c r="I3" i="11"/>
  <c r="J3" i="11"/>
  <c r="K3" i="11"/>
  <c r="C4" i="11"/>
  <c r="D4" i="11"/>
  <c r="E4" i="11"/>
  <c r="F4" i="11"/>
  <c r="G4" i="11"/>
  <c r="H4" i="11"/>
  <c r="I4" i="11"/>
  <c r="J4" i="11"/>
  <c r="K4" i="11"/>
  <c r="C5" i="11"/>
  <c r="D5" i="11"/>
  <c r="E5" i="11"/>
  <c r="F5" i="11"/>
  <c r="G5" i="11"/>
  <c r="H5" i="11"/>
  <c r="I5" i="11"/>
  <c r="J5" i="11"/>
  <c r="K5" i="11"/>
  <c r="C6" i="11"/>
  <c r="D6" i="11"/>
  <c r="E6" i="11"/>
  <c r="F6" i="11"/>
  <c r="G6" i="11"/>
  <c r="H6" i="11"/>
  <c r="I6" i="11"/>
  <c r="J6" i="11"/>
  <c r="K6" i="11"/>
  <c r="C7" i="11"/>
  <c r="D7" i="11"/>
  <c r="E7" i="11"/>
  <c r="F7" i="11"/>
  <c r="G7" i="11"/>
  <c r="H7" i="11"/>
  <c r="I7" i="11"/>
  <c r="J7" i="11"/>
  <c r="K7" i="11"/>
  <c r="C8" i="11"/>
  <c r="D8" i="11"/>
  <c r="E8" i="11"/>
  <c r="F8" i="11"/>
  <c r="G8" i="11"/>
  <c r="H8" i="11"/>
  <c r="I8" i="11"/>
  <c r="J8" i="11"/>
  <c r="K8" i="11"/>
  <c r="C9" i="11"/>
  <c r="D9" i="11"/>
  <c r="E9" i="11"/>
  <c r="F9" i="11"/>
  <c r="G9" i="11"/>
  <c r="H9" i="11"/>
  <c r="I9" i="11"/>
  <c r="J9" i="11"/>
  <c r="K9" i="11"/>
  <c r="C10" i="11"/>
  <c r="D10" i="11"/>
  <c r="E10" i="11"/>
  <c r="F10" i="11"/>
  <c r="G10" i="11"/>
  <c r="H10" i="11"/>
  <c r="I10" i="11"/>
  <c r="J10" i="11"/>
  <c r="K10" i="11"/>
  <c r="C11" i="11"/>
  <c r="D11" i="11"/>
  <c r="E11" i="11"/>
  <c r="F11" i="11"/>
  <c r="G11" i="11"/>
  <c r="H11" i="11"/>
  <c r="I11" i="11"/>
  <c r="J11" i="11"/>
  <c r="K11" i="11"/>
  <c r="C12" i="11"/>
  <c r="D12" i="11"/>
  <c r="E12" i="11"/>
  <c r="F12" i="11"/>
  <c r="G12" i="11"/>
  <c r="H12" i="11"/>
  <c r="I12" i="11"/>
  <c r="J12" i="11"/>
  <c r="K12" i="11"/>
  <c r="B4" i="11"/>
  <c r="B5" i="11"/>
  <c r="B6" i="11"/>
  <c r="B7" i="11"/>
  <c r="B8" i="11"/>
  <c r="B9" i="11"/>
  <c r="B10" i="11"/>
  <c r="B11" i="11"/>
  <c r="B12" i="11"/>
  <c r="B3" i="11"/>
  <c r="AL38" i="7" l="1"/>
  <c r="AK38" i="7"/>
  <c r="AJ38" i="7"/>
  <c r="AI38" i="7"/>
  <c r="AH38" i="7"/>
  <c r="AG38" i="7"/>
  <c r="AF38" i="7"/>
  <c r="AE38" i="7"/>
  <c r="AD38" i="7"/>
  <c r="AC38" i="7"/>
  <c r="AL37" i="7"/>
  <c r="AK37" i="7"/>
  <c r="AJ37" i="7"/>
  <c r="AI37" i="7"/>
  <c r="AH37" i="7"/>
  <c r="AG37" i="7"/>
  <c r="AF37" i="7"/>
  <c r="AE37" i="7"/>
  <c r="AD37" i="7"/>
  <c r="AC37" i="7"/>
  <c r="AL36" i="7"/>
  <c r="AK36" i="7"/>
  <c r="AJ36" i="7"/>
  <c r="AI36" i="7"/>
  <c r="AH36" i="7"/>
  <c r="AG36" i="7"/>
  <c r="AF36" i="7"/>
  <c r="AE36" i="7"/>
  <c r="AD36" i="7"/>
  <c r="AC36" i="7"/>
  <c r="AL35" i="7"/>
  <c r="AK35" i="7"/>
  <c r="AJ35" i="7"/>
  <c r="AI35" i="7"/>
  <c r="AH35" i="7"/>
  <c r="AG35" i="7"/>
  <c r="AF35" i="7"/>
  <c r="AE35" i="7"/>
  <c r="AD35" i="7"/>
  <c r="AC35" i="7"/>
  <c r="AL34" i="7"/>
  <c r="AK34" i="7"/>
  <c r="AJ34" i="7"/>
  <c r="AI34" i="7"/>
  <c r="AH34" i="7"/>
  <c r="AG34" i="7"/>
  <c r="AF34" i="7"/>
  <c r="AE34" i="7"/>
  <c r="AD34" i="7"/>
  <c r="AC34" i="7"/>
  <c r="AL33" i="7"/>
  <c r="AK33" i="7"/>
  <c r="AJ33" i="7"/>
  <c r="AI33" i="7"/>
  <c r="AH33" i="7"/>
  <c r="AG33" i="7"/>
  <c r="AF33" i="7"/>
  <c r="AE33" i="7"/>
  <c r="AD33" i="7"/>
  <c r="AC33" i="7"/>
  <c r="AL32" i="7"/>
  <c r="AK32" i="7"/>
  <c r="AJ32" i="7"/>
  <c r="AI32" i="7"/>
  <c r="AH32" i="7"/>
  <c r="AG32" i="7"/>
  <c r="AF32" i="7"/>
  <c r="AE32" i="7"/>
  <c r="AD32" i="7"/>
  <c r="AC32" i="7"/>
  <c r="AL31" i="7"/>
  <c r="AK31" i="7"/>
  <c r="AJ31" i="7"/>
  <c r="AI31" i="7"/>
  <c r="AH31" i="7"/>
  <c r="AG31" i="7"/>
  <c r="AF31" i="7"/>
  <c r="AE31" i="7"/>
  <c r="AD31" i="7"/>
  <c r="AC31" i="7"/>
  <c r="AL30" i="7"/>
  <c r="AK30" i="7"/>
  <c r="AJ30" i="7"/>
  <c r="AI30" i="7"/>
  <c r="AH30" i="7"/>
  <c r="AG30" i="7"/>
  <c r="AF30" i="7"/>
  <c r="AE30" i="7"/>
  <c r="AD30" i="7"/>
  <c r="AC30" i="7"/>
  <c r="AL29" i="7"/>
  <c r="AK29" i="7"/>
  <c r="AJ29" i="7"/>
  <c r="AI29" i="7"/>
  <c r="AH29" i="7"/>
  <c r="AG29" i="7"/>
  <c r="AF29" i="7"/>
  <c r="AE29" i="7"/>
  <c r="AD29" i="7"/>
  <c r="AC29" i="7"/>
  <c r="AL25" i="7"/>
  <c r="AK25" i="7"/>
  <c r="AJ25" i="7"/>
  <c r="AI25" i="7"/>
  <c r="AH25" i="7"/>
  <c r="AG25" i="7"/>
  <c r="AF25" i="7"/>
  <c r="AE25" i="7"/>
  <c r="AD25" i="7"/>
  <c r="AC25" i="7"/>
  <c r="AL24" i="7"/>
  <c r="AK24" i="7"/>
  <c r="AJ24" i="7"/>
  <c r="AI24" i="7"/>
  <c r="AH24" i="7"/>
  <c r="AG24" i="7"/>
  <c r="AF24" i="7"/>
  <c r="AE24" i="7"/>
  <c r="AD24" i="7"/>
  <c r="AC24" i="7"/>
  <c r="AL23" i="7"/>
  <c r="AK23" i="7"/>
  <c r="AJ23" i="7"/>
  <c r="AI23" i="7"/>
  <c r="AH23" i="7"/>
  <c r="AG23" i="7"/>
  <c r="AF23" i="7"/>
  <c r="AE23" i="7"/>
  <c r="AD23" i="7"/>
  <c r="AC23" i="7"/>
  <c r="AL22" i="7"/>
  <c r="AK22" i="7"/>
  <c r="AJ22" i="7"/>
  <c r="AI22" i="7"/>
  <c r="AH22" i="7"/>
  <c r="AG22" i="7"/>
  <c r="AF22" i="7"/>
  <c r="AE22" i="7"/>
  <c r="AD22" i="7"/>
  <c r="AC22" i="7"/>
  <c r="AL21" i="7"/>
  <c r="AK21" i="7"/>
  <c r="AJ21" i="7"/>
  <c r="AI21" i="7"/>
  <c r="AH21" i="7"/>
  <c r="AG21" i="7"/>
  <c r="AF21" i="7"/>
  <c r="AE21" i="7"/>
  <c r="AD21" i="7"/>
  <c r="AC21" i="7"/>
  <c r="AL20" i="7"/>
  <c r="AK20" i="7"/>
  <c r="AJ20" i="7"/>
  <c r="AI20" i="7"/>
  <c r="AH20" i="7"/>
  <c r="AG20" i="7"/>
  <c r="AF20" i="7"/>
  <c r="AE20" i="7"/>
  <c r="AD20" i="7"/>
  <c r="AC20" i="7"/>
  <c r="AL19" i="7"/>
  <c r="AK19" i="7"/>
  <c r="AJ19" i="7"/>
  <c r="AI19" i="7"/>
  <c r="AH19" i="7"/>
  <c r="AG19" i="7"/>
  <c r="AF19" i="7"/>
  <c r="AE19" i="7"/>
  <c r="AD19" i="7"/>
  <c r="AC19" i="7"/>
  <c r="AL18" i="7"/>
  <c r="AK18" i="7"/>
  <c r="AJ18" i="7"/>
  <c r="AI18" i="7"/>
  <c r="AH18" i="7"/>
  <c r="AG18" i="7"/>
  <c r="AF18" i="7"/>
  <c r="AE18" i="7"/>
  <c r="AD18" i="7"/>
  <c r="AC18" i="7"/>
  <c r="AL17" i="7"/>
  <c r="AK17" i="7"/>
  <c r="AJ17" i="7"/>
  <c r="AI17" i="7"/>
  <c r="AH17" i="7"/>
  <c r="AG17" i="7"/>
  <c r="AF17" i="7"/>
  <c r="AE17" i="7"/>
  <c r="AD17" i="7"/>
  <c r="AC17" i="7"/>
  <c r="AL16" i="7"/>
  <c r="AK16" i="7"/>
  <c r="AJ16" i="7"/>
  <c r="AI16" i="7"/>
  <c r="AH16" i="7"/>
  <c r="AG16" i="7"/>
  <c r="AF16" i="7"/>
  <c r="AE16" i="7"/>
  <c r="AD16" i="7"/>
  <c r="AC16" i="7"/>
  <c r="AD3" i="7"/>
  <c r="AE3" i="7"/>
  <c r="AF3" i="7"/>
  <c r="AG3" i="7"/>
  <c r="AH3" i="7"/>
  <c r="AI3" i="7"/>
  <c r="AJ3" i="7"/>
  <c r="AK3" i="7"/>
  <c r="AL3" i="7"/>
  <c r="AD4" i="7"/>
  <c r="AE4" i="7"/>
  <c r="AF4" i="7"/>
  <c r="AG4" i="7"/>
  <c r="AH4" i="7"/>
  <c r="AI4" i="7"/>
  <c r="AJ4" i="7"/>
  <c r="AK4" i="7"/>
  <c r="AL4" i="7"/>
  <c r="AD5" i="7"/>
  <c r="AE5" i="7"/>
  <c r="AF5" i="7"/>
  <c r="AG5" i="7"/>
  <c r="AH5" i="7"/>
  <c r="AI5" i="7"/>
  <c r="AJ5" i="7"/>
  <c r="AK5" i="7"/>
  <c r="AL5" i="7"/>
  <c r="AD6" i="7"/>
  <c r="AE6" i="7"/>
  <c r="AF6" i="7"/>
  <c r="AG6" i="7"/>
  <c r="AH6" i="7"/>
  <c r="AI6" i="7"/>
  <c r="AJ6" i="7"/>
  <c r="AK6" i="7"/>
  <c r="AL6" i="7"/>
  <c r="AD7" i="7"/>
  <c r="AE7" i="7"/>
  <c r="AF7" i="7"/>
  <c r="AG7" i="7"/>
  <c r="AH7" i="7"/>
  <c r="AI7" i="7"/>
  <c r="AJ7" i="7"/>
  <c r="AK7" i="7"/>
  <c r="AL7" i="7"/>
  <c r="AD8" i="7"/>
  <c r="AE8" i="7"/>
  <c r="AF8" i="7"/>
  <c r="AG8" i="7"/>
  <c r="AH8" i="7"/>
  <c r="AI8" i="7"/>
  <c r="AJ8" i="7"/>
  <c r="AK8" i="7"/>
  <c r="AL8" i="7"/>
  <c r="AD9" i="7"/>
  <c r="AE9" i="7"/>
  <c r="AF9" i="7"/>
  <c r="AG9" i="7"/>
  <c r="AH9" i="7"/>
  <c r="AI9" i="7"/>
  <c r="AJ9" i="7"/>
  <c r="AK9" i="7"/>
  <c r="AL9" i="7"/>
  <c r="AD10" i="7"/>
  <c r="AE10" i="7"/>
  <c r="AF10" i="7"/>
  <c r="AG10" i="7"/>
  <c r="AH10" i="7"/>
  <c r="AI10" i="7"/>
  <c r="AJ10" i="7"/>
  <c r="AK10" i="7"/>
  <c r="AL10" i="7"/>
  <c r="AD11" i="7"/>
  <c r="AE11" i="7"/>
  <c r="AF11" i="7"/>
  <c r="AG11" i="7"/>
  <c r="AH11" i="7"/>
  <c r="AI11" i="7"/>
  <c r="AJ11" i="7"/>
  <c r="AK11" i="7"/>
  <c r="AL11" i="7"/>
  <c r="AD12" i="7"/>
  <c r="AE12" i="7"/>
  <c r="AF12" i="7"/>
  <c r="AG12" i="7"/>
  <c r="AH12" i="7"/>
  <c r="AI12" i="7"/>
  <c r="AJ12" i="7"/>
  <c r="AK12" i="7"/>
  <c r="AL12" i="7"/>
  <c r="AC4" i="7"/>
  <c r="AC5" i="7"/>
  <c r="AC6" i="7"/>
  <c r="AC7" i="7"/>
  <c r="AC8" i="7"/>
  <c r="AC9" i="7"/>
  <c r="AC10" i="7"/>
  <c r="AC11" i="7"/>
  <c r="AC12" i="7"/>
  <c r="AC3" i="7"/>
  <c r="W124" i="13" l="1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B123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B114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B113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3" i="4"/>
  <c r="B78" i="1"/>
  <c r="B53" i="1"/>
  <c r="B28" i="1"/>
  <c r="BE3" i="6" l="1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3" i="6"/>
  <c r="C103" i="1" l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03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<sst xmlns="http://schemas.openxmlformats.org/spreadsheetml/2006/main" count="2153" uniqueCount="131">
  <si>
    <t>Matriz Tarifaria Adulto</t>
  </si>
  <si>
    <t>Estaciónes</t>
  </si>
  <si>
    <t>Mercado</t>
  </si>
  <si>
    <t>Arenal</t>
  </si>
  <si>
    <t>Higueras</t>
  </si>
  <si>
    <t>Los Condores</t>
  </si>
  <si>
    <t>UTFSM</t>
  </si>
  <si>
    <t>Lorenzo Arenas</t>
  </si>
  <si>
    <t>Concepción</t>
  </si>
  <si>
    <t>Chiguayante</t>
  </si>
  <si>
    <t>Predro Medina</t>
  </si>
  <si>
    <t>Manquimávida</t>
  </si>
  <si>
    <t>La leonera</t>
  </si>
  <si>
    <t>Hualqui</t>
  </si>
  <si>
    <t>Quilacoya</t>
  </si>
  <si>
    <t>San Miguel</t>
  </si>
  <si>
    <t>Unihue</t>
  </si>
  <si>
    <t>Valle Chanco</t>
  </si>
  <si>
    <t>Los Acacios</t>
  </si>
  <si>
    <t>Talcamávida</t>
  </si>
  <si>
    <t>Gomero</t>
  </si>
  <si>
    <t>Buenuraqui</t>
  </si>
  <si>
    <t>San Rosendo</t>
  </si>
  <si>
    <t>Laja</t>
  </si>
  <si>
    <t>Pedro Medina</t>
  </si>
  <si>
    <t>La Leonera</t>
  </si>
  <si>
    <t>Matriz Tarifaria Estudiante Media y Superior</t>
  </si>
  <si>
    <t>Matriz Tarifaria Tercera Edad</t>
  </si>
  <si>
    <t>Matriz Tarifaria Ida y Vuelta</t>
  </si>
  <si>
    <t>Matriz Tarifaria Profesores</t>
  </si>
  <si>
    <t>ID</t>
  </si>
  <si>
    <t>Tarifa Regular con subsidio</t>
  </si>
  <si>
    <t>Estaciones</t>
  </si>
  <si>
    <t>Victoria</t>
  </si>
  <si>
    <t>PUA</t>
  </si>
  <si>
    <t>Perquenco</t>
  </si>
  <si>
    <t>Quillem</t>
  </si>
  <si>
    <t>Lautaro</t>
  </si>
  <si>
    <t>L. Centro</t>
  </si>
  <si>
    <t>Pillanlelbun</t>
  </si>
  <si>
    <t>Coleg. Claret</t>
  </si>
  <si>
    <t>Cajon</t>
  </si>
  <si>
    <t>Temuco</t>
  </si>
  <si>
    <t>PLC</t>
  </si>
  <si>
    <t>Quepe</t>
  </si>
  <si>
    <t>Freire</t>
  </si>
  <si>
    <t>Pitrufquén</t>
  </si>
  <si>
    <t>Matriz Tarifaria Estudiantes Media y Superior</t>
  </si>
  <si>
    <t>Tarifa Estudiantes con subsidio</t>
  </si>
  <si>
    <t>Tarifa Adulto Mayor con subsidio</t>
  </si>
  <si>
    <t>Tarifa Estudiantes Básicos</t>
  </si>
  <si>
    <t>ZONA</t>
  </si>
  <si>
    <t>PASAJERO COMÚN</t>
  </si>
  <si>
    <t>ZONA 1</t>
  </si>
  <si>
    <t>HUALQUI</t>
  </si>
  <si>
    <t>ZONA 2</t>
  </si>
  <si>
    <t>LA LEONERA</t>
  </si>
  <si>
    <t>MANQUIMÁVIDA</t>
  </si>
  <si>
    <t>PEDRO MEDINA</t>
  </si>
  <si>
    <t>CHIGUAYANTE</t>
  </si>
  <si>
    <t>ZONA 3</t>
  </si>
  <si>
    <t>CONCEPCIÓN</t>
  </si>
  <si>
    <t>LORENZO ARENAS</t>
  </si>
  <si>
    <t>ZONA 4</t>
  </si>
  <si>
    <t>LOS CÓNDORES</t>
  </si>
  <si>
    <t>ESTUDIANTE MEDIA / SUPERIOR</t>
  </si>
  <si>
    <t>HIGUERAS</t>
  </si>
  <si>
    <t>ZONA 5</t>
  </si>
  <si>
    <t>EL ARENAL</t>
  </si>
  <si>
    <t>MERCADO DE THNO</t>
  </si>
  <si>
    <t>ZONA 6</t>
  </si>
  <si>
    <t>JUAN PABLO II</t>
  </si>
  <si>
    <t>DIAGONAL BIOBÍO</t>
  </si>
  <si>
    <t>ALBORADA</t>
  </si>
  <si>
    <t>ZONA 7</t>
  </si>
  <si>
    <t>COSTA MAR</t>
  </si>
  <si>
    <t>EL PARQUE</t>
  </si>
  <si>
    <t>LOMAS COLORADAS</t>
  </si>
  <si>
    <t>CARDENAL RAÚL SILVA HENRÍQUEZ</t>
  </si>
  <si>
    <t xml:space="preserve">TERCERA EDAD </t>
  </si>
  <si>
    <t>ZONA 8</t>
  </si>
  <si>
    <t>HITO GALVARINO</t>
  </si>
  <si>
    <t>LOS CANELOS</t>
  </si>
  <si>
    <t>ZONA 9</t>
  </si>
  <si>
    <t>HUINCA</t>
  </si>
  <si>
    <t>CRISTO REDENTOR</t>
  </si>
  <si>
    <t>ZONA 10</t>
  </si>
  <si>
    <t>LAGUNA QUIÑENCO</t>
  </si>
  <si>
    <t>CORONEL</t>
  </si>
  <si>
    <t>Leonera</t>
  </si>
  <si>
    <t>Manquimavida</t>
  </si>
  <si>
    <t>Concepcion</t>
  </si>
  <si>
    <t>Juan Pablo II</t>
  </si>
  <si>
    <t>Diagonal Bio Bio</t>
  </si>
  <si>
    <t>Alborada</t>
  </si>
  <si>
    <t>Costa Mar</t>
  </si>
  <si>
    <t>El Parque</t>
  </si>
  <si>
    <t>Lomas Coloradas</t>
  </si>
  <si>
    <t>Raul Silva H.</t>
  </si>
  <si>
    <t>Hito Galvarino</t>
  </si>
  <si>
    <t>Los Canelos</t>
  </si>
  <si>
    <t>Huinca</t>
  </si>
  <si>
    <t>Cristo Redentor</t>
  </si>
  <si>
    <t>Lag.Quiñenco</t>
  </si>
  <si>
    <t>Coronel</t>
  </si>
  <si>
    <t>Matriz Tarifaria Estudiante</t>
  </si>
  <si>
    <t>Alza Pasajero Normal 2026</t>
  </si>
  <si>
    <t>Tarifa Adulto 2026</t>
  </si>
  <si>
    <t>Alza Pasajero Estudiante 2026</t>
  </si>
  <si>
    <t>Tarifa Estudiante 2026</t>
  </si>
  <si>
    <t>Alza Pasajero Adulto Mayor 2026</t>
  </si>
  <si>
    <t>Tarifa Adulto Mayor 2026</t>
  </si>
  <si>
    <t>Tarifas Pasajero Adulto</t>
  </si>
  <si>
    <t>Tarifa Adulto ($/pax)</t>
  </si>
  <si>
    <t>La Paloma</t>
  </si>
  <si>
    <t>Alerce</t>
  </si>
  <si>
    <t>Puerto Varas</t>
  </si>
  <si>
    <t>Llanquihue</t>
  </si>
  <si>
    <t>Tarifas Pasajeros Tercera Edad</t>
  </si>
  <si>
    <t>Tarifa Tercera Edad ($/pax)</t>
  </si>
  <si>
    <t>Tarifas Pasajeros Estudiantes</t>
  </si>
  <si>
    <t>Tarifa Estudiante ($/pax)</t>
  </si>
  <si>
    <t>hualqui-conce</t>
  </si>
  <si>
    <t>chiguayante-conce</t>
  </si>
  <si>
    <t>utfsm, los condores e higueras - conce</t>
  </si>
  <si>
    <t>mercado y arenal - conce</t>
  </si>
  <si>
    <t>jpll, dgnal biobio, alborada - conce</t>
  </si>
  <si>
    <t>costa mar, el parque, lomas y cardenal - conce</t>
  </si>
  <si>
    <t>hito, canelos - conce</t>
  </si>
  <si>
    <t>huinca, cristo - conce</t>
  </si>
  <si>
    <t>laguna, coronel - conce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</si>
</sst>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_ ;_ &quot;$&quot;* \-#,##0_ ;_ &quot;$&quot;* &quot;-&quot;_ ;_ @_ "/>
    <numFmt numFmtId="165" formatCode="_ * #,##0_ ;_ * \-#,##0_ ;_ * &quot;-&quot;_ ;_ @_ "/>
    <numFmt numFmtId="166" formatCode="_-[$$-340A]\ * #,##0_-;\-[$$-340A]\ * #,##0_-;_-[$$-340A]\ * &quot;-&quot;??_-;_-@_-"/>
    <numFmt numFmtId="167" formatCode="_-&quot;$&quot;* #,##0_-;\-&quot;$&quot;* #,##0_-;_-&quot;$&quot;* &quot;-&quot;_-;_-@_-"/>
    <numFmt numFmtId="168" formatCode="_ * #.##0_ ;_ * \-#.##0_ ;_ * &quot;-&quot;_ ;_ @_ "/>
  </numFmts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7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Arial"/>
      <family val="2"/>
    </font>
    <font>
      <sz val="14"/>
      <color theme="1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12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/>
    <xf numFmtId="0" fontId="5" fillId="0" borderId="0"/>
    <xf numFmtId="0" fontId="4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</cellStyleXfs>
  <cellXfs count="277">
    <xf numFmtId="0" fontId="0" fillId="0" borderId="0" xfId="0"/>
    <xf numFmtId="0" fontId="8" fillId="7" borderId="12" xfId="0" applyFont="1" applyFill="1" applyBorder="1" applyAlignment="1">
      <alignment horizontal="left" wrapText="1" readingOrder="1"/>
    </xf>
    <xf numFmtId="0" fontId="8" fillId="7" borderId="13" xfId="0" applyFont="1" applyFill="1" applyBorder="1" applyAlignment="1">
      <alignment horizontal="center" wrapText="1" readingOrder="1"/>
    </xf>
    <xf numFmtId="0" fontId="8" fillId="7" borderId="14" xfId="0" applyFont="1" applyFill="1" applyBorder="1" applyAlignment="1">
      <alignment horizontal="center" wrapText="1" readingOrder="1"/>
    </xf>
    <xf numFmtId="0" fontId="8" fillId="7" borderId="12" xfId="0" applyFont="1" applyFill="1" applyBorder="1" applyAlignment="1">
      <alignment horizontal="right" wrapText="1" readingOrder="1"/>
    </xf>
    <xf numFmtId="0" fontId="3" fillId="0" borderId="0" xfId="5"/>
    <xf numFmtId="0" fontId="7" fillId="3" borderId="3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 textRotation="90"/>
    </xf>
    <xf numFmtId="0" fontId="7" fillId="3" borderId="5" xfId="5" applyFont="1" applyFill="1" applyBorder="1" applyAlignment="1">
      <alignment horizontal="center" vertical="center" textRotation="90"/>
    </xf>
    <xf numFmtId="0" fontId="7" fillId="3" borderId="15" xfId="5" applyFont="1" applyFill="1" applyBorder="1" applyAlignment="1">
      <alignment horizontal="center" vertical="center" textRotation="90"/>
    </xf>
    <xf numFmtId="0" fontId="7" fillId="3" borderId="11" xfId="5" applyFont="1" applyFill="1" applyBorder="1"/>
    <xf numFmtId="164" fontId="3" fillId="0" borderId="0" xfId="5" applyNumberFormat="1"/>
    <xf numFmtId="0" fontId="7" fillId="0" borderId="8" xfId="5" applyFont="1" applyBorder="1" applyAlignment="1">
      <alignment horizontal="center"/>
    </xf>
    <xf numFmtId="0" fontId="7" fillId="0" borderId="9" xfId="5" applyFont="1" applyBorder="1" applyAlignment="1">
      <alignment horizontal="center"/>
    </xf>
    <xf numFmtId="0" fontId="7" fillId="0" borderId="10" xfId="5" applyFont="1" applyBorder="1" applyAlignment="1">
      <alignment horizontal="center"/>
    </xf>
    <xf numFmtId="166" fontId="9" fillId="8" borderId="13" xfId="0" applyNumberFormat="1" applyFont="1" applyFill="1" applyBorder="1" applyAlignment="1">
      <alignment horizontal="center" wrapText="1"/>
    </xf>
    <xf numFmtId="0" fontId="10" fillId="0" borderId="0" xfId="0" applyFont="1"/>
    <xf numFmtId="0" fontId="10" fillId="0" borderId="0" xfId="5" applyFont="1"/>
    <xf numFmtId="164" fontId="10" fillId="4" borderId="6" xfId="6" applyFont="1" applyFill="1" applyBorder="1" applyAlignment="1">
      <alignment horizontal="center"/>
    </xf>
    <xf numFmtId="164" fontId="10" fillId="0" borderId="6" xfId="6" applyFont="1" applyFill="1" applyBorder="1" applyAlignment="1">
      <alignment horizontal="center"/>
    </xf>
    <xf numFmtId="164" fontId="10" fillId="0" borderId="6" xfId="6" applyFont="1" applyBorder="1" applyAlignment="1">
      <alignment horizontal="center"/>
    </xf>
    <xf numFmtId="164" fontId="10" fillId="5" borderId="6" xfId="6" applyFont="1" applyFill="1" applyBorder="1" applyAlignment="1">
      <alignment horizontal="center"/>
    </xf>
    <xf numFmtId="164" fontId="11" fillId="9" borderId="6" xfId="6" applyFont="1" applyFill="1" applyBorder="1" applyAlignment="1">
      <alignment horizontal="center"/>
    </xf>
    <xf numFmtId="1" fontId="7" fillId="0" borderId="8" xfId="5" applyNumberFormat="1" applyFont="1" applyBorder="1" applyAlignment="1">
      <alignment horizontal="centerContinuous"/>
    </xf>
    <xf numFmtId="1" fontId="7" fillId="0" borderId="9" xfId="5" applyNumberFormat="1" applyFont="1" applyBorder="1" applyAlignment="1">
      <alignment horizontal="centerContinuous"/>
    </xf>
    <xf numFmtId="1" fontId="7" fillId="0" borderId="10" xfId="5" applyNumberFormat="1" applyFont="1" applyBorder="1" applyAlignment="1">
      <alignment horizontal="centerContinuous"/>
    </xf>
    <xf numFmtId="0" fontId="14" fillId="2" borderId="2" xfId="1" applyFont="1" applyFill="1" applyBorder="1" applyAlignment="1">
      <alignment horizontal="center" vertical="center" textRotation="90"/>
    </xf>
    <xf numFmtId="1" fontId="14" fillId="2" borderId="2" xfId="1" applyNumberFormat="1" applyFont="1" applyFill="1" applyBorder="1" applyAlignment="1" applyProtection="1">
      <alignment horizontal="left" vertical="center" textRotation="90"/>
      <protection locked="0"/>
    </xf>
    <xf numFmtId="1" fontId="14" fillId="2" borderId="1" xfId="1" applyNumberFormat="1" applyFont="1" applyFill="1" applyBorder="1" applyAlignment="1" applyProtection="1">
      <alignment horizontal="left" vertical="center"/>
      <protection locked="0"/>
    </xf>
    <xf numFmtId="166" fontId="15" fillId="6" borderId="3" xfId="1" applyNumberFormat="1" applyFont="1" applyFill="1" applyBorder="1"/>
    <xf numFmtId="166" fontId="15" fillId="6" borderId="4" xfId="1" applyNumberFormat="1" applyFont="1" applyFill="1" applyBorder="1"/>
    <xf numFmtId="166" fontId="15" fillId="6" borderId="5" xfId="1" applyNumberFormat="1" applyFont="1" applyFill="1" applyBorder="1"/>
    <xf numFmtId="166" fontId="15" fillId="6" borderId="6" xfId="1" applyNumberFormat="1" applyFont="1" applyFill="1" applyBorder="1"/>
    <xf numFmtId="166" fontId="15" fillId="0" borderId="7" xfId="1" applyNumberFormat="1" applyFont="1" applyBorder="1"/>
    <xf numFmtId="9" fontId="16" fillId="0" borderId="0" xfId="0" applyNumberFormat="1" applyFont="1"/>
    <xf numFmtId="0" fontId="16" fillId="0" borderId="0" xfId="0" applyFont="1"/>
    <xf numFmtId="166" fontId="15" fillId="0" borderId="3" xfId="1" applyNumberFormat="1" applyFont="1" applyBorder="1"/>
    <xf numFmtId="166" fontId="15" fillId="0" borderId="4" xfId="1" applyNumberFormat="1" applyFont="1" applyBorder="1"/>
    <xf numFmtId="166" fontId="15" fillId="0" borderId="5" xfId="1" applyNumberFormat="1" applyFont="1" applyBorder="1"/>
    <xf numFmtId="166" fontId="15" fillId="0" borderId="6" xfId="1" applyNumberFormat="1" applyFont="1" applyBorder="1"/>
    <xf numFmtId="9" fontId="10" fillId="0" borderId="0" xfId="0" applyNumberFormat="1" applyFont="1"/>
    <xf numFmtId="164" fontId="11" fillId="0" borderId="6" xfId="6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0" borderId="0" xfId="0" applyFont="1"/>
    <xf numFmtId="0" fontId="17" fillId="0" borderId="0" xfId="0" applyFont="1" applyAlignment="1">
      <alignment horizontal="center" vertical="center"/>
    </xf>
    <xf numFmtId="164" fontId="10" fillId="0" borderId="0" xfId="4" applyFont="1" applyFill="1" applyBorder="1" applyAlignment="1">
      <alignment horizontal="center" vertical="center"/>
    </xf>
    <xf numFmtId="164" fontId="10" fillId="0" borderId="3" xfId="4" applyFont="1" applyFill="1" applyBorder="1" applyAlignment="1">
      <alignment horizontal="center" vertical="center"/>
    </xf>
    <xf numFmtId="164" fontId="10" fillId="11" borderId="3" xfId="4" applyFont="1" applyFill="1" applyBorder="1" applyAlignment="1">
      <alignment horizontal="center" vertical="center"/>
    </xf>
    <xf numFmtId="167" fontId="10" fillId="0" borderId="3" xfId="0" applyNumberFormat="1" applyFont="1" applyBorder="1"/>
    <xf numFmtId="0" fontId="18" fillId="0" borderId="21" xfId="9" applyFont="1" applyBorder="1"/>
    <xf numFmtId="0" fontId="2" fillId="0" borderId="0" xfId="9"/>
    <xf numFmtId="0" fontId="18" fillId="0" borderId="0" xfId="9" applyFont="1"/>
    <xf numFmtId="0" fontId="2" fillId="0" borderId="22" xfId="9" applyBorder="1"/>
    <xf numFmtId="0" fontId="19" fillId="12" borderId="23" xfId="9" applyFont="1" applyFill="1" applyBorder="1" applyAlignment="1">
      <alignment horizontal="center" readingOrder="1"/>
    </xf>
    <xf numFmtId="0" fontId="19" fillId="12" borderId="23" xfId="9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textRotation="90"/>
    </xf>
    <xf numFmtId="0" fontId="7" fillId="3" borderId="5" xfId="0" applyFont="1" applyFill="1" applyBorder="1" applyAlignment="1">
      <alignment horizontal="center" vertical="center" textRotation="90"/>
    </xf>
    <xf numFmtId="0" fontId="7" fillId="3" borderId="15" xfId="0" applyFont="1" applyFill="1" applyBorder="1" applyAlignment="1">
      <alignment horizontal="center" vertical="center" textRotation="90"/>
    </xf>
    <xf numFmtId="0" fontId="7" fillId="3" borderId="27" xfId="0" applyFont="1" applyFill="1" applyBorder="1"/>
    <xf numFmtId="164" fontId="0" fillId="0" borderId="28" xfId="8" applyFont="1" applyFill="1" applyBorder="1" applyAlignment="1">
      <alignment horizontal="center"/>
    </xf>
    <xf numFmtId="164" fontId="0" fillId="0" borderId="29" xfId="8" applyFont="1" applyFill="1" applyBorder="1" applyAlignment="1">
      <alignment horizontal="center"/>
    </xf>
    <xf numFmtId="164" fontId="0" fillId="0" borderId="30" xfId="8" applyFont="1" applyFill="1" applyBorder="1" applyAlignment="1">
      <alignment horizontal="center"/>
    </xf>
    <xf numFmtId="0" fontId="7" fillId="3" borderId="31" xfId="0" applyFont="1" applyFill="1" applyBorder="1"/>
    <xf numFmtId="164" fontId="0" fillId="0" borderId="32" xfId="8" applyFont="1" applyFill="1" applyBorder="1" applyAlignment="1">
      <alignment horizontal="center"/>
    </xf>
    <xf numFmtId="0" fontId="7" fillId="3" borderId="11" xfId="0" applyFont="1" applyFill="1" applyBorder="1"/>
    <xf numFmtId="164" fontId="0" fillId="0" borderId="23" xfId="8" applyFont="1" applyFill="1" applyBorder="1" applyAlignment="1">
      <alignment horizontal="center"/>
    </xf>
    <xf numFmtId="164" fontId="0" fillId="0" borderId="28" xfId="8" applyFont="1" applyFill="1" applyBorder="1"/>
    <xf numFmtId="164" fontId="0" fillId="0" borderId="29" xfId="8" applyFont="1" applyFill="1" applyBorder="1"/>
    <xf numFmtId="9" fontId="0" fillId="0" borderId="0" xfId="0" applyNumberFormat="1"/>
    <xf numFmtId="164" fontId="6" fillId="0" borderId="6" xfId="6" applyFont="1" applyFill="1" applyBorder="1" applyAlignment="1">
      <alignment horizontal="center"/>
    </xf>
    <xf numFmtId="164" fontId="21" fillId="0" borderId="6" xfId="6" applyFont="1" applyFill="1" applyBorder="1" applyAlignment="1">
      <alignment horizontal="center"/>
    </xf>
    <xf numFmtId="0" fontId="23" fillId="2" borderId="28" xfId="2" applyFont="1" applyFill="1" applyBorder="1" applyAlignment="1">
      <alignment vertical="center"/>
    </xf>
    <xf numFmtId="0" fontId="23" fillId="2" borderId="28" xfId="2" applyFont="1" applyFill="1" applyBorder="1" applyAlignment="1">
      <alignment horizontal="center" vertical="center"/>
    </xf>
    <xf numFmtId="1" fontId="24" fillId="0" borderId="28" xfId="12" applyNumberFormat="1" applyFont="1" applyFill="1" applyBorder="1" applyAlignment="1">
      <alignment horizontal="center" vertical="center"/>
    </xf>
    <xf numFmtId="0" fontId="1" fillId="0" borderId="0" xfId="5" applyFont="1"/>
    <xf numFmtId="164" fontId="1" fillId="0" borderId="0" xfId="5" applyNumberFormat="1" applyFont="1"/>
    <xf numFmtId="0" fontId="1" fillId="0" borderId="0" xfId="0" applyFont="1"/>
    <xf numFmtId="0" fontId="25" fillId="3" borderId="3" xfId="5" applyFont="1" applyFill="1" applyBorder="1" applyAlignment="1">
      <alignment horizontal="center" vertical="center"/>
    </xf>
    <xf numFmtId="0" fontId="25" fillId="3" borderId="4" xfId="5" applyFont="1" applyFill="1" applyBorder="1" applyAlignment="1">
      <alignment horizontal="center" vertical="center" textRotation="90"/>
    </xf>
    <xf numFmtId="0" fontId="25" fillId="3" borderId="5" xfId="5" applyFont="1" applyFill="1" applyBorder="1" applyAlignment="1">
      <alignment horizontal="center" vertical="center" textRotation="90"/>
    </xf>
    <xf numFmtId="0" fontId="25" fillId="3" borderId="15" xfId="5" applyFont="1" applyFill="1" applyBorder="1" applyAlignment="1">
      <alignment horizontal="center" vertical="center" textRotation="90"/>
    </xf>
    <xf numFmtId="0" fontId="25" fillId="3" borderId="3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textRotation="90"/>
    </xf>
    <xf numFmtId="0" fontId="25" fillId="3" borderId="5" xfId="0" applyFont="1" applyFill="1" applyBorder="1" applyAlignment="1">
      <alignment horizontal="center" vertical="center" textRotation="90"/>
    </xf>
    <xf numFmtId="0" fontId="25" fillId="3" borderId="15" xfId="0" applyFont="1" applyFill="1" applyBorder="1" applyAlignment="1">
      <alignment horizontal="center" vertical="center" textRotation="90"/>
    </xf>
    <xf numFmtId="0" fontId="25" fillId="3" borderId="27" xfId="0" applyFont="1" applyFill="1" applyBorder="1"/>
    <xf numFmtId="164" fontId="1" fillId="0" borderId="28" xfId="8" applyFont="1" applyFill="1" applyBorder="1" applyAlignment="1">
      <alignment horizontal="center"/>
    </xf>
    <xf numFmtId="164" fontId="1" fillId="0" borderId="29" xfId="8" applyFont="1" applyFill="1" applyBorder="1" applyAlignment="1">
      <alignment horizontal="center"/>
    </xf>
    <xf numFmtId="164" fontId="1" fillId="0" borderId="30" xfId="8" applyFont="1" applyFill="1" applyBorder="1" applyAlignment="1">
      <alignment horizontal="center"/>
    </xf>
    <xf numFmtId="164" fontId="1" fillId="0" borderId="6" xfId="6" applyFont="1" applyFill="1" applyBorder="1" applyAlignment="1">
      <alignment horizontal="center"/>
    </xf>
    <xf numFmtId="0" fontId="25" fillId="3" borderId="31" xfId="0" applyFont="1" applyFill="1" applyBorder="1"/>
    <xf numFmtId="164" fontId="1" fillId="0" borderId="32" xfId="8" applyFont="1" applyFill="1" applyBorder="1" applyAlignment="1">
      <alignment horizontal="center"/>
    </xf>
    <xf numFmtId="0" fontId="25" fillId="3" borderId="11" xfId="5" applyFont="1" applyFill="1" applyBorder="1"/>
    <xf numFmtId="0" fontId="25" fillId="3" borderId="11" xfId="0" applyFont="1" applyFill="1" applyBorder="1"/>
    <xf numFmtId="164" fontId="1" fillId="0" borderId="23" xfId="8" applyFont="1" applyFill="1" applyBorder="1" applyAlignment="1">
      <alignment horizontal="center"/>
    </xf>
    <xf numFmtId="164" fontId="1" fillId="0" borderId="28" xfId="8" applyFont="1" applyFill="1" applyBorder="1"/>
    <xf numFmtId="164" fontId="1" fillId="0" borderId="29" xfId="8" applyFont="1" applyFill="1" applyBorder="1"/>
    <xf numFmtId="164" fontId="18" fillId="0" borderId="6" xfId="6" applyFont="1" applyFill="1" applyBorder="1" applyAlignment="1">
      <alignment horizontal="center"/>
    </xf>
    <xf numFmtId="0" fontId="1" fillId="0" borderId="22" xfId="11" applyNumberFormat="1" applyFont="1" applyFill="1" applyBorder="1" applyAlignment="1">
      <alignment horizontal="center"/>
    </xf>
    <xf numFmtId="9" fontId="1" fillId="0" borderId="0" xfId="0" applyNumberFormat="1" applyFont="1"/>
    <xf numFmtId="1" fontId="25" fillId="0" borderId="8" xfId="5" applyNumberFormat="1" applyFont="1" applyBorder="1" applyAlignment="1">
      <alignment horizontal="centerContinuous"/>
    </xf>
    <xf numFmtId="1" fontId="25" fillId="0" borderId="9" xfId="5" applyNumberFormat="1" applyFont="1" applyBorder="1" applyAlignment="1">
      <alignment horizontal="centerContinuous"/>
    </xf>
    <xf numFmtId="1" fontId="25" fillId="0" borderId="10" xfId="5" applyNumberFormat="1" applyFont="1" applyBorder="1" applyAlignment="1">
      <alignment horizontal="centerContinuous"/>
    </xf>
    <xf numFmtId="0" fontId="25" fillId="0" borderId="8" xfId="5" applyFont="1" applyBorder="1" applyAlignment="1">
      <alignment horizontal="center"/>
    </xf>
    <xf numFmtId="0" fontId="25" fillId="0" borderId="9" xfId="5" applyFont="1" applyBorder="1" applyAlignment="1">
      <alignment horizontal="center"/>
    </xf>
    <xf numFmtId="0" fontId="25" fillId="0" borderId="10" xfId="5" applyFont="1" applyBorder="1" applyAlignment="1">
      <alignment horizontal="center"/>
    </xf>
    <xf numFmtId="164" fontId="1" fillId="4" borderId="6" xfId="6" applyFont="1" applyFill="1" applyBorder="1" applyAlignment="1">
      <alignment horizontal="center"/>
    </xf>
    <xf numFmtId="164" fontId="1" fillId="0" borderId="6" xfId="6" applyFont="1" applyBorder="1" applyAlignment="1">
      <alignment horizontal="center"/>
    </xf>
    <xf numFmtId="164" fontId="1" fillId="5" borderId="6" xfId="6" applyFont="1" applyFill="1" applyBorder="1" applyAlignment="1">
      <alignment horizontal="center"/>
    </xf>
    <xf numFmtId="164" fontId="18" fillId="9" borderId="6" xfId="6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18" fillId="0" borderId="0" xfId="0" applyFont="1"/>
    <xf numFmtId="0" fontId="25" fillId="0" borderId="0" xfId="0" applyFont="1" applyAlignment="1">
      <alignment horizontal="center" vertical="center"/>
    </xf>
    <xf numFmtId="164" fontId="1" fillId="0" borderId="0" xfId="4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1" fontId="14" fillId="2" borderId="18" xfId="1" applyNumberFormat="1" applyFont="1" applyFill="1" applyBorder="1" applyAlignment="1" applyProtection="1">
      <alignment horizontal="center" vertical="center"/>
      <protection locked="0"/>
    </xf>
    <xf numFmtId="1" fontId="14" fillId="2" borderId="19" xfId="1" applyNumberFormat="1" applyFont="1" applyFill="1" applyBorder="1" applyAlignment="1" applyProtection="1">
      <alignment horizontal="center" vertical="center"/>
      <protection locked="0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9" xfId="5" applyFont="1" applyBorder="1" applyAlignment="1">
      <alignment horizontal="center"/>
    </xf>
    <xf numFmtId="0" fontId="7" fillId="0" borderId="10" xfId="5" applyFont="1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23" fillId="2" borderId="28" xfId="2" applyFont="1" applyFill="1" applyBorder="1" applyAlignment="1">
      <alignment horizontal="center" vertical="center"/>
    </xf>
    <xf numFmtId="0" fontId="18" fillId="0" borderId="20" xfId="9" applyFont="1" applyBorder="1" applyAlignment="1">
      <alignment horizontal="center"/>
    </xf>
    <xf numFmtId="0" fontId="18" fillId="0" borderId="19" xfId="9" applyFont="1" applyBorder="1" applyAlignment="1">
      <alignment horizontal="center"/>
    </xf>
    <xf numFmtId="0" fontId="18" fillId="0" borderId="0" xfId="9" applyFont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8" xfId="5" applyFont="1" applyBorder="1" applyAlignment="1">
      <alignment horizontal="center"/>
    </xf>
    <xf numFmtId="0" fontId="25" fillId="0" borderId="9" xfId="5" applyFont="1" applyBorder="1" applyAlignment="1">
      <alignment horizontal="center"/>
    </xf>
    <xf numFmtId="0" fontId="25" fillId="0" borderId="10" xfId="5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1" fontId="14" fillId="2" borderId="28" xfId="1" applyNumberFormat="1" applyFont="1" applyFill="1" applyBorder="1" applyAlignment="1" applyProtection="1">
      <alignment horizontal="left" vertical="center"/>
      <protection locked="0"/>
    </xf>
    <xf numFmtId="166" fontId="15" fillId="0" borderId="30" xfId="1" applyNumberFormat="1" applyFont="1" applyBorder="1"/>
    <xf numFmtId="166" fontId="15" fillId="0" borderId="28" xfId="1" applyNumberFormat="1" applyFont="1" applyBorder="1"/>
    <xf numFmtId="166" fontId="15" fillId="6" borderId="27" xfId="1" applyNumberFormat="1" applyFont="1" applyFill="1" applyBorder="1"/>
    <xf numFmtId="166" fontId="15" fillId="6" borderId="28" xfId="1" applyNumberFormat="1" applyFont="1" applyFill="1" applyBorder="1"/>
    <xf numFmtId="166" fontId="15" fillId="6" borderId="29" xfId="1" applyNumberFormat="1" applyFont="1" applyFill="1" applyBorder="1"/>
    <xf numFmtId="166" fontId="15" fillId="6" borderId="31" xfId="1" applyNumberFormat="1" applyFont="1" applyFill="1" applyBorder="1"/>
    <xf numFmtId="166" fontId="15" fillId="6" borderId="32" xfId="1" applyNumberFormat="1" applyFont="1" applyFill="1" applyBorder="1"/>
    <xf numFmtId="166" fontId="15" fillId="0" borderId="23" xfId="1" applyNumberFormat="1" applyFont="1" applyBorder="1"/>
    <xf numFmtId="166" fontId="15" fillId="0" borderId="27" xfId="1" applyNumberFormat="1" applyFont="1" applyBorder="1"/>
    <xf numFmtId="166" fontId="15" fillId="0" borderId="29" xfId="1" applyNumberFormat="1" applyFont="1" applyBorder="1"/>
    <xf numFmtId="166" fontId="15" fillId="0" borderId="31" xfId="1" applyNumberFormat="1" applyFont="1" applyBorder="1"/>
    <xf numFmtId="166" fontId="15" fillId="0" borderId="32" xfId="1" applyNumberFormat="1" applyFont="1" applyBorder="1"/>
    <xf numFmtId="0" fontId="7" fillId="3" borderId="27" xfId="5" applyFont="1" applyFill="1" applyBorder="1"/>
    <xf numFmtId="164" fontId="6" fillId="0" borderId="28" xfId="6" applyFont="1" applyFill="1" applyBorder="1" applyAlignment="1">
      <alignment horizontal="center"/>
    </xf>
    <xf numFmtId="164" fontId="6" fillId="0" borderId="29" xfId="6" applyFont="1" applyFill="1" applyBorder="1" applyAlignment="1">
      <alignment horizontal="center"/>
    </xf>
    <xf numFmtId="164" fontId="6" fillId="0" borderId="30" xfId="6" applyFont="1" applyFill="1" applyBorder="1" applyAlignment="1">
      <alignment horizontal="center"/>
    </xf>
    <xf numFmtId="0" fontId="7" fillId="3" borderId="31" xfId="5" applyFont="1" applyFill="1" applyBorder="1"/>
    <xf numFmtId="164" fontId="6" fillId="0" borderId="32" xfId="6" applyFont="1" applyFill="1" applyBorder="1" applyAlignment="1">
      <alignment horizontal="center"/>
    </xf>
    <xf numFmtId="164" fontId="0" fillId="0" borderId="6" xfId="8" applyFont="1" applyFill="1" applyBorder="1" applyAlignment="1">
      <alignment horizontal="center"/>
    </xf>
    <xf numFmtId="164" fontId="6" fillId="0" borderId="23" xfId="6" applyFont="1" applyFill="1" applyBorder="1" applyAlignment="1">
      <alignment horizontal="center"/>
    </xf>
    <xf numFmtId="164" fontId="6" fillId="0" borderId="28" xfId="6" applyFont="1" applyFill="1" applyBorder="1"/>
    <xf numFmtId="164" fontId="21" fillId="0" borderId="28" xfId="6" applyFont="1" applyFill="1" applyBorder="1"/>
    <xf numFmtId="164" fontId="21" fillId="0" borderId="29" xfId="6" applyFont="1" applyFill="1" applyBorder="1"/>
    <xf numFmtId="164" fontId="21" fillId="0" borderId="28" xfId="6" applyFont="1" applyFill="1" applyBorder="1" applyAlignment="1">
      <alignment horizontal="center"/>
    </xf>
    <xf numFmtId="164" fontId="6" fillId="0" borderId="28" xfId="6" applyFont="1" applyFill="1" applyBorder="1" applyAlignment="1"/>
    <xf numFmtId="164" fontId="21" fillId="0" borderId="28" xfId="6" applyFont="1" applyFill="1" applyBorder="1" applyAlignment="1"/>
    <xf numFmtId="164" fontId="21" fillId="0" borderId="29" xfId="6" applyFont="1" applyFill="1" applyBorder="1" applyAlignment="1"/>
    <xf numFmtId="164" fontId="10" fillId="0" borderId="28" xfId="6" applyFont="1" applyFill="1" applyBorder="1" applyAlignment="1">
      <alignment horizontal="center"/>
    </xf>
    <xf numFmtId="164" fontId="10" fillId="0" borderId="29" xfId="6" applyFont="1" applyFill="1" applyBorder="1" applyAlignment="1">
      <alignment horizontal="center"/>
    </xf>
    <xf numFmtId="164" fontId="10" fillId="0" borderId="30" xfId="6" applyFont="1" applyFill="1" applyBorder="1" applyAlignment="1">
      <alignment horizontal="center"/>
    </xf>
    <xf numFmtId="164" fontId="10" fillId="0" borderId="32" xfId="6" applyFont="1" applyFill="1" applyBorder="1" applyAlignment="1">
      <alignment horizontal="center"/>
    </xf>
    <xf numFmtId="164" fontId="10" fillId="0" borderId="23" xfId="6" applyFont="1" applyFill="1" applyBorder="1" applyAlignment="1">
      <alignment horizontal="center"/>
    </xf>
    <xf numFmtId="164" fontId="10" fillId="0" borderId="28" xfId="6" applyFont="1" applyFill="1" applyBorder="1"/>
    <xf numFmtId="164" fontId="11" fillId="0" borderId="28" xfId="6" applyFont="1" applyFill="1" applyBorder="1"/>
    <xf numFmtId="164" fontId="11" fillId="0" borderId="29" xfId="6" applyFont="1" applyFill="1" applyBorder="1"/>
    <xf numFmtId="164" fontId="11" fillId="0" borderId="28" xfId="6" applyFont="1" applyFill="1" applyBorder="1" applyAlignment="1">
      <alignment horizontal="center"/>
    </xf>
    <xf numFmtId="164" fontId="10" fillId="4" borderId="28" xfId="6" applyFont="1" applyFill="1" applyBorder="1" applyAlignment="1">
      <alignment horizontal="center"/>
    </xf>
    <xf numFmtId="164" fontId="10" fillId="4" borderId="29" xfId="6" applyFont="1" applyFill="1" applyBorder="1" applyAlignment="1">
      <alignment horizontal="center"/>
    </xf>
    <xf numFmtId="164" fontId="10" fillId="5" borderId="30" xfId="6" applyFont="1" applyFill="1" applyBorder="1" applyAlignment="1">
      <alignment horizontal="center"/>
    </xf>
    <xf numFmtId="164" fontId="10" fillId="9" borderId="28" xfId="6" applyFont="1" applyFill="1" applyBorder="1" applyAlignment="1">
      <alignment horizontal="center"/>
    </xf>
    <xf numFmtId="164" fontId="10" fillId="5" borderId="28" xfId="6" applyFont="1" applyFill="1" applyBorder="1" applyAlignment="1">
      <alignment horizontal="center"/>
    </xf>
    <xf numFmtId="164" fontId="10" fillId="5" borderId="29" xfId="6" applyFont="1" applyFill="1" applyBorder="1" applyAlignment="1">
      <alignment horizontal="center"/>
    </xf>
    <xf numFmtId="164" fontId="10" fillId="4" borderId="32" xfId="6" applyFont="1" applyFill="1" applyBorder="1" applyAlignment="1">
      <alignment horizontal="center"/>
    </xf>
    <xf numFmtId="164" fontId="10" fillId="0" borderId="23" xfId="6" applyFont="1" applyBorder="1" applyAlignment="1">
      <alignment horizontal="center"/>
    </xf>
    <xf numFmtId="164" fontId="10" fillId="9" borderId="28" xfId="6" applyFont="1" applyFill="1" applyBorder="1"/>
    <xf numFmtId="164" fontId="11" fillId="9" borderId="28" xfId="6" applyFont="1" applyFill="1" applyBorder="1"/>
    <xf numFmtId="164" fontId="11" fillId="9" borderId="29" xfId="6" applyFont="1" applyFill="1" applyBorder="1"/>
    <xf numFmtId="164" fontId="10" fillId="0" borderId="28" xfId="6" applyFont="1" applyBorder="1" applyAlignment="1">
      <alignment horizontal="center"/>
    </xf>
    <xf numFmtId="164" fontId="11" fillId="9" borderId="28" xfId="6" applyFont="1" applyFill="1" applyBorder="1" applyAlignment="1">
      <alignment horizontal="center"/>
    </xf>
    <xf numFmtId="164" fontId="10" fillId="5" borderId="32" xfId="6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1" fillId="2" borderId="28" xfId="0" applyFont="1" applyFill="1" applyBorder="1"/>
    <xf numFmtId="0" fontId="10" fillId="0" borderId="28" xfId="0" applyFont="1" applyBorder="1"/>
    <xf numFmtId="0" fontId="17" fillId="2" borderId="23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 textRotation="90"/>
    </xf>
    <xf numFmtId="0" fontId="12" fillId="10" borderId="33" xfId="0" applyFont="1" applyFill="1" applyBorder="1" applyAlignment="1">
      <alignment horizontal="center" vertical="center"/>
    </xf>
    <xf numFmtId="164" fontId="13" fillId="0" borderId="33" xfId="8" applyFont="1" applyBorder="1" applyAlignment="1">
      <alignment horizontal="center" vertical="center"/>
    </xf>
    <xf numFmtId="164" fontId="13" fillId="0" borderId="34" xfId="8" applyFont="1" applyBorder="1" applyAlignment="1">
      <alignment horizontal="center" vertical="center"/>
    </xf>
    <xf numFmtId="164" fontId="10" fillId="0" borderId="28" xfId="4" applyFont="1" applyFill="1" applyBorder="1" applyAlignment="1">
      <alignment horizontal="center" vertical="center"/>
    </xf>
    <xf numFmtId="0" fontId="19" fillId="12" borderId="28" xfId="9" applyFont="1" applyFill="1" applyBorder="1" applyAlignment="1">
      <alignment horizontal="center" readingOrder="1"/>
    </xf>
    <xf numFmtId="0" fontId="19" fillId="12" borderId="28" xfId="9" applyFont="1" applyFill="1" applyBorder="1" applyAlignment="1">
      <alignment horizontal="center" vertical="center" readingOrder="1"/>
    </xf>
    <xf numFmtId="164" fontId="20" fillId="6" borderId="28" xfId="10" applyFont="1" applyFill="1" applyBorder="1" applyAlignment="1">
      <alignment horizontal="center" vertical="center" readingOrder="1"/>
    </xf>
    <xf numFmtId="164" fontId="20" fillId="0" borderId="28" xfId="10" applyFont="1" applyBorder="1" applyAlignment="1">
      <alignment horizontal="center" vertical="center" readingOrder="1"/>
    </xf>
    <xf numFmtId="0" fontId="19" fillId="12" borderId="28" xfId="9" applyFont="1" applyFill="1" applyBorder="1" applyAlignment="1">
      <alignment horizontal="center" vertical="center" wrapText="1" readingOrder="1"/>
    </xf>
    <xf numFmtId="164" fontId="20" fillId="6" borderId="28" xfId="10" applyFont="1" applyFill="1" applyBorder="1" applyAlignment="1">
      <alignment horizontal="center" vertical="center" wrapText="1" readingOrder="1"/>
    </xf>
    <xf numFmtId="164" fontId="20" fillId="5" borderId="28" xfId="10" applyFont="1" applyFill="1" applyBorder="1" applyAlignment="1">
      <alignment horizontal="center" vertical="center" wrapText="1" readingOrder="1"/>
    </xf>
    <xf numFmtId="0" fontId="19" fillId="12" borderId="30" xfId="9" applyFont="1" applyFill="1" applyBorder="1" applyAlignment="1">
      <alignment horizontal="center" vertical="center" wrapText="1" readingOrder="1"/>
    </xf>
    <xf numFmtId="0" fontId="25" fillId="3" borderId="27" xfId="5" applyFont="1" applyFill="1" applyBorder="1"/>
    <xf numFmtId="164" fontId="1" fillId="0" borderId="28" xfId="6" applyFont="1" applyFill="1" applyBorder="1" applyAlignment="1">
      <alignment horizontal="center"/>
    </xf>
    <xf numFmtId="164" fontId="1" fillId="0" borderId="29" xfId="6" applyFont="1" applyFill="1" applyBorder="1" applyAlignment="1">
      <alignment horizontal="center"/>
    </xf>
    <xf numFmtId="164" fontId="1" fillId="0" borderId="30" xfId="6" applyFont="1" applyFill="1" applyBorder="1" applyAlignment="1">
      <alignment horizontal="center"/>
    </xf>
    <xf numFmtId="0" fontId="25" fillId="3" borderId="31" xfId="5" applyFont="1" applyFill="1" applyBorder="1"/>
    <xf numFmtId="164" fontId="1" fillId="0" borderId="32" xfId="6" applyFont="1" applyFill="1" applyBorder="1" applyAlignment="1">
      <alignment horizontal="center"/>
    </xf>
    <xf numFmtId="164" fontId="1" fillId="0" borderId="6" xfId="8" applyFont="1" applyFill="1" applyBorder="1" applyAlignment="1">
      <alignment horizontal="center"/>
    </xf>
    <xf numFmtId="164" fontId="1" fillId="0" borderId="23" xfId="6" applyFont="1" applyFill="1" applyBorder="1" applyAlignment="1">
      <alignment horizontal="center"/>
    </xf>
    <xf numFmtId="164" fontId="1" fillId="0" borderId="28" xfId="6" applyFont="1" applyFill="1" applyBorder="1"/>
    <xf numFmtId="164" fontId="18" fillId="0" borderId="28" xfId="6" applyFont="1" applyFill="1" applyBorder="1"/>
    <xf numFmtId="164" fontId="18" fillId="0" borderId="29" xfId="6" applyFont="1" applyFill="1" applyBorder="1"/>
    <xf numFmtId="164" fontId="18" fillId="0" borderId="28" xfId="6" applyFont="1" applyFill="1" applyBorder="1" applyAlignment="1">
      <alignment horizontal="center"/>
    </xf>
    <xf numFmtId="164" fontId="1" fillId="0" borderId="28" xfId="6" applyFont="1" applyFill="1" applyBorder="1" applyAlignment="1"/>
    <xf numFmtId="164" fontId="18" fillId="0" borderId="28" xfId="6" applyFont="1" applyFill="1" applyBorder="1" applyAlignment="1"/>
    <xf numFmtId="164" fontId="18" fillId="0" borderId="29" xfId="6" applyFont="1" applyFill="1" applyBorder="1" applyAlignment="1"/>
    <xf numFmtId="164" fontId="1" fillId="4" borderId="28" xfId="6" applyFont="1" applyFill="1" applyBorder="1" applyAlignment="1">
      <alignment horizontal="center"/>
    </xf>
    <xf numFmtId="164" fontId="1" fillId="4" borderId="29" xfId="6" applyFont="1" applyFill="1" applyBorder="1" applyAlignment="1">
      <alignment horizontal="center"/>
    </xf>
    <xf numFmtId="164" fontId="1" fillId="5" borderId="30" xfId="6" applyFont="1" applyFill="1" applyBorder="1" applyAlignment="1">
      <alignment horizontal="center"/>
    </xf>
    <xf numFmtId="164" fontId="1" fillId="9" borderId="28" xfId="6" applyFont="1" applyFill="1" applyBorder="1" applyAlignment="1">
      <alignment horizontal="center"/>
    </xf>
    <xf numFmtId="164" fontId="1" fillId="5" borderId="28" xfId="6" applyFont="1" applyFill="1" applyBorder="1" applyAlignment="1">
      <alignment horizontal="center"/>
    </xf>
    <xf numFmtId="164" fontId="1" fillId="5" borderId="29" xfId="6" applyFont="1" applyFill="1" applyBorder="1" applyAlignment="1">
      <alignment horizontal="center"/>
    </xf>
    <xf numFmtId="164" fontId="1" fillId="4" borderId="32" xfId="6" applyFont="1" applyFill="1" applyBorder="1" applyAlignment="1">
      <alignment horizontal="center"/>
    </xf>
    <xf numFmtId="164" fontId="1" fillId="0" borderId="23" xfId="6" applyFont="1" applyBorder="1" applyAlignment="1">
      <alignment horizontal="center"/>
    </xf>
    <xf numFmtId="164" fontId="1" fillId="9" borderId="28" xfId="6" applyFont="1" applyFill="1" applyBorder="1"/>
    <xf numFmtId="164" fontId="18" fillId="9" borderId="28" xfId="6" applyFont="1" applyFill="1" applyBorder="1"/>
    <xf numFmtId="164" fontId="18" fillId="9" borderId="29" xfId="6" applyFont="1" applyFill="1" applyBorder="1"/>
    <xf numFmtId="164" fontId="1" fillId="0" borderId="28" xfId="6" applyFont="1" applyBorder="1" applyAlignment="1">
      <alignment horizontal="center"/>
    </xf>
    <xf numFmtId="164" fontId="18" fillId="9" borderId="28" xfId="6" applyFont="1" applyFill="1" applyBorder="1" applyAlignment="1">
      <alignment horizontal="center"/>
    </xf>
    <xf numFmtId="164" fontId="1" fillId="5" borderId="32" xfId="6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164" fontId="1" fillId="0" borderId="28" xfId="4" applyFont="1" applyFill="1" applyBorder="1" applyAlignment="1">
      <alignment horizontal="center" vertical="center"/>
    </xf>
    <xf numFmtId="0" fontId="18" fillId="2" borderId="28" xfId="0" applyFont="1" applyFill="1" applyBorder="1"/>
    <xf numFmtId="0" fontId="1" fillId="0" borderId="28" xfId="0" applyFont="1" applyBorder="1"/>
    <xf numFmtId="0" fontId="22" fillId="10" borderId="33" xfId="0" applyFont="1" applyFill="1" applyBorder="1" applyAlignment="1">
      <alignment horizontal="center" vertical="center" textRotation="90"/>
    </xf>
    <xf numFmtId="0" fontId="22" fillId="10" borderId="33" xfId="0" applyFont="1" applyFill="1" applyBorder="1" applyAlignment="1">
      <alignment horizontal="center" vertical="center"/>
    </xf>
    <xf numFmtId="164" fontId="26" fillId="0" borderId="33" xfId="8" applyFont="1" applyBorder="1" applyAlignment="1">
      <alignment horizontal="center" vertical="center"/>
    </xf>
    <xf numFmtId="164" fontId="26" fillId="0" borderId="34" xfId="8" applyFont="1" applyBorder="1" applyAlignment="1">
      <alignment horizontal="center" vertical="center"/>
    </xf>
    <xf numFmtId="1" fontId="14" fillId="2" borderId="35" xfId="1" applyNumberFormat="1" applyFont="1" applyFill="1" applyBorder="1" applyAlignment="1" applyProtection="1">
      <alignment horizontal="left" vertical="center"/>
      <protection locked="0"/>
    </xf>
    <xf numFmtId="166" fontId="15" fillId="0" borderId="35" xfId="1" applyNumberFormat="1" applyFont="1" applyBorder="1"/>
    <xf numFmtId="166" fontId="15" fillId="6" borderId="36" xfId="1" applyNumberFormat="1" applyFont="1" applyFill="1" applyBorder="1"/>
    <xf numFmtId="166" fontId="15" fillId="6" borderId="35" xfId="1" applyNumberFormat="1" applyFont="1" applyFill="1" applyBorder="1"/>
    <xf numFmtId="166" fontId="15" fillId="6" borderId="37" xfId="1" applyNumberFormat="1" applyFont="1" applyFill="1" applyBorder="1"/>
    <xf numFmtId="166" fontId="15" fillId="6" borderId="38" xfId="1" applyNumberFormat="1" applyFont="1" applyFill="1" applyBorder="1"/>
    <xf numFmtId="166" fontId="15" fillId="6" borderId="39" xfId="1" applyNumberFormat="1" applyFont="1" applyFill="1" applyBorder="1"/>
    <xf numFmtId="166" fontId="15" fillId="6" borderId="40" xfId="1" applyNumberFormat="1" applyFont="1" applyFill="1" applyBorder="1"/>
    <xf numFmtId="166" fontId="15" fillId="0" borderId="36" xfId="1" applyNumberFormat="1" applyFont="1" applyBorder="1"/>
    <xf numFmtId="166" fontId="15" fillId="0" borderId="37" xfId="1" applyNumberFormat="1" applyFont="1" applyBorder="1"/>
    <xf numFmtId="166" fontId="15" fillId="0" borderId="38" xfId="1" applyNumberFormat="1" applyFont="1" applyBorder="1"/>
    <xf numFmtId="166" fontId="15" fillId="0" borderId="39" xfId="1" applyNumberFormat="1" applyFont="1" applyBorder="1"/>
    <xf numFmtId="166" fontId="15" fillId="0" borderId="40" xfId="1" applyNumberFormat="1" applyFont="1" applyBorder="1"/>
  </cellXfs>
  <cellStyles count="13">
    <cellStyle name="Millares [0]" xfId="11" builtinId="6"/>
    <cellStyle name="Millares [0] 2 2" xfId="12" xr:uid="{54737675-5B39-4389-AB01-0763BD28BDCC}"/>
    <cellStyle name="Moneda [0]" xfId="8" builtinId="7"/>
    <cellStyle name="Moneda [0] 2" xfId="3" xr:uid="{85C24BEB-01A6-4A85-AE04-B7E6332DA63B}"/>
    <cellStyle name="Moneda [0] 3" xfId="4" xr:uid="{AD47EB05-3B50-4CA6-8260-DB4BD2A8A634}"/>
    <cellStyle name="Moneda [0] 4" xfId="6" xr:uid="{0A7F19DC-F195-4634-A332-432248204499}"/>
    <cellStyle name="Moneda [0] 5" xfId="10" xr:uid="{D0D8C44E-FC45-4B61-AAF6-AA6DCD008AED}"/>
    <cellStyle name="Normal" xfId="0" builtinId="0"/>
    <cellStyle name="Normal 11" xfId="1" xr:uid="{8592444B-DF9B-48CF-9A32-D58DBC54CBAE}"/>
    <cellStyle name="Normal 2" xfId="2" xr:uid="{BAE7C5BE-FC20-448C-896A-E1979545C485}"/>
    <cellStyle name="Normal 3" xfId="5" xr:uid="{79E1BB94-1EAB-4B5E-8556-FF365DF88109}"/>
    <cellStyle name="Normal 4" xfId="9" xr:uid="{0633FB38-5A35-4CA8-BF3F-E94182C80AEB}"/>
    <cellStyle name="Porcentaje 2" xfId="7" xr:uid="{D35E52A8-6817-4347-B98A-7D9F4FFB5291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C677-7D59-48F0-AECF-4534B5143AFE}">
  <dimension ref="A1:W124"/>
  <sheetViews>
    <sheetView zoomScale="80" zoomScaleNormal="80" workbookViewId="0">
      <selection activeCell="M10" sqref="M10"/>
    </sheetView>
  </sheetViews>
  <sheetFormatPr defaultColWidth="11" defaultRowHeight="15.75"/>
  <cols>
    <col min="1" max="1" width="14" style="16" bestFit="1" customWidth="1"/>
    <col min="2" max="23" width="7.5" style="16" bestFit="1" customWidth="1"/>
  </cols>
  <sheetData>
    <row r="1" spans="1:2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23" ht="69.75" thickBot="1">
      <c r="A2" s="155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7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16</v>
      </c>
      <c r="Q2" s="26" t="s">
        <v>17</v>
      </c>
      <c r="R2" s="26" t="s">
        <v>18</v>
      </c>
      <c r="S2" s="26" t="s">
        <v>19</v>
      </c>
      <c r="T2" s="26" t="s">
        <v>20</v>
      </c>
      <c r="U2" s="26" t="s">
        <v>21</v>
      </c>
      <c r="V2" s="26" t="s">
        <v>22</v>
      </c>
      <c r="W2" s="26" t="s">
        <v>23</v>
      </c>
    </row>
    <row r="3" spans="1:23">
      <c r="A3" s="28" t="s">
        <v>2</v>
      </c>
      <c r="B3" s="29">
        <v>0</v>
      </c>
      <c r="C3" s="30">
        <v>550</v>
      </c>
      <c r="D3" s="30">
        <v>550</v>
      </c>
      <c r="E3" s="30">
        <v>550</v>
      </c>
      <c r="F3" s="30">
        <v>550</v>
      </c>
      <c r="G3" s="30">
        <v>550</v>
      </c>
      <c r="H3" s="30">
        <v>550</v>
      </c>
      <c r="I3" s="30">
        <v>550</v>
      </c>
      <c r="J3" s="30">
        <v>550</v>
      </c>
      <c r="K3" s="30">
        <v>550</v>
      </c>
      <c r="L3" s="30">
        <v>550</v>
      </c>
      <c r="M3" s="31">
        <v>550</v>
      </c>
      <c r="N3" s="156">
        <v>1170</v>
      </c>
      <c r="O3" s="157">
        <v>1170</v>
      </c>
      <c r="P3" s="157">
        <v>1300</v>
      </c>
      <c r="Q3" s="157">
        <v>1300</v>
      </c>
      <c r="R3" s="157">
        <v>1300</v>
      </c>
      <c r="S3" s="157">
        <v>1300</v>
      </c>
      <c r="T3" s="157">
        <v>1300</v>
      </c>
      <c r="U3" s="157">
        <v>2030</v>
      </c>
      <c r="V3" s="157">
        <v>2170</v>
      </c>
      <c r="W3" s="157">
        <v>2170</v>
      </c>
    </row>
    <row r="4" spans="1:23">
      <c r="A4" s="28" t="s">
        <v>3</v>
      </c>
      <c r="B4" s="158">
        <v>550</v>
      </c>
      <c r="C4" s="159">
        <v>0</v>
      </c>
      <c r="D4" s="159">
        <v>550</v>
      </c>
      <c r="E4" s="159">
        <v>550</v>
      </c>
      <c r="F4" s="159">
        <v>550</v>
      </c>
      <c r="G4" s="159">
        <v>550</v>
      </c>
      <c r="H4" s="159">
        <v>550</v>
      </c>
      <c r="I4" s="159">
        <v>550</v>
      </c>
      <c r="J4" s="159">
        <v>550</v>
      </c>
      <c r="K4" s="159">
        <v>550</v>
      </c>
      <c r="L4" s="159">
        <v>550</v>
      </c>
      <c r="M4" s="160">
        <v>550</v>
      </c>
      <c r="N4" s="156">
        <v>1170</v>
      </c>
      <c r="O4" s="157">
        <v>1170</v>
      </c>
      <c r="P4" s="157">
        <v>1300</v>
      </c>
      <c r="Q4" s="157">
        <v>1300</v>
      </c>
      <c r="R4" s="157">
        <v>1300</v>
      </c>
      <c r="S4" s="157">
        <v>1300</v>
      </c>
      <c r="T4" s="157">
        <v>1300</v>
      </c>
      <c r="U4" s="157">
        <v>2030</v>
      </c>
      <c r="V4" s="157">
        <v>2170</v>
      </c>
      <c r="W4" s="157">
        <v>2170</v>
      </c>
    </row>
    <row r="5" spans="1:23">
      <c r="A5" s="28" t="s">
        <v>4</v>
      </c>
      <c r="B5" s="158">
        <v>550</v>
      </c>
      <c r="C5" s="159">
        <v>550</v>
      </c>
      <c r="D5" s="159">
        <v>0</v>
      </c>
      <c r="E5" s="159">
        <v>550</v>
      </c>
      <c r="F5" s="159">
        <v>550</v>
      </c>
      <c r="G5" s="159">
        <v>550</v>
      </c>
      <c r="H5" s="159">
        <v>550</v>
      </c>
      <c r="I5" s="159">
        <v>550</v>
      </c>
      <c r="J5" s="159">
        <v>550</v>
      </c>
      <c r="K5" s="159">
        <v>550</v>
      </c>
      <c r="L5" s="159">
        <v>550</v>
      </c>
      <c r="M5" s="160">
        <v>550</v>
      </c>
      <c r="N5" s="156">
        <v>1170</v>
      </c>
      <c r="O5" s="157">
        <v>1170</v>
      </c>
      <c r="P5" s="157">
        <v>1300</v>
      </c>
      <c r="Q5" s="157">
        <v>1300</v>
      </c>
      <c r="R5" s="157">
        <v>1300</v>
      </c>
      <c r="S5" s="157">
        <v>1300</v>
      </c>
      <c r="T5" s="157">
        <v>1300</v>
      </c>
      <c r="U5" s="157">
        <v>2030</v>
      </c>
      <c r="V5" s="157">
        <v>2170</v>
      </c>
      <c r="W5" s="157">
        <v>2170</v>
      </c>
    </row>
    <row r="6" spans="1:23">
      <c r="A6" s="28" t="s">
        <v>5</v>
      </c>
      <c r="B6" s="158">
        <v>550</v>
      </c>
      <c r="C6" s="159">
        <v>550</v>
      </c>
      <c r="D6" s="159">
        <v>550</v>
      </c>
      <c r="E6" s="159">
        <v>0</v>
      </c>
      <c r="F6" s="159">
        <v>550</v>
      </c>
      <c r="G6" s="159">
        <v>550</v>
      </c>
      <c r="H6" s="159">
        <v>550</v>
      </c>
      <c r="I6" s="159">
        <v>550</v>
      </c>
      <c r="J6" s="159">
        <v>550</v>
      </c>
      <c r="K6" s="159">
        <v>550</v>
      </c>
      <c r="L6" s="159">
        <v>550</v>
      </c>
      <c r="M6" s="160">
        <v>550</v>
      </c>
      <c r="N6" s="156">
        <v>1170</v>
      </c>
      <c r="O6" s="157">
        <v>1170</v>
      </c>
      <c r="P6" s="157">
        <v>1300</v>
      </c>
      <c r="Q6" s="157">
        <v>1300</v>
      </c>
      <c r="R6" s="157">
        <v>1300</v>
      </c>
      <c r="S6" s="157">
        <v>1300</v>
      </c>
      <c r="T6" s="157">
        <v>1300</v>
      </c>
      <c r="U6" s="157">
        <v>2030</v>
      </c>
      <c r="V6" s="157">
        <v>2170</v>
      </c>
      <c r="W6" s="157">
        <v>2170</v>
      </c>
    </row>
    <row r="7" spans="1:23">
      <c r="A7" s="28" t="s">
        <v>6</v>
      </c>
      <c r="B7" s="158">
        <v>550</v>
      </c>
      <c r="C7" s="159">
        <v>550</v>
      </c>
      <c r="D7" s="159">
        <v>550</v>
      </c>
      <c r="E7" s="159">
        <v>550</v>
      </c>
      <c r="F7" s="159">
        <v>0</v>
      </c>
      <c r="G7" s="159">
        <v>550</v>
      </c>
      <c r="H7" s="159">
        <v>550</v>
      </c>
      <c r="I7" s="159">
        <v>550</v>
      </c>
      <c r="J7" s="159">
        <v>550</v>
      </c>
      <c r="K7" s="159">
        <v>550</v>
      </c>
      <c r="L7" s="159">
        <v>550</v>
      </c>
      <c r="M7" s="160">
        <v>550</v>
      </c>
      <c r="N7" s="156">
        <v>1170</v>
      </c>
      <c r="O7" s="157">
        <v>1170</v>
      </c>
      <c r="P7" s="157">
        <v>1300</v>
      </c>
      <c r="Q7" s="157">
        <v>1300</v>
      </c>
      <c r="R7" s="157">
        <v>1300</v>
      </c>
      <c r="S7" s="157">
        <v>1300</v>
      </c>
      <c r="T7" s="157">
        <v>1300</v>
      </c>
      <c r="U7" s="157">
        <v>2030</v>
      </c>
      <c r="V7" s="157">
        <v>2170</v>
      </c>
      <c r="W7" s="157">
        <v>2170</v>
      </c>
    </row>
    <row r="8" spans="1:23">
      <c r="A8" s="28" t="s">
        <v>7</v>
      </c>
      <c r="B8" s="158">
        <v>550</v>
      </c>
      <c r="C8" s="159">
        <v>550</v>
      </c>
      <c r="D8" s="159">
        <v>550</v>
      </c>
      <c r="E8" s="159">
        <v>550</v>
      </c>
      <c r="F8" s="159">
        <v>550</v>
      </c>
      <c r="G8" s="159">
        <v>0</v>
      </c>
      <c r="H8" s="159">
        <v>550</v>
      </c>
      <c r="I8" s="159">
        <v>550</v>
      </c>
      <c r="J8" s="159">
        <v>550</v>
      </c>
      <c r="K8" s="159">
        <v>550</v>
      </c>
      <c r="L8" s="159">
        <v>550</v>
      </c>
      <c r="M8" s="160">
        <v>550</v>
      </c>
      <c r="N8" s="156">
        <v>1170</v>
      </c>
      <c r="O8" s="157">
        <v>1170</v>
      </c>
      <c r="P8" s="157">
        <v>1300</v>
      </c>
      <c r="Q8" s="157">
        <v>1300</v>
      </c>
      <c r="R8" s="157">
        <v>1300</v>
      </c>
      <c r="S8" s="157">
        <v>1300</v>
      </c>
      <c r="T8" s="157">
        <v>1300</v>
      </c>
      <c r="U8" s="157">
        <v>2030</v>
      </c>
      <c r="V8" s="157">
        <v>2170</v>
      </c>
      <c r="W8" s="157">
        <v>2170</v>
      </c>
    </row>
    <row r="9" spans="1:23">
      <c r="A9" s="28" t="s">
        <v>8</v>
      </c>
      <c r="B9" s="158">
        <v>550</v>
      </c>
      <c r="C9" s="159">
        <v>550</v>
      </c>
      <c r="D9" s="159">
        <v>550</v>
      </c>
      <c r="E9" s="159">
        <v>550</v>
      </c>
      <c r="F9" s="159">
        <v>550</v>
      </c>
      <c r="G9" s="159">
        <v>550</v>
      </c>
      <c r="H9" s="159">
        <v>0</v>
      </c>
      <c r="I9" s="159">
        <v>550</v>
      </c>
      <c r="J9" s="159">
        <v>550</v>
      </c>
      <c r="K9" s="159">
        <v>550</v>
      </c>
      <c r="L9" s="159">
        <v>550</v>
      </c>
      <c r="M9" s="160">
        <v>550</v>
      </c>
      <c r="N9" s="156">
        <v>1170</v>
      </c>
      <c r="O9" s="157">
        <v>1170</v>
      </c>
      <c r="P9" s="157">
        <v>1300</v>
      </c>
      <c r="Q9" s="157">
        <v>1300</v>
      </c>
      <c r="R9" s="157">
        <v>1300</v>
      </c>
      <c r="S9" s="157">
        <v>1300</v>
      </c>
      <c r="T9" s="157">
        <v>1300</v>
      </c>
      <c r="U9" s="157">
        <v>2030</v>
      </c>
      <c r="V9" s="157">
        <v>2170</v>
      </c>
      <c r="W9" s="157">
        <v>2170</v>
      </c>
    </row>
    <row r="10" spans="1:23">
      <c r="A10" s="28" t="s">
        <v>9</v>
      </c>
      <c r="B10" s="158">
        <v>550</v>
      </c>
      <c r="C10" s="159">
        <v>550</v>
      </c>
      <c r="D10" s="159">
        <v>550</v>
      </c>
      <c r="E10" s="159">
        <v>550</v>
      </c>
      <c r="F10" s="159">
        <v>550</v>
      </c>
      <c r="G10" s="159">
        <v>550</v>
      </c>
      <c r="H10" s="159">
        <v>550</v>
      </c>
      <c r="I10" s="159">
        <v>0</v>
      </c>
      <c r="J10" s="159">
        <v>550</v>
      </c>
      <c r="K10" s="159">
        <v>550</v>
      </c>
      <c r="L10" s="159">
        <v>550</v>
      </c>
      <c r="M10" s="160">
        <v>550</v>
      </c>
      <c r="N10" s="156">
        <v>1170</v>
      </c>
      <c r="O10" s="157">
        <v>1170</v>
      </c>
      <c r="P10" s="157">
        <v>1300</v>
      </c>
      <c r="Q10" s="157">
        <v>1300</v>
      </c>
      <c r="R10" s="157">
        <v>1300</v>
      </c>
      <c r="S10" s="157">
        <v>1300</v>
      </c>
      <c r="T10" s="157">
        <v>1300</v>
      </c>
      <c r="U10" s="157">
        <v>2030</v>
      </c>
      <c r="V10" s="157">
        <v>2170</v>
      </c>
      <c r="W10" s="157">
        <v>2170</v>
      </c>
    </row>
    <row r="11" spans="1:23">
      <c r="A11" s="28" t="s">
        <v>24</v>
      </c>
      <c r="B11" s="158">
        <v>550</v>
      </c>
      <c r="C11" s="159">
        <v>550</v>
      </c>
      <c r="D11" s="159">
        <v>550</v>
      </c>
      <c r="E11" s="159">
        <v>550</v>
      </c>
      <c r="F11" s="159">
        <v>550</v>
      </c>
      <c r="G11" s="159">
        <v>550</v>
      </c>
      <c r="H11" s="159">
        <v>550</v>
      </c>
      <c r="I11" s="159">
        <v>550</v>
      </c>
      <c r="J11" s="159">
        <v>0</v>
      </c>
      <c r="K11" s="159">
        <v>550</v>
      </c>
      <c r="L11" s="159">
        <v>550</v>
      </c>
      <c r="M11" s="160">
        <v>550</v>
      </c>
      <c r="N11" s="156">
        <v>1170</v>
      </c>
      <c r="O11" s="157">
        <v>1170</v>
      </c>
      <c r="P11" s="157">
        <v>1300</v>
      </c>
      <c r="Q11" s="157">
        <v>1300</v>
      </c>
      <c r="R11" s="157">
        <v>1300</v>
      </c>
      <c r="S11" s="157">
        <v>1300</v>
      </c>
      <c r="T11" s="157">
        <v>1300</v>
      </c>
      <c r="U11" s="157">
        <v>2030</v>
      </c>
      <c r="V11" s="157">
        <v>2170</v>
      </c>
      <c r="W11" s="157">
        <v>2170</v>
      </c>
    </row>
    <row r="12" spans="1:23">
      <c r="A12" s="28" t="s">
        <v>11</v>
      </c>
      <c r="B12" s="158">
        <v>550</v>
      </c>
      <c r="C12" s="159">
        <v>550</v>
      </c>
      <c r="D12" s="159">
        <v>550</v>
      </c>
      <c r="E12" s="159">
        <v>550</v>
      </c>
      <c r="F12" s="159">
        <v>550</v>
      </c>
      <c r="G12" s="159">
        <v>550</v>
      </c>
      <c r="H12" s="159">
        <v>550</v>
      </c>
      <c r="I12" s="159">
        <v>550</v>
      </c>
      <c r="J12" s="159">
        <v>550</v>
      </c>
      <c r="K12" s="159">
        <v>0</v>
      </c>
      <c r="L12" s="159">
        <v>550</v>
      </c>
      <c r="M12" s="160">
        <v>550</v>
      </c>
      <c r="N12" s="156">
        <v>1170</v>
      </c>
      <c r="O12" s="157">
        <v>1170</v>
      </c>
      <c r="P12" s="157">
        <v>1300</v>
      </c>
      <c r="Q12" s="157">
        <v>1300</v>
      </c>
      <c r="R12" s="157">
        <v>1300</v>
      </c>
      <c r="S12" s="157">
        <v>1300</v>
      </c>
      <c r="T12" s="157">
        <v>1300</v>
      </c>
      <c r="U12" s="157">
        <v>2030</v>
      </c>
      <c r="V12" s="157">
        <v>2170</v>
      </c>
      <c r="W12" s="157">
        <v>2170</v>
      </c>
    </row>
    <row r="13" spans="1:23">
      <c r="A13" s="28" t="s">
        <v>25</v>
      </c>
      <c r="B13" s="158">
        <v>550</v>
      </c>
      <c r="C13" s="159">
        <v>550</v>
      </c>
      <c r="D13" s="159">
        <v>550</v>
      </c>
      <c r="E13" s="159">
        <v>550</v>
      </c>
      <c r="F13" s="159">
        <v>550</v>
      </c>
      <c r="G13" s="159">
        <v>550</v>
      </c>
      <c r="H13" s="159">
        <v>550</v>
      </c>
      <c r="I13" s="159">
        <v>550</v>
      </c>
      <c r="J13" s="159">
        <v>550</v>
      </c>
      <c r="K13" s="159">
        <v>550</v>
      </c>
      <c r="L13" s="159">
        <v>0</v>
      </c>
      <c r="M13" s="160">
        <v>550</v>
      </c>
      <c r="N13" s="156">
        <v>1170</v>
      </c>
      <c r="O13" s="157">
        <v>1170</v>
      </c>
      <c r="P13" s="157">
        <v>1300</v>
      </c>
      <c r="Q13" s="157">
        <v>1300</v>
      </c>
      <c r="R13" s="157">
        <v>1300</v>
      </c>
      <c r="S13" s="157">
        <v>1300</v>
      </c>
      <c r="T13" s="157">
        <v>1300</v>
      </c>
      <c r="U13" s="157">
        <v>2030</v>
      </c>
      <c r="V13" s="157">
        <v>2170</v>
      </c>
      <c r="W13" s="157">
        <v>2170</v>
      </c>
    </row>
    <row r="14" spans="1:23" ht="16.5" thickBot="1">
      <c r="A14" s="28" t="s">
        <v>13</v>
      </c>
      <c r="B14" s="161">
        <v>550</v>
      </c>
      <c r="C14" s="32">
        <v>550</v>
      </c>
      <c r="D14" s="32">
        <v>550</v>
      </c>
      <c r="E14" s="32">
        <v>550</v>
      </c>
      <c r="F14" s="32">
        <v>550</v>
      </c>
      <c r="G14" s="32">
        <v>550</v>
      </c>
      <c r="H14" s="32">
        <v>550</v>
      </c>
      <c r="I14" s="32">
        <v>550</v>
      </c>
      <c r="J14" s="32">
        <v>550</v>
      </c>
      <c r="K14" s="32">
        <v>550</v>
      </c>
      <c r="L14" s="32">
        <v>550</v>
      </c>
      <c r="M14" s="162">
        <v>0</v>
      </c>
      <c r="N14" s="156">
        <v>650</v>
      </c>
      <c r="O14" s="157">
        <v>650</v>
      </c>
      <c r="P14" s="157">
        <v>1300</v>
      </c>
      <c r="Q14" s="157">
        <v>1300</v>
      </c>
      <c r="R14" s="157">
        <v>1300</v>
      </c>
      <c r="S14" s="157">
        <v>1300</v>
      </c>
      <c r="T14" s="157">
        <v>1300</v>
      </c>
      <c r="U14" s="157">
        <v>2030</v>
      </c>
      <c r="V14" s="157">
        <v>2170</v>
      </c>
      <c r="W14" s="157">
        <v>2170</v>
      </c>
    </row>
    <row r="15" spans="1:23">
      <c r="A15" s="28" t="s">
        <v>14</v>
      </c>
      <c r="B15" s="163">
        <v>1170</v>
      </c>
      <c r="C15" s="163">
        <v>1170</v>
      </c>
      <c r="D15" s="163">
        <v>1170</v>
      </c>
      <c r="E15" s="163">
        <v>1170</v>
      </c>
      <c r="F15" s="163">
        <v>1170</v>
      </c>
      <c r="G15" s="163">
        <v>1170</v>
      </c>
      <c r="H15" s="163">
        <v>1170</v>
      </c>
      <c r="I15" s="163">
        <v>1170</v>
      </c>
      <c r="J15" s="163">
        <v>1170</v>
      </c>
      <c r="K15" s="163">
        <v>1170</v>
      </c>
      <c r="L15" s="163">
        <v>1170</v>
      </c>
      <c r="M15" s="163">
        <v>650</v>
      </c>
      <c r="N15" s="157">
        <v>0</v>
      </c>
      <c r="O15" s="157">
        <v>650</v>
      </c>
      <c r="P15" s="157">
        <v>650</v>
      </c>
      <c r="Q15" s="157">
        <v>1200</v>
      </c>
      <c r="R15" s="157">
        <v>1200</v>
      </c>
      <c r="S15" s="157">
        <v>1200</v>
      </c>
      <c r="T15" s="157">
        <v>1200</v>
      </c>
      <c r="U15" s="157">
        <v>1840</v>
      </c>
      <c r="V15" s="157">
        <v>1840</v>
      </c>
      <c r="W15" s="157">
        <v>1840</v>
      </c>
    </row>
    <row r="16" spans="1:23">
      <c r="A16" s="28" t="s">
        <v>15</v>
      </c>
      <c r="B16" s="157">
        <v>1170</v>
      </c>
      <c r="C16" s="157">
        <v>1170</v>
      </c>
      <c r="D16" s="157">
        <v>1170</v>
      </c>
      <c r="E16" s="157">
        <v>1170</v>
      </c>
      <c r="F16" s="157">
        <v>1170</v>
      </c>
      <c r="G16" s="157">
        <v>1170</v>
      </c>
      <c r="H16" s="157">
        <v>1170</v>
      </c>
      <c r="I16" s="157">
        <v>1170</v>
      </c>
      <c r="J16" s="157">
        <v>1170</v>
      </c>
      <c r="K16" s="157">
        <v>1170</v>
      </c>
      <c r="L16" s="157">
        <v>1170</v>
      </c>
      <c r="M16" s="157">
        <v>650</v>
      </c>
      <c r="N16" s="157">
        <v>650</v>
      </c>
      <c r="O16" s="157">
        <v>0</v>
      </c>
      <c r="P16" s="157">
        <v>650</v>
      </c>
      <c r="Q16" s="157">
        <v>650</v>
      </c>
      <c r="R16" s="157">
        <v>1200</v>
      </c>
      <c r="S16" s="157">
        <v>1200</v>
      </c>
      <c r="T16" s="157">
        <v>1200</v>
      </c>
      <c r="U16" s="157">
        <v>1200</v>
      </c>
      <c r="V16" s="157">
        <v>1840</v>
      </c>
      <c r="W16" s="157">
        <v>1840</v>
      </c>
    </row>
    <row r="17" spans="1:23">
      <c r="A17" s="28" t="s">
        <v>16</v>
      </c>
      <c r="B17" s="157">
        <v>1300</v>
      </c>
      <c r="C17" s="157">
        <v>1300</v>
      </c>
      <c r="D17" s="157">
        <v>1300</v>
      </c>
      <c r="E17" s="157">
        <v>1300</v>
      </c>
      <c r="F17" s="157">
        <v>1300</v>
      </c>
      <c r="G17" s="157">
        <v>1300</v>
      </c>
      <c r="H17" s="157">
        <v>1300</v>
      </c>
      <c r="I17" s="157">
        <v>1300</v>
      </c>
      <c r="J17" s="157">
        <v>1300</v>
      </c>
      <c r="K17" s="157">
        <v>1300</v>
      </c>
      <c r="L17" s="157">
        <v>1300</v>
      </c>
      <c r="M17" s="157">
        <v>1300</v>
      </c>
      <c r="N17" s="157">
        <v>650</v>
      </c>
      <c r="O17" s="157">
        <v>650</v>
      </c>
      <c r="P17" s="157">
        <v>0</v>
      </c>
      <c r="Q17" s="157">
        <v>650</v>
      </c>
      <c r="R17" s="157">
        <v>650</v>
      </c>
      <c r="S17" s="157">
        <v>650</v>
      </c>
      <c r="T17" s="157">
        <v>1200</v>
      </c>
      <c r="U17" s="157">
        <v>1200</v>
      </c>
      <c r="V17" s="157">
        <v>1200</v>
      </c>
      <c r="W17" s="157">
        <v>1200</v>
      </c>
    </row>
    <row r="18" spans="1:23">
      <c r="A18" s="28" t="s">
        <v>17</v>
      </c>
      <c r="B18" s="157">
        <v>1300</v>
      </c>
      <c r="C18" s="157">
        <v>1300</v>
      </c>
      <c r="D18" s="157">
        <v>1300</v>
      </c>
      <c r="E18" s="157">
        <v>1300</v>
      </c>
      <c r="F18" s="157">
        <v>1300</v>
      </c>
      <c r="G18" s="157">
        <v>1300</v>
      </c>
      <c r="H18" s="157">
        <v>1300</v>
      </c>
      <c r="I18" s="157">
        <v>1300</v>
      </c>
      <c r="J18" s="157">
        <v>1300</v>
      </c>
      <c r="K18" s="157">
        <v>1300</v>
      </c>
      <c r="L18" s="157">
        <v>1300</v>
      </c>
      <c r="M18" s="157">
        <v>1300</v>
      </c>
      <c r="N18" s="157">
        <v>1200</v>
      </c>
      <c r="O18" s="157">
        <v>650</v>
      </c>
      <c r="P18" s="157">
        <v>650</v>
      </c>
      <c r="Q18" s="157">
        <v>0</v>
      </c>
      <c r="R18" s="157">
        <v>650</v>
      </c>
      <c r="S18" s="157">
        <v>650</v>
      </c>
      <c r="T18" s="157">
        <v>1200</v>
      </c>
      <c r="U18" s="157">
        <v>1200</v>
      </c>
      <c r="V18" s="157">
        <v>1200</v>
      </c>
      <c r="W18" s="157">
        <v>1200</v>
      </c>
    </row>
    <row r="19" spans="1:23">
      <c r="A19" s="28" t="s">
        <v>18</v>
      </c>
      <c r="B19" s="157">
        <v>1300</v>
      </c>
      <c r="C19" s="157">
        <v>1300</v>
      </c>
      <c r="D19" s="157">
        <v>1300</v>
      </c>
      <c r="E19" s="157">
        <v>1300</v>
      </c>
      <c r="F19" s="157">
        <v>1300</v>
      </c>
      <c r="G19" s="157">
        <v>1300</v>
      </c>
      <c r="H19" s="157">
        <v>1300</v>
      </c>
      <c r="I19" s="157">
        <v>1300</v>
      </c>
      <c r="J19" s="157">
        <v>1300</v>
      </c>
      <c r="K19" s="157">
        <v>1300</v>
      </c>
      <c r="L19" s="157">
        <v>1300</v>
      </c>
      <c r="M19" s="157">
        <v>1300</v>
      </c>
      <c r="N19" s="157">
        <v>1200</v>
      </c>
      <c r="O19" s="157">
        <v>1200</v>
      </c>
      <c r="P19" s="157">
        <v>650</v>
      </c>
      <c r="Q19" s="157">
        <v>650</v>
      </c>
      <c r="R19" s="157">
        <v>0</v>
      </c>
      <c r="S19" s="157">
        <v>650</v>
      </c>
      <c r="T19" s="157">
        <v>650</v>
      </c>
      <c r="U19" s="157">
        <v>1200</v>
      </c>
      <c r="V19" s="157">
        <v>1200</v>
      </c>
      <c r="W19" s="157">
        <v>1200</v>
      </c>
    </row>
    <row r="20" spans="1:23">
      <c r="A20" s="28" t="s">
        <v>19</v>
      </c>
      <c r="B20" s="157">
        <v>1300</v>
      </c>
      <c r="C20" s="157">
        <v>1300</v>
      </c>
      <c r="D20" s="157">
        <v>1300</v>
      </c>
      <c r="E20" s="157">
        <v>1300</v>
      </c>
      <c r="F20" s="157">
        <v>1300</v>
      </c>
      <c r="G20" s="157">
        <v>1300</v>
      </c>
      <c r="H20" s="157">
        <v>1300</v>
      </c>
      <c r="I20" s="157">
        <v>1300</v>
      </c>
      <c r="J20" s="157">
        <v>1300</v>
      </c>
      <c r="K20" s="157">
        <v>1300</v>
      </c>
      <c r="L20" s="157">
        <v>1300</v>
      </c>
      <c r="M20" s="157">
        <v>1300</v>
      </c>
      <c r="N20" s="157">
        <v>1200</v>
      </c>
      <c r="O20" s="157">
        <v>1200</v>
      </c>
      <c r="P20" s="157">
        <v>650</v>
      </c>
      <c r="Q20" s="157">
        <v>650</v>
      </c>
      <c r="R20" s="157">
        <v>650</v>
      </c>
      <c r="S20" s="157">
        <v>0</v>
      </c>
      <c r="T20" s="157">
        <v>650</v>
      </c>
      <c r="U20" s="157">
        <v>1200</v>
      </c>
      <c r="V20" s="157">
        <v>1200</v>
      </c>
      <c r="W20" s="157">
        <v>1200</v>
      </c>
    </row>
    <row r="21" spans="1:23">
      <c r="A21" s="28" t="s">
        <v>20</v>
      </c>
      <c r="B21" s="157">
        <v>1300</v>
      </c>
      <c r="C21" s="157">
        <v>1300</v>
      </c>
      <c r="D21" s="157">
        <v>1300</v>
      </c>
      <c r="E21" s="157">
        <v>1300</v>
      </c>
      <c r="F21" s="157">
        <v>1300</v>
      </c>
      <c r="G21" s="157">
        <v>1300</v>
      </c>
      <c r="H21" s="157">
        <v>1300</v>
      </c>
      <c r="I21" s="157">
        <v>1300</v>
      </c>
      <c r="J21" s="157">
        <v>1300</v>
      </c>
      <c r="K21" s="157">
        <v>1300</v>
      </c>
      <c r="L21" s="157">
        <v>1300</v>
      </c>
      <c r="M21" s="157">
        <v>1300</v>
      </c>
      <c r="N21" s="157">
        <v>1200</v>
      </c>
      <c r="O21" s="157">
        <v>1200</v>
      </c>
      <c r="P21" s="157">
        <v>1200</v>
      </c>
      <c r="Q21" s="157">
        <v>1200</v>
      </c>
      <c r="R21" s="157">
        <v>650</v>
      </c>
      <c r="S21" s="157">
        <v>650</v>
      </c>
      <c r="T21" s="157">
        <v>0</v>
      </c>
      <c r="U21" s="157">
        <v>650</v>
      </c>
      <c r="V21" s="157">
        <v>1200</v>
      </c>
      <c r="W21" s="157">
        <v>1200</v>
      </c>
    </row>
    <row r="22" spans="1:23">
      <c r="A22" s="28" t="s">
        <v>21</v>
      </c>
      <c r="B22" s="157">
        <v>2030</v>
      </c>
      <c r="C22" s="157">
        <v>2030</v>
      </c>
      <c r="D22" s="157">
        <v>2030</v>
      </c>
      <c r="E22" s="157">
        <v>2030</v>
      </c>
      <c r="F22" s="157">
        <v>2030</v>
      </c>
      <c r="G22" s="157">
        <v>2030</v>
      </c>
      <c r="H22" s="157">
        <v>2030</v>
      </c>
      <c r="I22" s="157">
        <v>2030</v>
      </c>
      <c r="J22" s="157">
        <v>2030</v>
      </c>
      <c r="K22" s="157">
        <v>2030</v>
      </c>
      <c r="L22" s="157">
        <v>2030</v>
      </c>
      <c r="M22" s="157">
        <v>2030</v>
      </c>
      <c r="N22" s="157">
        <v>1840</v>
      </c>
      <c r="O22" s="157">
        <v>1200</v>
      </c>
      <c r="P22" s="157">
        <v>1200</v>
      </c>
      <c r="Q22" s="157">
        <v>1200</v>
      </c>
      <c r="R22" s="157">
        <v>1200</v>
      </c>
      <c r="S22" s="157">
        <v>1200</v>
      </c>
      <c r="T22" s="157">
        <v>650</v>
      </c>
      <c r="U22" s="157">
        <v>0</v>
      </c>
      <c r="V22" s="157">
        <v>650</v>
      </c>
      <c r="W22" s="157">
        <v>1200</v>
      </c>
    </row>
    <row r="23" spans="1:23">
      <c r="A23" s="28" t="s">
        <v>22</v>
      </c>
      <c r="B23" s="157">
        <v>2170</v>
      </c>
      <c r="C23" s="157">
        <v>2170</v>
      </c>
      <c r="D23" s="157">
        <v>2170</v>
      </c>
      <c r="E23" s="157">
        <v>2170</v>
      </c>
      <c r="F23" s="157">
        <v>2170</v>
      </c>
      <c r="G23" s="157">
        <v>2170</v>
      </c>
      <c r="H23" s="157">
        <v>2170</v>
      </c>
      <c r="I23" s="157">
        <v>2170</v>
      </c>
      <c r="J23" s="157">
        <v>2170</v>
      </c>
      <c r="K23" s="157">
        <v>2170</v>
      </c>
      <c r="L23" s="157">
        <v>2170</v>
      </c>
      <c r="M23" s="157">
        <v>2170</v>
      </c>
      <c r="N23" s="157">
        <v>1840</v>
      </c>
      <c r="O23" s="157">
        <v>1840</v>
      </c>
      <c r="P23" s="157">
        <v>1200</v>
      </c>
      <c r="Q23" s="157">
        <v>1200</v>
      </c>
      <c r="R23" s="157">
        <v>1200</v>
      </c>
      <c r="S23" s="157">
        <v>1200</v>
      </c>
      <c r="T23" s="157">
        <v>1200</v>
      </c>
      <c r="U23" s="157">
        <v>650</v>
      </c>
      <c r="V23" s="157">
        <v>0</v>
      </c>
      <c r="W23" s="157">
        <v>650</v>
      </c>
    </row>
    <row r="24" spans="1:23">
      <c r="A24" s="28" t="s">
        <v>23</v>
      </c>
      <c r="B24" s="157">
        <v>2170</v>
      </c>
      <c r="C24" s="157">
        <v>2170</v>
      </c>
      <c r="D24" s="157">
        <v>2170</v>
      </c>
      <c r="E24" s="157">
        <v>2170</v>
      </c>
      <c r="F24" s="157">
        <v>2170</v>
      </c>
      <c r="G24" s="157">
        <v>2170</v>
      </c>
      <c r="H24" s="157">
        <v>2170</v>
      </c>
      <c r="I24" s="157">
        <v>2170</v>
      </c>
      <c r="J24" s="157">
        <v>2170</v>
      </c>
      <c r="K24" s="157">
        <v>2170</v>
      </c>
      <c r="L24" s="157">
        <v>2170</v>
      </c>
      <c r="M24" s="157">
        <v>2170</v>
      </c>
      <c r="N24" s="157">
        <v>1840</v>
      </c>
      <c r="O24" s="157">
        <v>1840</v>
      </c>
      <c r="P24" s="157">
        <v>1200</v>
      </c>
      <c r="Q24" s="157">
        <v>1200</v>
      </c>
      <c r="R24" s="157">
        <v>1200</v>
      </c>
      <c r="S24" s="157">
        <v>1200</v>
      </c>
      <c r="T24" s="157">
        <v>1200</v>
      </c>
      <c r="U24" s="157">
        <v>1200</v>
      </c>
      <c r="V24" s="157">
        <v>650</v>
      </c>
      <c r="W24" s="157">
        <v>0</v>
      </c>
    </row>
    <row r="25" spans="1:23">
      <c r="A25" s="34">
        <v>0.5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>
      <c r="A26" s="119" t="s">
        <v>26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</row>
    <row r="27" spans="1:23" ht="69.75" thickBot="1">
      <c r="A27" s="155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6" t="s">
        <v>9</v>
      </c>
      <c r="J27" s="26" t="s">
        <v>10</v>
      </c>
      <c r="K27" s="27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6" t="s">
        <v>16</v>
      </c>
      <c r="Q27" s="26" t="s">
        <v>17</v>
      </c>
      <c r="R27" s="26" t="s">
        <v>18</v>
      </c>
      <c r="S27" s="26" t="s">
        <v>19</v>
      </c>
      <c r="T27" s="26" t="s">
        <v>20</v>
      </c>
      <c r="U27" s="26" t="s">
        <v>21</v>
      </c>
      <c r="V27" s="26" t="s">
        <v>22</v>
      </c>
      <c r="W27" s="26" t="s">
        <v>23</v>
      </c>
    </row>
    <row r="28" spans="1:23">
      <c r="A28" s="28" t="s">
        <v>2</v>
      </c>
      <c r="B28" s="36">
        <f t="shared" ref="B28:W28" si="0">MROUND(B3*$A$25,10)</f>
        <v>0</v>
      </c>
      <c r="C28" s="37">
        <f t="shared" si="0"/>
        <v>280</v>
      </c>
      <c r="D28" s="37">
        <f t="shared" si="0"/>
        <v>280</v>
      </c>
      <c r="E28" s="37">
        <f t="shared" si="0"/>
        <v>280</v>
      </c>
      <c r="F28" s="37">
        <f t="shared" si="0"/>
        <v>280</v>
      </c>
      <c r="G28" s="37">
        <f t="shared" si="0"/>
        <v>280</v>
      </c>
      <c r="H28" s="37">
        <f t="shared" si="0"/>
        <v>280</v>
      </c>
      <c r="I28" s="37">
        <f t="shared" si="0"/>
        <v>280</v>
      </c>
      <c r="J28" s="37">
        <f t="shared" si="0"/>
        <v>280</v>
      </c>
      <c r="K28" s="37">
        <f t="shared" si="0"/>
        <v>280</v>
      </c>
      <c r="L28" s="37">
        <f t="shared" si="0"/>
        <v>280</v>
      </c>
      <c r="M28" s="38">
        <f t="shared" si="0"/>
        <v>280</v>
      </c>
      <c r="N28" s="156">
        <f t="shared" si="0"/>
        <v>590</v>
      </c>
      <c r="O28" s="157">
        <f t="shared" si="0"/>
        <v>590</v>
      </c>
      <c r="P28" s="157">
        <f t="shared" si="0"/>
        <v>650</v>
      </c>
      <c r="Q28" s="157">
        <f t="shared" si="0"/>
        <v>650</v>
      </c>
      <c r="R28" s="157">
        <f t="shared" si="0"/>
        <v>650</v>
      </c>
      <c r="S28" s="157">
        <f t="shared" si="0"/>
        <v>650</v>
      </c>
      <c r="T28" s="157">
        <f t="shared" si="0"/>
        <v>650</v>
      </c>
      <c r="U28" s="157">
        <f t="shared" si="0"/>
        <v>1020</v>
      </c>
      <c r="V28" s="157">
        <f t="shared" si="0"/>
        <v>1090</v>
      </c>
      <c r="W28" s="157">
        <f t="shared" si="0"/>
        <v>1090</v>
      </c>
    </row>
    <row r="29" spans="1:23">
      <c r="A29" s="28" t="s">
        <v>3</v>
      </c>
      <c r="B29" s="164">
        <f t="shared" ref="B29:W29" si="1">MROUND(B4*$A$25,10)</f>
        <v>280</v>
      </c>
      <c r="C29" s="157">
        <f t="shared" si="1"/>
        <v>0</v>
      </c>
      <c r="D29" s="157">
        <f t="shared" si="1"/>
        <v>280</v>
      </c>
      <c r="E29" s="157">
        <f t="shared" si="1"/>
        <v>280</v>
      </c>
      <c r="F29" s="157">
        <f t="shared" si="1"/>
        <v>280</v>
      </c>
      <c r="G29" s="157">
        <f t="shared" si="1"/>
        <v>280</v>
      </c>
      <c r="H29" s="157">
        <f t="shared" si="1"/>
        <v>280</v>
      </c>
      <c r="I29" s="157">
        <f t="shared" si="1"/>
        <v>280</v>
      </c>
      <c r="J29" s="157">
        <f t="shared" si="1"/>
        <v>280</v>
      </c>
      <c r="K29" s="157">
        <f t="shared" si="1"/>
        <v>280</v>
      </c>
      <c r="L29" s="157">
        <f t="shared" si="1"/>
        <v>280</v>
      </c>
      <c r="M29" s="165">
        <f t="shared" si="1"/>
        <v>280</v>
      </c>
      <c r="N29" s="156">
        <f t="shared" si="1"/>
        <v>590</v>
      </c>
      <c r="O29" s="157">
        <f t="shared" si="1"/>
        <v>590</v>
      </c>
      <c r="P29" s="157">
        <f t="shared" si="1"/>
        <v>650</v>
      </c>
      <c r="Q29" s="157">
        <f t="shared" si="1"/>
        <v>650</v>
      </c>
      <c r="R29" s="157">
        <f t="shared" si="1"/>
        <v>650</v>
      </c>
      <c r="S29" s="157">
        <f t="shared" si="1"/>
        <v>650</v>
      </c>
      <c r="T29" s="157">
        <f t="shared" si="1"/>
        <v>650</v>
      </c>
      <c r="U29" s="157">
        <f t="shared" si="1"/>
        <v>1020</v>
      </c>
      <c r="V29" s="157">
        <f t="shared" si="1"/>
        <v>1090</v>
      </c>
      <c r="W29" s="157">
        <f t="shared" si="1"/>
        <v>1090</v>
      </c>
    </row>
    <row r="30" spans="1:23">
      <c r="A30" s="28" t="s">
        <v>4</v>
      </c>
      <c r="B30" s="164">
        <f t="shared" ref="B30:W30" si="2">MROUND(B5*$A$25,10)</f>
        <v>280</v>
      </c>
      <c r="C30" s="157">
        <f t="shared" si="2"/>
        <v>280</v>
      </c>
      <c r="D30" s="157">
        <f t="shared" si="2"/>
        <v>0</v>
      </c>
      <c r="E30" s="157">
        <f t="shared" si="2"/>
        <v>280</v>
      </c>
      <c r="F30" s="157">
        <f t="shared" si="2"/>
        <v>280</v>
      </c>
      <c r="G30" s="157">
        <f t="shared" si="2"/>
        <v>280</v>
      </c>
      <c r="H30" s="157">
        <f t="shared" si="2"/>
        <v>280</v>
      </c>
      <c r="I30" s="157">
        <f t="shared" si="2"/>
        <v>280</v>
      </c>
      <c r="J30" s="157">
        <f t="shared" si="2"/>
        <v>280</v>
      </c>
      <c r="K30" s="157">
        <f t="shared" si="2"/>
        <v>280</v>
      </c>
      <c r="L30" s="157">
        <f t="shared" si="2"/>
        <v>280</v>
      </c>
      <c r="M30" s="165">
        <f t="shared" si="2"/>
        <v>280</v>
      </c>
      <c r="N30" s="156">
        <f t="shared" si="2"/>
        <v>590</v>
      </c>
      <c r="O30" s="157">
        <f t="shared" si="2"/>
        <v>590</v>
      </c>
      <c r="P30" s="157">
        <f t="shared" si="2"/>
        <v>650</v>
      </c>
      <c r="Q30" s="157">
        <f t="shared" si="2"/>
        <v>650</v>
      </c>
      <c r="R30" s="157">
        <f t="shared" si="2"/>
        <v>650</v>
      </c>
      <c r="S30" s="157">
        <f t="shared" si="2"/>
        <v>650</v>
      </c>
      <c r="T30" s="157">
        <f t="shared" si="2"/>
        <v>650</v>
      </c>
      <c r="U30" s="157">
        <f t="shared" si="2"/>
        <v>1020</v>
      </c>
      <c r="V30" s="157">
        <f t="shared" si="2"/>
        <v>1090</v>
      </c>
      <c r="W30" s="157">
        <f t="shared" si="2"/>
        <v>1090</v>
      </c>
    </row>
    <row r="31" spans="1:23">
      <c r="A31" s="28" t="s">
        <v>5</v>
      </c>
      <c r="B31" s="164">
        <f t="shared" ref="B31:W31" si="3">MROUND(B6*$A$25,10)</f>
        <v>280</v>
      </c>
      <c r="C31" s="157">
        <f t="shared" si="3"/>
        <v>280</v>
      </c>
      <c r="D31" s="157">
        <f t="shared" si="3"/>
        <v>280</v>
      </c>
      <c r="E31" s="157">
        <f t="shared" si="3"/>
        <v>0</v>
      </c>
      <c r="F31" s="157">
        <f t="shared" si="3"/>
        <v>280</v>
      </c>
      <c r="G31" s="157">
        <f t="shared" si="3"/>
        <v>280</v>
      </c>
      <c r="H31" s="157">
        <f t="shared" si="3"/>
        <v>280</v>
      </c>
      <c r="I31" s="157">
        <f t="shared" si="3"/>
        <v>280</v>
      </c>
      <c r="J31" s="157">
        <f t="shared" si="3"/>
        <v>280</v>
      </c>
      <c r="K31" s="157">
        <f t="shared" si="3"/>
        <v>280</v>
      </c>
      <c r="L31" s="157">
        <f t="shared" si="3"/>
        <v>280</v>
      </c>
      <c r="M31" s="165">
        <f t="shared" si="3"/>
        <v>280</v>
      </c>
      <c r="N31" s="156">
        <f t="shared" si="3"/>
        <v>590</v>
      </c>
      <c r="O31" s="157">
        <f t="shared" si="3"/>
        <v>590</v>
      </c>
      <c r="P31" s="157">
        <f t="shared" si="3"/>
        <v>650</v>
      </c>
      <c r="Q31" s="157">
        <f t="shared" si="3"/>
        <v>650</v>
      </c>
      <c r="R31" s="157">
        <f t="shared" si="3"/>
        <v>650</v>
      </c>
      <c r="S31" s="157">
        <f t="shared" si="3"/>
        <v>650</v>
      </c>
      <c r="T31" s="157">
        <f t="shared" si="3"/>
        <v>650</v>
      </c>
      <c r="U31" s="157">
        <f t="shared" si="3"/>
        <v>1020</v>
      </c>
      <c r="V31" s="157">
        <f t="shared" si="3"/>
        <v>1090</v>
      </c>
      <c r="W31" s="157">
        <f t="shared" si="3"/>
        <v>1090</v>
      </c>
    </row>
    <row r="32" spans="1:23">
      <c r="A32" s="28" t="s">
        <v>6</v>
      </c>
      <c r="B32" s="164">
        <f t="shared" ref="B32:W32" si="4">MROUND(B7*$A$25,10)</f>
        <v>280</v>
      </c>
      <c r="C32" s="157">
        <f t="shared" si="4"/>
        <v>280</v>
      </c>
      <c r="D32" s="157">
        <f t="shared" si="4"/>
        <v>280</v>
      </c>
      <c r="E32" s="157">
        <f t="shared" si="4"/>
        <v>280</v>
      </c>
      <c r="F32" s="157">
        <f t="shared" si="4"/>
        <v>0</v>
      </c>
      <c r="G32" s="157">
        <f t="shared" si="4"/>
        <v>280</v>
      </c>
      <c r="H32" s="157">
        <f t="shared" si="4"/>
        <v>280</v>
      </c>
      <c r="I32" s="157">
        <f t="shared" si="4"/>
        <v>280</v>
      </c>
      <c r="J32" s="157">
        <f t="shared" si="4"/>
        <v>280</v>
      </c>
      <c r="K32" s="157">
        <f t="shared" si="4"/>
        <v>280</v>
      </c>
      <c r="L32" s="157">
        <f t="shared" si="4"/>
        <v>280</v>
      </c>
      <c r="M32" s="165">
        <f t="shared" si="4"/>
        <v>280</v>
      </c>
      <c r="N32" s="156">
        <f t="shared" si="4"/>
        <v>590</v>
      </c>
      <c r="O32" s="157">
        <f t="shared" si="4"/>
        <v>590</v>
      </c>
      <c r="P32" s="157">
        <f t="shared" si="4"/>
        <v>650</v>
      </c>
      <c r="Q32" s="157">
        <f t="shared" si="4"/>
        <v>650</v>
      </c>
      <c r="R32" s="157">
        <f t="shared" si="4"/>
        <v>650</v>
      </c>
      <c r="S32" s="157">
        <f t="shared" si="4"/>
        <v>650</v>
      </c>
      <c r="T32" s="157">
        <f t="shared" si="4"/>
        <v>650</v>
      </c>
      <c r="U32" s="157">
        <f t="shared" si="4"/>
        <v>1020</v>
      </c>
      <c r="V32" s="157">
        <f t="shared" si="4"/>
        <v>1090</v>
      </c>
      <c r="W32" s="157">
        <f t="shared" si="4"/>
        <v>1090</v>
      </c>
    </row>
    <row r="33" spans="1:23">
      <c r="A33" s="28" t="s">
        <v>7</v>
      </c>
      <c r="B33" s="164">
        <f t="shared" ref="B33:W33" si="5">MROUND(B8*$A$25,10)</f>
        <v>280</v>
      </c>
      <c r="C33" s="157">
        <f t="shared" si="5"/>
        <v>280</v>
      </c>
      <c r="D33" s="157">
        <f t="shared" si="5"/>
        <v>280</v>
      </c>
      <c r="E33" s="157">
        <f t="shared" si="5"/>
        <v>280</v>
      </c>
      <c r="F33" s="157">
        <f t="shared" si="5"/>
        <v>280</v>
      </c>
      <c r="G33" s="157">
        <f t="shared" si="5"/>
        <v>0</v>
      </c>
      <c r="H33" s="157">
        <f t="shared" si="5"/>
        <v>280</v>
      </c>
      <c r="I33" s="157">
        <f t="shared" si="5"/>
        <v>280</v>
      </c>
      <c r="J33" s="157">
        <f t="shared" si="5"/>
        <v>280</v>
      </c>
      <c r="K33" s="157">
        <f t="shared" si="5"/>
        <v>280</v>
      </c>
      <c r="L33" s="157">
        <f t="shared" si="5"/>
        <v>280</v>
      </c>
      <c r="M33" s="165">
        <f t="shared" si="5"/>
        <v>280</v>
      </c>
      <c r="N33" s="156">
        <f t="shared" si="5"/>
        <v>590</v>
      </c>
      <c r="O33" s="157">
        <f t="shared" si="5"/>
        <v>590</v>
      </c>
      <c r="P33" s="157">
        <f t="shared" si="5"/>
        <v>650</v>
      </c>
      <c r="Q33" s="157">
        <f t="shared" si="5"/>
        <v>650</v>
      </c>
      <c r="R33" s="157">
        <f t="shared" si="5"/>
        <v>650</v>
      </c>
      <c r="S33" s="157">
        <f t="shared" si="5"/>
        <v>650</v>
      </c>
      <c r="T33" s="157">
        <f t="shared" si="5"/>
        <v>650</v>
      </c>
      <c r="U33" s="157">
        <f t="shared" si="5"/>
        <v>1020</v>
      </c>
      <c r="V33" s="157">
        <f t="shared" si="5"/>
        <v>1090</v>
      </c>
      <c r="W33" s="157">
        <f t="shared" si="5"/>
        <v>1090</v>
      </c>
    </row>
    <row r="34" spans="1:23">
      <c r="A34" s="28" t="s">
        <v>8</v>
      </c>
      <c r="B34" s="164">
        <f t="shared" ref="B34:W34" si="6">MROUND(B9*$A$25,10)</f>
        <v>280</v>
      </c>
      <c r="C34" s="157">
        <f t="shared" si="6"/>
        <v>280</v>
      </c>
      <c r="D34" s="157">
        <f t="shared" si="6"/>
        <v>280</v>
      </c>
      <c r="E34" s="157">
        <f t="shared" si="6"/>
        <v>280</v>
      </c>
      <c r="F34" s="157">
        <f t="shared" si="6"/>
        <v>280</v>
      </c>
      <c r="G34" s="157">
        <f t="shared" si="6"/>
        <v>280</v>
      </c>
      <c r="H34" s="157">
        <f t="shared" si="6"/>
        <v>0</v>
      </c>
      <c r="I34" s="157">
        <f t="shared" si="6"/>
        <v>280</v>
      </c>
      <c r="J34" s="157">
        <f t="shared" si="6"/>
        <v>280</v>
      </c>
      <c r="K34" s="157">
        <f t="shared" si="6"/>
        <v>280</v>
      </c>
      <c r="L34" s="157">
        <f t="shared" si="6"/>
        <v>280</v>
      </c>
      <c r="M34" s="165">
        <f t="shared" si="6"/>
        <v>280</v>
      </c>
      <c r="N34" s="156">
        <f t="shared" si="6"/>
        <v>590</v>
      </c>
      <c r="O34" s="157">
        <f t="shared" si="6"/>
        <v>590</v>
      </c>
      <c r="P34" s="157">
        <f t="shared" si="6"/>
        <v>650</v>
      </c>
      <c r="Q34" s="157">
        <f t="shared" si="6"/>
        <v>650</v>
      </c>
      <c r="R34" s="157">
        <f t="shared" si="6"/>
        <v>650</v>
      </c>
      <c r="S34" s="157">
        <f t="shared" si="6"/>
        <v>650</v>
      </c>
      <c r="T34" s="157">
        <f t="shared" si="6"/>
        <v>650</v>
      </c>
      <c r="U34" s="157">
        <f t="shared" si="6"/>
        <v>1020</v>
      </c>
      <c r="V34" s="157">
        <f t="shared" si="6"/>
        <v>1090</v>
      </c>
      <c r="W34" s="157">
        <f t="shared" si="6"/>
        <v>1090</v>
      </c>
    </row>
    <row r="35" spans="1:23">
      <c r="A35" s="28" t="s">
        <v>9</v>
      </c>
      <c r="B35" s="164">
        <f t="shared" ref="B35:W35" si="7">MROUND(B10*$A$25,10)</f>
        <v>280</v>
      </c>
      <c r="C35" s="157">
        <f t="shared" si="7"/>
        <v>280</v>
      </c>
      <c r="D35" s="157">
        <f t="shared" si="7"/>
        <v>280</v>
      </c>
      <c r="E35" s="157">
        <f t="shared" si="7"/>
        <v>280</v>
      </c>
      <c r="F35" s="157">
        <f t="shared" si="7"/>
        <v>280</v>
      </c>
      <c r="G35" s="157">
        <f t="shared" si="7"/>
        <v>280</v>
      </c>
      <c r="H35" s="157">
        <f t="shared" si="7"/>
        <v>280</v>
      </c>
      <c r="I35" s="157">
        <f t="shared" si="7"/>
        <v>0</v>
      </c>
      <c r="J35" s="157">
        <f t="shared" si="7"/>
        <v>280</v>
      </c>
      <c r="K35" s="157">
        <f t="shared" si="7"/>
        <v>280</v>
      </c>
      <c r="L35" s="157">
        <f t="shared" si="7"/>
        <v>280</v>
      </c>
      <c r="M35" s="165">
        <f t="shared" si="7"/>
        <v>280</v>
      </c>
      <c r="N35" s="156">
        <f t="shared" si="7"/>
        <v>590</v>
      </c>
      <c r="O35" s="157">
        <f t="shared" si="7"/>
        <v>590</v>
      </c>
      <c r="P35" s="157">
        <f t="shared" si="7"/>
        <v>650</v>
      </c>
      <c r="Q35" s="157">
        <f t="shared" si="7"/>
        <v>650</v>
      </c>
      <c r="R35" s="157">
        <f t="shared" si="7"/>
        <v>650</v>
      </c>
      <c r="S35" s="157">
        <f t="shared" si="7"/>
        <v>650</v>
      </c>
      <c r="T35" s="157">
        <f t="shared" si="7"/>
        <v>650</v>
      </c>
      <c r="U35" s="157">
        <f t="shared" si="7"/>
        <v>1020</v>
      </c>
      <c r="V35" s="157">
        <f t="shared" si="7"/>
        <v>1090</v>
      </c>
      <c r="W35" s="157">
        <f t="shared" si="7"/>
        <v>1090</v>
      </c>
    </row>
    <row r="36" spans="1:23">
      <c r="A36" s="28" t="s">
        <v>24</v>
      </c>
      <c r="B36" s="164">
        <f t="shared" ref="B36:W36" si="8">MROUND(B11*$A$25,10)</f>
        <v>280</v>
      </c>
      <c r="C36" s="157">
        <f t="shared" si="8"/>
        <v>280</v>
      </c>
      <c r="D36" s="157">
        <f t="shared" si="8"/>
        <v>280</v>
      </c>
      <c r="E36" s="157">
        <f t="shared" si="8"/>
        <v>280</v>
      </c>
      <c r="F36" s="157">
        <f t="shared" si="8"/>
        <v>280</v>
      </c>
      <c r="G36" s="157">
        <f t="shared" si="8"/>
        <v>280</v>
      </c>
      <c r="H36" s="157">
        <f t="shared" si="8"/>
        <v>280</v>
      </c>
      <c r="I36" s="157">
        <f t="shared" si="8"/>
        <v>280</v>
      </c>
      <c r="J36" s="157">
        <f t="shared" si="8"/>
        <v>0</v>
      </c>
      <c r="K36" s="157">
        <f t="shared" si="8"/>
        <v>280</v>
      </c>
      <c r="L36" s="157">
        <f t="shared" si="8"/>
        <v>280</v>
      </c>
      <c r="M36" s="165">
        <f t="shared" si="8"/>
        <v>280</v>
      </c>
      <c r="N36" s="156">
        <f t="shared" si="8"/>
        <v>590</v>
      </c>
      <c r="O36" s="157">
        <f t="shared" si="8"/>
        <v>590</v>
      </c>
      <c r="P36" s="157">
        <f t="shared" si="8"/>
        <v>650</v>
      </c>
      <c r="Q36" s="157">
        <f t="shared" si="8"/>
        <v>650</v>
      </c>
      <c r="R36" s="157">
        <f t="shared" si="8"/>
        <v>650</v>
      </c>
      <c r="S36" s="157">
        <f t="shared" si="8"/>
        <v>650</v>
      </c>
      <c r="T36" s="157">
        <f t="shared" si="8"/>
        <v>650</v>
      </c>
      <c r="U36" s="157">
        <f t="shared" si="8"/>
        <v>1020</v>
      </c>
      <c r="V36" s="157">
        <f t="shared" si="8"/>
        <v>1090</v>
      </c>
      <c r="W36" s="157">
        <f t="shared" si="8"/>
        <v>1090</v>
      </c>
    </row>
    <row r="37" spans="1:23">
      <c r="A37" s="28" t="s">
        <v>11</v>
      </c>
      <c r="B37" s="164">
        <f t="shared" ref="B37:W37" si="9">MROUND(B12*$A$25,10)</f>
        <v>280</v>
      </c>
      <c r="C37" s="157">
        <f t="shared" si="9"/>
        <v>280</v>
      </c>
      <c r="D37" s="157">
        <f t="shared" si="9"/>
        <v>280</v>
      </c>
      <c r="E37" s="157">
        <f t="shared" si="9"/>
        <v>280</v>
      </c>
      <c r="F37" s="157">
        <f t="shared" si="9"/>
        <v>280</v>
      </c>
      <c r="G37" s="157">
        <f t="shared" si="9"/>
        <v>280</v>
      </c>
      <c r="H37" s="157">
        <f t="shared" si="9"/>
        <v>280</v>
      </c>
      <c r="I37" s="157">
        <f t="shared" si="9"/>
        <v>280</v>
      </c>
      <c r="J37" s="157">
        <f t="shared" si="9"/>
        <v>280</v>
      </c>
      <c r="K37" s="157">
        <f t="shared" si="9"/>
        <v>0</v>
      </c>
      <c r="L37" s="157">
        <f t="shared" si="9"/>
        <v>280</v>
      </c>
      <c r="M37" s="165">
        <f t="shared" si="9"/>
        <v>280</v>
      </c>
      <c r="N37" s="156">
        <f t="shared" si="9"/>
        <v>590</v>
      </c>
      <c r="O37" s="157">
        <f t="shared" si="9"/>
        <v>590</v>
      </c>
      <c r="P37" s="157">
        <f t="shared" si="9"/>
        <v>650</v>
      </c>
      <c r="Q37" s="157">
        <f t="shared" si="9"/>
        <v>650</v>
      </c>
      <c r="R37" s="157">
        <f t="shared" si="9"/>
        <v>650</v>
      </c>
      <c r="S37" s="157">
        <f t="shared" si="9"/>
        <v>650</v>
      </c>
      <c r="T37" s="157">
        <f t="shared" si="9"/>
        <v>650</v>
      </c>
      <c r="U37" s="157">
        <f t="shared" si="9"/>
        <v>1020</v>
      </c>
      <c r="V37" s="157">
        <f t="shared" si="9"/>
        <v>1090</v>
      </c>
      <c r="W37" s="157">
        <f t="shared" si="9"/>
        <v>1090</v>
      </c>
    </row>
    <row r="38" spans="1:23">
      <c r="A38" s="28" t="s">
        <v>25</v>
      </c>
      <c r="B38" s="164">
        <f t="shared" ref="B38:W38" si="10">MROUND(B13*$A$25,10)</f>
        <v>280</v>
      </c>
      <c r="C38" s="157">
        <f t="shared" si="10"/>
        <v>280</v>
      </c>
      <c r="D38" s="157">
        <f t="shared" si="10"/>
        <v>280</v>
      </c>
      <c r="E38" s="157">
        <f t="shared" si="10"/>
        <v>280</v>
      </c>
      <c r="F38" s="157">
        <f t="shared" si="10"/>
        <v>280</v>
      </c>
      <c r="G38" s="157">
        <f t="shared" si="10"/>
        <v>280</v>
      </c>
      <c r="H38" s="157">
        <f t="shared" si="10"/>
        <v>280</v>
      </c>
      <c r="I38" s="157">
        <f t="shared" si="10"/>
        <v>280</v>
      </c>
      <c r="J38" s="157">
        <f t="shared" si="10"/>
        <v>280</v>
      </c>
      <c r="K38" s="157">
        <f t="shared" si="10"/>
        <v>280</v>
      </c>
      <c r="L38" s="157">
        <f t="shared" si="10"/>
        <v>0</v>
      </c>
      <c r="M38" s="165">
        <f t="shared" si="10"/>
        <v>280</v>
      </c>
      <c r="N38" s="156">
        <f t="shared" si="10"/>
        <v>590</v>
      </c>
      <c r="O38" s="157">
        <f t="shared" si="10"/>
        <v>590</v>
      </c>
      <c r="P38" s="157">
        <f t="shared" si="10"/>
        <v>650</v>
      </c>
      <c r="Q38" s="157">
        <f t="shared" si="10"/>
        <v>650</v>
      </c>
      <c r="R38" s="157">
        <f t="shared" si="10"/>
        <v>650</v>
      </c>
      <c r="S38" s="157">
        <f t="shared" si="10"/>
        <v>650</v>
      </c>
      <c r="T38" s="157">
        <f t="shared" si="10"/>
        <v>650</v>
      </c>
      <c r="U38" s="157">
        <f t="shared" si="10"/>
        <v>1020</v>
      </c>
      <c r="V38" s="157">
        <f t="shared" si="10"/>
        <v>1090</v>
      </c>
      <c r="W38" s="157">
        <f t="shared" si="10"/>
        <v>1090</v>
      </c>
    </row>
    <row r="39" spans="1:23" ht="16.5" thickBot="1">
      <c r="A39" s="28" t="s">
        <v>13</v>
      </c>
      <c r="B39" s="166">
        <f t="shared" ref="B39:W39" si="11">MROUND(B14*$A$25,10)</f>
        <v>280</v>
      </c>
      <c r="C39" s="39">
        <f t="shared" si="11"/>
        <v>280</v>
      </c>
      <c r="D39" s="39">
        <f t="shared" si="11"/>
        <v>280</v>
      </c>
      <c r="E39" s="39">
        <f t="shared" si="11"/>
        <v>280</v>
      </c>
      <c r="F39" s="39">
        <f t="shared" si="11"/>
        <v>280</v>
      </c>
      <c r="G39" s="39">
        <f t="shared" si="11"/>
        <v>280</v>
      </c>
      <c r="H39" s="39">
        <f t="shared" si="11"/>
        <v>280</v>
      </c>
      <c r="I39" s="39">
        <f t="shared" si="11"/>
        <v>280</v>
      </c>
      <c r="J39" s="39">
        <f t="shared" si="11"/>
        <v>280</v>
      </c>
      <c r="K39" s="39">
        <f t="shared" si="11"/>
        <v>280</v>
      </c>
      <c r="L39" s="39">
        <f t="shared" si="11"/>
        <v>280</v>
      </c>
      <c r="M39" s="167">
        <f t="shared" si="11"/>
        <v>0</v>
      </c>
      <c r="N39" s="156">
        <f t="shared" si="11"/>
        <v>330</v>
      </c>
      <c r="O39" s="157">
        <f t="shared" si="11"/>
        <v>330</v>
      </c>
      <c r="P39" s="157">
        <f t="shared" si="11"/>
        <v>650</v>
      </c>
      <c r="Q39" s="157">
        <f t="shared" si="11"/>
        <v>650</v>
      </c>
      <c r="R39" s="157">
        <f t="shared" si="11"/>
        <v>650</v>
      </c>
      <c r="S39" s="157">
        <f t="shared" si="11"/>
        <v>650</v>
      </c>
      <c r="T39" s="157">
        <f t="shared" si="11"/>
        <v>650</v>
      </c>
      <c r="U39" s="157">
        <f t="shared" si="11"/>
        <v>1020</v>
      </c>
      <c r="V39" s="157">
        <f t="shared" si="11"/>
        <v>1090</v>
      </c>
      <c r="W39" s="157">
        <f t="shared" si="11"/>
        <v>1090</v>
      </c>
    </row>
    <row r="40" spans="1:23">
      <c r="A40" s="28" t="s">
        <v>14</v>
      </c>
      <c r="B40" s="163">
        <f t="shared" ref="B40:T40" si="12">MROUND(B15*$A$25,10)</f>
        <v>590</v>
      </c>
      <c r="C40" s="163">
        <f t="shared" si="12"/>
        <v>590</v>
      </c>
      <c r="D40" s="163">
        <f t="shared" si="12"/>
        <v>590</v>
      </c>
      <c r="E40" s="163">
        <f t="shared" si="12"/>
        <v>590</v>
      </c>
      <c r="F40" s="163">
        <f t="shared" si="12"/>
        <v>590</v>
      </c>
      <c r="G40" s="163">
        <f t="shared" si="12"/>
        <v>590</v>
      </c>
      <c r="H40" s="163">
        <f t="shared" si="12"/>
        <v>590</v>
      </c>
      <c r="I40" s="163">
        <f t="shared" si="12"/>
        <v>590</v>
      </c>
      <c r="J40" s="163">
        <f t="shared" si="12"/>
        <v>590</v>
      </c>
      <c r="K40" s="163">
        <f t="shared" si="12"/>
        <v>590</v>
      </c>
      <c r="L40" s="163">
        <f t="shared" si="12"/>
        <v>590</v>
      </c>
      <c r="M40" s="163">
        <f t="shared" si="12"/>
        <v>330</v>
      </c>
      <c r="N40" s="157">
        <f t="shared" si="12"/>
        <v>0</v>
      </c>
      <c r="O40" s="157">
        <f t="shared" si="12"/>
        <v>330</v>
      </c>
      <c r="P40" s="157">
        <f t="shared" si="12"/>
        <v>330</v>
      </c>
      <c r="Q40" s="157">
        <f t="shared" si="12"/>
        <v>600</v>
      </c>
      <c r="R40" s="157">
        <f t="shared" si="12"/>
        <v>600</v>
      </c>
      <c r="S40" s="157">
        <f t="shared" si="12"/>
        <v>600</v>
      </c>
      <c r="T40" s="157">
        <f t="shared" si="12"/>
        <v>600</v>
      </c>
      <c r="U40" s="157">
        <f t="shared" ref="C40:W49" si="13">MROUND(U15*$A$25,10)</f>
        <v>920</v>
      </c>
      <c r="V40" s="157">
        <f t="shared" si="13"/>
        <v>920</v>
      </c>
      <c r="W40" s="157">
        <f t="shared" si="13"/>
        <v>920</v>
      </c>
    </row>
    <row r="41" spans="1:23">
      <c r="A41" s="28" t="s">
        <v>15</v>
      </c>
      <c r="B41" s="157">
        <f t="shared" ref="B41:B49" si="14">MROUND(B16*$A$25,10)</f>
        <v>590</v>
      </c>
      <c r="C41" s="157">
        <f t="shared" si="13"/>
        <v>590</v>
      </c>
      <c r="D41" s="157">
        <f t="shared" si="13"/>
        <v>590</v>
      </c>
      <c r="E41" s="157">
        <f t="shared" si="13"/>
        <v>590</v>
      </c>
      <c r="F41" s="157">
        <f t="shared" si="13"/>
        <v>590</v>
      </c>
      <c r="G41" s="157">
        <f t="shared" si="13"/>
        <v>590</v>
      </c>
      <c r="H41" s="157">
        <f t="shared" si="13"/>
        <v>590</v>
      </c>
      <c r="I41" s="157">
        <f t="shared" si="13"/>
        <v>590</v>
      </c>
      <c r="J41" s="157">
        <f t="shared" si="13"/>
        <v>590</v>
      </c>
      <c r="K41" s="157">
        <f t="shared" si="13"/>
        <v>590</v>
      </c>
      <c r="L41" s="157">
        <f t="shared" si="13"/>
        <v>590</v>
      </c>
      <c r="M41" s="157">
        <f t="shared" si="13"/>
        <v>330</v>
      </c>
      <c r="N41" s="157">
        <f t="shared" si="13"/>
        <v>330</v>
      </c>
      <c r="O41" s="157">
        <f t="shared" si="13"/>
        <v>0</v>
      </c>
      <c r="P41" s="157">
        <f t="shared" si="13"/>
        <v>330</v>
      </c>
      <c r="Q41" s="157">
        <f t="shared" si="13"/>
        <v>330</v>
      </c>
      <c r="R41" s="157">
        <f t="shared" si="13"/>
        <v>600</v>
      </c>
      <c r="S41" s="157">
        <f t="shared" si="13"/>
        <v>600</v>
      </c>
      <c r="T41" s="157">
        <f t="shared" si="13"/>
        <v>600</v>
      </c>
      <c r="U41" s="157">
        <f t="shared" si="13"/>
        <v>600</v>
      </c>
      <c r="V41" s="157">
        <f t="shared" si="13"/>
        <v>920</v>
      </c>
      <c r="W41" s="157">
        <f t="shared" si="13"/>
        <v>920</v>
      </c>
    </row>
    <row r="42" spans="1:23">
      <c r="A42" s="28" t="s">
        <v>16</v>
      </c>
      <c r="B42" s="157">
        <f t="shared" si="14"/>
        <v>650</v>
      </c>
      <c r="C42" s="157">
        <f t="shared" si="13"/>
        <v>650</v>
      </c>
      <c r="D42" s="157">
        <f t="shared" si="13"/>
        <v>650</v>
      </c>
      <c r="E42" s="157">
        <f t="shared" si="13"/>
        <v>650</v>
      </c>
      <c r="F42" s="157">
        <f t="shared" si="13"/>
        <v>650</v>
      </c>
      <c r="G42" s="157">
        <f t="shared" si="13"/>
        <v>650</v>
      </c>
      <c r="H42" s="157">
        <f t="shared" si="13"/>
        <v>650</v>
      </c>
      <c r="I42" s="157">
        <f t="shared" si="13"/>
        <v>650</v>
      </c>
      <c r="J42" s="157">
        <f t="shared" si="13"/>
        <v>650</v>
      </c>
      <c r="K42" s="157">
        <f t="shared" si="13"/>
        <v>650</v>
      </c>
      <c r="L42" s="157">
        <f t="shared" si="13"/>
        <v>650</v>
      </c>
      <c r="M42" s="157">
        <f t="shared" si="13"/>
        <v>650</v>
      </c>
      <c r="N42" s="157">
        <f t="shared" si="13"/>
        <v>330</v>
      </c>
      <c r="O42" s="157">
        <f t="shared" si="13"/>
        <v>330</v>
      </c>
      <c r="P42" s="157">
        <f t="shared" si="13"/>
        <v>0</v>
      </c>
      <c r="Q42" s="157">
        <f t="shared" si="13"/>
        <v>330</v>
      </c>
      <c r="R42" s="157">
        <f t="shared" si="13"/>
        <v>330</v>
      </c>
      <c r="S42" s="157">
        <f t="shared" si="13"/>
        <v>330</v>
      </c>
      <c r="T42" s="157">
        <f t="shared" si="13"/>
        <v>600</v>
      </c>
      <c r="U42" s="157">
        <f t="shared" si="13"/>
        <v>600</v>
      </c>
      <c r="V42" s="157">
        <f t="shared" si="13"/>
        <v>600</v>
      </c>
      <c r="W42" s="157">
        <f t="shared" si="13"/>
        <v>600</v>
      </c>
    </row>
    <row r="43" spans="1:23">
      <c r="A43" s="28" t="s">
        <v>17</v>
      </c>
      <c r="B43" s="157">
        <f t="shared" si="14"/>
        <v>650</v>
      </c>
      <c r="C43" s="157">
        <f t="shared" si="13"/>
        <v>650</v>
      </c>
      <c r="D43" s="157">
        <f t="shared" si="13"/>
        <v>650</v>
      </c>
      <c r="E43" s="157">
        <f t="shared" si="13"/>
        <v>650</v>
      </c>
      <c r="F43" s="157">
        <f t="shared" si="13"/>
        <v>650</v>
      </c>
      <c r="G43" s="157">
        <f t="shared" si="13"/>
        <v>650</v>
      </c>
      <c r="H43" s="157">
        <f t="shared" si="13"/>
        <v>650</v>
      </c>
      <c r="I43" s="157">
        <f t="shared" si="13"/>
        <v>650</v>
      </c>
      <c r="J43" s="157">
        <f t="shared" si="13"/>
        <v>650</v>
      </c>
      <c r="K43" s="157">
        <f t="shared" si="13"/>
        <v>650</v>
      </c>
      <c r="L43" s="157">
        <f t="shared" si="13"/>
        <v>650</v>
      </c>
      <c r="M43" s="157">
        <f t="shared" si="13"/>
        <v>650</v>
      </c>
      <c r="N43" s="157">
        <f t="shared" si="13"/>
        <v>600</v>
      </c>
      <c r="O43" s="157">
        <f t="shared" si="13"/>
        <v>330</v>
      </c>
      <c r="P43" s="157">
        <f t="shared" si="13"/>
        <v>330</v>
      </c>
      <c r="Q43" s="157">
        <f t="shared" si="13"/>
        <v>0</v>
      </c>
      <c r="R43" s="157">
        <f t="shared" si="13"/>
        <v>330</v>
      </c>
      <c r="S43" s="157">
        <f t="shared" si="13"/>
        <v>330</v>
      </c>
      <c r="T43" s="157">
        <f t="shared" si="13"/>
        <v>600</v>
      </c>
      <c r="U43" s="157">
        <f t="shared" si="13"/>
        <v>600</v>
      </c>
      <c r="V43" s="157">
        <f t="shared" si="13"/>
        <v>600</v>
      </c>
      <c r="W43" s="157">
        <f t="shared" si="13"/>
        <v>600</v>
      </c>
    </row>
    <row r="44" spans="1:23">
      <c r="A44" s="28" t="s">
        <v>18</v>
      </c>
      <c r="B44" s="157">
        <f t="shared" si="14"/>
        <v>650</v>
      </c>
      <c r="C44" s="157">
        <f t="shared" si="13"/>
        <v>650</v>
      </c>
      <c r="D44" s="157">
        <f t="shared" si="13"/>
        <v>650</v>
      </c>
      <c r="E44" s="157">
        <f t="shared" si="13"/>
        <v>650</v>
      </c>
      <c r="F44" s="157">
        <f t="shared" si="13"/>
        <v>650</v>
      </c>
      <c r="G44" s="157">
        <f t="shared" si="13"/>
        <v>650</v>
      </c>
      <c r="H44" s="157">
        <f t="shared" si="13"/>
        <v>650</v>
      </c>
      <c r="I44" s="157">
        <f t="shared" si="13"/>
        <v>650</v>
      </c>
      <c r="J44" s="157">
        <f t="shared" si="13"/>
        <v>650</v>
      </c>
      <c r="K44" s="157">
        <f t="shared" si="13"/>
        <v>650</v>
      </c>
      <c r="L44" s="157">
        <f t="shared" si="13"/>
        <v>650</v>
      </c>
      <c r="M44" s="157">
        <f t="shared" si="13"/>
        <v>650</v>
      </c>
      <c r="N44" s="157">
        <f t="shared" si="13"/>
        <v>600</v>
      </c>
      <c r="O44" s="157">
        <f t="shared" si="13"/>
        <v>600</v>
      </c>
      <c r="P44" s="157">
        <f t="shared" si="13"/>
        <v>330</v>
      </c>
      <c r="Q44" s="157">
        <f t="shared" si="13"/>
        <v>330</v>
      </c>
      <c r="R44" s="157">
        <f t="shared" si="13"/>
        <v>0</v>
      </c>
      <c r="S44" s="157">
        <f t="shared" si="13"/>
        <v>330</v>
      </c>
      <c r="T44" s="157">
        <f t="shared" si="13"/>
        <v>330</v>
      </c>
      <c r="U44" s="157">
        <f t="shared" si="13"/>
        <v>600</v>
      </c>
      <c r="V44" s="157">
        <f t="shared" si="13"/>
        <v>600</v>
      </c>
      <c r="W44" s="157">
        <f t="shared" si="13"/>
        <v>600</v>
      </c>
    </row>
    <row r="45" spans="1:23">
      <c r="A45" s="28" t="s">
        <v>19</v>
      </c>
      <c r="B45" s="157">
        <f t="shared" si="14"/>
        <v>650</v>
      </c>
      <c r="C45" s="157">
        <f t="shared" si="13"/>
        <v>650</v>
      </c>
      <c r="D45" s="157">
        <f t="shared" si="13"/>
        <v>650</v>
      </c>
      <c r="E45" s="157">
        <f t="shared" si="13"/>
        <v>650</v>
      </c>
      <c r="F45" s="157">
        <f t="shared" si="13"/>
        <v>650</v>
      </c>
      <c r="G45" s="157">
        <f t="shared" si="13"/>
        <v>650</v>
      </c>
      <c r="H45" s="157">
        <f t="shared" si="13"/>
        <v>650</v>
      </c>
      <c r="I45" s="157">
        <f t="shared" si="13"/>
        <v>650</v>
      </c>
      <c r="J45" s="157">
        <f t="shared" si="13"/>
        <v>650</v>
      </c>
      <c r="K45" s="157">
        <f t="shared" si="13"/>
        <v>650</v>
      </c>
      <c r="L45" s="157">
        <f t="shared" si="13"/>
        <v>650</v>
      </c>
      <c r="M45" s="157">
        <f t="shared" si="13"/>
        <v>650</v>
      </c>
      <c r="N45" s="157">
        <f t="shared" si="13"/>
        <v>600</v>
      </c>
      <c r="O45" s="157">
        <f t="shared" si="13"/>
        <v>600</v>
      </c>
      <c r="P45" s="157">
        <f t="shared" si="13"/>
        <v>330</v>
      </c>
      <c r="Q45" s="157">
        <f t="shared" si="13"/>
        <v>330</v>
      </c>
      <c r="R45" s="157">
        <f t="shared" si="13"/>
        <v>330</v>
      </c>
      <c r="S45" s="157">
        <f t="shared" si="13"/>
        <v>0</v>
      </c>
      <c r="T45" s="157">
        <f t="shared" si="13"/>
        <v>330</v>
      </c>
      <c r="U45" s="157">
        <f t="shared" si="13"/>
        <v>600</v>
      </c>
      <c r="V45" s="157">
        <f t="shared" si="13"/>
        <v>600</v>
      </c>
      <c r="W45" s="157">
        <f t="shared" si="13"/>
        <v>600</v>
      </c>
    </row>
    <row r="46" spans="1:23">
      <c r="A46" s="28" t="s">
        <v>20</v>
      </c>
      <c r="B46" s="157">
        <f t="shared" si="14"/>
        <v>650</v>
      </c>
      <c r="C46" s="157">
        <f t="shared" si="13"/>
        <v>650</v>
      </c>
      <c r="D46" s="157">
        <f t="shared" si="13"/>
        <v>650</v>
      </c>
      <c r="E46" s="157">
        <f t="shared" si="13"/>
        <v>650</v>
      </c>
      <c r="F46" s="157">
        <f t="shared" si="13"/>
        <v>650</v>
      </c>
      <c r="G46" s="157">
        <f t="shared" si="13"/>
        <v>650</v>
      </c>
      <c r="H46" s="157">
        <f t="shared" si="13"/>
        <v>650</v>
      </c>
      <c r="I46" s="157">
        <f t="shared" si="13"/>
        <v>650</v>
      </c>
      <c r="J46" s="157">
        <f t="shared" si="13"/>
        <v>650</v>
      </c>
      <c r="K46" s="157">
        <f t="shared" si="13"/>
        <v>650</v>
      </c>
      <c r="L46" s="157">
        <f t="shared" si="13"/>
        <v>650</v>
      </c>
      <c r="M46" s="157">
        <f t="shared" si="13"/>
        <v>650</v>
      </c>
      <c r="N46" s="157">
        <f t="shared" si="13"/>
        <v>600</v>
      </c>
      <c r="O46" s="157">
        <f t="shared" si="13"/>
        <v>600</v>
      </c>
      <c r="P46" s="157">
        <f t="shared" si="13"/>
        <v>600</v>
      </c>
      <c r="Q46" s="157">
        <f t="shared" si="13"/>
        <v>600</v>
      </c>
      <c r="R46" s="157">
        <f t="shared" si="13"/>
        <v>330</v>
      </c>
      <c r="S46" s="157">
        <f t="shared" si="13"/>
        <v>330</v>
      </c>
      <c r="T46" s="157">
        <f t="shared" si="13"/>
        <v>0</v>
      </c>
      <c r="U46" s="157">
        <f t="shared" si="13"/>
        <v>330</v>
      </c>
      <c r="V46" s="157">
        <f t="shared" si="13"/>
        <v>600</v>
      </c>
      <c r="W46" s="157">
        <f t="shared" si="13"/>
        <v>600</v>
      </c>
    </row>
    <row r="47" spans="1:23">
      <c r="A47" s="28" t="s">
        <v>21</v>
      </c>
      <c r="B47" s="157">
        <f t="shared" si="14"/>
        <v>1020</v>
      </c>
      <c r="C47" s="157">
        <f t="shared" si="13"/>
        <v>1020</v>
      </c>
      <c r="D47" s="157">
        <f t="shared" si="13"/>
        <v>1020</v>
      </c>
      <c r="E47" s="157">
        <f t="shared" si="13"/>
        <v>1020</v>
      </c>
      <c r="F47" s="157">
        <f t="shared" si="13"/>
        <v>1020</v>
      </c>
      <c r="G47" s="157">
        <f t="shared" si="13"/>
        <v>1020</v>
      </c>
      <c r="H47" s="157">
        <f t="shared" si="13"/>
        <v>1020</v>
      </c>
      <c r="I47" s="157">
        <f t="shared" si="13"/>
        <v>1020</v>
      </c>
      <c r="J47" s="157">
        <f t="shared" si="13"/>
        <v>1020</v>
      </c>
      <c r="K47" s="157">
        <f t="shared" si="13"/>
        <v>1020</v>
      </c>
      <c r="L47" s="157">
        <f t="shared" si="13"/>
        <v>1020</v>
      </c>
      <c r="M47" s="157">
        <f t="shared" si="13"/>
        <v>1020</v>
      </c>
      <c r="N47" s="157">
        <f t="shared" si="13"/>
        <v>920</v>
      </c>
      <c r="O47" s="157">
        <f t="shared" si="13"/>
        <v>600</v>
      </c>
      <c r="P47" s="157">
        <f t="shared" si="13"/>
        <v>600</v>
      </c>
      <c r="Q47" s="157">
        <f t="shared" si="13"/>
        <v>600</v>
      </c>
      <c r="R47" s="157">
        <f t="shared" si="13"/>
        <v>600</v>
      </c>
      <c r="S47" s="157">
        <f t="shared" si="13"/>
        <v>600</v>
      </c>
      <c r="T47" s="157">
        <f t="shared" si="13"/>
        <v>330</v>
      </c>
      <c r="U47" s="157">
        <f t="shared" si="13"/>
        <v>0</v>
      </c>
      <c r="V47" s="157">
        <f t="shared" si="13"/>
        <v>330</v>
      </c>
      <c r="W47" s="157">
        <f t="shared" si="13"/>
        <v>600</v>
      </c>
    </row>
    <row r="48" spans="1:23">
      <c r="A48" s="28" t="s">
        <v>22</v>
      </c>
      <c r="B48" s="157">
        <f t="shared" si="14"/>
        <v>1090</v>
      </c>
      <c r="C48" s="157">
        <f t="shared" si="13"/>
        <v>1090</v>
      </c>
      <c r="D48" s="157">
        <f t="shared" si="13"/>
        <v>1090</v>
      </c>
      <c r="E48" s="157">
        <f t="shared" si="13"/>
        <v>1090</v>
      </c>
      <c r="F48" s="157">
        <f t="shared" si="13"/>
        <v>1090</v>
      </c>
      <c r="G48" s="157">
        <f t="shared" si="13"/>
        <v>1090</v>
      </c>
      <c r="H48" s="157">
        <f t="shared" si="13"/>
        <v>1090</v>
      </c>
      <c r="I48" s="157">
        <f t="shared" si="13"/>
        <v>1090</v>
      </c>
      <c r="J48" s="157">
        <f t="shared" si="13"/>
        <v>1090</v>
      </c>
      <c r="K48" s="157">
        <f t="shared" si="13"/>
        <v>1090</v>
      </c>
      <c r="L48" s="157">
        <f t="shared" si="13"/>
        <v>1090</v>
      </c>
      <c r="M48" s="157">
        <f t="shared" si="13"/>
        <v>1090</v>
      </c>
      <c r="N48" s="157">
        <f t="shared" si="13"/>
        <v>920</v>
      </c>
      <c r="O48" s="157">
        <f t="shared" si="13"/>
        <v>920</v>
      </c>
      <c r="P48" s="157">
        <f t="shared" si="13"/>
        <v>600</v>
      </c>
      <c r="Q48" s="157">
        <f t="shared" si="13"/>
        <v>600</v>
      </c>
      <c r="R48" s="157">
        <f t="shared" si="13"/>
        <v>600</v>
      </c>
      <c r="S48" s="157">
        <f t="shared" si="13"/>
        <v>600</v>
      </c>
      <c r="T48" s="157">
        <f t="shared" si="13"/>
        <v>600</v>
      </c>
      <c r="U48" s="157">
        <f t="shared" si="13"/>
        <v>330</v>
      </c>
      <c r="V48" s="157">
        <f t="shared" si="13"/>
        <v>0</v>
      </c>
      <c r="W48" s="157">
        <f t="shared" si="13"/>
        <v>330</v>
      </c>
    </row>
    <row r="49" spans="1:23">
      <c r="A49" s="28" t="s">
        <v>23</v>
      </c>
      <c r="B49" s="157">
        <f t="shared" si="14"/>
        <v>1090</v>
      </c>
      <c r="C49" s="157">
        <f t="shared" si="13"/>
        <v>1090</v>
      </c>
      <c r="D49" s="157">
        <f t="shared" si="13"/>
        <v>1090</v>
      </c>
      <c r="E49" s="157">
        <f t="shared" si="13"/>
        <v>1090</v>
      </c>
      <c r="F49" s="157">
        <f t="shared" si="13"/>
        <v>1090</v>
      </c>
      <c r="G49" s="157">
        <f t="shared" si="13"/>
        <v>1090</v>
      </c>
      <c r="H49" s="157">
        <f t="shared" si="13"/>
        <v>1090</v>
      </c>
      <c r="I49" s="157">
        <f t="shared" si="13"/>
        <v>1090</v>
      </c>
      <c r="J49" s="157">
        <f t="shared" si="13"/>
        <v>1090</v>
      </c>
      <c r="K49" s="157">
        <f t="shared" si="13"/>
        <v>1090</v>
      </c>
      <c r="L49" s="157">
        <f t="shared" si="13"/>
        <v>1090</v>
      </c>
      <c r="M49" s="157">
        <f t="shared" si="13"/>
        <v>1090</v>
      </c>
      <c r="N49" s="157">
        <f t="shared" si="13"/>
        <v>920</v>
      </c>
      <c r="O49" s="157">
        <f t="shared" si="13"/>
        <v>920</v>
      </c>
      <c r="P49" s="157">
        <f t="shared" si="13"/>
        <v>600</v>
      </c>
      <c r="Q49" s="157">
        <f t="shared" si="13"/>
        <v>600</v>
      </c>
      <c r="R49" s="157">
        <f t="shared" si="13"/>
        <v>600</v>
      </c>
      <c r="S49" s="157">
        <f t="shared" si="13"/>
        <v>600</v>
      </c>
      <c r="T49" s="157">
        <f t="shared" si="13"/>
        <v>600</v>
      </c>
      <c r="U49" s="157">
        <f t="shared" si="13"/>
        <v>600</v>
      </c>
      <c r="V49" s="157">
        <f t="shared" si="13"/>
        <v>330</v>
      </c>
      <c r="W49" s="157">
        <f t="shared" si="13"/>
        <v>0</v>
      </c>
    </row>
    <row r="50" spans="1:2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1:23">
      <c r="A51" s="119" t="s">
        <v>27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</row>
    <row r="52" spans="1:23" ht="69.75" thickBot="1">
      <c r="A52" s="155" t="s">
        <v>1</v>
      </c>
      <c r="B52" s="26" t="s">
        <v>2</v>
      </c>
      <c r="C52" s="26" t="s">
        <v>3</v>
      </c>
      <c r="D52" s="26" t="s">
        <v>4</v>
      </c>
      <c r="E52" s="26" t="s">
        <v>5</v>
      </c>
      <c r="F52" s="26" t="s">
        <v>6</v>
      </c>
      <c r="G52" s="26" t="s">
        <v>7</v>
      </c>
      <c r="H52" s="26" t="s">
        <v>8</v>
      </c>
      <c r="I52" s="26" t="s">
        <v>9</v>
      </c>
      <c r="J52" s="26" t="s">
        <v>10</v>
      </c>
      <c r="K52" s="27" t="s">
        <v>11</v>
      </c>
      <c r="L52" s="26" t="s">
        <v>12</v>
      </c>
      <c r="M52" s="26" t="s">
        <v>13</v>
      </c>
      <c r="N52" s="26" t="s">
        <v>14</v>
      </c>
      <c r="O52" s="26" t="s">
        <v>15</v>
      </c>
      <c r="P52" s="26" t="s">
        <v>16</v>
      </c>
      <c r="Q52" s="26" t="s">
        <v>17</v>
      </c>
      <c r="R52" s="26" t="s">
        <v>18</v>
      </c>
      <c r="S52" s="26" t="s">
        <v>19</v>
      </c>
      <c r="T52" s="26" t="s">
        <v>20</v>
      </c>
      <c r="U52" s="26" t="s">
        <v>21</v>
      </c>
      <c r="V52" s="26" t="s">
        <v>22</v>
      </c>
      <c r="W52" s="26" t="s">
        <v>23</v>
      </c>
    </row>
    <row r="53" spans="1:23">
      <c r="A53" s="28" t="s">
        <v>2</v>
      </c>
      <c r="B53" s="36">
        <f t="shared" ref="B53:W53" si="15">MROUND(B3*$A$25,10)</f>
        <v>0</v>
      </c>
      <c r="C53" s="37">
        <f t="shared" si="15"/>
        <v>280</v>
      </c>
      <c r="D53" s="37">
        <f t="shared" si="15"/>
        <v>280</v>
      </c>
      <c r="E53" s="37">
        <f t="shared" si="15"/>
        <v>280</v>
      </c>
      <c r="F53" s="37">
        <f t="shared" si="15"/>
        <v>280</v>
      </c>
      <c r="G53" s="37">
        <f t="shared" si="15"/>
        <v>280</v>
      </c>
      <c r="H53" s="37">
        <f t="shared" si="15"/>
        <v>280</v>
      </c>
      <c r="I53" s="37">
        <f t="shared" si="15"/>
        <v>280</v>
      </c>
      <c r="J53" s="37">
        <f t="shared" si="15"/>
        <v>280</v>
      </c>
      <c r="K53" s="37">
        <f t="shared" si="15"/>
        <v>280</v>
      </c>
      <c r="L53" s="37">
        <f t="shared" si="15"/>
        <v>280</v>
      </c>
      <c r="M53" s="38">
        <f t="shared" si="15"/>
        <v>280</v>
      </c>
      <c r="N53" s="156">
        <f t="shared" si="15"/>
        <v>590</v>
      </c>
      <c r="O53" s="157">
        <f t="shared" si="15"/>
        <v>590</v>
      </c>
      <c r="P53" s="157">
        <f t="shared" si="15"/>
        <v>650</v>
      </c>
      <c r="Q53" s="157">
        <f t="shared" si="15"/>
        <v>650</v>
      </c>
      <c r="R53" s="157">
        <f t="shared" si="15"/>
        <v>650</v>
      </c>
      <c r="S53" s="157">
        <f t="shared" si="15"/>
        <v>650</v>
      </c>
      <c r="T53" s="157">
        <f t="shared" si="15"/>
        <v>650</v>
      </c>
      <c r="U53" s="157">
        <f t="shared" si="15"/>
        <v>1020</v>
      </c>
      <c r="V53" s="157">
        <f t="shared" si="15"/>
        <v>1090</v>
      </c>
      <c r="W53" s="157">
        <f t="shared" si="15"/>
        <v>1090</v>
      </c>
    </row>
    <row r="54" spans="1:23">
      <c r="A54" s="28" t="s">
        <v>3</v>
      </c>
      <c r="B54" s="164">
        <f t="shared" ref="B54:W54" si="16">MROUND(B4*$A$25,10)</f>
        <v>280</v>
      </c>
      <c r="C54" s="157">
        <f t="shared" si="16"/>
        <v>0</v>
      </c>
      <c r="D54" s="157">
        <f t="shared" si="16"/>
        <v>280</v>
      </c>
      <c r="E54" s="157">
        <f t="shared" si="16"/>
        <v>280</v>
      </c>
      <c r="F54" s="157">
        <f t="shared" si="16"/>
        <v>280</v>
      </c>
      <c r="G54" s="157">
        <f t="shared" si="16"/>
        <v>280</v>
      </c>
      <c r="H54" s="157">
        <f t="shared" si="16"/>
        <v>280</v>
      </c>
      <c r="I54" s="157">
        <f t="shared" si="16"/>
        <v>280</v>
      </c>
      <c r="J54" s="157">
        <f t="shared" si="16"/>
        <v>280</v>
      </c>
      <c r="K54" s="157">
        <f t="shared" si="16"/>
        <v>280</v>
      </c>
      <c r="L54" s="157">
        <f t="shared" si="16"/>
        <v>280</v>
      </c>
      <c r="M54" s="165">
        <f t="shared" si="16"/>
        <v>280</v>
      </c>
      <c r="N54" s="156">
        <f t="shared" si="16"/>
        <v>590</v>
      </c>
      <c r="O54" s="157">
        <f t="shared" si="16"/>
        <v>590</v>
      </c>
      <c r="P54" s="157">
        <f t="shared" si="16"/>
        <v>650</v>
      </c>
      <c r="Q54" s="157">
        <f t="shared" si="16"/>
        <v>650</v>
      </c>
      <c r="R54" s="157">
        <f t="shared" si="16"/>
        <v>650</v>
      </c>
      <c r="S54" s="157">
        <f t="shared" si="16"/>
        <v>650</v>
      </c>
      <c r="T54" s="157">
        <f t="shared" si="16"/>
        <v>650</v>
      </c>
      <c r="U54" s="157">
        <f t="shared" si="16"/>
        <v>1020</v>
      </c>
      <c r="V54" s="157">
        <f t="shared" si="16"/>
        <v>1090</v>
      </c>
      <c r="W54" s="157">
        <f t="shared" si="16"/>
        <v>1090</v>
      </c>
    </row>
    <row r="55" spans="1:23">
      <c r="A55" s="28" t="s">
        <v>4</v>
      </c>
      <c r="B55" s="164">
        <f t="shared" ref="B55:W55" si="17">MROUND(B5*$A$25,10)</f>
        <v>280</v>
      </c>
      <c r="C55" s="157">
        <f t="shared" si="17"/>
        <v>280</v>
      </c>
      <c r="D55" s="157">
        <f t="shared" si="17"/>
        <v>0</v>
      </c>
      <c r="E55" s="157">
        <f t="shared" si="17"/>
        <v>280</v>
      </c>
      <c r="F55" s="157">
        <f t="shared" si="17"/>
        <v>280</v>
      </c>
      <c r="G55" s="157">
        <f t="shared" si="17"/>
        <v>280</v>
      </c>
      <c r="H55" s="157">
        <f t="shared" si="17"/>
        <v>280</v>
      </c>
      <c r="I55" s="157">
        <f t="shared" si="17"/>
        <v>280</v>
      </c>
      <c r="J55" s="157">
        <f t="shared" si="17"/>
        <v>280</v>
      </c>
      <c r="K55" s="157">
        <f t="shared" si="17"/>
        <v>280</v>
      </c>
      <c r="L55" s="157">
        <f t="shared" si="17"/>
        <v>280</v>
      </c>
      <c r="M55" s="165">
        <f t="shared" si="17"/>
        <v>280</v>
      </c>
      <c r="N55" s="156">
        <f t="shared" si="17"/>
        <v>590</v>
      </c>
      <c r="O55" s="157">
        <f t="shared" si="17"/>
        <v>590</v>
      </c>
      <c r="P55" s="157">
        <f t="shared" si="17"/>
        <v>650</v>
      </c>
      <c r="Q55" s="157">
        <f t="shared" si="17"/>
        <v>650</v>
      </c>
      <c r="R55" s="157">
        <f t="shared" si="17"/>
        <v>650</v>
      </c>
      <c r="S55" s="157">
        <f t="shared" si="17"/>
        <v>650</v>
      </c>
      <c r="T55" s="157">
        <f t="shared" si="17"/>
        <v>650</v>
      </c>
      <c r="U55" s="157">
        <f t="shared" si="17"/>
        <v>1020</v>
      </c>
      <c r="V55" s="157">
        <f t="shared" si="17"/>
        <v>1090</v>
      </c>
      <c r="W55" s="157">
        <f t="shared" si="17"/>
        <v>1090</v>
      </c>
    </row>
    <row r="56" spans="1:23">
      <c r="A56" s="28" t="s">
        <v>5</v>
      </c>
      <c r="B56" s="164">
        <f t="shared" ref="B56:W56" si="18">MROUND(B6*$A$25,10)</f>
        <v>280</v>
      </c>
      <c r="C56" s="157">
        <f t="shared" si="18"/>
        <v>280</v>
      </c>
      <c r="D56" s="157">
        <f t="shared" si="18"/>
        <v>280</v>
      </c>
      <c r="E56" s="157">
        <f t="shared" si="18"/>
        <v>0</v>
      </c>
      <c r="F56" s="157">
        <f t="shared" si="18"/>
        <v>280</v>
      </c>
      <c r="G56" s="157">
        <f t="shared" si="18"/>
        <v>280</v>
      </c>
      <c r="H56" s="157">
        <f t="shared" si="18"/>
        <v>280</v>
      </c>
      <c r="I56" s="157">
        <f t="shared" si="18"/>
        <v>280</v>
      </c>
      <c r="J56" s="157">
        <f t="shared" si="18"/>
        <v>280</v>
      </c>
      <c r="K56" s="157">
        <f t="shared" si="18"/>
        <v>280</v>
      </c>
      <c r="L56" s="157">
        <f t="shared" si="18"/>
        <v>280</v>
      </c>
      <c r="M56" s="165">
        <f t="shared" si="18"/>
        <v>280</v>
      </c>
      <c r="N56" s="156">
        <f t="shared" si="18"/>
        <v>590</v>
      </c>
      <c r="O56" s="157">
        <f t="shared" si="18"/>
        <v>590</v>
      </c>
      <c r="P56" s="157">
        <f t="shared" si="18"/>
        <v>650</v>
      </c>
      <c r="Q56" s="157">
        <f t="shared" si="18"/>
        <v>650</v>
      </c>
      <c r="R56" s="157">
        <f t="shared" si="18"/>
        <v>650</v>
      </c>
      <c r="S56" s="157">
        <f t="shared" si="18"/>
        <v>650</v>
      </c>
      <c r="T56" s="157">
        <f t="shared" si="18"/>
        <v>650</v>
      </c>
      <c r="U56" s="157">
        <f t="shared" si="18"/>
        <v>1020</v>
      </c>
      <c r="V56" s="157">
        <f t="shared" si="18"/>
        <v>1090</v>
      </c>
      <c r="W56" s="157">
        <f t="shared" si="18"/>
        <v>1090</v>
      </c>
    </row>
    <row r="57" spans="1:23">
      <c r="A57" s="28" t="s">
        <v>6</v>
      </c>
      <c r="B57" s="164">
        <f t="shared" ref="B57:W57" si="19">MROUND(B7*$A$25,10)</f>
        <v>280</v>
      </c>
      <c r="C57" s="157">
        <f t="shared" si="19"/>
        <v>280</v>
      </c>
      <c r="D57" s="157">
        <f t="shared" si="19"/>
        <v>280</v>
      </c>
      <c r="E57" s="157">
        <f t="shared" si="19"/>
        <v>280</v>
      </c>
      <c r="F57" s="157">
        <f t="shared" si="19"/>
        <v>0</v>
      </c>
      <c r="G57" s="157">
        <f t="shared" si="19"/>
        <v>280</v>
      </c>
      <c r="H57" s="157">
        <f t="shared" si="19"/>
        <v>280</v>
      </c>
      <c r="I57" s="157">
        <f t="shared" si="19"/>
        <v>280</v>
      </c>
      <c r="J57" s="157">
        <f t="shared" si="19"/>
        <v>280</v>
      </c>
      <c r="K57" s="157">
        <f t="shared" si="19"/>
        <v>280</v>
      </c>
      <c r="L57" s="157">
        <f t="shared" si="19"/>
        <v>280</v>
      </c>
      <c r="M57" s="165">
        <f t="shared" si="19"/>
        <v>280</v>
      </c>
      <c r="N57" s="156">
        <f t="shared" si="19"/>
        <v>590</v>
      </c>
      <c r="O57" s="157">
        <f t="shared" si="19"/>
        <v>590</v>
      </c>
      <c r="P57" s="157">
        <f t="shared" si="19"/>
        <v>650</v>
      </c>
      <c r="Q57" s="157">
        <f t="shared" si="19"/>
        <v>650</v>
      </c>
      <c r="R57" s="157">
        <f t="shared" si="19"/>
        <v>650</v>
      </c>
      <c r="S57" s="157">
        <f t="shared" si="19"/>
        <v>650</v>
      </c>
      <c r="T57" s="157">
        <f t="shared" si="19"/>
        <v>650</v>
      </c>
      <c r="U57" s="157">
        <f t="shared" si="19"/>
        <v>1020</v>
      </c>
      <c r="V57" s="157">
        <f t="shared" si="19"/>
        <v>1090</v>
      </c>
      <c r="W57" s="157">
        <f t="shared" si="19"/>
        <v>1090</v>
      </c>
    </row>
    <row r="58" spans="1:23">
      <c r="A58" s="28" t="s">
        <v>7</v>
      </c>
      <c r="B58" s="164">
        <f t="shared" ref="B58:W58" si="20">MROUND(B8*$A$25,10)</f>
        <v>280</v>
      </c>
      <c r="C58" s="157">
        <f t="shared" si="20"/>
        <v>280</v>
      </c>
      <c r="D58" s="157">
        <f t="shared" si="20"/>
        <v>280</v>
      </c>
      <c r="E58" s="157">
        <f t="shared" si="20"/>
        <v>280</v>
      </c>
      <c r="F58" s="157">
        <f t="shared" si="20"/>
        <v>280</v>
      </c>
      <c r="G58" s="157">
        <f t="shared" si="20"/>
        <v>0</v>
      </c>
      <c r="H58" s="157">
        <f t="shared" si="20"/>
        <v>280</v>
      </c>
      <c r="I58" s="157">
        <f t="shared" si="20"/>
        <v>280</v>
      </c>
      <c r="J58" s="157">
        <f t="shared" si="20"/>
        <v>280</v>
      </c>
      <c r="K58" s="157">
        <f t="shared" si="20"/>
        <v>280</v>
      </c>
      <c r="L58" s="157">
        <f t="shared" si="20"/>
        <v>280</v>
      </c>
      <c r="M58" s="165">
        <f t="shared" si="20"/>
        <v>280</v>
      </c>
      <c r="N58" s="156">
        <f t="shared" si="20"/>
        <v>590</v>
      </c>
      <c r="O58" s="157">
        <f t="shared" si="20"/>
        <v>590</v>
      </c>
      <c r="P58" s="157">
        <f t="shared" si="20"/>
        <v>650</v>
      </c>
      <c r="Q58" s="157">
        <f t="shared" si="20"/>
        <v>650</v>
      </c>
      <c r="R58" s="157">
        <f t="shared" si="20"/>
        <v>650</v>
      </c>
      <c r="S58" s="157">
        <f t="shared" si="20"/>
        <v>650</v>
      </c>
      <c r="T58" s="157">
        <f t="shared" si="20"/>
        <v>650</v>
      </c>
      <c r="U58" s="157">
        <f t="shared" si="20"/>
        <v>1020</v>
      </c>
      <c r="V58" s="157">
        <f t="shared" si="20"/>
        <v>1090</v>
      </c>
      <c r="W58" s="157">
        <f t="shared" si="20"/>
        <v>1090</v>
      </c>
    </row>
    <row r="59" spans="1:23">
      <c r="A59" s="28" t="s">
        <v>8</v>
      </c>
      <c r="B59" s="164">
        <f t="shared" ref="B59:W59" si="21">MROUND(B9*$A$25,10)</f>
        <v>280</v>
      </c>
      <c r="C59" s="157">
        <f t="shared" si="21"/>
        <v>280</v>
      </c>
      <c r="D59" s="157">
        <f t="shared" si="21"/>
        <v>280</v>
      </c>
      <c r="E59" s="157">
        <f t="shared" si="21"/>
        <v>280</v>
      </c>
      <c r="F59" s="157">
        <f t="shared" si="21"/>
        <v>280</v>
      </c>
      <c r="G59" s="157">
        <f t="shared" si="21"/>
        <v>280</v>
      </c>
      <c r="H59" s="157">
        <f t="shared" si="21"/>
        <v>0</v>
      </c>
      <c r="I59" s="157">
        <f t="shared" si="21"/>
        <v>280</v>
      </c>
      <c r="J59" s="157">
        <f t="shared" si="21"/>
        <v>280</v>
      </c>
      <c r="K59" s="157">
        <f t="shared" si="21"/>
        <v>280</v>
      </c>
      <c r="L59" s="157">
        <f t="shared" si="21"/>
        <v>280</v>
      </c>
      <c r="M59" s="165">
        <f t="shared" si="21"/>
        <v>280</v>
      </c>
      <c r="N59" s="156">
        <f t="shared" si="21"/>
        <v>590</v>
      </c>
      <c r="O59" s="157">
        <f t="shared" si="21"/>
        <v>590</v>
      </c>
      <c r="P59" s="157">
        <f t="shared" si="21"/>
        <v>650</v>
      </c>
      <c r="Q59" s="157">
        <f t="shared" si="21"/>
        <v>650</v>
      </c>
      <c r="R59" s="157">
        <f t="shared" si="21"/>
        <v>650</v>
      </c>
      <c r="S59" s="157">
        <f t="shared" si="21"/>
        <v>650</v>
      </c>
      <c r="T59" s="157">
        <f t="shared" si="21"/>
        <v>650</v>
      </c>
      <c r="U59" s="157">
        <f t="shared" si="21"/>
        <v>1020</v>
      </c>
      <c r="V59" s="157">
        <f t="shared" si="21"/>
        <v>1090</v>
      </c>
      <c r="W59" s="157">
        <f t="shared" si="21"/>
        <v>1090</v>
      </c>
    </row>
    <row r="60" spans="1:23">
      <c r="A60" s="28" t="s">
        <v>9</v>
      </c>
      <c r="B60" s="164">
        <f t="shared" ref="B60:W60" si="22">MROUND(B10*$A$25,10)</f>
        <v>280</v>
      </c>
      <c r="C60" s="157">
        <f t="shared" si="22"/>
        <v>280</v>
      </c>
      <c r="D60" s="157">
        <f t="shared" si="22"/>
        <v>280</v>
      </c>
      <c r="E60" s="157">
        <f t="shared" si="22"/>
        <v>280</v>
      </c>
      <c r="F60" s="157">
        <f t="shared" si="22"/>
        <v>280</v>
      </c>
      <c r="G60" s="157">
        <f t="shared" si="22"/>
        <v>280</v>
      </c>
      <c r="H60" s="157">
        <f t="shared" si="22"/>
        <v>280</v>
      </c>
      <c r="I60" s="157">
        <f t="shared" si="22"/>
        <v>0</v>
      </c>
      <c r="J60" s="157">
        <f t="shared" si="22"/>
        <v>280</v>
      </c>
      <c r="K60" s="157">
        <f t="shared" si="22"/>
        <v>280</v>
      </c>
      <c r="L60" s="157">
        <f t="shared" si="22"/>
        <v>280</v>
      </c>
      <c r="M60" s="165">
        <f t="shared" si="22"/>
        <v>280</v>
      </c>
      <c r="N60" s="156">
        <f t="shared" si="22"/>
        <v>590</v>
      </c>
      <c r="O60" s="157">
        <f t="shared" si="22"/>
        <v>590</v>
      </c>
      <c r="P60" s="157">
        <f t="shared" si="22"/>
        <v>650</v>
      </c>
      <c r="Q60" s="157">
        <f t="shared" si="22"/>
        <v>650</v>
      </c>
      <c r="R60" s="157">
        <f t="shared" si="22"/>
        <v>650</v>
      </c>
      <c r="S60" s="157">
        <f t="shared" si="22"/>
        <v>650</v>
      </c>
      <c r="T60" s="157">
        <f t="shared" si="22"/>
        <v>650</v>
      </c>
      <c r="U60" s="157">
        <f t="shared" si="22"/>
        <v>1020</v>
      </c>
      <c r="V60" s="157">
        <f t="shared" si="22"/>
        <v>1090</v>
      </c>
      <c r="W60" s="157">
        <f t="shared" si="22"/>
        <v>1090</v>
      </c>
    </row>
    <row r="61" spans="1:23">
      <c r="A61" s="28" t="s">
        <v>24</v>
      </c>
      <c r="B61" s="164">
        <f t="shared" ref="B61:W61" si="23">MROUND(B11*$A$25,10)</f>
        <v>280</v>
      </c>
      <c r="C61" s="157">
        <f t="shared" si="23"/>
        <v>280</v>
      </c>
      <c r="D61" s="157">
        <f t="shared" si="23"/>
        <v>280</v>
      </c>
      <c r="E61" s="157">
        <f t="shared" si="23"/>
        <v>280</v>
      </c>
      <c r="F61" s="157">
        <f t="shared" si="23"/>
        <v>280</v>
      </c>
      <c r="G61" s="157">
        <f t="shared" si="23"/>
        <v>280</v>
      </c>
      <c r="H61" s="157">
        <f t="shared" si="23"/>
        <v>280</v>
      </c>
      <c r="I61" s="157">
        <f t="shared" si="23"/>
        <v>280</v>
      </c>
      <c r="J61" s="157">
        <f t="shared" si="23"/>
        <v>0</v>
      </c>
      <c r="K61" s="157">
        <f t="shared" si="23"/>
        <v>280</v>
      </c>
      <c r="L61" s="157">
        <f t="shared" si="23"/>
        <v>280</v>
      </c>
      <c r="M61" s="165">
        <f t="shared" si="23"/>
        <v>280</v>
      </c>
      <c r="N61" s="156">
        <f t="shared" si="23"/>
        <v>590</v>
      </c>
      <c r="O61" s="157">
        <f t="shared" si="23"/>
        <v>590</v>
      </c>
      <c r="P61" s="157">
        <f t="shared" si="23"/>
        <v>650</v>
      </c>
      <c r="Q61" s="157">
        <f t="shared" si="23"/>
        <v>650</v>
      </c>
      <c r="R61" s="157">
        <f t="shared" si="23"/>
        <v>650</v>
      </c>
      <c r="S61" s="157">
        <f t="shared" si="23"/>
        <v>650</v>
      </c>
      <c r="T61" s="157">
        <f t="shared" si="23"/>
        <v>650</v>
      </c>
      <c r="U61" s="157">
        <f t="shared" si="23"/>
        <v>1020</v>
      </c>
      <c r="V61" s="157">
        <f t="shared" si="23"/>
        <v>1090</v>
      </c>
      <c r="W61" s="157">
        <f t="shared" si="23"/>
        <v>1090</v>
      </c>
    </row>
    <row r="62" spans="1:23">
      <c r="A62" s="28" t="s">
        <v>11</v>
      </c>
      <c r="B62" s="164">
        <f t="shared" ref="B62:W62" si="24">MROUND(B12*$A$25,10)</f>
        <v>280</v>
      </c>
      <c r="C62" s="157">
        <f t="shared" si="24"/>
        <v>280</v>
      </c>
      <c r="D62" s="157">
        <f t="shared" si="24"/>
        <v>280</v>
      </c>
      <c r="E62" s="157">
        <f t="shared" si="24"/>
        <v>280</v>
      </c>
      <c r="F62" s="157">
        <f t="shared" si="24"/>
        <v>280</v>
      </c>
      <c r="G62" s="157">
        <f t="shared" si="24"/>
        <v>280</v>
      </c>
      <c r="H62" s="157">
        <f t="shared" si="24"/>
        <v>280</v>
      </c>
      <c r="I62" s="157">
        <f t="shared" si="24"/>
        <v>280</v>
      </c>
      <c r="J62" s="157">
        <f t="shared" si="24"/>
        <v>280</v>
      </c>
      <c r="K62" s="157">
        <f t="shared" si="24"/>
        <v>0</v>
      </c>
      <c r="L62" s="157">
        <f t="shared" si="24"/>
        <v>280</v>
      </c>
      <c r="M62" s="165">
        <f t="shared" si="24"/>
        <v>280</v>
      </c>
      <c r="N62" s="156">
        <f t="shared" si="24"/>
        <v>590</v>
      </c>
      <c r="O62" s="157">
        <f t="shared" si="24"/>
        <v>590</v>
      </c>
      <c r="P62" s="157">
        <f t="shared" si="24"/>
        <v>650</v>
      </c>
      <c r="Q62" s="157">
        <f t="shared" si="24"/>
        <v>650</v>
      </c>
      <c r="R62" s="157">
        <f t="shared" si="24"/>
        <v>650</v>
      </c>
      <c r="S62" s="157">
        <f t="shared" si="24"/>
        <v>650</v>
      </c>
      <c r="T62" s="157">
        <f t="shared" si="24"/>
        <v>650</v>
      </c>
      <c r="U62" s="157">
        <f t="shared" si="24"/>
        <v>1020</v>
      </c>
      <c r="V62" s="157">
        <f t="shared" si="24"/>
        <v>1090</v>
      </c>
      <c r="W62" s="157">
        <f t="shared" si="24"/>
        <v>1090</v>
      </c>
    </row>
    <row r="63" spans="1:23">
      <c r="A63" s="28" t="s">
        <v>25</v>
      </c>
      <c r="B63" s="164">
        <f t="shared" ref="B63:W63" si="25">MROUND(B13*$A$25,10)</f>
        <v>280</v>
      </c>
      <c r="C63" s="157">
        <f t="shared" si="25"/>
        <v>280</v>
      </c>
      <c r="D63" s="157">
        <f t="shared" si="25"/>
        <v>280</v>
      </c>
      <c r="E63" s="157">
        <f t="shared" si="25"/>
        <v>280</v>
      </c>
      <c r="F63" s="157">
        <f t="shared" si="25"/>
        <v>280</v>
      </c>
      <c r="G63" s="157">
        <f t="shared" si="25"/>
        <v>280</v>
      </c>
      <c r="H63" s="157">
        <f t="shared" si="25"/>
        <v>280</v>
      </c>
      <c r="I63" s="157">
        <f t="shared" si="25"/>
        <v>280</v>
      </c>
      <c r="J63" s="157">
        <f t="shared" si="25"/>
        <v>280</v>
      </c>
      <c r="K63" s="157">
        <f t="shared" si="25"/>
        <v>280</v>
      </c>
      <c r="L63" s="157">
        <f t="shared" si="25"/>
        <v>0</v>
      </c>
      <c r="M63" s="165">
        <f t="shared" si="25"/>
        <v>280</v>
      </c>
      <c r="N63" s="156">
        <f t="shared" si="25"/>
        <v>590</v>
      </c>
      <c r="O63" s="157">
        <f t="shared" si="25"/>
        <v>590</v>
      </c>
      <c r="P63" s="157">
        <f t="shared" si="25"/>
        <v>650</v>
      </c>
      <c r="Q63" s="157">
        <f t="shared" si="25"/>
        <v>650</v>
      </c>
      <c r="R63" s="157">
        <f t="shared" si="25"/>
        <v>650</v>
      </c>
      <c r="S63" s="157">
        <f t="shared" si="25"/>
        <v>650</v>
      </c>
      <c r="T63" s="157">
        <f t="shared" si="25"/>
        <v>650</v>
      </c>
      <c r="U63" s="157">
        <f t="shared" si="25"/>
        <v>1020</v>
      </c>
      <c r="V63" s="157">
        <f t="shared" si="25"/>
        <v>1090</v>
      </c>
      <c r="W63" s="157">
        <f t="shared" si="25"/>
        <v>1090</v>
      </c>
    </row>
    <row r="64" spans="1:23" ht="16.5" thickBot="1">
      <c r="A64" s="28" t="s">
        <v>13</v>
      </c>
      <c r="B64" s="166">
        <f t="shared" ref="B64:W64" si="26">MROUND(B14*$A$25,10)</f>
        <v>280</v>
      </c>
      <c r="C64" s="39">
        <f t="shared" si="26"/>
        <v>280</v>
      </c>
      <c r="D64" s="39">
        <f t="shared" si="26"/>
        <v>280</v>
      </c>
      <c r="E64" s="39">
        <f t="shared" si="26"/>
        <v>280</v>
      </c>
      <c r="F64" s="39">
        <f t="shared" si="26"/>
        <v>280</v>
      </c>
      <c r="G64" s="39">
        <f t="shared" si="26"/>
        <v>280</v>
      </c>
      <c r="H64" s="39">
        <f t="shared" si="26"/>
        <v>280</v>
      </c>
      <c r="I64" s="39">
        <f t="shared" si="26"/>
        <v>280</v>
      </c>
      <c r="J64" s="39">
        <f t="shared" si="26"/>
        <v>280</v>
      </c>
      <c r="K64" s="39">
        <f t="shared" si="26"/>
        <v>280</v>
      </c>
      <c r="L64" s="39">
        <f t="shared" si="26"/>
        <v>280</v>
      </c>
      <c r="M64" s="167">
        <f t="shared" si="26"/>
        <v>0</v>
      </c>
      <c r="N64" s="156">
        <f t="shared" si="26"/>
        <v>330</v>
      </c>
      <c r="O64" s="157">
        <f t="shared" si="26"/>
        <v>330</v>
      </c>
      <c r="P64" s="157">
        <f t="shared" si="26"/>
        <v>650</v>
      </c>
      <c r="Q64" s="157">
        <f t="shared" si="26"/>
        <v>650</v>
      </c>
      <c r="R64" s="157">
        <f t="shared" si="26"/>
        <v>650</v>
      </c>
      <c r="S64" s="157">
        <f t="shared" si="26"/>
        <v>650</v>
      </c>
      <c r="T64" s="157">
        <f t="shared" si="26"/>
        <v>650</v>
      </c>
      <c r="U64" s="157">
        <f t="shared" si="26"/>
        <v>1020</v>
      </c>
      <c r="V64" s="157">
        <f t="shared" si="26"/>
        <v>1090</v>
      </c>
      <c r="W64" s="157">
        <f t="shared" si="26"/>
        <v>1090</v>
      </c>
    </row>
    <row r="65" spans="1:23">
      <c r="A65" s="28" t="s">
        <v>14</v>
      </c>
      <c r="B65" s="163">
        <f t="shared" ref="B65:T65" si="27">MROUND(B15*$A$25,10)</f>
        <v>590</v>
      </c>
      <c r="C65" s="163">
        <f t="shared" si="27"/>
        <v>590</v>
      </c>
      <c r="D65" s="163">
        <f t="shared" si="27"/>
        <v>590</v>
      </c>
      <c r="E65" s="163">
        <f t="shared" si="27"/>
        <v>590</v>
      </c>
      <c r="F65" s="163">
        <f t="shared" si="27"/>
        <v>590</v>
      </c>
      <c r="G65" s="163">
        <f t="shared" si="27"/>
        <v>590</v>
      </c>
      <c r="H65" s="163">
        <f t="shared" si="27"/>
        <v>590</v>
      </c>
      <c r="I65" s="163">
        <f t="shared" si="27"/>
        <v>590</v>
      </c>
      <c r="J65" s="163">
        <f t="shared" si="27"/>
        <v>590</v>
      </c>
      <c r="K65" s="163">
        <f t="shared" si="27"/>
        <v>590</v>
      </c>
      <c r="L65" s="163">
        <f t="shared" si="27"/>
        <v>590</v>
      </c>
      <c r="M65" s="163">
        <f t="shared" si="27"/>
        <v>330</v>
      </c>
      <c r="N65" s="157">
        <f t="shared" si="27"/>
        <v>0</v>
      </c>
      <c r="O65" s="157">
        <f t="shared" si="27"/>
        <v>330</v>
      </c>
      <c r="P65" s="157">
        <f t="shared" si="27"/>
        <v>330</v>
      </c>
      <c r="Q65" s="157">
        <f t="shared" si="27"/>
        <v>600</v>
      </c>
      <c r="R65" s="157">
        <f t="shared" si="27"/>
        <v>600</v>
      </c>
      <c r="S65" s="157">
        <f t="shared" si="27"/>
        <v>600</v>
      </c>
      <c r="T65" s="157">
        <f t="shared" si="27"/>
        <v>600</v>
      </c>
      <c r="U65" s="157">
        <f t="shared" ref="C65:W74" si="28">MROUND(U15*$A$25,10)</f>
        <v>920</v>
      </c>
      <c r="V65" s="157">
        <f t="shared" si="28"/>
        <v>920</v>
      </c>
      <c r="W65" s="157">
        <f t="shared" si="28"/>
        <v>920</v>
      </c>
    </row>
    <row r="66" spans="1:23">
      <c r="A66" s="28" t="s">
        <v>15</v>
      </c>
      <c r="B66" s="157">
        <f t="shared" ref="B66:B74" si="29">MROUND(B16*$A$25,10)</f>
        <v>590</v>
      </c>
      <c r="C66" s="157">
        <f t="shared" si="28"/>
        <v>590</v>
      </c>
      <c r="D66" s="157">
        <f t="shared" si="28"/>
        <v>590</v>
      </c>
      <c r="E66" s="157">
        <f t="shared" si="28"/>
        <v>590</v>
      </c>
      <c r="F66" s="157">
        <f t="shared" si="28"/>
        <v>590</v>
      </c>
      <c r="G66" s="157">
        <f t="shared" si="28"/>
        <v>590</v>
      </c>
      <c r="H66" s="157">
        <f t="shared" si="28"/>
        <v>590</v>
      </c>
      <c r="I66" s="157">
        <f t="shared" si="28"/>
        <v>590</v>
      </c>
      <c r="J66" s="157">
        <f t="shared" si="28"/>
        <v>590</v>
      </c>
      <c r="K66" s="157">
        <f t="shared" si="28"/>
        <v>590</v>
      </c>
      <c r="L66" s="157">
        <f t="shared" si="28"/>
        <v>590</v>
      </c>
      <c r="M66" s="157">
        <f t="shared" si="28"/>
        <v>330</v>
      </c>
      <c r="N66" s="157">
        <f t="shared" si="28"/>
        <v>330</v>
      </c>
      <c r="O66" s="157">
        <f t="shared" si="28"/>
        <v>0</v>
      </c>
      <c r="P66" s="157">
        <f t="shared" si="28"/>
        <v>330</v>
      </c>
      <c r="Q66" s="157">
        <f t="shared" si="28"/>
        <v>330</v>
      </c>
      <c r="R66" s="157">
        <f t="shared" si="28"/>
        <v>600</v>
      </c>
      <c r="S66" s="157">
        <f t="shared" si="28"/>
        <v>600</v>
      </c>
      <c r="T66" s="157">
        <f t="shared" si="28"/>
        <v>600</v>
      </c>
      <c r="U66" s="157">
        <f t="shared" si="28"/>
        <v>600</v>
      </c>
      <c r="V66" s="157">
        <f t="shared" si="28"/>
        <v>920</v>
      </c>
      <c r="W66" s="157">
        <f t="shared" si="28"/>
        <v>920</v>
      </c>
    </row>
    <row r="67" spans="1:23">
      <c r="A67" s="28" t="s">
        <v>16</v>
      </c>
      <c r="B67" s="157">
        <f t="shared" si="29"/>
        <v>650</v>
      </c>
      <c r="C67" s="157">
        <f t="shared" si="28"/>
        <v>650</v>
      </c>
      <c r="D67" s="157">
        <f t="shared" si="28"/>
        <v>650</v>
      </c>
      <c r="E67" s="157">
        <f t="shared" si="28"/>
        <v>650</v>
      </c>
      <c r="F67" s="157">
        <f t="shared" si="28"/>
        <v>650</v>
      </c>
      <c r="G67" s="157">
        <f t="shared" si="28"/>
        <v>650</v>
      </c>
      <c r="H67" s="157">
        <f t="shared" si="28"/>
        <v>650</v>
      </c>
      <c r="I67" s="157">
        <f t="shared" si="28"/>
        <v>650</v>
      </c>
      <c r="J67" s="157">
        <f t="shared" si="28"/>
        <v>650</v>
      </c>
      <c r="K67" s="157">
        <f t="shared" si="28"/>
        <v>650</v>
      </c>
      <c r="L67" s="157">
        <f t="shared" si="28"/>
        <v>650</v>
      </c>
      <c r="M67" s="157">
        <f t="shared" si="28"/>
        <v>650</v>
      </c>
      <c r="N67" s="157">
        <f t="shared" si="28"/>
        <v>330</v>
      </c>
      <c r="O67" s="157">
        <f t="shared" si="28"/>
        <v>330</v>
      </c>
      <c r="P67" s="157">
        <f t="shared" si="28"/>
        <v>0</v>
      </c>
      <c r="Q67" s="157">
        <f t="shared" si="28"/>
        <v>330</v>
      </c>
      <c r="R67" s="157">
        <f t="shared" si="28"/>
        <v>330</v>
      </c>
      <c r="S67" s="157">
        <f t="shared" si="28"/>
        <v>330</v>
      </c>
      <c r="T67" s="157">
        <f t="shared" si="28"/>
        <v>600</v>
      </c>
      <c r="U67" s="157">
        <f t="shared" si="28"/>
        <v>600</v>
      </c>
      <c r="V67" s="157">
        <f t="shared" si="28"/>
        <v>600</v>
      </c>
      <c r="W67" s="157">
        <f t="shared" si="28"/>
        <v>600</v>
      </c>
    </row>
    <row r="68" spans="1:23">
      <c r="A68" s="28" t="s">
        <v>17</v>
      </c>
      <c r="B68" s="157">
        <f t="shared" si="29"/>
        <v>650</v>
      </c>
      <c r="C68" s="157">
        <f t="shared" si="28"/>
        <v>650</v>
      </c>
      <c r="D68" s="157">
        <f t="shared" si="28"/>
        <v>650</v>
      </c>
      <c r="E68" s="157">
        <f t="shared" si="28"/>
        <v>650</v>
      </c>
      <c r="F68" s="157">
        <f t="shared" si="28"/>
        <v>650</v>
      </c>
      <c r="G68" s="157">
        <f t="shared" si="28"/>
        <v>650</v>
      </c>
      <c r="H68" s="157">
        <f t="shared" si="28"/>
        <v>650</v>
      </c>
      <c r="I68" s="157">
        <f t="shared" si="28"/>
        <v>650</v>
      </c>
      <c r="J68" s="157">
        <f t="shared" si="28"/>
        <v>650</v>
      </c>
      <c r="K68" s="157">
        <f t="shared" si="28"/>
        <v>650</v>
      </c>
      <c r="L68" s="157">
        <f t="shared" si="28"/>
        <v>650</v>
      </c>
      <c r="M68" s="157">
        <f t="shared" si="28"/>
        <v>650</v>
      </c>
      <c r="N68" s="157">
        <f t="shared" si="28"/>
        <v>600</v>
      </c>
      <c r="O68" s="157">
        <f t="shared" si="28"/>
        <v>330</v>
      </c>
      <c r="P68" s="157">
        <f t="shared" si="28"/>
        <v>330</v>
      </c>
      <c r="Q68" s="157">
        <f t="shared" si="28"/>
        <v>0</v>
      </c>
      <c r="R68" s="157">
        <f t="shared" si="28"/>
        <v>330</v>
      </c>
      <c r="S68" s="157">
        <f t="shared" si="28"/>
        <v>330</v>
      </c>
      <c r="T68" s="157">
        <f t="shared" si="28"/>
        <v>600</v>
      </c>
      <c r="U68" s="157">
        <f t="shared" si="28"/>
        <v>600</v>
      </c>
      <c r="V68" s="157">
        <f t="shared" si="28"/>
        <v>600</v>
      </c>
      <c r="W68" s="157">
        <f t="shared" si="28"/>
        <v>600</v>
      </c>
    </row>
    <row r="69" spans="1:23">
      <c r="A69" s="28" t="s">
        <v>18</v>
      </c>
      <c r="B69" s="157">
        <f t="shared" si="29"/>
        <v>650</v>
      </c>
      <c r="C69" s="157">
        <f t="shared" si="28"/>
        <v>650</v>
      </c>
      <c r="D69" s="157">
        <f t="shared" si="28"/>
        <v>650</v>
      </c>
      <c r="E69" s="157">
        <f t="shared" si="28"/>
        <v>650</v>
      </c>
      <c r="F69" s="157">
        <f t="shared" si="28"/>
        <v>650</v>
      </c>
      <c r="G69" s="157">
        <f t="shared" si="28"/>
        <v>650</v>
      </c>
      <c r="H69" s="157">
        <f t="shared" si="28"/>
        <v>650</v>
      </c>
      <c r="I69" s="157">
        <f t="shared" si="28"/>
        <v>650</v>
      </c>
      <c r="J69" s="157">
        <f t="shared" si="28"/>
        <v>650</v>
      </c>
      <c r="K69" s="157">
        <f t="shared" si="28"/>
        <v>650</v>
      </c>
      <c r="L69" s="157">
        <f t="shared" si="28"/>
        <v>650</v>
      </c>
      <c r="M69" s="157">
        <f t="shared" si="28"/>
        <v>650</v>
      </c>
      <c r="N69" s="157">
        <f t="shared" si="28"/>
        <v>600</v>
      </c>
      <c r="O69" s="157">
        <f t="shared" si="28"/>
        <v>600</v>
      </c>
      <c r="P69" s="157">
        <f t="shared" si="28"/>
        <v>330</v>
      </c>
      <c r="Q69" s="157">
        <f t="shared" si="28"/>
        <v>330</v>
      </c>
      <c r="R69" s="157">
        <f t="shared" si="28"/>
        <v>0</v>
      </c>
      <c r="S69" s="157">
        <f t="shared" si="28"/>
        <v>330</v>
      </c>
      <c r="T69" s="157">
        <f t="shared" si="28"/>
        <v>330</v>
      </c>
      <c r="U69" s="157">
        <f t="shared" si="28"/>
        <v>600</v>
      </c>
      <c r="V69" s="157">
        <f t="shared" si="28"/>
        <v>600</v>
      </c>
      <c r="W69" s="157">
        <f t="shared" si="28"/>
        <v>600</v>
      </c>
    </row>
    <row r="70" spans="1:23">
      <c r="A70" s="28" t="s">
        <v>19</v>
      </c>
      <c r="B70" s="157">
        <f t="shared" si="29"/>
        <v>650</v>
      </c>
      <c r="C70" s="157">
        <f t="shared" si="28"/>
        <v>650</v>
      </c>
      <c r="D70" s="157">
        <f t="shared" si="28"/>
        <v>650</v>
      </c>
      <c r="E70" s="157">
        <f t="shared" si="28"/>
        <v>650</v>
      </c>
      <c r="F70" s="157">
        <f t="shared" si="28"/>
        <v>650</v>
      </c>
      <c r="G70" s="157">
        <f t="shared" si="28"/>
        <v>650</v>
      </c>
      <c r="H70" s="157">
        <f t="shared" si="28"/>
        <v>650</v>
      </c>
      <c r="I70" s="157">
        <f t="shared" si="28"/>
        <v>650</v>
      </c>
      <c r="J70" s="157">
        <f t="shared" si="28"/>
        <v>650</v>
      </c>
      <c r="K70" s="157">
        <f t="shared" si="28"/>
        <v>650</v>
      </c>
      <c r="L70" s="157">
        <f t="shared" si="28"/>
        <v>650</v>
      </c>
      <c r="M70" s="157">
        <f t="shared" si="28"/>
        <v>650</v>
      </c>
      <c r="N70" s="157">
        <f t="shared" si="28"/>
        <v>600</v>
      </c>
      <c r="O70" s="157">
        <f t="shared" si="28"/>
        <v>600</v>
      </c>
      <c r="P70" s="157">
        <f t="shared" si="28"/>
        <v>330</v>
      </c>
      <c r="Q70" s="157">
        <f t="shared" si="28"/>
        <v>330</v>
      </c>
      <c r="R70" s="157">
        <f t="shared" si="28"/>
        <v>330</v>
      </c>
      <c r="S70" s="157">
        <f t="shared" si="28"/>
        <v>0</v>
      </c>
      <c r="T70" s="157">
        <f t="shared" si="28"/>
        <v>330</v>
      </c>
      <c r="U70" s="157">
        <f t="shared" si="28"/>
        <v>600</v>
      </c>
      <c r="V70" s="157">
        <f t="shared" si="28"/>
        <v>600</v>
      </c>
      <c r="W70" s="157">
        <f t="shared" si="28"/>
        <v>600</v>
      </c>
    </row>
    <row r="71" spans="1:23">
      <c r="A71" s="28" t="s">
        <v>20</v>
      </c>
      <c r="B71" s="157">
        <f t="shared" si="29"/>
        <v>650</v>
      </c>
      <c r="C71" s="157">
        <f t="shared" si="28"/>
        <v>650</v>
      </c>
      <c r="D71" s="157">
        <f t="shared" si="28"/>
        <v>650</v>
      </c>
      <c r="E71" s="157">
        <f t="shared" si="28"/>
        <v>650</v>
      </c>
      <c r="F71" s="157">
        <f t="shared" si="28"/>
        <v>650</v>
      </c>
      <c r="G71" s="157">
        <f t="shared" si="28"/>
        <v>650</v>
      </c>
      <c r="H71" s="157">
        <f t="shared" si="28"/>
        <v>650</v>
      </c>
      <c r="I71" s="157">
        <f t="shared" si="28"/>
        <v>650</v>
      </c>
      <c r="J71" s="157">
        <f t="shared" si="28"/>
        <v>650</v>
      </c>
      <c r="K71" s="157">
        <f t="shared" si="28"/>
        <v>650</v>
      </c>
      <c r="L71" s="157">
        <f t="shared" si="28"/>
        <v>650</v>
      </c>
      <c r="M71" s="157">
        <f t="shared" si="28"/>
        <v>650</v>
      </c>
      <c r="N71" s="157">
        <f t="shared" si="28"/>
        <v>600</v>
      </c>
      <c r="O71" s="157">
        <f t="shared" si="28"/>
        <v>600</v>
      </c>
      <c r="P71" s="157">
        <f t="shared" si="28"/>
        <v>600</v>
      </c>
      <c r="Q71" s="157">
        <f t="shared" si="28"/>
        <v>600</v>
      </c>
      <c r="R71" s="157">
        <f t="shared" si="28"/>
        <v>330</v>
      </c>
      <c r="S71" s="157">
        <f t="shared" si="28"/>
        <v>330</v>
      </c>
      <c r="T71" s="157">
        <f t="shared" si="28"/>
        <v>0</v>
      </c>
      <c r="U71" s="157">
        <f t="shared" si="28"/>
        <v>330</v>
      </c>
      <c r="V71" s="157">
        <f t="shared" si="28"/>
        <v>600</v>
      </c>
      <c r="W71" s="157">
        <f t="shared" si="28"/>
        <v>600</v>
      </c>
    </row>
    <row r="72" spans="1:23">
      <c r="A72" s="28" t="s">
        <v>21</v>
      </c>
      <c r="B72" s="157">
        <f t="shared" si="29"/>
        <v>1020</v>
      </c>
      <c r="C72" s="157">
        <f t="shared" si="28"/>
        <v>1020</v>
      </c>
      <c r="D72" s="157">
        <f t="shared" si="28"/>
        <v>1020</v>
      </c>
      <c r="E72" s="157">
        <f t="shared" si="28"/>
        <v>1020</v>
      </c>
      <c r="F72" s="157">
        <f t="shared" si="28"/>
        <v>1020</v>
      </c>
      <c r="G72" s="157">
        <f t="shared" si="28"/>
        <v>1020</v>
      </c>
      <c r="H72" s="157">
        <f t="shared" si="28"/>
        <v>1020</v>
      </c>
      <c r="I72" s="157">
        <f t="shared" si="28"/>
        <v>1020</v>
      </c>
      <c r="J72" s="157">
        <f t="shared" si="28"/>
        <v>1020</v>
      </c>
      <c r="K72" s="157">
        <f t="shared" si="28"/>
        <v>1020</v>
      </c>
      <c r="L72" s="157">
        <f t="shared" si="28"/>
        <v>1020</v>
      </c>
      <c r="M72" s="157">
        <f t="shared" si="28"/>
        <v>1020</v>
      </c>
      <c r="N72" s="157">
        <f t="shared" si="28"/>
        <v>920</v>
      </c>
      <c r="O72" s="157">
        <f t="shared" si="28"/>
        <v>600</v>
      </c>
      <c r="P72" s="157">
        <f t="shared" si="28"/>
        <v>600</v>
      </c>
      <c r="Q72" s="157">
        <f t="shared" si="28"/>
        <v>600</v>
      </c>
      <c r="R72" s="157">
        <f t="shared" si="28"/>
        <v>600</v>
      </c>
      <c r="S72" s="157">
        <f t="shared" si="28"/>
        <v>600</v>
      </c>
      <c r="T72" s="157">
        <f t="shared" si="28"/>
        <v>330</v>
      </c>
      <c r="U72" s="157">
        <f t="shared" si="28"/>
        <v>0</v>
      </c>
      <c r="V72" s="157">
        <f t="shared" si="28"/>
        <v>330</v>
      </c>
      <c r="W72" s="157">
        <f t="shared" si="28"/>
        <v>600</v>
      </c>
    </row>
    <row r="73" spans="1:23">
      <c r="A73" s="28" t="s">
        <v>22</v>
      </c>
      <c r="B73" s="157">
        <f t="shared" si="29"/>
        <v>1090</v>
      </c>
      <c r="C73" s="157">
        <f t="shared" si="28"/>
        <v>1090</v>
      </c>
      <c r="D73" s="157">
        <f t="shared" si="28"/>
        <v>1090</v>
      </c>
      <c r="E73" s="157">
        <f t="shared" si="28"/>
        <v>1090</v>
      </c>
      <c r="F73" s="157">
        <f t="shared" si="28"/>
        <v>1090</v>
      </c>
      <c r="G73" s="157">
        <f t="shared" si="28"/>
        <v>1090</v>
      </c>
      <c r="H73" s="157">
        <f t="shared" si="28"/>
        <v>1090</v>
      </c>
      <c r="I73" s="157">
        <f t="shared" si="28"/>
        <v>1090</v>
      </c>
      <c r="J73" s="157">
        <f t="shared" si="28"/>
        <v>1090</v>
      </c>
      <c r="K73" s="157">
        <f t="shared" si="28"/>
        <v>1090</v>
      </c>
      <c r="L73" s="157">
        <f t="shared" si="28"/>
        <v>1090</v>
      </c>
      <c r="M73" s="157">
        <f t="shared" si="28"/>
        <v>1090</v>
      </c>
      <c r="N73" s="157">
        <f t="shared" si="28"/>
        <v>920</v>
      </c>
      <c r="O73" s="157">
        <f t="shared" si="28"/>
        <v>920</v>
      </c>
      <c r="P73" s="157">
        <f t="shared" si="28"/>
        <v>600</v>
      </c>
      <c r="Q73" s="157">
        <f t="shared" si="28"/>
        <v>600</v>
      </c>
      <c r="R73" s="157">
        <f t="shared" si="28"/>
        <v>600</v>
      </c>
      <c r="S73" s="157">
        <f t="shared" si="28"/>
        <v>600</v>
      </c>
      <c r="T73" s="157">
        <f t="shared" si="28"/>
        <v>600</v>
      </c>
      <c r="U73" s="157">
        <f t="shared" si="28"/>
        <v>330</v>
      </c>
      <c r="V73" s="157">
        <f t="shared" si="28"/>
        <v>0</v>
      </c>
      <c r="W73" s="157">
        <f t="shared" si="28"/>
        <v>330</v>
      </c>
    </row>
    <row r="74" spans="1:23">
      <c r="A74" s="28" t="s">
        <v>23</v>
      </c>
      <c r="B74" s="157">
        <f t="shared" si="29"/>
        <v>1090</v>
      </c>
      <c r="C74" s="157">
        <f t="shared" si="28"/>
        <v>1090</v>
      </c>
      <c r="D74" s="157">
        <f t="shared" si="28"/>
        <v>1090</v>
      </c>
      <c r="E74" s="157">
        <f t="shared" si="28"/>
        <v>1090</v>
      </c>
      <c r="F74" s="157">
        <f t="shared" si="28"/>
        <v>1090</v>
      </c>
      <c r="G74" s="157">
        <f t="shared" si="28"/>
        <v>1090</v>
      </c>
      <c r="H74" s="157">
        <f t="shared" si="28"/>
        <v>1090</v>
      </c>
      <c r="I74" s="157">
        <f t="shared" si="28"/>
        <v>1090</v>
      </c>
      <c r="J74" s="157">
        <f t="shared" si="28"/>
        <v>1090</v>
      </c>
      <c r="K74" s="157">
        <f t="shared" si="28"/>
        <v>1090</v>
      </c>
      <c r="L74" s="157">
        <f t="shared" si="28"/>
        <v>1090</v>
      </c>
      <c r="M74" s="157">
        <f t="shared" si="28"/>
        <v>1090</v>
      </c>
      <c r="N74" s="157">
        <f t="shared" si="28"/>
        <v>920</v>
      </c>
      <c r="O74" s="157">
        <f t="shared" si="28"/>
        <v>920</v>
      </c>
      <c r="P74" s="157">
        <f t="shared" si="28"/>
        <v>600</v>
      </c>
      <c r="Q74" s="157">
        <f t="shared" si="28"/>
        <v>600</v>
      </c>
      <c r="R74" s="157">
        <f t="shared" si="28"/>
        <v>600</v>
      </c>
      <c r="S74" s="157">
        <f t="shared" si="28"/>
        <v>600</v>
      </c>
      <c r="T74" s="157">
        <f t="shared" si="28"/>
        <v>600</v>
      </c>
      <c r="U74" s="157">
        <f t="shared" si="28"/>
        <v>600</v>
      </c>
      <c r="V74" s="157">
        <f t="shared" si="28"/>
        <v>330</v>
      </c>
      <c r="W74" s="157">
        <f t="shared" si="28"/>
        <v>0</v>
      </c>
    </row>
    <row r="75" spans="1:23">
      <c r="A75" s="40">
        <v>0.9</v>
      </c>
    </row>
    <row r="76" spans="1:23">
      <c r="A76" s="119" t="s">
        <v>28</v>
      </c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</row>
    <row r="77" spans="1:23" ht="69.75" thickBot="1">
      <c r="A77" s="155" t="s">
        <v>1</v>
      </c>
      <c r="B77" s="26" t="s">
        <v>2</v>
      </c>
      <c r="C77" s="26" t="s">
        <v>3</v>
      </c>
      <c r="D77" s="26" t="s">
        <v>4</v>
      </c>
      <c r="E77" s="26" t="s">
        <v>5</v>
      </c>
      <c r="F77" s="26" t="s">
        <v>6</v>
      </c>
      <c r="G77" s="26" t="s">
        <v>7</v>
      </c>
      <c r="H77" s="26" t="s">
        <v>8</v>
      </c>
      <c r="I77" s="26" t="s">
        <v>9</v>
      </c>
      <c r="J77" s="26" t="s">
        <v>10</v>
      </c>
      <c r="K77" s="27" t="s">
        <v>11</v>
      </c>
      <c r="L77" s="26" t="s">
        <v>12</v>
      </c>
      <c r="M77" s="26" t="s">
        <v>13</v>
      </c>
      <c r="N77" s="26" t="s">
        <v>14</v>
      </c>
      <c r="O77" s="26" t="s">
        <v>15</v>
      </c>
      <c r="P77" s="26" t="s">
        <v>16</v>
      </c>
      <c r="Q77" s="26" t="s">
        <v>17</v>
      </c>
      <c r="R77" s="26" t="s">
        <v>18</v>
      </c>
      <c r="S77" s="26" t="s">
        <v>19</v>
      </c>
      <c r="T77" s="26" t="s">
        <v>20</v>
      </c>
      <c r="U77" s="26" t="s">
        <v>21</v>
      </c>
      <c r="V77" s="26" t="s">
        <v>22</v>
      </c>
      <c r="W77" s="26" t="s">
        <v>23</v>
      </c>
    </row>
    <row r="78" spans="1:23">
      <c r="A78" s="28" t="s">
        <v>2</v>
      </c>
      <c r="B78" s="36">
        <f t="shared" ref="B78:W78" si="30">MROUND(B3*2*$A$75,10)</f>
        <v>0</v>
      </c>
      <c r="C78" s="37">
        <f t="shared" si="30"/>
        <v>990</v>
      </c>
      <c r="D78" s="37">
        <f t="shared" si="30"/>
        <v>990</v>
      </c>
      <c r="E78" s="37">
        <f t="shared" si="30"/>
        <v>990</v>
      </c>
      <c r="F78" s="37">
        <f t="shared" si="30"/>
        <v>990</v>
      </c>
      <c r="G78" s="37">
        <f t="shared" si="30"/>
        <v>990</v>
      </c>
      <c r="H78" s="37">
        <f t="shared" si="30"/>
        <v>990</v>
      </c>
      <c r="I78" s="37">
        <f t="shared" si="30"/>
        <v>990</v>
      </c>
      <c r="J78" s="37">
        <f t="shared" si="30"/>
        <v>990</v>
      </c>
      <c r="K78" s="37">
        <f t="shared" si="30"/>
        <v>990</v>
      </c>
      <c r="L78" s="37">
        <f t="shared" si="30"/>
        <v>990</v>
      </c>
      <c r="M78" s="38">
        <f t="shared" si="30"/>
        <v>990</v>
      </c>
      <c r="N78" s="156">
        <f t="shared" si="30"/>
        <v>2110</v>
      </c>
      <c r="O78" s="157">
        <f t="shared" si="30"/>
        <v>2110</v>
      </c>
      <c r="P78" s="157">
        <f t="shared" si="30"/>
        <v>2340</v>
      </c>
      <c r="Q78" s="157">
        <f t="shared" si="30"/>
        <v>2340</v>
      </c>
      <c r="R78" s="157">
        <f t="shared" si="30"/>
        <v>2340</v>
      </c>
      <c r="S78" s="157">
        <f t="shared" si="30"/>
        <v>2340</v>
      </c>
      <c r="T78" s="157">
        <f t="shared" si="30"/>
        <v>2340</v>
      </c>
      <c r="U78" s="157">
        <f t="shared" si="30"/>
        <v>3650</v>
      </c>
      <c r="V78" s="157">
        <f t="shared" si="30"/>
        <v>3910</v>
      </c>
      <c r="W78" s="157">
        <f t="shared" si="30"/>
        <v>3910</v>
      </c>
    </row>
    <row r="79" spans="1:23">
      <c r="A79" s="28" t="s">
        <v>3</v>
      </c>
      <c r="B79" s="164">
        <f t="shared" ref="B79:W79" si="31">MROUND(B4*2*$A$75,10)</f>
        <v>990</v>
      </c>
      <c r="C79" s="157">
        <f t="shared" si="31"/>
        <v>0</v>
      </c>
      <c r="D79" s="157">
        <f t="shared" si="31"/>
        <v>990</v>
      </c>
      <c r="E79" s="157">
        <f t="shared" si="31"/>
        <v>990</v>
      </c>
      <c r="F79" s="157">
        <f t="shared" si="31"/>
        <v>990</v>
      </c>
      <c r="G79" s="157">
        <f t="shared" si="31"/>
        <v>990</v>
      </c>
      <c r="H79" s="157">
        <f t="shared" si="31"/>
        <v>990</v>
      </c>
      <c r="I79" s="157">
        <f t="shared" si="31"/>
        <v>990</v>
      </c>
      <c r="J79" s="157">
        <f t="shared" si="31"/>
        <v>990</v>
      </c>
      <c r="K79" s="157">
        <f t="shared" si="31"/>
        <v>990</v>
      </c>
      <c r="L79" s="157">
        <f t="shared" si="31"/>
        <v>990</v>
      </c>
      <c r="M79" s="165">
        <f t="shared" si="31"/>
        <v>990</v>
      </c>
      <c r="N79" s="156">
        <f t="shared" si="31"/>
        <v>2110</v>
      </c>
      <c r="O79" s="157">
        <f t="shared" si="31"/>
        <v>2110</v>
      </c>
      <c r="P79" s="157">
        <f t="shared" si="31"/>
        <v>2340</v>
      </c>
      <c r="Q79" s="157">
        <f t="shared" si="31"/>
        <v>2340</v>
      </c>
      <c r="R79" s="157">
        <f t="shared" si="31"/>
        <v>2340</v>
      </c>
      <c r="S79" s="157">
        <f t="shared" si="31"/>
        <v>2340</v>
      </c>
      <c r="T79" s="157">
        <f t="shared" si="31"/>
        <v>2340</v>
      </c>
      <c r="U79" s="157">
        <f t="shared" si="31"/>
        <v>3650</v>
      </c>
      <c r="V79" s="157">
        <f t="shared" si="31"/>
        <v>3910</v>
      </c>
      <c r="W79" s="157">
        <f t="shared" si="31"/>
        <v>3910</v>
      </c>
    </row>
    <row r="80" spans="1:23">
      <c r="A80" s="28" t="s">
        <v>4</v>
      </c>
      <c r="B80" s="164">
        <f t="shared" ref="B80:W80" si="32">MROUND(B5*2*$A$75,10)</f>
        <v>990</v>
      </c>
      <c r="C80" s="157">
        <f t="shared" si="32"/>
        <v>990</v>
      </c>
      <c r="D80" s="157">
        <f t="shared" si="32"/>
        <v>0</v>
      </c>
      <c r="E80" s="157">
        <f t="shared" si="32"/>
        <v>990</v>
      </c>
      <c r="F80" s="157">
        <f t="shared" si="32"/>
        <v>990</v>
      </c>
      <c r="G80" s="157">
        <f t="shared" si="32"/>
        <v>990</v>
      </c>
      <c r="H80" s="157">
        <f t="shared" si="32"/>
        <v>990</v>
      </c>
      <c r="I80" s="157">
        <f t="shared" si="32"/>
        <v>990</v>
      </c>
      <c r="J80" s="157">
        <f t="shared" si="32"/>
        <v>990</v>
      </c>
      <c r="K80" s="157">
        <f t="shared" si="32"/>
        <v>990</v>
      </c>
      <c r="L80" s="157">
        <f t="shared" si="32"/>
        <v>990</v>
      </c>
      <c r="M80" s="165">
        <f t="shared" si="32"/>
        <v>990</v>
      </c>
      <c r="N80" s="156">
        <f t="shared" si="32"/>
        <v>2110</v>
      </c>
      <c r="O80" s="157">
        <f t="shared" si="32"/>
        <v>2110</v>
      </c>
      <c r="P80" s="157">
        <f t="shared" si="32"/>
        <v>2340</v>
      </c>
      <c r="Q80" s="157">
        <f t="shared" si="32"/>
        <v>2340</v>
      </c>
      <c r="R80" s="157">
        <f t="shared" si="32"/>
        <v>2340</v>
      </c>
      <c r="S80" s="157">
        <f t="shared" si="32"/>
        <v>2340</v>
      </c>
      <c r="T80" s="157">
        <f t="shared" si="32"/>
        <v>2340</v>
      </c>
      <c r="U80" s="157">
        <f t="shared" si="32"/>
        <v>3650</v>
      </c>
      <c r="V80" s="157">
        <f t="shared" si="32"/>
        <v>3910</v>
      </c>
      <c r="W80" s="157">
        <f t="shared" si="32"/>
        <v>3910</v>
      </c>
    </row>
    <row r="81" spans="1:23">
      <c r="A81" s="28" t="s">
        <v>5</v>
      </c>
      <c r="B81" s="164">
        <f t="shared" ref="B81:W81" si="33">MROUND(B6*2*$A$75,10)</f>
        <v>990</v>
      </c>
      <c r="C81" s="157">
        <f t="shared" si="33"/>
        <v>990</v>
      </c>
      <c r="D81" s="157">
        <f t="shared" si="33"/>
        <v>990</v>
      </c>
      <c r="E81" s="157">
        <f t="shared" si="33"/>
        <v>0</v>
      </c>
      <c r="F81" s="157">
        <f t="shared" si="33"/>
        <v>990</v>
      </c>
      <c r="G81" s="157">
        <f t="shared" si="33"/>
        <v>990</v>
      </c>
      <c r="H81" s="157">
        <f t="shared" si="33"/>
        <v>990</v>
      </c>
      <c r="I81" s="157">
        <f t="shared" si="33"/>
        <v>990</v>
      </c>
      <c r="J81" s="157">
        <f t="shared" si="33"/>
        <v>990</v>
      </c>
      <c r="K81" s="157">
        <f t="shared" si="33"/>
        <v>990</v>
      </c>
      <c r="L81" s="157">
        <f t="shared" si="33"/>
        <v>990</v>
      </c>
      <c r="M81" s="165">
        <f t="shared" si="33"/>
        <v>990</v>
      </c>
      <c r="N81" s="156">
        <f t="shared" si="33"/>
        <v>2110</v>
      </c>
      <c r="O81" s="157">
        <f t="shared" si="33"/>
        <v>2110</v>
      </c>
      <c r="P81" s="157">
        <f t="shared" si="33"/>
        <v>2340</v>
      </c>
      <c r="Q81" s="157">
        <f t="shared" si="33"/>
        <v>2340</v>
      </c>
      <c r="R81" s="157">
        <f t="shared" si="33"/>
        <v>2340</v>
      </c>
      <c r="S81" s="157">
        <f t="shared" si="33"/>
        <v>2340</v>
      </c>
      <c r="T81" s="157">
        <f t="shared" si="33"/>
        <v>2340</v>
      </c>
      <c r="U81" s="157">
        <f t="shared" si="33"/>
        <v>3650</v>
      </c>
      <c r="V81" s="157">
        <f t="shared" si="33"/>
        <v>3910</v>
      </c>
      <c r="W81" s="157">
        <f t="shared" si="33"/>
        <v>3910</v>
      </c>
    </row>
    <row r="82" spans="1:23">
      <c r="A82" s="28" t="s">
        <v>6</v>
      </c>
      <c r="B82" s="164">
        <f t="shared" ref="B82:W82" si="34">MROUND(B7*2*$A$75,10)</f>
        <v>990</v>
      </c>
      <c r="C82" s="157">
        <f t="shared" si="34"/>
        <v>990</v>
      </c>
      <c r="D82" s="157">
        <f t="shared" si="34"/>
        <v>990</v>
      </c>
      <c r="E82" s="157">
        <f t="shared" si="34"/>
        <v>990</v>
      </c>
      <c r="F82" s="157">
        <f t="shared" si="34"/>
        <v>0</v>
      </c>
      <c r="G82" s="157">
        <f t="shared" si="34"/>
        <v>990</v>
      </c>
      <c r="H82" s="157">
        <f t="shared" si="34"/>
        <v>990</v>
      </c>
      <c r="I82" s="157">
        <f t="shared" si="34"/>
        <v>990</v>
      </c>
      <c r="J82" s="157">
        <f t="shared" si="34"/>
        <v>990</v>
      </c>
      <c r="K82" s="157">
        <f t="shared" si="34"/>
        <v>990</v>
      </c>
      <c r="L82" s="157">
        <f t="shared" si="34"/>
        <v>990</v>
      </c>
      <c r="M82" s="165">
        <f t="shared" si="34"/>
        <v>990</v>
      </c>
      <c r="N82" s="156">
        <f t="shared" si="34"/>
        <v>2110</v>
      </c>
      <c r="O82" s="157">
        <f t="shared" si="34"/>
        <v>2110</v>
      </c>
      <c r="P82" s="157">
        <f t="shared" si="34"/>
        <v>2340</v>
      </c>
      <c r="Q82" s="157">
        <f t="shared" si="34"/>
        <v>2340</v>
      </c>
      <c r="R82" s="157">
        <f t="shared" si="34"/>
        <v>2340</v>
      </c>
      <c r="S82" s="157">
        <f t="shared" si="34"/>
        <v>2340</v>
      </c>
      <c r="T82" s="157">
        <f t="shared" si="34"/>
        <v>2340</v>
      </c>
      <c r="U82" s="157">
        <f t="shared" si="34"/>
        <v>3650</v>
      </c>
      <c r="V82" s="157">
        <f t="shared" si="34"/>
        <v>3910</v>
      </c>
      <c r="W82" s="157">
        <f t="shared" si="34"/>
        <v>3910</v>
      </c>
    </row>
    <row r="83" spans="1:23">
      <c r="A83" s="28" t="s">
        <v>7</v>
      </c>
      <c r="B83" s="164">
        <f t="shared" ref="B83:W83" si="35">MROUND(B8*2*$A$75,10)</f>
        <v>990</v>
      </c>
      <c r="C83" s="157">
        <f t="shared" si="35"/>
        <v>990</v>
      </c>
      <c r="D83" s="157">
        <f t="shared" si="35"/>
        <v>990</v>
      </c>
      <c r="E83" s="157">
        <f t="shared" si="35"/>
        <v>990</v>
      </c>
      <c r="F83" s="157">
        <f t="shared" si="35"/>
        <v>990</v>
      </c>
      <c r="G83" s="157">
        <f t="shared" si="35"/>
        <v>0</v>
      </c>
      <c r="H83" s="157">
        <f t="shared" si="35"/>
        <v>990</v>
      </c>
      <c r="I83" s="157">
        <f t="shared" si="35"/>
        <v>990</v>
      </c>
      <c r="J83" s="157">
        <f t="shared" si="35"/>
        <v>990</v>
      </c>
      <c r="K83" s="157">
        <f t="shared" si="35"/>
        <v>990</v>
      </c>
      <c r="L83" s="157">
        <f t="shared" si="35"/>
        <v>990</v>
      </c>
      <c r="M83" s="165">
        <f t="shared" si="35"/>
        <v>990</v>
      </c>
      <c r="N83" s="156">
        <f t="shared" si="35"/>
        <v>2110</v>
      </c>
      <c r="O83" s="157">
        <f t="shared" si="35"/>
        <v>2110</v>
      </c>
      <c r="P83" s="157">
        <f t="shared" si="35"/>
        <v>2340</v>
      </c>
      <c r="Q83" s="157">
        <f t="shared" si="35"/>
        <v>2340</v>
      </c>
      <c r="R83" s="157">
        <f t="shared" si="35"/>
        <v>2340</v>
      </c>
      <c r="S83" s="157">
        <f t="shared" si="35"/>
        <v>2340</v>
      </c>
      <c r="T83" s="157">
        <f t="shared" si="35"/>
        <v>2340</v>
      </c>
      <c r="U83" s="157">
        <f t="shared" si="35"/>
        <v>3650</v>
      </c>
      <c r="V83" s="157">
        <f t="shared" si="35"/>
        <v>3910</v>
      </c>
      <c r="W83" s="157">
        <f t="shared" si="35"/>
        <v>3910</v>
      </c>
    </row>
    <row r="84" spans="1:23">
      <c r="A84" s="28" t="s">
        <v>8</v>
      </c>
      <c r="B84" s="164">
        <f t="shared" ref="B84:W84" si="36">MROUND(B9*2*$A$75,10)</f>
        <v>990</v>
      </c>
      <c r="C84" s="157">
        <f t="shared" si="36"/>
        <v>990</v>
      </c>
      <c r="D84" s="157">
        <f t="shared" si="36"/>
        <v>990</v>
      </c>
      <c r="E84" s="157">
        <f t="shared" si="36"/>
        <v>990</v>
      </c>
      <c r="F84" s="157">
        <f t="shared" si="36"/>
        <v>990</v>
      </c>
      <c r="G84" s="157">
        <f t="shared" si="36"/>
        <v>990</v>
      </c>
      <c r="H84" s="157">
        <f t="shared" si="36"/>
        <v>0</v>
      </c>
      <c r="I84" s="157">
        <f t="shared" si="36"/>
        <v>990</v>
      </c>
      <c r="J84" s="157">
        <f t="shared" si="36"/>
        <v>990</v>
      </c>
      <c r="K84" s="157">
        <f t="shared" si="36"/>
        <v>990</v>
      </c>
      <c r="L84" s="157">
        <f t="shared" si="36"/>
        <v>990</v>
      </c>
      <c r="M84" s="165">
        <f t="shared" si="36"/>
        <v>990</v>
      </c>
      <c r="N84" s="156">
        <f t="shared" si="36"/>
        <v>2110</v>
      </c>
      <c r="O84" s="157">
        <f t="shared" si="36"/>
        <v>2110</v>
      </c>
      <c r="P84" s="157">
        <f t="shared" si="36"/>
        <v>2340</v>
      </c>
      <c r="Q84" s="157">
        <f t="shared" si="36"/>
        <v>2340</v>
      </c>
      <c r="R84" s="157">
        <f t="shared" si="36"/>
        <v>2340</v>
      </c>
      <c r="S84" s="157">
        <f t="shared" si="36"/>
        <v>2340</v>
      </c>
      <c r="T84" s="157">
        <f t="shared" si="36"/>
        <v>2340</v>
      </c>
      <c r="U84" s="157">
        <f t="shared" si="36"/>
        <v>3650</v>
      </c>
      <c r="V84" s="157">
        <f t="shared" si="36"/>
        <v>3910</v>
      </c>
      <c r="W84" s="157">
        <f t="shared" si="36"/>
        <v>3910</v>
      </c>
    </row>
    <row r="85" spans="1:23">
      <c r="A85" s="28" t="s">
        <v>9</v>
      </c>
      <c r="B85" s="164">
        <f t="shared" ref="B85:W85" si="37">MROUND(B10*2*$A$75,10)</f>
        <v>990</v>
      </c>
      <c r="C85" s="157">
        <f t="shared" si="37"/>
        <v>990</v>
      </c>
      <c r="D85" s="157">
        <f t="shared" si="37"/>
        <v>990</v>
      </c>
      <c r="E85" s="157">
        <f t="shared" si="37"/>
        <v>990</v>
      </c>
      <c r="F85" s="157">
        <f t="shared" si="37"/>
        <v>990</v>
      </c>
      <c r="G85" s="157">
        <f t="shared" si="37"/>
        <v>990</v>
      </c>
      <c r="H85" s="157">
        <f t="shared" si="37"/>
        <v>990</v>
      </c>
      <c r="I85" s="157">
        <f t="shared" si="37"/>
        <v>0</v>
      </c>
      <c r="J85" s="157">
        <f t="shared" si="37"/>
        <v>990</v>
      </c>
      <c r="K85" s="157">
        <f t="shared" si="37"/>
        <v>990</v>
      </c>
      <c r="L85" s="157">
        <f t="shared" si="37"/>
        <v>990</v>
      </c>
      <c r="M85" s="165">
        <f t="shared" si="37"/>
        <v>990</v>
      </c>
      <c r="N85" s="156">
        <f t="shared" si="37"/>
        <v>2110</v>
      </c>
      <c r="O85" s="157">
        <f t="shared" si="37"/>
        <v>2110</v>
      </c>
      <c r="P85" s="157">
        <f t="shared" si="37"/>
        <v>2340</v>
      </c>
      <c r="Q85" s="157">
        <f t="shared" si="37"/>
        <v>2340</v>
      </c>
      <c r="R85" s="157">
        <f t="shared" si="37"/>
        <v>2340</v>
      </c>
      <c r="S85" s="157">
        <f t="shared" si="37"/>
        <v>2340</v>
      </c>
      <c r="T85" s="157">
        <f t="shared" si="37"/>
        <v>2340</v>
      </c>
      <c r="U85" s="157">
        <f t="shared" si="37"/>
        <v>3650</v>
      </c>
      <c r="V85" s="157">
        <f t="shared" si="37"/>
        <v>3910</v>
      </c>
      <c r="W85" s="157">
        <f t="shared" si="37"/>
        <v>3910</v>
      </c>
    </row>
    <row r="86" spans="1:23">
      <c r="A86" s="28" t="s">
        <v>24</v>
      </c>
      <c r="B86" s="164">
        <f t="shared" ref="B86:W86" si="38">MROUND(B11*2*$A$75,10)</f>
        <v>990</v>
      </c>
      <c r="C86" s="157">
        <f t="shared" si="38"/>
        <v>990</v>
      </c>
      <c r="D86" s="157">
        <f t="shared" si="38"/>
        <v>990</v>
      </c>
      <c r="E86" s="157">
        <f t="shared" si="38"/>
        <v>990</v>
      </c>
      <c r="F86" s="157">
        <f t="shared" si="38"/>
        <v>990</v>
      </c>
      <c r="G86" s="157">
        <f t="shared" si="38"/>
        <v>990</v>
      </c>
      <c r="H86" s="157">
        <f t="shared" si="38"/>
        <v>990</v>
      </c>
      <c r="I86" s="157">
        <f t="shared" si="38"/>
        <v>990</v>
      </c>
      <c r="J86" s="157">
        <f t="shared" si="38"/>
        <v>0</v>
      </c>
      <c r="K86" s="157">
        <f t="shared" si="38"/>
        <v>990</v>
      </c>
      <c r="L86" s="157">
        <f t="shared" si="38"/>
        <v>990</v>
      </c>
      <c r="M86" s="165">
        <f t="shared" si="38"/>
        <v>990</v>
      </c>
      <c r="N86" s="156">
        <f t="shared" si="38"/>
        <v>2110</v>
      </c>
      <c r="O86" s="157">
        <f t="shared" si="38"/>
        <v>2110</v>
      </c>
      <c r="P86" s="157">
        <f t="shared" si="38"/>
        <v>2340</v>
      </c>
      <c r="Q86" s="157">
        <f t="shared" si="38"/>
        <v>2340</v>
      </c>
      <c r="R86" s="157">
        <f t="shared" si="38"/>
        <v>2340</v>
      </c>
      <c r="S86" s="157">
        <f t="shared" si="38"/>
        <v>2340</v>
      </c>
      <c r="T86" s="157">
        <f t="shared" si="38"/>
        <v>2340</v>
      </c>
      <c r="U86" s="157">
        <f t="shared" si="38"/>
        <v>3650</v>
      </c>
      <c r="V86" s="157">
        <f t="shared" si="38"/>
        <v>3910</v>
      </c>
      <c r="W86" s="157">
        <f t="shared" si="38"/>
        <v>3910</v>
      </c>
    </row>
    <row r="87" spans="1:23">
      <c r="A87" s="28" t="s">
        <v>11</v>
      </c>
      <c r="B87" s="164">
        <f t="shared" ref="B87:W87" si="39">MROUND(B12*2*$A$75,10)</f>
        <v>990</v>
      </c>
      <c r="C87" s="157">
        <f t="shared" si="39"/>
        <v>990</v>
      </c>
      <c r="D87" s="157">
        <f t="shared" si="39"/>
        <v>990</v>
      </c>
      <c r="E87" s="157">
        <f t="shared" si="39"/>
        <v>990</v>
      </c>
      <c r="F87" s="157">
        <f t="shared" si="39"/>
        <v>990</v>
      </c>
      <c r="G87" s="157">
        <f t="shared" si="39"/>
        <v>990</v>
      </c>
      <c r="H87" s="157">
        <f t="shared" si="39"/>
        <v>990</v>
      </c>
      <c r="I87" s="157">
        <f t="shared" si="39"/>
        <v>990</v>
      </c>
      <c r="J87" s="157">
        <f t="shared" si="39"/>
        <v>990</v>
      </c>
      <c r="K87" s="157">
        <f t="shared" si="39"/>
        <v>0</v>
      </c>
      <c r="L87" s="157">
        <f t="shared" si="39"/>
        <v>990</v>
      </c>
      <c r="M87" s="165">
        <f t="shared" si="39"/>
        <v>990</v>
      </c>
      <c r="N87" s="156">
        <f t="shared" si="39"/>
        <v>2110</v>
      </c>
      <c r="O87" s="157">
        <f t="shared" si="39"/>
        <v>2110</v>
      </c>
      <c r="P87" s="157">
        <f t="shared" si="39"/>
        <v>2340</v>
      </c>
      <c r="Q87" s="157">
        <f t="shared" si="39"/>
        <v>2340</v>
      </c>
      <c r="R87" s="157">
        <f t="shared" si="39"/>
        <v>2340</v>
      </c>
      <c r="S87" s="157">
        <f t="shared" si="39"/>
        <v>2340</v>
      </c>
      <c r="T87" s="157">
        <f t="shared" si="39"/>
        <v>2340</v>
      </c>
      <c r="U87" s="157">
        <f t="shared" si="39"/>
        <v>3650</v>
      </c>
      <c r="V87" s="157">
        <f t="shared" si="39"/>
        <v>3910</v>
      </c>
      <c r="W87" s="157">
        <f t="shared" si="39"/>
        <v>3910</v>
      </c>
    </row>
    <row r="88" spans="1:23">
      <c r="A88" s="28" t="s">
        <v>25</v>
      </c>
      <c r="B88" s="164">
        <f t="shared" ref="B88:W88" si="40">MROUND(B13*2*$A$75,10)</f>
        <v>990</v>
      </c>
      <c r="C88" s="157">
        <f t="shared" si="40"/>
        <v>990</v>
      </c>
      <c r="D88" s="157">
        <f t="shared" si="40"/>
        <v>990</v>
      </c>
      <c r="E88" s="157">
        <f t="shared" si="40"/>
        <v>990</v>
      </c>
      <c r="F88" s="157">
        <f t="shared" si="40"/>
        <v>990</v>
      </c>
      <c r="G88" s="157">
        <f t="shared" si="40"/>
        <v>990</v>
      </c>
      <c r="H88" s="157">
        <f t="shared" si="40"/>
        <v>990</v>
      </c>
      <c r="I88" s="157">
        <f t="shared" si="40"/>
        <v>990</v>
      </c>
      <c r="J88" s="157">
        <f t="shared" si="40"/>
        <v>990</v>
      </c>
      <c r="K88" s="157">
        <f t="shared" si="40"/>
        <v>990</v>
      </c>
      <c r="L88" s="157">
        <f t="shared" si="40"/>
        <v>0</v>
      </c>
      <c r="M88" s="165">
        <f t="shared" si="40"/>
        <v>990</v>
      </c>
      <c r="N88" s="156">
        <f t="shared" si="40"/>
        <v>2110</v>
      </c>
      <c r="O88" s="157">
        <f t="shared" si="40"/>
        <v>2110</v>
      </c>
      <c r="P88" s="157">
        <f t="shared" si="40"/>
        <v>2340</v>
      </c>
      <c r="Q88" s="157">
        <f t="shared" si="40"/>
        <v>2340</v>
      </c>
      <c r="R88" s="157">
        <f t="shared" si="40"/>
        <v>2340</v>
      </c>
      <c r="S88" s="157">
        <f t="shared" si="40"/>
        <v>2340</v>
      </c>
      <c r="T88" s="157">
        <f t="shared" si="40"/>
        <v>2340</v>
      </c>
      <c r="U88" s="157">
        <f t="shared" si="40"/>
        <v>3650</v>
      </c>
      <c r="V88" s="157">
        <f t="shared" si="40"/>
        <v>3910</v>
      </c>
      <c r="W88" s="157">
        <f t="shared" si="40"/>
        <v>3910</v>
      </c>
    </row>
    <row r="89" spans="1:23" ht="16.5" thickBot="1">
      <c r="A89" s="28" t="s">
        <v>13</v>
      </c>
      <c r="B89" s="166">
        <f t="shared" ref="B89:W89" si="41">MROUND(B14*2*$A$75,10)</f>
        <v>990</v>
      </c>
      <c r="C89" s="39">
        <f t="shared" si="41"/>
        <v>990</v>
      </c>
      <c r="D89" s="39">
        <f t="shared" si="41"/>
        <v>990</v>
      </c>
      <c r="E89" s="39">
        <f t="shared" si="41"/>
        <v>990</v>
      </c>
      <c r="F89" s="39">
        <f t="shared" si="41"/>
        <v>990</v>
      </c>
      <c r="G89" s="39">
        <f t="shared" si="41"/>
        <v>990</v>
      </c>
      <c r="H89" s="39">
        <f t="shared" si="41"/>
        <v>990</v>
      </c>
      <c r="I89" s="39">
        <f t="shared" si="41"/>
        <v>990</v>
      </c>
      <c r="J89" s="39">
        <f t="shared" si="41"/>
        <v>990</v>
      </c>
      <c r="K89" s="39">
        <f t="shared" si="41"/>
        <v>990</v>
      </c>
      <c r="L89" s="39">
        <f t="shared" si="41"/>
        <v>990</v>
      </c>
      <c r="M89" s="167">
        <f t="shared" si="41"/>
        <v>0</v>
      </c>
      <c r="N89" s="156">
        <f t="shared" si="41"/>
        <v>1170</v>
      </c>
      <c r="O89" s="157">
        <f t="shared" si="41"/>
        <v>1170</v>
      </c>
      <c r="P89" s="157">
        <f t="shared" si="41"/>
        <v>2340</v>
      </c>
      <c r="Q89" s="157">
        <f t="shared" si="41"/>
        <v>2340</v>
      </c>
      <c r="R89" s="157">
        <f t="shared" si="41"/>
        <v>2340</v>
      </c>
      <c r="S89" s="157">
        <f t="shared" si="41"/>
        <v>2340</v>
      </c>
      <c r="T89" s="157">
        <f t="shared" si="41"/>
        <v>2340</v>
      </c>
      <c r="U89" s="157">
        <f t="shared" si="41"/>
        <v>3650</v>
      </c>
      <c r="V89" s="157">
        <f t="shared" si="41"/>
        <v>3910</v>
      </c>
      <c r="W89" s="157">
        <f t="shared" si="41"/>
        <v>3910</v>
      </c>
    </row>
    <row r="90" spans="1:23">
      <c r="A90" s="28" t="s">
        <v>14</v>
      </c>
      <c r="B90" s="163">
        <f t="shared" ref="B90:T90" si="42">MROUND(B15*2*$A$75,10)</f>
        <v>2110</v>
      </c>
      <c r="C90" s="163">
        <f t="shared" si="42"/>
        <v>2110</v>
      </c>
      <c r="D90" s="163">
        <f t="shared" si="42"/>
        <v>2110</v>
      </c>
      <c r="E90" s="163">
        <f t="shared" si="42"/>
        <v>2110</v>
      </c>
      <c r="F90" s="163">
        <f t="shared" si="42"/>
        <v>2110</v>
      </c>
      <c r="G90" s="163">
        <f t="shared" si="42"/>
        <v>2110</v>
      </c>
      <c r="H90" s="163">
        <f t="shared" si="42"/>
        <v>2110</v>
      </c>
      <c r="I90" s="163">
        <f t="shared" si="42"/>
        <v>2110</v>
      </c>
      <c r="J90" s="163">
        <f t="shared" si="42"/>
        <v>2110</v>
      </c>
      <c r="K90" s="163">
        <f t="shared" si="42"/>
        <v>2110</v>
      </c>
      <c r="L90" s="163">
        <f t="shared" si="42"/>
        <v>2110</v>
      </c>
      <c r="M90" s="163">
        <f t="shared" si="42"/>
        <v>1170</v>
      </c>
      <c r="N90" s="157">
        <f t="shared" si="42"/>
        <v>0</v>
      </c>
      <c r="O90" s="157">
        <f t="shared" si="42"/>
        <v>1170</v>
      </c>
      <c r="P90" s="157">
        <f t="shared" si="42"/>
        <v>1170</v>
      </c>
      <c r="Q90" s="157">
        <f t="shared" si="42"/>
        <v>2160</v>
      </c>
      <c r="R90" s="157">
        <f t="shared" si="42"/>
        <v>2160</v>
      </c>
      <c r="S90" s="157">
        <f t="shared" si="42"/>
        <v>2160</v>
      </c>
      <c r="T90" s="157">
        <f t="shared" si="42"/>
        <v>2160</v>
      </c>
      <c r="U90" s="157">
        <f t="shared" ref="C90:W99" si="43">MROUND(U15*2*$A$75,10)</f>
        <v>3310</v>
      </c>
      <c r="V90" s="157">
        <f t="shared" si="43"/>
        <v>3310</v>
      </c>
      <c r="W90" s="157">
        <f t="shared" si="43"/>
        <v>3310</v>
      </c>
    </row>
    <row r="91" spans="1:23">
      <c r="A91" s="28" t="s">
        <v>15</v>
      </c>
      <c r="B91" s="157">
        <f t="shared" ref="B91:B99" si="44">MROUND(B16*2*$A$75,10)</f>
        <v>2110</v>
      </c>
      <c r="C91" s="157">
        <f t="shared" si="43"/>
        <v>2110</v>
      </c>
      <c r="D91" s="157">
        <f t="shared" si="43"/>
        <v>2110</v>
      </c>
      <c r="E91" s="157">
        <f t="shared" si="43"/>
        <v>2110</v>
      </c>
      <c r="F91" s="157">
        <f t="shared" si="43"/>
        <v>2110</v>
      </c>
      <c r="G91" s="157">
        <f t="shared" si="43"/>
        <v>2110</v>
      </c>
      <c r="H91" s="157">
        <f t="shared" si="43"/>
        <v>2110</v>
      </c>
      <c r="I91" s="157">
        <f t="shared" si="43"/>
        <v>2110</v>
      </c>
      <c r="J91" s="157">
        <f t="shared" si="43"/>
        <v>2110</v>
      </c>
      <c r="K91" s="157">
        <f t="shared" si="43"/>
        <v>2110</v>
      </c>
      <c r="L91" s="157">
        <f t="shared" si="43"/>
        <v>2110</v>
      </c>
      <c r="M91" s="157">
        <f t="shared" si="43"/>
        <v>1170</v>
      </c>
      <c r="N91" s="157">
        <f t="shared" si="43"/>
        <v>1170</v>
      </c>
      <c r="O91" s="157">
        <f t="shared" si="43"/>
        <v>0</v>
      </c>
      <c r="P91" s="157">
        <f t="shared" si="43"/>
        <v>1170</v>
      </c>
      <c r="Q91" s="157">
        <f t="shared" si="43"/>
        <v>1170</v>
      </c>
      <c r="R91" s="157">
        <f t="shared" si="43"/>
        <v>2160</v>
      </c>
      <c r="S91" s="157">
        <f t="shared" si="43"/>
        <v>2160</v>
      </c>
      <c r="T91" s="157">
        <f t="shared" si="43"/>
        <v>2160</v>
      </c>
      <c r="U91" s="157">
        <f t="shared" si="43"/>
        <v>2160</v>
      </c>
      <c r="V91" s="157">
        <f t="shared" si="43"/>
        <v>3310</v>
      </c>
      <c r="W91" s="157">
        <f t="shared" si="43"/>
        <v>3310</v>
      </c>
    </row>
    <row r="92" spans="1:23">
      <c r="A92" s="28" t="s">
        <v>16</v>
      </c>
      <c r="B92" s="157">
        <f t="shared" si="44"/>
        <v>2340</v>
      </c>
      <c r="C92" s="157">
        <f t="shared" si="43"/>
        <v>2340</v>
      </c>
      <c r="D92" s="157">
        <f t="shared" si="43"/>
        <v>2340</v>
      </c>
      <c r="E92" s="157">
        <f t="shared" si="43"/>
        <v>2340</v>
      </c>
      <c r="F92" s="157">
        <f t="shared" si="43"/>
        <v>2340</v>
      </c>
      <c r="G92" s="157">
        <f t="shared" si="43"/>
        <v>2340</v>
      </c>
      <c r="H92" s="157">
        <f t="shared" si="43"/>
        <v>2340</v>
      </c>
      <c r="I92" s="157">
        <f t="shared" si="43"/>
        <v>2340</v>
      </c>
      <c r="J92" s="157">
        <f t="shared" si="43"/>
        <v>2340</v>
      </c>
      <c r="K92" s="157">
        <f t="shared" si="43"/>
        <v>2340</v>
      </c>
      <c r="L92" s="157">
        <f t="shared" si="43"/>
        <v>2340</v>
      </c>
      <c r="M92" s="157">
        <f t="shared" si="43"/>
        <v>2340</v>
      </c>
      <c r="N92" s="157">
        <f t="shared" si="43"/>
        <v>1170</v>
      </c>
      <c r="O92" s="157">
        <f t="shared" si="43"/>
        <v>1170</v>
      </c>
      <c r="P92" s="157">
        <f t="shared" si="43"/>
        <v>0</v>
      </c>
      <c r="Q92" s="157">
        <f t="shared" si="43"/>
        <v>1170</v>
      </c>
      <c r="R92" s="157">
        <f t="shared" si="43"/>
        <v>1170</v>
      </c>
      <c r="S92" s="157">
        <f t="shared" si="43"/>
        <v>1170</v>
      </c>
      <c r="T92" s="157">
        <f t="shared" si="43"/>
        <v>2160</v>
      </c>
      <c r="U92" s="157">
        <f t="shared" si="43"/>
        <v>2160</v>
      </c>
      <c r="V92" s="157">
        <f t="shared" si="43"/>
        <v>2160</v>
      </c>
      <c r="W92" s="157">
        <f t="shared" si="43"/>
        <v>2160</v>
      </c>
    </row>
    <row r="93" spans="1:23">
      <c r="A93" s="28" t="s">
        <v>17</v>
      </c>
      <c r="B93" s="157">
        <f t="shared" si="44"/>
        <v>2340</v>
      </c>
      <c r="C93" s="157">
        <f t="shared" si="43"/>
        <v>2340</v>
      </c>
      <c r="D93" s="157">
        <f t="shared" si="43"/>
        <v>2340</v>
      </c>
      <c r="E93" s="157">
        <f t="shared" si="43"/>
        <v>2340</v>
      </c>
      <c r="F93" s="157">
        <f t="shared" si="43"/>
        <v>2340</v>
      </c>
      <c r="G93" s="157">
        <f t="shared" si="43"/>
        <v>2340</v>
      </c>
      <c r="H93" s="157">
        <f t="shared" si="43"/>
        <v>2340</v>
      </c>
      <c r="I93" s="157">
        <f t="shared" si="43"/>
        <v>2340</v>
      </c>
      <c r="J93" s="157">
        <f t="shared" si="43"/>
        <v>2340</v>
      </c>
      <c r="K93" s="157">
        <f t="shared" si="43"/>
        <v>2340</v>
      </c>
      <c r="L93" s="157">
        <f t="shared" si="43"/>
        <v>2340</v>
      </c>
      <c r="M93" s="157">
        <f t="shared" si="43"/>
        <v>2340</v>
      </c>
      <c r="N93" s="157">
        <f t="shared" si="43"/>
        <v>2160</v>
      </c>
      <c r="O93" s="157">
        <f t="shared" si="43"/>
        <v>1170</v>
      </c>
      <c r="P93" s="157">
        <f t="shared" si="43"/>
        <v>1170</v>
      </c>
      <c r="Q93" s="157">
        <f t="shared" si="43"/>
        <v>0</v>
      </c>
      <c r="R93" s="157">
        <f t="shared" si="43"/>
        <v>1170</v>
      </c>
      <c r="S93" s="157">
        <f t="shared" si="43"/>
        <v>1170</v>
      </c>
      <c r="T93" s="157">
        <f t="shared" si="43"/>
        <v>2160</v>
      </c>
      <c r="U93" s="157">
        <f t="shared" si="43"/>
        <v>2160</v>
      </c>
      <c r="V93" s="157">
        <f t="shared" si="43"/>
        <v>2160</v>
      </c>
      <c r="W93" s="157">
        <f t="shared" si="43"/>
        <v>2160</v>
      </c>
    </row>
    <row r="94" spans="1:23">
      <c r="A94" s="28" t="s">
        <v>18</v>
      </c>
      <c r="B94" s="157">
        <f t="shared" si="44"/>
        <v>2340</v>
      </c>
      <c r="C94" s="157">
        <f t="shared" si="43"/>
        <v>2340</v>
      </c>
      <c r="D94" s="157">
        <f t="shared" si="43"/>
        <v>2340</v>
      </c>
      <c r="E94" s="157">
        <f t="shared" si="43"/>
        <v>2340</v>
      </c>
      <c r="F94" s="157">
        <f t="shared" si="43"/>
        <v>2340</v>
      </c>
      <c r="G94" s="157">
        <f t="shared" si="43"/>
        <v>2340</v>
      </c>
      <c r="H94" s="157">
        <f t="shared" si="43"/>
        <v>2340</v>
      </c>
      <c r="I94" s="157">
        <f t="shared" si="43"/>
        <v>2340</v>
      </c>
      <c r="J94" s="157">
        <f t="shared" si="43"/>
        <v>2340</v>
      </c>
      <c r="K94" s="157">
        <f t="shared" si="43"/>
        <v>2340</v>
      </c>
      <c r="L94" s="157">
        <f t="shared" si="43"/>
        <v>2340</v>
      </c>
      <c r="M94" s="157">
        <f t="shared" si="43"/>
        <v>2340</v>
      </c>
      <c r="N94" s="157">
        <f t="shared" si="43"/>
        <v>2160</v>
      </c>
      <c r="O94" s="157">
        <f t="shared" si="43"/>
        <v>2160</v>
      </c>
      <c r="P94" s="157">
        <f t="shared" si="43"/>
        <v>1170</v>
      </c>
      <c r="Q94" s="157">
        <f t="shared" si="43"/>
        <v>1170</v>
      </c>
      <c r="R94" s="157">
        <f t="shared" si="43"/>
        <v>0</v>
      </c>
      <c r="S94" s="157">
        <f t="shared" si="43"/>
        <v>1170</v>
      </c>
      <c r="T94" s="157">
        <f t="shared" si="43"/>
        <v>1170</v>
      </c>
      <c r="U94" s="157">
        <f t="shared" si="43"/>
        <v>2160</v>
      </c>
      <c r="V94" s="157">
        <f t="shared" si="43"/>
        <v>2160</v>
      </c>
      <c r="W94" s="157">
        <f t="shared" si="43"/>
        <v>2160</v>
      </c>
    </row>
    <row r="95" spans="1:23">
      <c r="A95" s="28" t="s">
        <v>19</v>
      </c>
      <c r="B95" s="157">
        <f t="shared" si="44"/>
        <v>2340</v>
      </c>
      <c r="C95" s="157">
        <f t="shared" si="43"/>
        <v>2340</v>
      </c>
      <c r="D95" s="157">
        <f t="shared" si="43"/>
        <v>2340</v>
      </c>
      <c r="E95" s="157">
        <f t="shared" si="43"/>
        <v>2340</v>
      </c>
      <c r="F95" s="157">
        <f t="shared" si="43"/>
        <v>2340</v>
      </c>
      <c r="G95" s="157">
        <f t="shared" si="43"/>
        <v>2340</v>
      </c>
      <c r="H95" s="157">
        <f t="shared" si="43"/>
        <v>2340</v>
      </c>
      <c r="I95" s="157">
        <f t="shared" si="43"/>
        <v>2340</v>
      </c>
      <c r="J95" s="157">
        <f t="shared" si="43"/>
        <v>2340</v>
      </c>
      <c r="K95" s="157">
        <f t="shared" si="43"/>
        <v>2340</v>
      </c>
      <c r="L95" s="157">
        <f t="shared" si="43"/>
        <v>2340</v>
      </c>
      <c r="M95" s="157">
        <f t="shared" si="43"/>
        <v>2340</v>
      </c>
      <c r="N95" s="157">
        <f t="shared" si="43"/>
        <v>2160</v>
      </c>
      <c r="O95" s="157">
        <f t="shared" si="43"/>
        <v>2160</v>
      </c>
      <c r="P95" s="157">
        <f t="shared" si="43"/>
        <v>1170</v>
      </c>
      <c r="Q95" s="157">
        <f t="shared" si="43"/>
        <v>1170</v>
      </c>
      <c r="R95" s="157">
        <f t="shared" si="43"/>
        <v>1170</v>
      </c>
      <c r="S95" s="157">
        <f t="shared" si="43"/>
        <v>0</v>
      </c>
      <c r="T95" s="157">
        <f t="shared" si="43"/>
        <v>1170</v>
      </c>
      <c r="U95" s="157">
        <f t="shared" si="43"/>
        <v>2160</v>
      </c>
      <c r="V95" s="157">
        <f t="shared" si="43"/>
        <v>2160</v>
      </c>
      <c r="W95" s="157">
        <f t="shared" si="43"/>
        <v>2160</v>
      </c>
    </row>
    <row r="96" spans="1:23">
      <c r="A96" s="28" t="s">
        <v>20</v>
      </c>
      <c r="B96" s="157">
        <f t="shared" si="44"/>
        <v>2340</v>
      </c>
      <c r="C96" s="157">
        <f t="shared" si="43"/>
        <v>2340</v>
      </c>
      <c r="D96" s="157">
        <f t="shared" si="43"/>
        <v>2340</v>
      </c>
      <c r="E96" s="157">
        <f t="shared" si="43"/>
        <v>2340</v>
      </c>
      <c r="F96" s="157">
        <f t="shared" si="43"/>
        <v>2340</v>
      </c>
      <c r="G96" s="157">
        <f t="shared" si="43"/>
        <v>2340</v>
      </c>
      <c r="H96" s="157">
        <f t="shared" si="43"/>
        <v>2340</v>
      </c>
      <c r="I96" s="157">
        <f t="shared" si="43"/>
        <v>2340</v>
      </c>
      <c r="J96" s="157">
        <f t="shared" si="43"/>
        <v>2340</v>
      </c>
      <c r="K96" s="157">
        <f t="shared" si="43"/>
        <v>2340</v>
      </c>
      <c r="L96" s="157">
        <f t="shared" si="43"/>
        <v>2340</v>
      </c>
      <c r="M96" s="157">
        <f t="shared" si="43"/>
        <v>2340</v>
      </c>
      <c r="N96" s="157">
        <f t="shared" si="43"/>
        <v>2160</v>
      </c>
      <c r="O96" s="157">
        <f t="shared" si="43"/>
        <v>2160</v>
      </c>
      <c r="P96" s="157">
        <f t="shared" si="43"/>
        <v>2160</v>
      </c>
      <c r="Q96" s="157">
        <f t="shared" si="43"/>
        <v>2160</v>
      </c>
      <c r="R96" s="157">
        <f t="shared" si="43"/>
        <v>1170</v>
      </c>
      <c r="S96" s="157">
        <f t="shared" si="43"/>
        <v>1170</v>
      </c>
      <c r="T96" s="157">
        <f t="shared" si="43"/>
        <v>0</v>
      </c>
      <c r="U96" s="157">
        <f t="shared" si="43"/>
        <v>1170</v>
      </c>
      <c r="V96" s="157">
        <f t="shared" si="43"/>
        <v>2160</v>
      </c>
      <c r="W96" s="157">
        <f t="shared" si="43"/>
        <v>2160</v>
      </c>
    </row>
    <row r="97" spans="1:23">
      <c r="A97" s="28" t="s">
        <v>21</v>
      </c>
      <c r="B97" s="157">
        <f t="shared" si="44"/>
        <v>3650</v>
      </c>
      <c r="C97" s="157">
        <f t="shared" si="43"/>
        <v>3650</v>
      </c>
      <c r="D97" s="157">
        <f t="shared" si="43"/>
        <v>3650</v>
      </c>
      <c r="E97" s="157">
        <f t="shared" si="43"/>
        <v>3650</v>
      </c>
      <c r="F97" s="157">
        <f t="shared" si="43"/>
        <v>3650</v>
      </c>
      <c r="G97" s="157">
        <f t="shared" si="43"/>
        <v>3650</v>
      </c>
      <c r="H97" s="157">
        <f t="shared" si="43"/>
        <v>3650</v>
      </c>
      <c r="I97" s="157">
        <f t="shared" si="43"/>
        <v>3650</v>
      </c>
      <c r="J97" s="157">
        <f t="shared" si="43"/>
        <v>3650</v>
      </c>
      <c r="K97" s="157">
        <f t="shared" si="43"/>
        <v>3650</v>
      </c>
      <c r="L97" s="157">
        <f t="shared" si="43"/>
        <v>3650</v>
      </c>
      <c r="M97" s="157">
        <f t="shared" si="43"/>
        <v>3650</v>
      </c>
      <c r="N97" s="157">
        <f t="shared" si="43"/>
        <v>3310</v>
      </c>
      <c r="O97" s="157">
        <f t="shared" si="43"/>
        <v>2160</v>
      </c>
      <c r="P97" s="157">
        <f t="shared" si="43"/>
        <v>2160</v>
      </c>
      <c r="Q97" s="157">
        <f t="shared" si="43"/>
        <v>2160</v>
      </c>
      <c r="R97" s="157">
        <f t="shared" si="43"/>
        <v>2160</v>
      </c>
      <c r="S97" s="157">
        <f t="shared" si="43"/>
        <v>2160</v>
      </c>
      <c r="T97" s="157">
        <f t="shared" si="43"/>
        <v>1170</v>
      </c>
      <c r="U97" s="157">
        <f t="shared" si="43"/>
        <v>0</v>
      </c>
      <c r="V97" s="157">
        <f t="shared" si="43"/>
        <v>1170</v>
      </c>
      <c r="W97" s="157">
        <f t="shared" si="43"/>
        <v>2160</v>
      </c>
    </row>
    <row r="98" spans="1:23">
      <c r="A98" s="28" t="s">
        <v>22</v>
      </c>
      <c r="B98" s="157">
        <f t="shared" si="44"/>
        <v>3910</v>
      </c>
      <c r="C98" s="157">
        <f t="shared" si="43"/>
        <v>3910</v>
      </c>
      <c r="D98" s="157">
        <f t="shared" si="43"/>
        <v>3910</v>
      </c>
      <c r="E98" s="157">
        <f t="shared" si="43"/>
        <v>3910</v>
      </c>
      <c r="F98" s="157">
        <f t="shared" si="43"/>
        <v>3910</v>
      </c>
      <c r="G98" s="157">
        <f t="shared" si="43"/>
        <v>3910</v>
      </c>
      <c r="H98" s="157">
        <f t="shared" si="43"/>
        <v>3910</v>
      </c>
      <c r="I98" s="157">
        <f t="shared" si="43"/>
        <v>3910</v>
      </c>
      <c r="J98" s="157">
        <f t="shared" si="43"/>
        <v>3910</v>
      </c>
      <c r="K98" s="157">
        <f t="shared" si="43"/>
        <v>3910</v>
      </c>
      <c r="L98" s="157">
        <f t="shared" si="43"/>
        <v>3910</v>
      </c>
      <c r="M98" s="157">
        <f t="shared" si="43"/>
        <v>3910</v>
      </c>
      <c r="N98" s="157">
        <f t="shared" si="43"/>
        <v>3310</v>
      </c>
      <c r="O98" s="157">
        <f t="shared" si="43"/>
        <v>3310</v>
      </c>
      <c r="P98" s="157">
        <f t="shared" si="43"/>
        <v>2160</v>
      </c>
      <c r="Q98" s="157">
        <f t="shared" si="43"/>
        <v>2160</v>
      </c>
      <c r="R98" s="157">
        <f t="shared" si="43"/>
        <v>2160</v>
      </c>
      <c r="S98" s="157">
        <f t="shared" si="43"/>
        <v>2160</v>
      </c>
      <c r="T98" s="157">
        <f t="shared" si="43"/>
        <v>2160</v>
      </c>
      <c r="U98" s="157">
        <f t="shared" si="43"/>
        <v>1170</v>
      </c>
      <c r="V98" s="157">
        <f t="shared" si="43"/>
        <v>0</v>
      </c>
      <c r="W98" s="157">
        <f t="shared" si="43"/>
        <v>1170</v>
      </c>
    </row>
    <row r="99" spans="1:23">
      <c r="A99" s="28" t="s">
        <v>23</v>
      </c>
      <c r="B99" s="157">
        <f t="shared" si="44"/>
        <v>3910</v>
      </c>
      <c r="C99" s="157">
        <f t="shared" si="43"/>
        <v>3910</v>
      </c>
      <c r="D99" s="157">
        <f t="shared" si="43"/>
        <v>3910</v>
      </c>
      <c r="E99" s="157">
        <f t="shared" si="43"/>
        <v>3910</v>
      </c>
      <c r="F99" s="157">
        <f t="shared" si="43"/>
        <v>3910</v>
      </c>
      <c r="G99" s="157">
        <f t="shared" si="43"/>
        <v>3910</v>
      </c>
      <c r="H99" s="157">
        <f t="shared" si="43"/>
        <v>3910</v>
      </c>
      <c r="I99" s="157">
        <f t="shared" si="43"/>
        <v>3910</v>
      </c>
      <c r="J99" s="157">
        <f t="shared" si="43"/>
        <v>3910</v>
      </c>
      <c r="K99" s="157">
        <f t="shared" si="43"/>
        <v>3910</v>
      </c>
      <c r="L99" s="157">
        <f t="shared" si="43"/>
        <v>3910</v>
      </c>
      <c r="M99" s="157">
        <f t="shared" si="43"/>
        <v>3910</v>
      </c>
      <c r="N99" s="157">
        <f t="shared" si="43"/>
        <v>3310</v>
      </c>
      <c r="O99" s="157">
        <f t="shared" si="43"/>
        <v>3310</v>
      </c>
      <c r="P99" s="157">
        <f t="shared" si="43"/>
        <v>2160</v>
      </c>
      <c r="Q99" s="157">
        <f t="shared" si="43"/>
        <v>2160</v>
      </c>
      <c r="R99" s="157">
        <f t="shared" si="43"/>
        <v>2160</v>
      </c>
      <c r="S99" s="157">
        <f t="shared" si="43"/>
        <v>2160</v>
      </c>
      <c r="T99" s="157">
        <f t="shared" si="43"/>
        <v>2160</v>
      </c>
      <c r="U99" s="157">
        <f t="shared" si="43"/>
        <v>2160</v>
      </c>
      <c r="V99" s="157">
        <f t="shared" si="43"/>
        <v>1170</v>
      </c>
      <c r="W99" s="157">
        <f t="shared" si="43"/>
        <v>0</v>
      </c>
    </row>
    <row r="100" spans="1:23">
      <c r="A100" s="40">
        <v>0.7</v>
      </c>
    </row>
    <row r="101" spans="1:23">
      <c r="A101" s="119" t="s">
        <v>29</v>
      </c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</row>
    <row r="102" spans="1:23" ht="69.75" thickBot="1">
      <c r="A102" s="155" t="s">
        <v>1</v>
      </c>
      <c r="B102" s="26" t="s">
        <v>2</v>
      </c>
      <c r="C102" s="26" t="s">
        <v>3</v>
      </c>
      <c r="D102" s="26" t="s">
        <v>4</v>
      </c>
      <c r="E102" s="26" t="s">
        <v>5</v>
      </c>
      <c r="F102" s="26" t="s">
        <v>6</v>
      </c>
      <c r="G102" s="26" t="s">
        <v>7</v>
      </c>
      <c r="H102" s="26" t="s">
        <v>8</v>
      </c>
      <c r="I102" s="26" t="s">
        <v>9</v>
      </c>
      <c r="J102" s="26" t="s">
        <v>10</v>
      </c>
      <c r="K102" s="27" t="s">
        <v>11</v>
      </c>
      <c r="L102" s="26" t="s">
        <v>12</v>
      </c>
      <c r="M102" s="26" t="s">
        <v>13</v>
      </c>
      <c r="N102" s="26" t="s">
        <v>14</v>
      </c>
      <c r="O102" s="26" t="s">
        <v>15</v>
      </c>
      <c r="P102" s="26" t="s">
        <v>16</v>
      </c>
      <c r="Q102" s="26" t="s">
        <v>17</v>
      </c>
      <c r="R102" s="26" t="s">
        <v>18</v>
      </c>
      <c r="S102" s="26" t="s">
        <v>19</v>
      </c>
      <c r="T102" s="26" t="s">
        <v>20</v>
      </c>
      <c r="U102" s="26" t="s">
        <v>21</v>
      </c>
      <c r="V102" s="26" t="s">
        <v>22</v>
      </c>
      <c r="W102" s="26" t="s">
        <v>23</v>
      </c>
    </row>
    <row r="103" spans="1:23">
      <c r="A103" s="28" t="s">
        <v>2</v>
      </c>
      <c r="B103" s="36">
        <f t="shared" ref="B103:W103" si="45">MROUND(B3*$A$100,10)</f>
        <v>0</v>
      </c>
      <c r="C103" s="37">
        <f t="shared" si="45"/>
        <v>390</v>
      </c>
      <c r="D103" s="37">
        <f t="shared" si="45"/>
        <v>390</v>
      </c>
      <c r="E103" s="37">
        <f t="shared" si="45"/>
        <v>390</v>
      </c>
      <c r="F103" s="37">
        <f t="shared" si="45"/>
        <v>390</v>
      </c>
      <c r="G103" s="37">
        <f t="shared" si="45"/>
        <v>390</v>
      </c>
      <c r="H103" s="37">
        <f t="shared" si="45"/>
        <v>390</v>
      </c>
      <c r="I103" s="37">
        <f t="shared" si="45"/>
        <v>390</v>
      </c>
      <c r="J103" s="37">
        <f t="shared" si="45"/>
        <v>390</v>
      </c>
      <c r="K103" s="37">
        <f t="shared" si="45"/>
        <v>390</v>
      </c>
      <c r="L103" s="37">
        <f t="shared" si="45"/>
        <v>390</v>
      </c>
      <c r="M103" s="38">
        <f t="shared" si="45"/>
        <v>390</v>
      </c>
      <c r="N103" s="156">
        <f t="shared" si="45"/>
        <v>820</v>
      </c>
      <c r="O103" s="157">
        <f t="shared" si="45"/>
        <v>820</v>
      </c>
      <c r="P103" s="157">
        <f t="shared" si="45"/>
        <v>910</v>
      </c>
      <c r="Q103" s="157">
        <f t="shared" si="45"/>
        <v>910</v>
      </c>
      <c r="R103" s="157">
        <f t="shared" si="45"/>
        <v>910</v>
      </c>
      <c r="S103" s="157">
        <f t="shared" si="45"/>
        <v>910</v>
      </c>
      <c r="T103" s="157">
        <f t="shared" si="45"/>
        <v>910</v>
      </c>
      <c r="U103" s="157">
        <f t="shared" si="45"/>
        <v>1420</v>
      </c>
      <c r="V103" s="157">
        <f t="shared" si="45"/>
        <v>1520</v>
      </c>
      <c r="W103" s="157">
        <f t="shared" si="45"/>
        <v>1520</v>
      </c>
    </row>
    <row r="104" spans="1:23">
      <c r="A104" s="28" t="s">
        <v>3</v>
      </c>
      <c r="B104" s="164">
        <f t="shared" ref="B104:W104" si="46">MROUND(B4*$A$100,10)</f>
        <v>390</v>
      </c>
      <c r="C104" s="157">
        <f t="shared" si="46"/>
        <v>0</v>
      </c>
      <c r="D104" s="157">
        <f t="shared" si="46"/>
        <v>390</v>
      </c>
      <c r="E104" s="157">
        <f t="shared" si="46"/>
        <v>390</v>
      </c>
      <c r="F104" s="157">
        <f t="shared" si="46"/>
        <v>390</v>
      </c>
      <c r="G104" s="157">
        <f t="shared" si="46"/>
        <v>390</v>
      </c>
      <c r="H104" s="157">
        <f t="shared" si="46"/>
        <v>390</v>
      </c>
      <c r="I104" s="157">
        <f t="shared" si="46"/>
        <v>390</v>
      </c>
      <c r="J104" s="157">
        <f t="shared" si="46"/>
        <v>390</v>
      </c>
      <c r="K104" s="157">
        <f t="shared" si="46"/>
        <v>390</v>
      </c>
      <c r="L104" s="157">
        <f t="shared" si="46"/>
        <v>390</v>
      </c>
      <c r="M104" s="165">
        <f t="shared" si="46"/>
        <v>390</v>
      </c>
      <c r="N104" s="156">
        <f t="shared" si="46"/>
        <v>820</v>
      </c>
      <c r="O104" s="157">
        <f t="shared" si="46"/>
        <v>820</v>
      </c>
      <c r="P104" s="157">
        <f t="shared" si="46"/>
        <v>910</v>
      </c>
      <c r="Q104" s="157">
        <f t="shared" si="46"/>
        <v>910</v>
      </c>
      <c r="R104" s="157">
        <f t="shared" si="46"/>
        <v>910</v>
      </c>
      <c r="S104" s="157">
        <f t="shared" si="46"/>
        <v>910</v>
      </c>
      <c r="T104" s="157">
        <f t="shared" si="46"/>
        <v>910</v>
      </c>
      <c r="U104" s="157">
        <f t="shared" si="46"/>
        <v>1420</v>
      </c>
      <c r="V104" s="157">
        <f t="shared" si="46"/>
        <v>1520</v>
      </c>
      <c r="W104" s="157">
        <f t="shared" si="46"/>
        <v>1520</v>
      </c>
    </row>
    <row r="105" spans="1:23">
      <c r="A105" s="28" t="s">
        <v>4</v>
      </c>
      <c r="B105" s="164">
        <f t="shared" ref="B105:W105" si="47">MROUND(B5*$A$100,10)</f>
        <v>390</v>
      </c>
      <c r="C105" s="157">
        <f t="shared" si="47"/>
        <v>390</v>
      </c>
      <c r="D105" s="157">
        <f t="shared" si="47"/>
        <v>0</v>
      </c>
      <c r="E105" s="157">
        <f t="shared" si="47"/>
        <v>390</v>
      </c>
      <c r="F105" s="157">
        <f t="shared" si="47"/>
        <v>390</v>
      </c>
      <c r="G105" s="157">
        <f t="shared" si="47"/>
        <v>390</v>
      </c>
      <c r="H105" s="157">
        <f t="shared" si="47"/>
        <v>390</v>
      </c>
      <c r="I105" s="157">
        <f t="shared" si="47"/>
        <v>390</v>
      </c>
      <c r="J105" s="157">
        <f t="shared" si="47"/>
        <v>390</v>
      </c>
      <c r="K105" s="157">
        <f t="shared" si="47"/>
        <v>390</v>
      </c>
      <c r="L105" s="157">
        <f t="shared" si="47"/>
        <v>390</v>
      </c>
      <c r="M105" s="165">
        <f t="shared" si="47"/>
        <v>390</v>
      </c>
      <c r="N105" s="156">
        <f t="shared" si="47"/>
        <v>820</v>
      </c>
      <c r="O105" s="157">
        <f t="shared" si="47"/>
        <v>820</v>
      </c>
      <c r="P105" s="157">
        <f t="shared" si="47"/>
        <v>910</v>
      </c>
      <c r="Q105" s="157">
        <f t="shared" si="47"/>
        <v>910</v>
      </c>
      <c r="R105" s="157">
        <f t="shared" si="47"/>
        <v>910</v>
      </c>
      <c r="S105" s="157">
        <f t="shared" si="47"/>
        <v>910</v>
      </c>
      <c r="T105" s="157">
        <f t="shared" si="47"/>
        <v>910</v>
      </c>
      <c r="U105" s="157">
        <f t="shared" si="47"/>
        <v>1420</v>
      </c>
      <c r="V105" s="157">
        <f t="shared" si="47"/>
        <v>1520</v>
      </c>
      <c r="W105" s="157">
        <f t="shared" si="47"/>
        <v>1520</v>
      </c>
    </row>
    <row r="106" spans="1:23">
      <c r="A106" s="28" t="s">
        <v>5</v>
      </c>
      <c r="B106" s="164">
        <f t="shared" ref="B106:W106" si="48">MROUND(B6*$A$100,10)</f>
        <v>390</v>
      </c>
      <c r="C106" s="157">
        <f t="shared" si="48"/>
        <v>390</v>
      </c>
      <c r="D106" s="157">
        <f t="shared" si="48"/>
        <v>390</v>
      </c>
      <c r="E106" s="157">
        <f t="shared" si="48"/>
        <v>0</v>
      </c>
      <c r="F106" s="157">
        <f t="shared" si="48"/>
        <v>390</v>
      </c>
      <c r="G106" s="157">
        <f t="shared" si="48"/>
        <v>390</v>
      </c>
      <c r="H106" s="157">
        <f t="shared" si="48"/>
        <v>390</v>
      </c>
      <c r="I106" s="157">
        <f t="shared" si="48"/>
        <v>390</v>
      </c>
      <c r="J106" s="157">
        <f t="shared" si="48"/>
        <v>390</v>
      </c>
      <c r="K106" s="157">
        <f t="shared" si="48"/>
        <v>390</v>
      </c>
      <c r="L106" s="157">
        <f t="shared" si="48"/>
        <v>390</v>
      </c>
      <c r="M106" s="165">
        <f t="shared" si="48"/>
        <v>390</v>
      </c>
      <c r="N106" s="156">
        <f t="shared" si="48"/>
        <v>820</v>
      </c>
      <c r="O106" s="157">
        <f t="shared" si="48"/>
        <v>820</v>
      </c>
      <c r="P106" s="157">
        <f t="shared" si="48"/>
        <v>910</v>
      </c>
      <c r="Q106" s="157">
        <f t="shared" si="48"/>
        <v>910</v>
      </c>
      <c r="R106" s="157">
        <f t="shared" si="48"/>
        <v>910</v>
      </c>
      <c r="S106" s="157">
        <f t="shared" si="48"/>
        <v>910</v>
      </c>
      <c r="T106" s="157">
        <f t="shared" si="48"/>
        <v>910</v>
      </c>
      <c r="U106" s="157">
        <f t="shared" si="48"/>
        <v>1420</v>
      </c>
      <c r="V106" s="157">
        <f t="shared" si="48"/>
        <v>1520</v>
      </c>
      <c r="W106" s="157">
        <f t="shared" si="48"/>
        <v>1520</v>
      </c>
    </row>
    <row r="107" spans="1:23">
      <c r="A107" s="28" t="s">
        <v>6</v>
      </c>
      <c r="B107" s="164">
        <f t="shared" ref="B107:W107" si="49">MROUND(B7*$A$100,10)</f>
        <v>390</v>
      </c>
      <c r="C107" s="157">
        <f t="shared" si="49"/>
        <v>390</v>
      </c>
      <c r="D107" s="157">
        <f t="shared" si="49"/>
        <v>390</v>
      </c>
      <c r="E107" s="157">
        <f t="shared" si="49"/>
        <v>390</v>
      </c>
      <c r="F107" s="157">
        <f t="shared" si="49"/>
        <v>0</v>
      </c>
      <c r="G107" s="157">
        <f t="shared" si="49"/>
        <v>390</v>
      </c>
      <c r="H107" s="157">
        <f t="shared" si="49"/>
        <v>390</v>
      </c>
      <c r="I107" s="157">
        <f t="shared" si="49"/>
        <v>390</v>
      </c>
      <c r="J107" s="157">
        <f t="shared" si="49"/>
        <v>390</v>
      </c>
      <c r="K107" s="157">
        <f t="shared" si="49"/>
        <v>390</v>
      </c>
      <c r="L107" s="157">
        <f t="shared" si="49"/>
        <v>390</v>
      </c>
      <c r="M107" s="165">
        <f t="shared" si="49"/>
        <v>390</v>
      </c>
      <c r="N107" s="156">
        <f t="shared" si="49"/>
        <v>820</v>
      </c>
      <c r="O107" s="157">
        <f t="shared" si="49"/>
        <v>820</v>
      </c>
      <c r="P107" s="157">
        <f t="shared" si="49"/>
        <v>910</v>
      </c>
      <c r="Q107" s="157">
        <f t="shared" si="49"/>
        <v>910</v>
      </c>
      <c r="R107" s="157">
        <f t="shared" si="49"/>
        <v>910</v>
      </c>
      <c r="S107" s="157">
        <f t="shared" si="49"/>
        <v>910</v>
      </c>
      <c r="T107" s="157">
        <f t="shared" si="49"/>
        <v>910</v>
      </c>
      <c r="U107" s="157">
        <f t="shared" si="49"/>
        <v>1420</v>
      </c>
      <c r="V107" s="157">
        <f t="shared" si="49"/>
        <v>1520</v>
      </c>
      <c r="W107" s="157">
        <f t="shared" si="49"/>
        <v>1520</v>
      </c>
    </row>
    <row r="108" spans="1:23">
      <c r="A108" s="28" t="s">
        <v>7</v>
      </c>
      <c r="B108" s="164">
        <f t="shared" ref="B108:W108" si="50">MROUND(B8*$A$100,10)</f>
        <v>390</v>
      </c>
      <c r="C108" s="157">
        <f t="shared" si="50"/>
        <v>390</v>
      </c>
      <c r="D108" s="157">
        <f t="shared" si="50"/>
        <v>390</v>
      </c>
      <c r="E108" s="157">
        <f t="shared" si="50"/>
        <v>390</v>
      </c>
      <c r="F108" s="157">
        <f t="shared" si="50"/>
        <v>390</v>
      </c>
      <c r="G108" s="157">
        <f t="shared" si="50"/>
        <v>0</v>
      </c>
      <c r="H108" s="157">
        <f t="shared" si="50"/>
        <v>390</v>
      </c>
      <c r="I108" s="157">
        <f t="shared" si="50"/>
        <v>390</v>
      </c>
      <c r="J108" s="157">
        <f t="shared" si="50"/>
        <v>390</v>
      </c>
      <c r="K108" s="157">
        <f t="shared" si="50"/>
        <v>390</v>
      </c>
      <c r="L108" s="157">
        <f t="shared" si="50"/>
        <v>390</v>
      </c>
      <c r="M108" s="165">
        <f t="shared" si="50"/>
        <v>390</v>
      </c>
      <c r="N108" s="156">
        <f t="shared" si="50"/>
        <v>820</v>
      </c>
      <c r="O108" s="157">
        <f t="shared" si="50"/>
        <v>820</v>
      </c>
      <c r="P108" s="157">
        <f t="shared" si="50"/>
        <v>910</v>
      </c>
      <c r="Q108" s="157">
        <f t="shared" si="50"/>
        <v>910</v>
      </c>
      <c r="R108" s="157">
        <f t="shared" si="50"/>
        <v>910</v>
      </c>
      <c r="S108" s="157">
        <f t="shared" si="50"/>
        <v>910</v>
      </c>
      <c r="T108" s="157">
        <f t="shared" si="50"/>
        <v>910</v>
      </c>
      <c r="U108" s="157">
        <f t="shared" si="50"/>
        <v>1420</v>
      </c>
      <c r="V108" s="157">
        <f t="shared" si="50"/>
        <v>1520</v>
      </c>
      <c r="W108" s="157">
        <f t="shared" si="50"/>
        <v>1520</v>
      </c>
    </row>
    <row r="109" spans="1:23">
      <c r="A109" s="28" t="s">
        <v>8</v>
      </c>
      <c r="B109" s="164">
        <f t="shared" ref="B109:W109" si="51">MROUND(B9*$A$100,10)</f>
        <v>390</v>
      </c>
      <c r="C109" s="157">
        <f t="shared" si="51"/>
        <v>390</v>
      </c>
      <c r="D109" s="157">
        <f t="shared" si="51"/>
        <v>390</v>
      </c>
      <c r="E109" s="157">
        <f t="shared" si="51"/>
        <v>390</v>
      </c>
      <c r="F109" s="157">
        <f t="shared" si="51"/>
        <v>390</v>
      </c>
      <c r="G109" s="157">
        <f t="shared" si="51"/>
        <v>390</v>
      </c>
      <c r="H109" s="157">
        <f t="shared" si="51"/>
        <v>0</v>
      </c>
      <c r="I109" s="157">
        <f t="shared" si="51"/>
        <v>390</v>
      </c>
      <c r="J109" s="157">
        <f t="shared" si="51"/>
        <v>390</v>
      </c>
      <c r="K109" s="157">
        <f t="shared" si="51"/>
        <v>390</v>
      </c>
      <c r="L109" s="157">
        <f t="shared" si="51"/>
        <v>390</v>
      </c>
      <c r="M109" s="165">
        <f t="shared" si="51"/>
        <v>390</v>
      </c>
      <c r="N109" s="156">
        <f t="shared" si="51"/>
        <v>820</v>
      </c>
      <c r="O109" s="157">
        <f t="shared" si="51"/>
        <v>820</v>
      </c>
      <c r="P109" s="157">
        <f t="shared" si="51"/>
        <v>910</v>
      </c>
      <c r="Q109" s="157">
        <f t="shared" si="51"/>
        <v>910</v>
      </c>
      <c r="R109" s="157">
        <f t="shared" si="51"/>
        <v>910</v>
      </c>
      <c r="S109" s="157">
        <f t="shared" si="51"/>
        <v>910</v>
      </c>
      <c r="T109" s="157">
        <f t="shared" si="51"/>
        <v>910</v>
      </c>
      <c r="U109" s="157">
        <f t="shared" si="51"/>
        <v>1420</v>
      </c>
      <c r="V109" s="157">
        <f t="shared" si="51"/>
        <v>1520</v>
      </c>
      <c r="W109" s="157">
        <f t="shared" si="51"/>
        <v>1520</v>
      </c>
    </row>
    <row r="110" spans="1:23">
      <c r="A110" s="28" t="s">
        <v>9</v>
      </c>
      <c r="B110" s="164">
        <f t="shared" ref="B110:W110" si="52">MROUND(B10*$A$100,10)</f>
        <v>390</v>
      </c>
      <c r="C110" s="157">
        <f t="shared" si="52"/>
        <v>390</v>
      </c>
      <c r="D110" s="157">
        <f t="shared" si="52"/>
        <v>390</v>
      </c>
      <c r="E110" s="157">
        <f t="shared" si="52"/>
        <v>390</v>
      </c>
      <c r="F110" s="157">
        <f t="shared" si="52"/>
        <v>390</v>
      </c>
      <c r="G110" s="157">
        <f t="shared" si="52"/>
        <v>390</v>
      </c>
      <c r="H110" s="157">
        <f t="shared" si="52"/>
        <v>390</v>
      </c>
      <c r="I110" s="157">
        <f t="shared" si="52"/>
        <v>0</v>
      </c>
      <c r="J110" s="157">
        <f t="shared" si="52"/>
        <v>390</v>
      </c>
      <c r="K110" s="157">
        <f t="shared" si="52"/>
        <v>390</v>
      </c>
      <c r="L110" s="157">
        <f t="shared" si="52"/>
        <v>390</v>
      </c>
      <c r="M110" s="165">
        <f t="shared" si="52"/>
        <v>390</v>
      </c>
      <c r="N110" s="156">
        <f t="shared" si="52"/>
        <v>820</v>
      </c>
      <c r="O110" s="157">
        <f t="shared" si="52"/>
        <v>820</v>
      </c>
      <c r="P110" s="157">
        <f t="shared" si="52"/>
        <v>910</v>
      </c>
      <c r="Q110" s="157">
        <f t="shared" si="52"/>
        <v>910</v>
      </c>
      <c r="R110" s="157">
        <f t="shared" si="52"/>
        <v>910</v>
      </c>
      <c r="S110" s="157">
        <f t="shared" si="52"/>
        <v>910</v>
      </c>
      <c r="T110" s="157">
        <f t="shared" si="52"/>
        <v>910</v>
      </c>
      <c r="U110" s="157">
        <f t="shared" si="52"/>
        <v>1420</v>
      </c>
      <c r="V110" s="157">
        <f t="shared" si="52"/>
        <v>1520</v>
      </c>
      <c r="W110" s="157">
        <f t="shared" si="52"/>
        <v>1520</v>
      </c>
    </row>
    <row r="111" spans="1:23">
      <c r="A111" s="28" t="s">
        <v>24</v>
      </c>
      <c r="B111" s="164">
        <f t="shared" ref="B111:W111" si="53">MROUND(B11*$A$100,10)</f>
        <v>390</v>
      </c>
      <c r="C111" s="157">
        <f t="shared" si="53"/>
        <v>390</v>
      </c>
      <c r="D111" s="157">
        <f t="shared" si="53"/>
        <v>390</v>
      </c>
      <c r="E111" s="157">
        <f t="shared" si="53"/>
        <v>390</v>
      </c>
      <c r="F111" s="157">
        <f t="shared" si="53"/>
        <v>390</v>
      </c>
      <c r="G111" s="157">
        <f t="shared" si="53"/>
        <v>390</v>
      </c>
      <c r="H111" s="157">
        <f t="shared" si="53"/>
        <v>390</v>
      </c>
      <c r="I111" s="157">
        <f t="shared" si="53"/>
        <v>390</v>
      </c>
      <c r="J111" s="157">
        <f t="shared" si="53"/>
        <v>0</v>
      </c>
      <c r="K111" s="157">
        <f t="shared" si="53"/>
        <v>390</v>
      </c>
      <c r="L111" s="157">
        <f t="shared" si="53"/>
        <v>390</v>
      </c>
      <c r="M111" s="165">
        <f t="shared" si="53"/>
        <v>390</v>
      </c>
      <c r="N111" s="156">
        <f t="shared" si="53"/>
        <v>820</v>
      </c>
      <c r="O111" s="157">
        <f t="shared" si="53"/>
        <v>820</v>
      </c>
      <c r="P111" s="157">
        <f t="shared" si="53"/>
        <v>910</v>
      </c>
      <c r="Q111" s="157">
        <f t="shared" si="53"/>
        <v>910</v>
      </c>
      <c r="R111" s="157">
        <f t="shared" si="53"/>
        <v>910</v>
      </c>
      <c r="S111" s="157">
        <f t="shared" si="53"/>
        <v>910</v>
      </c>
      <c r="T111" s="157">
        <f t="shared" si="53"/>
        <v>910</v>
      </c>
      <c r="U111" s="157">
        <f t="shared" si="53"/>
        <v>1420</v>
      </c>
      <c r="V111" s="157">
        <f t="shared" si="53"/>
        <v>1520</v>
      </c>
      <c r="W111" s="157">
        <f t="shared" si="53"/>
        <v>1520</v>
      </c>
    </row>
    <row r="112" spans="1:23">
      <c r="A112" s="28" t="s">
        <v>11</v>
      </c>
      <c r="B112" s="164">
        <f t="shared" ref="B112:W112" si="54">MROUND(B12*$A$100,10)</f>
        <v>390</v>
      </c>
      <c r="C112" s="157">
        <f t="shared" si="54"/>
        <v>390</v>
      </c>
      <c r="D112" s="157">
        <f t="shared" si="54"/>
        <v>390</v>
      </c>
      <c r="E112" s="157">
        <f t="shared" si="54"/>
        <v>390</v>
      </c>
      <c r="F112" s="157">
        <f t="shared" si="54"/>
        <v>390</v>
      </c>
      <c r="G112" s="157">
        <f t="shared" si="54"/>
        <v>390</v>
      </c>
      <c r="H112" s="157">
        <f t="shared" si="54"/>
        <v>390</v>
      </c>
      <c r="I112" s="157">
        <f t="shared" si="54"/>
        <v>390</v>
      </c>
      <c r="J112" s="157">
        <f t="shared" si="54"/>
        <v>390</v>
      </c>
      <c r="K112" s="157">
        <f t="shared" si="54"/>
        <v>0</v>
      </c>
      <c r="L112" s="157">
        <f t="shared" si="54"/>
        <v>390</v>
      </c>
      <c r="M112" s="165">
        <f t="shared" si="54"/>
        <v>390</v>
      </c>
      <c r="N112" s="156">
        <f t="shared" si="54"/>
        <v>820</v>
      </c>
      <c r="O112" s="157">
        <f t="shared" si="54"/>
        <v>820</v>
      </c>
      <c r="P112" s="157">
        <f t="shared" si="54"/>
        <v>910</v>
      </c>
      <c r="Q112" s="157">
        <f t="shared" si="54"/>
        <v>910</v>
      </c>
      <c r="R112" s="157">
        <f t="shared" si="54"/>
        <v>910</v>
      </c>
      <c r="S112" s="157">
        <f t="shared" si="54"/>
        <v>910</v>
      </c>
      <c r="T112" s="157">
        <f t="shared" si="54"/>
        <v>910</v>
      </c>
      <c r="U112" s="157">
        <f t="shared" si="54"/>
        <v>1420</v>
      </c>
      <c r="V112" s="157">
        <f t="shared" si="54"/>
        <v>1520</v>
      </c>
      <c r="W112" s="157">
        <f t="shared" si="54"/>
        <v>1520</v>
      </c>
    </row>
    <row r="113" spans="1:23">
      <c r="A113" s="28" t="s">
        <v>25</v>
      </c>
      <c r="B113" s="164">
        <f t="shared" ref="B113:W113" si="55">MROUND(B13*$A$100,10)</f>
        <v>390</v>
      </c>
      <c r="C113" s="157">
        <f t="shared" si="55"/>
        <v>390</v>
      </c>
      <c r="D113" s="157">
        <f t="shared" si="55"/>
        <v>390</v>
      </c>
      <c r="E113" s="157">
        <f t="shared" si="55"/>
        <v>390</v>
      </c>
      <c r="F113" s="157">
        <f t="shared" si="55"/>
        <v>390</v>
      </c>
      <c r="G113" s="157">
        <f t="shared" si="55"/>
        <v>390</v>
      </c>
      <c r="H113" s="157">
        <f t="shared" si="55"/>
        <v>390</v>
      </c>
      <c r="I113" s="157">
        <f t="shared" si="55"/>
        <v>390</v>
      </c>
      <c r="J113" s="157">
        <f t="shared" si="55"/>
        <v>390</v>
      </c>
      <c r="K113" s="157">
        <f t="shared" si="55"/>
        <v>390</v>
      </c>
      <c r="L113" s="157">
        <f t="shared" si="55"/>
        <v>0</v>
      </c>
      <c r="M113" s="165">
        <f t="shared" si="55"/>
        <v>390</v>
      </c>
      <c r="N113" s="156">
        <f t="shared" si="55"/>
        <v>820</v>
      </c>
      <c r="O113" s="157">
        <f t="shared" si="55"/>
        <v>820</v>
      </c>
      <c r="P113" s="157">
        <f t="shared" si="55"/>
        <v>910</v>
      </c>
      <c r="Q113" s="157">
        <f t="shared" si="55"/>
        <v>910</v>
      </c>
      <c r="R113" s="157">
        <f t="shared" si="55"/>
        <v>910</v>
      </c>
      <c r="S113" s="157">
        <f t="shared" si="55"/>
        <v>910</v>
      </c>
      <c r="T113" s="157">
        <f t="shared" si="55"/>
        <v>910</v>
      </c>
      <c r="U113" s="157">
        <f t="shared" si="55"/>
        <v>1420</v>
      </c>
      <c r="V113" s="157">
        <f t="shared" si="55"/>
        <v>1520</v>
      </c>
      <c r="W113" s="157">
        <f t="shared" si="55"/>
        <v>1520</v>
      </c>
    </row>
    <row r="114" spans="1:23" ht="16.5" thickBot="1">
      <c r="A114" s="28" t="s">
        <v>13</v>
      </c>
      <c r="B114" s="166">
        <f t="shared" ref="B114:W114" si="56">MROUND(B14*$A$100,10)</f>
        <v>390</v>
      </c>
      <c r="C114" s="39">
        <f t="shared" si="56"/>
        <v>390</v>
      </c>
      <c r="D114" s="39">
        <f t="shared" si="56"/>
        <v>390</v>
      </c>
      <c r="E114" s="39">
        <f t="shared" si="56"/>
        <v>390</v>
      </c>
      <c r="F114" s="39">
        <f t="shared" si="56"/>
        <v>390</v>
      </c>
      <c r="G114" s="39">
        <f t="shared" si="56"/>
        <v>390</v>
      </c>
      <c r="H114" s="39">
        <f t="shared" si="56"/>
        <v>390</v>
      </c>
      <c r="I114" s="39">
        <f t="shared" si="56"/>
        <v>390</v>
      </c>
      <c r="J114" s="39">
        <f t="shared" si="56"/>
        <v>390</v>
      </c>
      <c r="K114" s="39">
        <f t="shared" si="56"/>
        <v>390</v>
      </c>
      <c r="L114" s="39">
        <f t="shared" si="56"/>
        <v>390</v>
      </c>
      <c r="M114" s="167">
        <f t="shared" si="56"/>
        <v>0</v>
      </c>
      <c r="N114" s="156">
        <f t="shared" si="56"/>
        <v>450</v>
      </c>
      <c r="O114" s="157">
        <f t="shared" si="56"/>
        <v>450</v>
      </c>
      <c r="P114" s="157">
        <f t="shared" si="56"/>
        <v>910</v>
      </c>
      <c r="Q114" s="157">
        <f t="shared" si="56"/>
        <v>910</v>
      </c>
      <c r="R114" s="157">
        <f t="shared" si="56"/>
        <v>910</v>
      </c>
      <c r="S114" s="157">
        <f t="shared" si="56"/>
        <v>910</v>
      </c>
      <c r="T114" s="157">
        <f t="shared" si="56"/>
        <v>910</v>
      </c>
      <c r="U114" s="157">
        <f t="shared" si="56"/>
        <v>1420</v>
      </c>
      <c r="V114" s="157">
        <f t="shared" si="56"/>
        <v>1520</v>
      </c>
      <c r="W114" s="157">
        <f t="shared" si="56"/>
        <v>1520</v>
      </c>
    </row>
    <row r="115" spans="1:23">
      <c r="A115" s="28" t="s">
        <v>14</v>
      </c>
      <c r="B115" s="163">
        <f t="shared" ref="B115:T115" si="57">MROUND(B15*$A$100,10)</f>
        <v>820</v>
      </c>
      <c r="C115" s="163">
        <f t="shared" si="57"/>
        <v>820</v>
      </c>
      <c r="D115" s="163">
        <f t="shared" si="57"/>
        <v>820</v>
      </c>
      <c r="E115" s="163">
        <f t="shared" si="57"/>
        <v>820</v>
      </c>
      <c r="F115" s="163">
        <f t="shared" si="57"/>
        <v>820</v>
      </c>
      <c r="G115" s="163">
        <f t="shared" si="57"/>
        <v>820</v>
      </c>
      <c r="H115" s="163">
        <f t="shared" si="57"/>
        <v>820</v>
      </c>
      <c r="I115" s="163">
        <f t="shared" si="57"/>
        <v>820</v>
      </c>
      <c r="J115" s="163">
        <f t="shared" si="57"/>
        <v>820</v>
      </c>
      <c r="K115" s="163">
        <f t="shared" si="57"/>
        <v>820</v>
      </c>
      <c r="L115" s="163">
        <f t="shared" si="57"/>
        <v>820</v>
      </c>
      <c r="M115" s="163">
        <f t="shared" si="57"/>
        <v>450</v>
      </c>
      <c r="N115" s="157">
        <f t="shared" si="57"/>
        <v>0</v>
      </c>
      <c r="O115" s="157">
        <f t="shared" si="57"/>
        <v>450</v>
      </c>
      <c r="P115" s="157">
        <f t="shared" si="57"/>
        <v>450</v>
      </c>
      <c r="Q115" s="157">
        <f t="shared" si="57"/>
        <v>840</v>
      </c>
      <c r="R115" s="157">
        <f t="shared" si="57"/>
        <v>840</v>
      </c>
      <c r="S115" s="157">
        <f t="shared" si="57"/>
        <v>840</v>
      </c>
      <c r="T115" s="157">
        <f t="shared" si="57"/>
        <v>840</v>
      </c>
      <c r="U115" s="157">
        <f t="shared" ref="C115:W124" si="58">MROUND(U15*$A$100,10)</f>
        <v>1290</v>
      </c>
      <c r="V115" s="157">
        <f t="shared" si="58"/>
        <v>1290</v>
      </c>
      <c r="W115" s="157">
        <f t="shared" si="58"/>
        <v>1290</v>
      </c>
    </row>
    <row r="116" spans="1:23">
      <c r="A116" s="28" t="s">
        <v>15</v>
      </c>
      <c r="B116" s="157">
        <f t="shared" ref="B116:B124" si="59">MROUND(B16*$A$100,10)</f>
        <v>820</v>
      </c>
      <c r="C116" s="157">
        <f t="shared" si="58"/>
        <v>820</v>
      </c>
      <c r="D116" s="157">
        <f t="shared" si="58"/>
        <v>820</v>
      </c>
      <c r="E116" s="157">
        <f t="shared" si="58"/>
        <v>820</v>
      </c>
      <c r="F116" s="157">
        <f t="shared" si="58"/>
        <v>820</v>
      </c>
      <c r="G116" s="157">
        <f t="shared" si="58"/>
        <v>820</v>
      </c>
      <c r="H116" s="157">
        <f t="shared" si="58"/>
        <v>820</v>
      </c>
      <c r="I116" s="157">
        <f t="shared" si="58"/>
        <v>820</v>
      </c>
      <c r="J116" s="157">
        <f t="shared" si="58"/>
        <v>820</v>
      </c>
      <c r="K116" s="157">
        <f t="shared" si="58"/>
        <v>820</v>
      </c>
      <c r="L116" s="157">
        <f t="shared" si="58"/>
        <v>820</v>
      </c>
      <c r="M116" s="157">
        <f t="shared" si="58"/>
        <v>450</v>
      </c>
      <c r="N116" s="157">
        <f t="shared" si="58"/>
        <v>450</v>
      </c>
      <c r="O116" s="157">
        <f t="shared" si="58"/>
        <v>0</v>
      </c>
      <c r="P116" s="157">
        <f t="shared" si="58"/>
        <v>450</v>
      </c>
      <c r="Q116" s="157">
        <f t="shared" si="58"/>
        <v>450</v>
      </c>
      <c r="R116" s="157">
        <f t="shared" si="58"/>
        <v>840</v>
      </c>
      <c r="S116" s="157">
        <f t="shared" si="58"/>
        <v>840</v>
      </c>
      <c r="T116" s="157">
        <f t="shared" si="58"/>
        <v>840</v>
      </c>
      <c r="U116" s="157">
        <f t="shared" si="58"/>
        <v>840</v>
      </c>
      <c r="V116" s="157">
        <f t="shared" si="58"/>
        <v>1290</v>
      </c>
      <c r="W116" s="157">
        <f t="shared" si="58"/>
        <v>1290</v>
      </c>
    </row>
    <row r="117" spans="1:23">
      <c r="A117" s="28" t="s">
        <v>16</v>
      </c>
      <c r="B117" s="157">
        <f t="shared" si="59"/>
        <v>910</v>
      </c>
      <c r="C117" s="157">
        <f t="shared" si="58"/>
        <v>910</v>
      </c>
      <c r="D117" s="157">
        <f t="shared" si="58"/>
        <v>910</v>
      </c>
      <c r="E117" s="157">
        <f t="shared" si="58"/>
        <v>910</v>
      </c>
      <c r="F117" s="157">
        <f t="shared" si="58"/>
        <v>910</v>
      </c>
      <c r="G117" s="157">
        <f t="shared" si="58"/>
        <v>910</v>
      </c>
      <c r="H117" s="157">
        <f t="shared" si="58"/>
        <v>910</v>
      </c>
      <c r="I117" s="157">
        <f t="shared" si="58"/>
        <v>910</v>
      </c>
      <c r="J117" s="157">
        <f t="shared" si="58"/>
        <v>910</v>
      </c>
      <c r="K117" s="157">
        <f t="shared" si="58"/>
        <v>910</v>
      </c>
      <c r="L117" s="157">
        <f t="shared" si="58"/>
        <v>910</v>
      </c>
      <c r="M117" s="157">
        <f t="shared" si="58"/>
        <v>910</v>
      </c>
      <c r="N117" s="157">
        <f t="shared" si="58"/>
        <v>450</v>
      </c>
      <c r="O117" s="157">
        <f t="shared" si="58"/>
        <v>450</v>
      </c>
      <c r="P117" s="157">
        <f t="shared" si="58"/>
        <v>0</v>
      </c>
      <c r="Q117" s="157">
        <f t="shared" si="58"/>
        <v>450</v>
      </c>
      <c r="R117" s="157">
        <f t="shared" si="58"/>
        <v>450</v>
      </c>
      <c r="S117" s="157">
        <f t="shared" si="58"/>
        <v>450</v>
      </c>
      <c r="T117" s="157">
        <f t="shared" si="58"/>
        <v>840</v>
      </c>
      <c r="U117" s="157">
        <f t="shared" si="58"/>
        <v>840</v>
      </c>
      <c r="V117" s="157">
        <f t="shared" si="58"/>
        <v>840</v>
      </c>
      <c r="W117" s="157">
        <f t="shared" si="58"/>
        <v>840</v>
      </c>
    </row>
    <row r="118" spans="1:23">
      <c r="A118" s="28" t="s">
        <v>17</v>
      </c>
      <c r="B118" s="157">
        <f t="shared" si="59"/>
        <v>910</v>
      </c>
      <c r="C118" s="157">
        <f t="shared" si="58"/>
        <v>910</v>
      </c>
      <c r="D118" s="157">
        <f t="shared" si="58"/>
        <v>910</v>
      </c>
      <c r="E118" s="157">
        <f t="shared" si="58"/>
        <v>910</v>
      </c>
      <c r="F118" s="157">
        <f t="shared" si="58"/>
        <v>910</v>
      </c>
      <c r="G118" s="157">
        <f t="shared" si="58"/>
        <v>910</v>
      </c>
      <c r="H118" s="157">
        <f t="shared" si="58"/>
        <v>910</v>
      </c>
      <c r="I118" s="157">
        <f t="shared" si="58"/>
        <v>910</v>
      </c>
      <c r="J118" s="157">
        <f t="shared" si="58"/>
        <v>910</v>
      </c>
      <c r="K118" s="157">
        <f t="shared" si="58"/>
        <v>910</v>
      </c>
      <c r="L118" s="157">
        <f t="shared" si="58"/>
        <v>910</v>
      </c>
      <c r="M118" s="157">
        <f t="shared" si="58"/>
        <v>910</v>
      </c>
      <c r="N118" s="157">
        <f t="shared" si="58"/>
        <v>840</v>
      </c>
      <c r="O118" s="157">
        <f t="shared" si="58"/>
        <v>450</v>
      </c>
      <c r="P118" s="157">
        <f t="shared" si="58"/>
        <v>450</v>
      </c>
      <c r="Q118" s="157">
        <f t="shared" si="58"/>
        <v>0</v>
      </c>
      <c r="R118" s="157">
        <f t="shared" si="58"/>
        <v>450</v>
      </c>
      <c r="S118" s="157">
        <f t="shared" si="58"/>
        <v>450</v>
      </c>
      <c r="T118" s="157">
        <f t="shared" si="58"/>
        <v>840</v>
      </c>
      <c r="U118" s="157">
        <f t="shared" si="58"/>
        <v>840</v>
      </c>
      <c r="V118" s="157">
        <f t="shared" si="58"/>
        <v>840</v>
      </c>
      <c r="W118" s="157">
        <f t="shared" si="58"/>
        <v>840</v>
      </c>
    </row>
    <row r="119" spans="1:23">
      <c r="A119" s="28" t="s">
        <v>18</v>
      </c>
      <c r="B119" s="157">
        <f t="shared" si="59"/>
        <v>910</v>
      </c>
      <c r="C119" s="157">
        <f t="shared" si="58"/>
        <v>910</v>
      </c>
      <c r="D119" s="157">
        <f t="shared" si="58"/>
        <v>910</v>
      </c>
      <c r="E119" s="157">
        <f t="shared" si="58"/>
        <v>910</v>
      </c>
      <c r="F119" s="157">
        <f t="shared" si="58"/>
        <v>910</v>
      </c>
      <c r="G119" s="157">
        <f t="shared" si="58"/>
        <v>910</v>
      </c>
      <c r="H119" s="157">
        <f t="shared" si="58"/>
        <v>910</v>
      </c>
      <c r="I119" s="157">
        <f t="shared" si="58"/>
        <v>910</v>
      </c>
      <c r="J119" s="157">
        <f t="shared" si="58"/>
        <v>910</v>
      </c>
      <c r="K119" s="157">
        <f t="shared" si="58"/>
        <v>910</v>
      </c>
      <c r="L119" s="157">
        <f t="shared" si="58"/>
        <v>910</v>
      </c>
      <c r="M119" s="157">
        <f t="shared" si="58"/>
        <v>910</v>
      </c>
      <c r="N119" s="157">
        <f t="shared" si="58"/>
        <v>840</v>
      </c>
      <c r="O119" s="157">
        <f t="shared" si="58"/>
        <v>840</v>
      </c>
      <c r="P119" s="157">
        <f t="shared" si="58"/>
        <v>450</v>
      </c>
      <c r="Q119" s="157">
        <f t="shared" si="58"/>
        <v>450</v>
      </c>
      <c r="R119" s="157">
        <f t="shared" si="58"/>
        <v>0</v>
      </c>
      <c r="S119" s="157">
        <f t="shared" si="58"/>
        <v>450</v>
      </c>
      <c r="T119" s="157">
        <f t="shared" si="58"/>
        <v>450</v>
      </c>
      <c r="U119" s="157">
        <f t="shared" si="58"/>
        <v>840</v>
      </c>
      <c r="V119" s="157">
        <f t="shared" si="58"/>
        <v>840</v>
      </c>
      <c r="W119" s="157">
        <f t="shared" si="58"/>
        <v>840</v>
      </c>
    </row>
    <row r="120" spans="1:23">
      <c r="A120" s="28" t="s">
        <v>19</v>
      </c>
      <c r="B120" s="157">
        <f t="shared" si="59"/>
        <v>910</v>
      </c>
      <c r="C120" s="157">
        <f t="shared" si="58"/>
        <v>910</v>
      </c>
      <c r="D120" s="157">
        <f t="shared" si="58"/>
        <v>910</v>
      </c>
      <c r="E120" s="157">
        <f t="shared" si="58"/>
        <v>910</v>
      </c>
      <c r="F120" s="157">
        <f t="shared" si="58"/>
        <v>910</v>
      </c>
      <c r="G120" s="157">
        <f t="shared" si="58"/>
        <v>910</v>
      </c>
      <c r="H120" s="157">
        <f t="shared" si="58"/>
        <v>910</v>
      </c>
      <c r="I120" s="157">
        <f t="shared" si="58"/>
        <v>910</v>
      </c>
      <c r="J120" s="157">
        <f t="shared" si="58"/>
        <v>910</v>
      </c>
      <c r="K120" s="157">
        <f t="shared" si="58"/>
        <v>910</v>
      </c>
      <c r="L120" s="157">
        <f t="shared" si="58"/>
        <v>910</v>
      </c>
      <c r="M120" s="157">
        <f t="shared" si="58"/>
        <v>910</v>
      </c>
      <c r="N120" s="157">
        <f t="shared" si="58"/>
        <v>840</v>
      </c>
      <c r="O120" s="157">
        <f t="shared" si="58"/>
        <v>840</v>
      </c>
      <c r="P120" s="157">
        <f t="shared" si="58"/>
        <v>450</v>
      </c>
      <c r="Q120" s="157">
        <f t="shared" si="58"/>
        <v>450</v>
      </c>
      <c r="R120" s="157">
        <f t="shared" si="58"/>
        <v>450</v>
      </c>
      <c r="S120" s="157">
        <f t="shared" si="58"/>
        <v>0</v>
      </c>
      <c r="T120" s="157">
        <f t="shared" si="58"/>
        <v>450</v>
      </c>
      <c r="U120" s="157">
        <f t="shared" si="58"/>
        <v>840</v>
      </c>
      <c r="V120" s="157">
        <f t="shared" si="58"/>
        <v>840</v>
      </c>
      <c r="W120" s="157">
        <f t="shared" si="58"/>
        <v>840</v>
      </c>
    </row>
    <row r="121" spans="1:23">
      <c r="A121" s="28" t="s">
        <v>20</v>
      </c>
      <c r="B121" s="157">
        <f t="shared" si="59"/>
        <v>910</v>
      </c>
      <c r="C121" s="157">
        <f t="shared" si="58"/>
        <v>910</v>
      </c>
      <c r="D121" s="157">
        <f t="shared" si="58"/>
        <v>910</v>
      </c>
      <c r="E121" s="157">
        <f t="shared" si="58"/>
        <v>910</v>
      </c>
      <c r="F121" s="157">
        <f t="shared" si="58"/>
        <v>910</v>
      </c>
      <c r="G121" s="157">
        <f t="shared" si="58"/>
        <v>910</v>
      </c>
      <c r="H121" s="157">
        <f t="shared" si="58"/>
        <v>910</v>
      </c>
      <c r="I121" s="157">
        <f t="shared" si="58"/>
        <v>910</v>
      </c>
      <c r="J121" s="157">
        <f t="shared" si="58"/>
        <v>910</v>
      </c>
      <c r="K121" s="157">
        <f t="shared" si="58"/>
        <v>910</v>
      </c>
      <c r="L121" s="157">
        <f t="shared" si="58"/>
        <v>910</v>
      </c>
      <c r="M121" s="157">
        <f t="shared" si="58"/>
        <v>910</v>
      </c>
      <c r="N121" s="157">
        <f t="shared" si="58"/>
        <v>840</v>
      </c>
      <c r="O121" s="157">
        <f t="shared" si="58"/>
        <v>840</v>
      </c>
      <c r="P121" s="157">
        <f t="shared" si="58"/>
        <v>840</v>
      </c>
      <c r="Q121" s="157">
        <f t="shared" si="58"/>
        <v>840</v>
      </c>
      <c r="R121" s="157">
        <f t="shared" si="58"/>
        <v>450</v>
      </c>
      <c r="S121" s="157">
        <f t="shared" si="58"/>
        <v>450</v>
      </c>
      <c r="T121" s="157">
        <f t="shared" si="58"/>
        <v>0</v>
      </c>
      <c r="U121" s="157">
        <f t="shared" si="58"/>
        <v>450</v>
      </c>
      <c r="V121" s="157">
        <f t="shared" si="58"/>
        <v>840</v>
      </c>
      <c r="W121" s="157">
        <f t="shared" si="58"/>
        <v>840</v>
      </c>
    </row>
    <row r="122" spans="1:23">
      <c r="A122" s="28" t="s">
        <v>21</v>
      </c>
      <c r="B122" s="157">
        <f t="shared" si="59"/>
        <v>1420</v>
      </c>
      <c r="C122" s="157">
        <f t="shared" si="58"/>
        <v>1420</v>
      </c>
      <c r="D122" s="157">
        <f t="shared" si="58"/>
        <v>1420</v>
      </c>
      <c r="E122" s="157">
        <f t="shared" si="58"/>
        <v>1420</v>
      </c>
      <c r="F122" s="157">
        <f t="shared" si="58"/>
        <v>1420</v>
      </c>
      <c r="G122" s="157">
        <f t="shared" si="58"/>
        <v>1420</v>
      </c>
      <c r="H122" s="157">
        <f t="shared" si="58"/>
        <v>1420</v>
      </c>
      <c r="I122" s="157">
        <f t="shared" si="58"/>
        <v>1420</v>
      </c>
      <c r="J122" s="157">
        <f t="shared" si="58"/>
        <v>1420</v>
      </c>
      <c r="K122" s="157">
        <f t="shared" si="58"/>
        <v>1420</v>
      </c>
      <c r="L122" s="157">
        <f t="shared" si="58"/>
        <v>1420</v>
      </c>
      <c r="M122" s="157">
        <f t="shared" si="58"/>
        <v>1420</v>
      </c>
      <c r="N122" s="157">
        <f t="shared" si="58"/>
        <v>1290</v>
      </c>
      <c r="O122" s="157">
        <f t="shared" si="58"/>
        <v>840</v>
      </c>
      <c r="P122" s="157">
        <f t="shared" si="58"/>
        <v>840</v>
      </c>
      <c r="Q122" s="157">
        <f t="shared" si="58"/>
        <v>840</v>
      </c>
      <c r="R122" s="157">
        <f t="shared" si="58"/>
        <v>840</v>
      </c>
      <c r="S122" s="157">
        <f t="shared" si="58"/>
        <v>840</v>
      </c>
      <c r="T122" s="157">
        <f t="shared" si="58"/>
        <v>450</v>
      </c>
      <c r="U122" s="157">
        <f t="shared" si="58"/>
        <v>0</v>
      </c>
      <c r="V122" s="157">
        <f t="shared" si="58"/>
        <v>450</v>
      </c>
      <c r="W122" s="157">
        <f t="shared" si="58"/>
        <v>840</v>
      </c>
    </row>
    <row r="123" spans="1:23">
      <c r="A123" s="28" t="s">
        <v>22</v>
      </c>
      <c r="B123" s="157">
        <f t="shared" si="59"/>
        <v>1520</v>
      </c>
      <c r="C123" s="157">
        <f t="shared" si="58"/>
        <v>1520</v>
      </c>
      <c r="D123" s="157">
        <f t="shared" si="58"/>
        <v>1520</v>
      </c>
      <c r="E123" s="157">
        <f t="shared" si="58"/>
        <v>1520</v>
      </c>
      <c r="F123" s="157">
        <f t="shared" si="58"/>
        <v>1520</v>
      </c>
      <c r="G123" s="157">
        <f t="shared" si="58"/>
        <v>1520</v>
      </c>
      <c r="H123" s="157">
        <f t="shared" si="58"/>
        <v>1520</v>
      </c>
      <c r="I123" s="157">
        <f t="shared" si="58"/>
        <v>1520</v>
      </c>
      <c r="J123" s="157">
        <f t="shared" si="58"/>
        <v>1520</v>
      </c>
      <c r="K123" s="157">
        <f t="shared" si="58"/>
        <v>1520</v>
      </c>
      <c r="L123" s="157">
        <f t="shared" si="58"/>
        <v>1520</v>
      </c>
      <c r="M123" s="157">
        <f t="shared" si="58"/>
        <v>1520</v>
      </c>
      <c r="N123" s="157">
        <f t="shared" si="58"/>
        <v>1290</v>
      </c>
      <c r="O123" s="157">
        <f t="shared" si="58"/>
        <v>1290</v>
      </c>
      <c r="P123" s="157">
        <f t="shared" si="58"/>
        <v>840</v>
      </c>
      <c r="Q123" s="157">
        <f t="shared" si="58"/>
        <v>840</v>
      </c>
      <c r="R123" s="157">
        <f t="shared" si="58"/>
        <v>840</v>
      </c>
      <c r="S123" s="157">
        <f t="shared" si="58"/>
        <v>840</v>
      </c>
      <c r="T123" s="157">
        <f t="shared" si="58"/>
        <v>840</v>
      </c>
      <c r="U123" s="157">
        <f t="shared" si="58"/>
        <v>450</v>
      </c>
      <c r="V123" s="157">
        <f t="shared" si="58"/>
        <v>0</v>
      </c>
      <c r="W123" s="157">
        <f t="shared" si="58"/>
        <v>450</v>
      </c>
    </row>
    <row r="124" spans="1:23">
      <c r="A124" s="28" t="s">
        <v>23</v>
      </c>
      <c r="B124" s="157">
        <f t="shared" si="59"/>
        <v>1520</v>
      </c>
      <c r="C124" s="157">
        <f t="shared" si="58"/>
        <v>1520</v>
      </c>
      <c r="D124" s="157">
        <f t="shared" si="58"/>
        <v>1520</v>
      </c>
      <c r="E124" s="157">
        <f t="shared" si="58"/>
        <v>1520</v>
      </c>
      <c r="F124" s="157">
        <f t="shared" si="58"/>
        <v>1520</v>
      </c>
      <c r="G124" s="157">
        <f t="shared" si="58"/>
        <v>1520</v>
      </c>
      <c r="H124" s="157">
        <f t="shared" si="58"/>
        <v>1520</v>
      </c>
      <c r="I124" s="157">
        <f t="shared" si="58"/>
        <v>1520</v>
      </c>
      <c r="J124" s="157">
        <f t="shared" si="58"/>
        <v>1520</v>
      </c>
      <c r="K124" s="157">
        <f t="shared" si="58"/>
        <v>1520</v>
      </c>
      <c r="L124" s="157">
        <f t="shared" si="58"/>
        <v>1520</v>
      </c>
      <c r="M124" s="157">
        <f t="shared" si="58"/>
        <v>1520</v>
      </c>
      <c r="N124" s="157">
        <f t="shared" si="58"/>
        <v>1290</v>
      </c>
      <c r="O124" s="157">
        <f t="shared" si="58"/>
        <v>1290</v>
      </c>
      <c r="P124" s="157">
        <f t="shared" si="58"/>
        <v>840</v>
      </c>
      <c r="Q124" s="157">
        <f t="shared" si="58"/>
        <v>840</v>
      </c>
      <c r="R124" s="157">
        <f t="shared" si="58"/>
        <v>840</v>
      </c>
      <c r="S124" s="157">
        <f t="shared" si="58"/>
        <v>840</v>
      </c>
      <c r="T124" s="157">
        <f t="shared" si="58"/>
        <v>840</v>
      </c>
      <c r="U124" s="157">
        <f t="shared" si="58"/>
        <v>840</v>
      </c>
      <c r="V124" s="157">
        <f t="shared" si="58"/>
        <v>450</v>
      </c>
      <c r="W124" s="157">
        <f t="shared" si="58"/>
        <v>0</v>
      </c>
    </row>
  </sheetData>
  <mergeCells count="5">
    <mergeCell ref="A1:W1"/>
    <mergeCell ref="A26:W26"/>
    <mergeCell ref="A51:W51"/>
    <mergeCell ref="A76:W76"/>
    <mergeCell ref="A101:W101"/>
  </mergeCells>
  <pageMargins left="0.75" right="0.75" top="1" bottom="1" header="0.5" footer="0.5"/>
  <pageSetup paperSize="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85A5-3C26-4B86-AACE-E358A006775A}">
  <dimension ref="A1:W23"/>
  <sheetViews>
    <sheetView workbookViewId="0">
      <selection activeCell="B2" sqref="B2:W23"/>
    </sheetView>
  </sheetViews>
  <sheetFormatPr defaultColWidth="11" defaultRowHeight="15.75"/>
  <cols>
    <col min="1" max="23" width="4.5" customWidth="1"/>
  </cols>
  <sheetData>
    <row r="1" spans="1:23" ht="16.5" thickBot="1">
      <c r="A1" s="1" t="s">
        <v>30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3">
        <v>22</v>
      </c>
    </row>
    <row r="2" spans="1:23" ht="16.5" thickBot="1">
      <c r="A2" s="4">
        <v>1</v>
      </c>
      <c r="B2" s="15">
        <v>0</v>
      </c>
      <c r="C2" s="15">
        <v>70</v>
      </c>
      <c r="D2" s="15">
        <v>70</v>
      </c>
      <c r="E2" s="15">
        <v>70</v>
      </c>
      <c r="F2" s="15">
        <v>70</v>
      </c>
      <c r="G2" s="15">
        <v>70</v>
      </c>
      <c r="H2" s="15">
        <v>70</v>
      </c>
      <c r="I2" s="15">
        <v>70</v>
      </c>
      <c r="J2" s="15">
        <v>70</v>
      </c>
      <c r="K2" s="15">
        <v>70</v>
      </c>
      <c r="L2" s="15">
        <v>70</v>
      </c>
      <c r="M2" s="15">
        <v>70</v>
      </c>
      <c r="N2" s="15">
        <v>230</v>
      </c>
      <c r="O2" s="15">
        <v>230</v>
      </c>
      <c r="P2" s="15">
        <v>250</v>
      </c>
      <c r="Q2" s="15">
        <v>250</v>
      </c>
      <c r="R2" s="15">
        <v>250</v>
      </c>
      <c r="S2" s="15">
        <v>250</v>
      </c>
      <c r="T2" s="15">
        <v>250</v>
      </c>
      <c r="U2" s="15">
        <v>390</v>
      </c>
      <c r="V2" s="15">
        <v>420</v>
      </c>
      <c r="W2" s="15">
        <v>420</v>
      </c>
    </row>
    <row r="3" spans="1:23" ht="16.5" thickBot="1">
      <c r="A3" s="4">
        <v>2</v>
      </c>
      <c r="B3" s="15">
        <v>70</v>
      </c>
      <c r="C3" s="15">
        <v>0</v>
      </c>
      <c r="D3" s="15">
        <v>70</v>
      </c>
      <c r="E3" s="15">
        <v>70</v>
      </c>
      <c r="F3" s="15">
        <v>70</v>
      </c>
      <c r="G3" s="15">
        <v>70</v>
      </c>
      <c r="H3" s="15">
        <v>70</v>
      </c>
      <c r="I3" s="15">
        <v>70</v>
      </c>
      <c r="J3" s="15">
        <v>70</v>
      </c>
      <c r="K3" s="15">
        <v>70</v>
      </c>
      <c r="L3" s="15">
        <v>70</v>
      </c>
      <c r="M3" s="15">
        <v>70</v>
      </c>
      <c r="N3" s="15">
        <v>230</v>
      </c>
      <c r="O3" s="15">
        <v>230</v>
      </c>
      <c r="P3" s="15">
        <v>250</v>
      </c>
      <c r="Q3" s="15">
        <v>250</v>
      </c>
      <c r="R3" s="15">
        <v>250</v>
      </c>
      <c r="S3" s="15">
        <v>250</v>
      </c>
      <c r="T3" s="15">
        <v>250</v>
      </c>
      <c r="U3" s="15">
        <v>390</v>
      </c>
      <c r="V3" s="15">
        <v>420</v>
      </c>
      <c r="W3" s="15">
        <v>420</v>
      </c>
    </row>
    <row r="4" spans="1:23" ht="16.5" thickBot="1">
      <c r="A4" s="4">
        <v>3</v>
      </c>
      <c r="B4" s="15">
        <v>70</v>
      </c>
      <c r="C4" s="15">
        <v>70</v>
      </c>
      <c r="D4" s="15">
        <v>0</v>
      </c>
      <c r="E4" s="15">
        <v>70</v>
      </c>
      <c r="F4" s="15">
        <v>70</v>
      </c>
      <c r="G4" s="15">
        <v>70</v>
      </c>
      <c r="H4" s="15">
        <v>70</v>
      </c>
      <c r="I4" s="15">
        <v>70</v>
      </c>
      <c r="J4" s="15">
        <v>70</v>
      </c>
      <c r="K4" s="15">
        <v>70</v>
      </c>
      <c r="L4" s="15">
        <v>70</v>
      </c>
      <c r="M4" s="15">
        <v>70</v>
      </c>
      <c r="N4" s="15">
        <v>230</v>
      </c>
      <c r="O4" s="15">
        <v>230</v>
      </c>
      <c r="P4" s="15">
        <v>250</v>
      </c>
      <c r="Q4" s="15">
        <v>250</v>
      </c>
      <c r="R4" s="15">
        <v>250</v>
      </c>
      <c r="S4" s="15">
        <v>250</v>
      </c>
      <c r="T4" s="15">
        <v>250</v>
      </c>
      <c r="U4" s="15">
        <v>390</v>
      </c>
      <c r="V4" s="15">
        <v>420</v>
      </c>
      <c r="W4" s="15">
        <v>420</v>
      </c>
    </row>
    <row r="5" spans="1:23" ht="16.5" thickBot="1">
      <c r="A5" s="4">
        <v>4</v>
      </c>
      <c r="B5" s="15">
        <v>70</v>
      </c>
      <c r="C5" s="15">
        <v>70</v>
      </c>
      <c r="D5" s="15">
        <v>70</v>
      </c>
      <c r="E5" s="15">
        <v>0</v>
      </c>
      <c r="F5" s="15">
        <v>70</v>
      </c>
      <c r="G5" s="15">
        <v>70</v>
      </c>
      <c r="H5" s="15">
        <v>70</v>
      </c>
      <c r="I5" s="15">
        <v>70</v>
      </c>
      <c r="J5" s="15">
        <v>70</v>
      </c>
      <c r="K5" s="15">
        <v>70</v>
      </c>
      <c r="L5" s="15">
        <v>70</v>
      </c>
      <c r="M5" s="15">
        <v>70</v>
      </c>
      <c r="N5" s="15">
        <v>230</v>
      </c>
      <c r="O5" s="15">
        <v>230</v>
      </c>
      <c r="P5" s="15">
        <v>250</v>
      </c>
      <c r="Q5" s="15">
        <v>250</v>
      </c>
      <c r="R5" s="15">
        <v>250</v>
      </c>
      <c r="S5" s="15">
        <v>250</v>
      </c>
      <c r="T5" s="15">
        <v>250</v>
      </c>
      <c r="U5" s="15">
        <v>390</v>
      </c>
      <c r="V5" s="15">
        <v>420</v>
      </c>
      <c r="W5" s="15">
        <v>420</v>
      </c>
    </row>
    <row r="6" spans="1:23" ht="16.5" thickBot="1">
      <c r="A6" s="4">
        <v>5</v>
      </c>
      <c r="B6" s="15">
        <v>70</v>
      </c>
      <c r="C6" s="15">
        <v>70</v>
      </c>
      <c r="D6" s="15">
        <v>70</v>
      </c>
      <c r="E6" s="15">
        <v>70</v>
      </c>
      <c r="F6" s="15">
        <v>0</v>
      </c>
      <c r="G6" s="15">
        <v>70</v>
      </c>
      <c r="H6" s="15">
        <v>70</v>
      </c>
      <c r="I6" s="15">
        <v>70</v>
      </c>
      <c r="J6" s="15">
        <v>70</v>
      </c>
      <c r="K6" s="15">
        <v>70</v>
      </c>
      <c r="L6" s="15">
        <v>70</v>
      </c>
      <c r="M6" s="15">
        <v>70</v>
      </c>
      <c r="N6" s="15">
        <v>230</v>
      </c>
      <c r="O6" s="15">
        <v>230</v>
      </c>
      <c r="P6" s="15">
        <v>250</v>
      </c>
      <c r="Q6" s="15">
        <v>250</v>
      </c>
      <c r="R6" s="15">
        <v>250</v>
      </c>
      <c r="S6" s="15">
        <v>250</v>
      </c>
      <c r="T6" s="15">
        <v>250</v>
      </c>
      <c r="U6" s="15">
        <v>390</v>
      </c>
      <c r="V6" s="15">
        <v>420</v>
      </c>
      <c r="W6" s="15">
        <v>420</v>
      </c>
    </row>
    <row r="7" spans="1:23" ht="16.5" thickBot="1">
      <c r="A7" s="4">
        <v>6</v>
      </c>
      <c r="B7" s="15">
        <v>70</v>
      </c>
      <c r="C7" s="15">
        <v>70</v>
      </c>
      <c r="D7" s="15">
        <v>70</v>
      </c>
      <c r="E7" s="15">
        <v>70</v>
      </c>
      <c r="F7" s="15">
        <v>70</v>
      </c>
      <c r="G7" s="15">
        <v>0</v>
      </c>
      <c r="H7" s="15">
        <v>70</v>
      </c>
      <c r="I7" s="15">
        <v>70</v>
      </c>
      <c r="J7" s="15">
        <v>70</v>
      </c>
      <c r="K7" s="15">
        <v>70</v>
      </c>
      <c r="L7" s="15">
        <v>70</v>
      </c>
      <c r="M7" s="15">
        <v>70</v>
      </c>
      <c r="N7" s="15">
        <v>230</v>
      </c>
      <c r="O7" s="15">
        <v>230</v>
      </c>
      <c r="P7" s="15">
        <v>250</v>
      </c>
      <c r="Q7" s="15">
        <v>250</v>
      </c>
      <c r="R7" s="15">
        <v>250</v>
      </c>
      <c r="S7" s="15">
        <v>250</v>
      </c>
      <c r="T7" s="15">
        <v>250</v>
      </c>
      <c r="U7" s="15">
        <v>390</v>
      </c>
      <c r="V7" s="15">
        <v>420</v>
      </c>
      <c r="W7" s="15">
        <v>420</v>
      </c>
    </row>
    <row r="8" spans="1:23" ht="16.5" thickBot="1">
      <c r="A8" s="4">
        <v>7</v>
      </c>
      <c r="B8" s="15">
        <v>70</v>
      </c>
      <c r="C8" s="15">
        <v>70</v>
      </c>
      <c r="D8" s="15">
        <v>70</v>
      </c>
      <c r="E8" s="15">
        <v>70</v>
      </c>
      <c r="F8" s="15">
        <v>70</v>
      </c>
      <c r="G8" s="15">
        <v>70</v>
      </c>
      <c r="H8" s="15">
        <v>0</v>
      </c>
      <c r="I8" s="15">
        <v>70</v>
      </c>
      <c r="J8" s="15">
        <v>70</v>
      </c>
      <c r="K8" s="15">
        <v>70</v>
      </c>
      <c r="L8" s="15">
        <v>70</v>
      </c>
      <c r="M8" s="15">
        <v>70</v>
      </c>
      <c r="N8" s="15">
        <v>230</v>
      </c>
      <c r="O8" s="15">
        <v>230</v>
      </c>
      <c r="P8" s="15">
        <v>250</v>
      </c>
      <c r="Q8" s="15">
        <v>250</v>
      </c>
      <c r="R8" s="15">
        <v>250</v>
      </c>
      <c r="S8" s="15">
        <v>250</v>
      </c>
      <c r="T8" s="15">
        <v>250</v>
      </c>
      <c r="U8" s="15">
        <v>390</v>
      </c>
      <c r="V8" s="15">
        <v>420</v>
      </c>
      <c r="W8" s="15">
        <v>420</v>
      </c>
    </row>
    <row r="9" spans="1:23" ht="16.5" thickBot="1">
      <c r="A9" s="4">
        <v>8</v>
      </c>
      <c r="B9" s="15">
        <v>70</v>
      </c>
      <c r="C9" s="15">
        <v>70</v>
      </c>
      <c r="D9" s="15">
        <v>70</v>
      </c>
      <c r="E9" s="15">
        <v>70</v>
      </c>
      <c r="F9" s="15">
        <v>70</v>
      </c>
      <c r="G9" s="15">
        <v>70</v>
      </c>
      <c r="H9" s="15">
        <v>70</v>
      </c>
      <c r="I9" s="15">
        <v>0</v>
      </c>
      <c r="J9" s="15">
        <v>70</v>
      </c>
      <c r="K9" s="15">
        <v>70</v>
      </c>
      <c r="L9" s="15">
        <v>70</v>
      </c>
      <c r="M9" s="15">
        <v>70</v>
      </c>
      <c r="N9" s="15">
        <v>230</v>
      </c>
      <c r="O9" s="15">
        <v>230</v>
      </c>
      <c r="P9" s="15">
        <v>250</v>
      </c>
      <c r="Q9" s="15">
        <v>250</v>
      </c>
      <c r="R9" s="15">
        <v>250</v>
      </c>
      <c r="S9" s="15">
        <v>250</v>
      </c>
      <c r="T9" s="15">
        <v>250</v>
      </c>
      <c r="U9" s="15">
        <v>390</v>
      </c>
      <c r="V9" s="15">
        <v>420</v>
      </c>
      <c r="W9" s="15">
        <v>420</v>
      </c>
    </row>
    <row r="10" spans="1:23" ht="16.5" thickBot="1">
      <c r="A10" s="4">
        <v>9</v>
      </c>
      <c r="B10" s="15">
        <v>70</v>
      </c>
      <c r="C10" s="15">
        <v>70</v>
      </c>
      <c r="D10" s="15">
        <v>70</v>
      </c>
      <c r="E10" s="15">
        <v>70</v>
      </c>
      <c r="F10" s="15">
        <v>70</v>
      </c>
      <c r="G10" s="15">
        <v>70</v>
      </c>
      <c r="H10" s="15">
        <v>70</v>
      </c>
      <c r="I10" s="15">
        <v>70</v>
      </c>
      <c r="J10" s="15">
        <v>0</v>
      </c>
      <c r="K10" s="15">
        <v>70</v>
      </c>
      <c r="L10" s="15">
        <v>70</v>
      </c>
      <c r="M10" s="15">
        <v>70</v>
      </c>
      <c r="N10" s="15">
        <v>310</v>
      </c>
      <c r="O10" s="15">
        <v>310</v>
      </c>
      <c r="P10" s="15">
        <v>340</v>
      </c>
      <c r="Q10" s="15">
        <v>340</v>
      </c>
      <c r="R10" s="15">
        <v>340</v>
      </c>
      <c r="S10" s="15">
        <v>340</v>
      </c>
      <c r="T10" s="15">
        <v>250</v>
      </c>
      <c r="U10" s="15">
        <v>390</v>
      </c>
      <c r="V10" s="15">
        <v>420</v>
      </c>
      <c r="W10" s="15">
        <v>420</v>
      </c>
    </row>
    <row r="11" spans="1:23" ht="16.5" thickBot="1">
      <c r="A11" s="4">
        <v>10</v>
      </c>
      <c r="B11" s="15">
        <v>70</v>
      </c>
      <c r="C11" s="15">
        <v>70</v>
      </c>
      <c r="D11" s="15">
        <v>70</v>
      </c>
      <c r="E11" s="15">
        <v>70</v>
      </c>
      <c r="F11" s="15">
        <v>70</v>
      </c>
      <c r="G11" s="15">
        <v>70</v>
      </c>
      <c r="H11" s="15">
        <v>70</v>
      </c>
      <c r="I11" s="15">
        <v>70</v>
      </c>
      <c r="J11" s="15">
        <v>70</v>
      </c>
      <c r="K11" s="15">
        <v>0</v>
      </c>
      <c r="L11" s="15">
        <v>70</v>
      </c>
      <c r="M11" s="15">
        <v>70</v>
      </c>
      <c r="N11" s="15">
        <v>310</v>
      </c>
      <c r="O11" s="15">
        <v>310</v>
      </c>
      <c r="P11" s="15">
        <v>340</v>
      </c>
      <c r="Q11" s="15">
        <v>340</v>
      </c>
      <c r="R11" s="15">
        <v>340</v>
      </c>
      <c r="S11" s="15">
        <v>340</v>
      </c>
      <c r="T11" s="15">
        <v>250</v>
      </c>
      <c r="U11" s="15">
        <v>390</v>
      </c>
      <c r="V11" s="15">
        <v>420</v>
      </c>
      <c r="W11" s="15">
        <v>420</v>
      </c>
    </row>
    <row r="12" spans="1:23" ht="16.5" thickBot="1">
      <c r="A12" s="4">
        <v>11</v>
      </c>
      <c r="B12" s="15">
        <v>70</v>
      </c>
      <c r="C12" s="15">
        <v>70</v>
      </c>
      <c r="D12" s="15">
        <v>70</v>
      </c>
      <c r="E12" s="15">
        <v>70</v>
      </c>
      <c r="F12" s="15">
        <v>70</v>
      </c>
      <c r="G12" s="15">
        <v>70</v>
      </c>
      <c r="H12" s="15">
        <v>70</v>
      </c>
      <c r="I12" s="15">
        <v>70</v>
      </c>
      <c r="J12" s="15">
        <v>70</v>
      </c>
      <c r="K12" s="15">
        <v>70</v>
      </c>
      <c r="L12" s="15">
        <v>0</v>
      </c>
      <c r="M12" s="15">
        <v>70</v>
      </c>
      <c r="N12" s="15">
        <v>310</v>
      </c>
      <c r="O12" s="15">
        <v>310</v>
      </c>
      <c r="P12" s="15">
        <v>340</v>
      </c>
      <c r="Q12" s="15">
        <v>340</v>
      </c>
      <c r="R12" s="15">
        <v>340</v>
      </c>
      <c r="S12" s="15">
        <v>340</v>
      </c>
      <c r="T12" s="15">
        <v>250</v>
      </c>
      <c r="U12" s="15">
        <v>390</v>
      </c>
      <c r="V12" s="15">
        <v>420</v>
      </c>
      <c r="W12" s="15">
        <v>420</v>
      </c>
    </row>
    <row r="13" spans="1:23" ht="16.5" thickBot="1">
      <c r="A13" s="4">
        <v>12</v>
      </c>
      <c r="B13" s="15">
        <v>70</v>
      </c>
      <c r="C13" s="15">
        <v>70</v>
      </c>
      <c r="D13" s="15">
        <v>70</v>
      </c>
      <c r="E13" s="15">
        <v>70</v>
      </c>
      <c r="F13" s="15">
        <v>70</v>
      </c>
      <c r="G13" s="15">
        <v>70</v>
      </c>
      <c r="H13" s="15">
        <v>70</v>
      </c>
      <c r="I13" s="15">
        <v>70</v>
      </c>
      <c r="J13" s="15">
        <v>70</v>
      </c>
      <c r="K13" s="15">
        <v>70</v>
      </c>
      <c r="L13" s="15">
        <v>70</v>
      </c>
      <c r="M13" s="15">
        <v>0</v>
      </c>
      <c r="N13" s="15">
        <v>120</v>
      </c>
      <c r="O13" s="15">
        <v>120</v>
      </c>
      <c r="P13" s="15">
        <v>340</v>
      </c>
      <c r="Q13" s="15">
        <v>340</v>
      </c>
      <c r="R13" s="15">
        <v>340</v>
      </c>
      <c r="S13" s="15">
        <v>340</v>
      </c>
      <c r="T13" s="15">
        <v>250</v>
      </c>
      <c r="U13" s="15">
        <v>390</v>
      </c>
      <c r="V13" s="15">
        <v>420</v>
      </c>
      <c r="W13" s="15">
        <v>420</v>
      </c>
    </row>
    <row r="14" spans="1:23" ht="16.5" thickBot="1">
      <c r="A14" s="4">
        <v>13</v>
      </c>
      <c r="B14" s="15">
        <v>230</v>
      </c>
      <c r="C14" s="15">
        <v>230</v>
      </c>
      <c r="D14" s="15">
        <v>230</v>
      </c>
      <c r="E14" s="15">
        <v>230</v>
      </c>
      <c r="F14" s="15">
        <v>230</v>
      </c>
      <c r="G14" s="15">
        <v>230</v>
      </c>
      <c r="H14" s="15">
        <v>230</v>
      </c>
      <c r="I14" s="15">
        <v>230</v>
      </c>
      <c r="J14" s="15">
        <v>170</v>
      </c>
      <c r="K14" s="15">
        <v>170</v>
      </c>
      <c r="L14" s="15">
        <v>170</v>
      </c>
      <c r="M14" s="15">
        <v>120</v>
      </c>
      <c r="N14" s="15">
        <v>0</v>
      </c>
      <c r="O14" s="15">
        <v>120</v>
      </c>
      <c r="P14" s="15">
        <v>120</v>
      </c>
      <c r="Q14" s="15">
        <v>240</v>
      </c>
      <c r="R14" s="15">
        <v>240</v>
      </c>
      <c r="S14" s="15">
        <v>240</v>
      </c>
      <c r="T14" s="15">
        <v>240</v>
      </c>
      <c r="U14" s="15">
        <v>350</v>
      </c>
      <c r="V14" s="15">
        <v>350</v>
      </c>
      <c r="W14" s="15">
        <v>350</v>
      </c>
    </row>
    <row r="15" spans="1:23" ht="16.5" thickBot="1">
      <c r="A15" s="4">
        <v>14</v>
      </c>
      <c r="B15" s="15">
        <v>230</v>
      </c>
      <c r="C15" s="15">
        <v>230</v>
      </c>
      <c r="D15" s="15">
        <v>230</v>
      </c>
      <c r="E15" s="15">
        <v>230</v>
      </c>
      <c r="F15" s="15">
        <v>230</v>
      </c>
      <c r="G15" s="15">
        <v>230</v>
      </c>
      <c r="H15" s="15">
        <v>230</v>
      </c>
      <c r="I15" s="15">
        <v>230</v>
      </c>
      <c r="J15" s="15">
        <v>170</v>
      </c>
      <c r="K15" s="15">
        <v>170</v>
      </c>
      <c r="L15" s="15">
        <v>170</v>
      </c>
      <c r="M15" s="15">
        <v>120</v>
      </c>
      <c r="N15" s="15">
        <v>120</v>
      </c>
      <c r="O15" s="15">
        <v>0</v>
      </c>
      <c r="P15" s="15">
        <v>120</v>
      </c>
      <c r="Q15" s="15">
        <v>120</v>
      </c>
      <c r="R15" s="15">
        <v>240</v>
      </c>
      <c r="S15" s="15">
        <v>240</v>
      </c>
      <c r="T15" s="15">
        <v>240</v>
      </c>
      <c r="U15" s="15">
        <v>240</v>
      </c>
      <c r="V15" s="15">
        <v>350</v>
      </c>
      <c r="W15" s="15">
        <v>350</v>
      </c>
    </row>
    <row r="16" spans="1:23" ht="16.5" thickBot="1">
      <c r="A16" s="4">
        <v>15</v>
      </c>
      <c r="B16" s="15">
        <v>250</v>
      </c>
      <c r="C16" s="15">
        <v>250</v>
      </c>
      <c r="D16" s="15">
        <v>250</v>
      </c>
      <c r="E16" s="15">
        <v>250</v>
      </c>
      <c r="F16" s="15">
        <v>250</v>
      </c>
      <c r="G16" s="15">
        <v>250</v>
      </c>
      <c r="H16" s="15">
        <v>250</v>
      </c>
      <c r="I16" s="15">
        <v>250</v>
      </c>
      <c r="J16" s="15">
        <v>240</v>
      </c>
      <c r="K16" s="15">
        <v>240</v>
      </c>
      <c r="L16" s="15">
        <v>240</v>
      </c>
      <c r="M16" s="15">
        <v>240</v>
      </c>
      <c r="N16" s="15">
        <v>120</v>
      </c>
      <c r="O16" s="15">
        <v>120</v>
      </c>
      <c r="P16" s="15">
        <v>0</v>
      </c>
      <c r="Q16" s="15">
        <v>120</v>
      </c>
      <c r="R16" s="15">
        <v>120</v>
      </c>
      <c r="S16" s="15">
        <v>120</v>
      </c>
      <c r="T16" s="15">
        <v>240</v>
      </c>
      <c r="U16" s="15">
        <v>240</v>
      </c>
      <c r="V16" s="15">
        <v>240</v>
      </c>
      <c r="W16" s="15">
        <v>240</v>
      </c>
    </row>
    <row r="17" spans="1:23" ht="16.5" thickBot="1">
      <c r="A17" s="4">
        <v>16</v>
      </c>
      <c r="B17" s="15">
        <v>250</v>
      </c>
      <c r="C17" s="15">
        <v>250</v>
      </c>
      <c r="D17" s="15">
        <v>250</v>
      </c>
      <c r="E17" s="15">
        <v>250</v>
      </c>
      <c r="F17" s="15">
        <v>250</v>
      </c>
      <c r="G17" s="15">
        <v>250</v>
      </c>
      <c r="H17" s="15">
        <v>250</v>
      </c>
      <c r="I17" s="15">
        <v>250</v>
      </c>
      <c r="J17" s="15">
        <v>240</v>
      </c>
      <c r="K17" s="15">
        <v>240</v>
      </c>
      <c r="L17" s="15">
        <v>240</v>
      </c>
      <c r="M17" s="15">
        <v>240</v>
      </c>
      <c r="N17" s="15">
        <v>240</v>
      </c>
      <c r="O17" s="15">
        <v>120</v>
      </c>
      <c r="P17" s="15">
        <v>120</v>
      </c>
      <c r="Q17" s="15">
        <v>0</v>
      </c>
      <c r="R17" s="15">
        <v>120</v>
      </c>
      <c r="S17" s="15">
        <v>120</v>
      </c>
      <c r="T17" s="15">
        <v>240</v>
      </c>
      <c r="U17" s="15">
        <v>240</v>
      </c>
      <c r="V17" s="15">
        <v>240</v>
      </c>
      <c r="W17" s="15">
        <v>240</v>
      </c>
    </row>
    <row r="18" spans="1:23" ht="16.5" thickBot="1">
      <c r="A18" s="4">
        <v>17</v>
      </c>
      <c r="B18" s="15">
        <v>250</v>
      </c>
      <c r="C18" s="15">
        <v>250</v>
      </c>
      <c r="D18" s="15">
        <v>250</v>
      </c>
      <c r="E18" s="15">
        <v>250</v>
      </c>
      <c r="F18" s="15">
        <v>250</v>
      </c>
      <c r="G18" s="15">
        <v>250</v>
      </c>
      <c r="H18" s="15">
        <v>250</v>
      </c>
      <c r="I18" s="15">
        <v>250</v>
      </c>
      <c r="J18" s="15">
        <v>240</v>
      </c>
      <c r="K18" s="15">
        <v>240</v>
      </c>
      <c r="L18" s="15">
        <v>240</v>
      </c>
      <c r="M18" s="15">
        <v>240</v>
      </c>
      <c r="N18" s="15">
        <v>240</v>
      </c>
      <c r="O18" s="15">
        <v>240</v>
      </c>
      <c r="P18" s="15">
        <v>120</v>
      </c>
      <c r="Q18" s="15">
        <v>120</v>
      </c>
      <c r="R18" s="15">
        <v>0</v>
      </c>
      <c r="S18" s="15">
        <v>120</v>
      </c>
      <c r="T18" s="15">
        <v>120</v>
      </c>
      <c r="U18" s="15">
        <v>240</v>
      </c>
      <c r="V18" s="15">
        <v>240</v>
      </c>
      <c r="W18" s="15">
        <v>240</v>
      </c>
    </row>
    <row r="19" spans="1:23" ht="16.5" thickBot="1">
      <c r="A19" s="4">
        <v>18</v>
      </c>
      <c r="B19" s="15">
        <v>250</v>
      </c>
      <c r="C19" s="15">
        <v>250</v>
      </c>
      <c r="D19" s="15">
        <v>250</v>
      </c>
      <c r="E19" s="15">
        <v>250</v>
      </c>
      <c r="F19" s="15">
        <v>250</v>
      </c>
      <c r="G19" s="15">
        <v>250</v>
      </c>
      <c r="H19" s="15">
        <v>250</v>
      </c>
      <c r="I19" s="15">
        <v>250</v>
      </c>
      <c r="J19" s="15">
        <v>240</v>
      </c>
      <c r="K19" s="15">
        <v>240</v>
      </c>
      <c r="L19" s="15">
        <v>240</v>
      </c>
      <c r="M19" s="15">
        <v>240</v>
      </c>
      <c r="N19" s="15">
        <v>240</v>
      </c>
      <c r="O19" s="15">
        <v>240</v>
      </c>
      <c r="P19" s="15">
        <v>120</v>
      </c>
      <c r="Q19" s="15">
        <v>120</v>
      </c>
      <c r="R19" s="15">
        <v>120</v>
      </c>
      <c r="S19" s="15">
        <v>0</v>
      </c>
      <c r="T19" s="15">
        <v>120</v>
      </c>
      <c r="U19" s="15">
        <v>240</v>
      </c>
      <c r="V19" s="15">
        <v>240</v>
      </c>
      <c r="W19" s="15">
        <v>240</v>
      </c>
    </row>
    <row r="20" spans="1:23" ht="16.5" thickBot="1">
      <c r="A20" s="4">
        <v>19</v>
      </c>
      <c r="B20" s="15">
        <v>250</v>
      </c>
      <c r="C20" s="15">
        <v>250</v>
      </c>
      <c r="D20" s="15">
        <v>250</v>
      </c>
      <c r="E20" s="15">
        <v>250</v>
      </c>
      <c r="F20" s="15">
        <v>250</v>
      </c>
      <c r="G20" s="15">
        <v>250</v>
      </c>
      <c r="H20" s="15">
        <v>250</v>
      </c>
      <c r="I20" s="15">
        <v>250</v>
      </c>
      <c r="J20" s="15">
        <v>250</v>
      </c>
      <c r="K20" s="15">
        <v>250</v>
      </c>
      <c r="L20" s="15">
        <v>250</v>
      </c>
      <c r="M20" s="15">
        <v>250</v>
      </c>
      <c r="N20" s="15">
        <v>240</v>
      </c>
      <c r="O20" s="15">
        <v>240</v>
      </c>
      <c r="P20" s="15">
        <v>240</v>
      </c>
      <c r="Q20" s="15">
        <v>240</v>
      </c>
      <c r="R20" s="15">
        <v>120</v>
      </c>
      <c r="S20" s="15">
        <v>120</v>
      </c>
      <c r="T20" s="15">
        <v>0</v>
      </c>
      <c r="U20" s="15">
        <v>120</v>
      </c>
      <c r="V20" s="15">
        <v>240</v>
      </c>
      <c r="W20" s="15">
        <v>240</v>
      </c>
    </row>
    <row r="21" spans="1:23" ht="16.5" thickBot="1">
      <c r="A21" s="4">
        <v>20</v>
      </c>
      <c r="B21" s="15">
        <v>390</v>
      </c>
      <c r="C21" s="15">
        <v>390</v>
      </c>
      <c r="D21" s="15">
        <v>390</v>
      </c>
      <c r="E21" s="15">
        <v>390</v>
      </c>
      <c r="F21" s="15">
        <v>390</v>
      </c>
      <c r="G21" s="15">
        <v>390</v>
      </c>
      <c r="H21" s="15">
        <v>390</v>
      </c>
      <c r="I21" s="15">
        <v>390</v>
      </c>
      <c r="J21" s="15">
        <v>390</v>
      </c>
      <c r="K21" s="15">
        <v>390</v>
      </c>
      <c r="L21" s="15">
        <v>390</v>
      </c>
      <c r="M21" s="15">
        <v>390</v>
      </c>
      <c r="N21" s="15">
        <v>350</v>
      </c>
      <c r="O21" s="15">
        <v>240</v>
      </c>
      <c r="P21" s="15">
        <v>240</v>
      </c>
      <c r="Q21" s="15">
        <v>240</v>
      </c>
      <c r="R21" s="15">
        <v>240</v>
      </c>
      <c r="S21" s="15">
        <v>240</v>
      </c>
      <c r="T21" s="15">
        <v>120</v>
      </c>
      <c r="U21" s="15">
        <v>0</v>
      </c>
      <c r="V21" s="15">
        <v>120</v>
      </c>
      <c r="W21" s="15">
        <v>240</v>
      </c>
    </row>
    <row r="22" spans="1:23" ht="16.5" thickBot="1">
      <c r="A22" s="4">
        <v>21</v>
      </c>
      <c r="B22" s="15">
        <v>420</v>
      </c>
      <c r="C22" s="15">
        <v>420</v>
      </c>
      <c r="D22" s="15">
        <v>420</v>
      </c>
      <c r="E22" s="15">
        <v>420</v>
      </c>
      <c r="F22" s="15">
        <v>420</v>
      </c>
      <c r="G22" s="15">
        <v>420</v>
      </c>
      <c r="H22" s="15">
        <v>420</v>
      </c>
      <c r="I22" s="15">
        <v>420</v>
      </c>
      <c r="J22" s="15">
        <v>420</v>
      </c>
      <c r="K22" s="15">
        <v>420</v>
      </c>
      <c r="L22" s="15">
        <v>420</v>
      </c>
      <c r="M22" s="15">
        <v>420</v>
      </c>
      <c r="N22" s="15">
        <v>350</v>
      </c>
      <c r="O22" s="15">
        <v>350</v>
      </c>
      <c r="P22" s="15">
        <v>240</v>
      </c>
      <c r="Q22" s="15">
        <v>240</v>
      </c>
      <c r="R22" s="15">
        <v>240</v>
      </c>
      <c r="S22" s="15">
        <v>240</v>
      </c>
      <c r="T22" s="15">
        <v>240</v>
      </c>
      <c r="U22" s="15">
        <v>120</v>
      </c>
      <c r="V22" s="15">
        <v>0</v>
      </c>
      <c r="W22" s="15">
        <v>120</v>
      </c>
    </row>
    <row r="23" spans="1:23" ht="16.5" thickBot="1">
      <c r="A23" s="4">
        <v>22</v>
      </c>
      <c r="B23" s="15">
        <v>420</v>
      </c>
      <c r="C23" s="15">
        <v>420</v>
      </c>
      <c r="D23" s="15">
        <v>420</v>
      </c>
      <c r="E23" s="15">
        <v>420</v>
      </c>
      <c r="F23" s="15">
        <v>420</v>
      </c>
      <c r="G23" s="15">
        <v>420</v>
      </c>
      <c r="H23" s="15">
        <v>420</v>
      </c>
      <c r="I23" s="15">
        <v>420</v>
      </c>
      <c r="J23" s="15">
        <v>420</v>
      </c>
      <c r="K23" s="15">
        <v>420</v>
      </c>
      <c r="L23" s="15">
        <v>420</v>
      </c>
      <c r="M23" s="15">
        <v>420</v>
      </c>
      <c r="N23" s="15">
        <v>350</v>
      </c>
      <c r="O23" s="15">
        <v>350</v>
      </c>
      <c r="P23" s="15">
        <v>240</v>
      </c>
      <c r="Q23" s="15">
        <v>240</v>
      </c>
      <c r="R23" s="15">
        <v>240</v>
      </c>
      <c r="S23" s="15">
        <v>240</v>
      </c>
      <c r="T23" s="15">
        <v>240</v>
      </c>
      <c r="U23" s="15">
        <v>240</v>
      </c>
      <c r="V23" s="15">
        <v>120</v>
      </c>
      <c r="W23" s="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B19B-793E-45B0-81FD-3AC66AD6A42A}">
  <dimension ref="A1:AU68"/>
  <sheetViews>
    <sheetView zoomScale="80" zoomScaleNormal="80" workbookViewId="0">
      <selection activeCell="BJ19" sqref="BJ19"/>
    </sheetView>
  </sheetViews>
  <sheetFormatPr defaultColWidth="10" defaultRowHeight="15.75"/>
  <cols>
    <col min="1" max="1" width="13.5" style="16" bestFit="1" customWidth="1"/>
    <col min="2" max="8" width="8" style="16" bestFit="1" customWidth="1"/>
    <col min="9" max="9" width="6.5" style="16" bestFit="1" customWidth="1"/>
    <col min="10" max="15" width="8" style="16" bestFit="1" customWidth="1"/>
    <col min="17" max="17" width="10.5" hidden="1" customWidth="1"/>
    <col min="18" max="33" width="0" hidden="1" customWidth="1"/>
    <col min="34" max="47" width="12.25" hidden="1" customWidth="1"/>
  </cols>
  <sheetData>
    <row r="1" spans="1:47" ht="16.5" thickBo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  <c r="P1" s="5"/>
      <c r="Q1" s="121" t="s">
        <v>31</v>
      </c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3"/>
      <c r="AG1" s="121" t="s">
        <v>31</v>
      </c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3"/>
    </row>
    <row r="2" spans="1:47" ht="67.5">
      <c r="A2" s="6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7" t="s">
        <v>40</v>
      </c>
      <c r="J2" s="7" t="s">
        <v>41</v>
      </c>
      <c r="K2" s="8" t="s">
        <v>42</v>
      </c>
      <c r="L2" s="9" t="s">
        <v>43</v>
      </c>
      <c r="M2" s="7" t="s">
        <v>44</v>
      </c>
      <c r="N2" s="7" t="s">
        <v>45</v>
      </c>
      <c r="O2" s="8" t="s">
        <v>46</v>
      </c>
      <c r="P2" s="5"/>
      <c r="Q2" s="56" t="s">
        <v>32</v>
      </c>
      <c r="R2" s="57" t="s">
        <v>33</v>
      </c>
      <c r="S2" s="57" t="s">
        <v>34</v>
      </c>
      <c r="T2" s="57" t="s">
        <v>35</v>
      </c>
      <c r="U2" s="57" t="s">
        <v>36</v>
      </c>
      <c r="V2" s="57" t="s">
        <v>37</v>
      </c>
      <c r="W2" s="57" t="s">
        <v>38</v>
      </c>
      <c r="X2" s="57" t="s">
        <v>39</v>
      </c>
      <c r="Y2" s="57" t="s">
        <v>40</v>
      </c>
      <c r="Z2" s="57" t="s">
        <v>41</v>
      </c>
      <c r="AA2" s="58" t="s">
        <v>42</v>
      </c>
      <c r="AB2" s="59" t="s">
        <v>43</v>
      </c>
      <c r="AC2" s="57" t="s">
        <v>44</v>
      </c>
      <c r="AD2" s="57" t="s">
        <v>45</v>
      </c>
      <c r="AE2" s="58" t="s">
        <v>46</v>
      </c>
      <c r="AG2" s="56" t="s">
        <v>32</v>
      </c>
      <c r="AH2" s="57" t="s">
        <v>33</v>
      </c>
      <c r="AI2" s="57" t="s">
        <v>34</v>
      </c>
      <c r="AJ2" s="57" t="s">
        <v>35</v>
      </c>
      <c r="AK2" s="57" t="s">
        <v>36</v>
      </c>
      <c r="AL2" s="57" t="s">
        <v>37</v>
      </c>
      <c r="AM2" s="57" t="s">
        <v>38</v>
      </c>
      <c r="AN2" s="57" t="s">
        <v>39</v>
      </c>
      <c r="AO2" s="57" t="s">
        <v>40</v>
      </c>
      <c r="AP2" s="57" t="s">
        <v>41</v>
      </c>
      <c r="AQ2" s="58" t="s">
        <v>42</v>
      </c>
      <c r="AR2" s="59" t="s">
        <v>43</v>
      </c>
      <c r="AS2" s="57" t="s">
        <v>44</v>
      </c>
      <c r="AT2" s="57" t="s">
        <v>45</v>
      </c>
      <c r="AU2" s="58" t="s">
        <v>46</v>
      </c>
    </row>
    <row r="3" spans="1:47">
      <c r="A3" s="168" t="s">
        <v>33</v>
      </c>
      <c r="B3" s="169">
        <v>0</v>
      </c>
      <c r="C3" s="169">
        <v>950</v>
      </c>
      <c r="D3" s="169">
        <v>1200</v>
      </c>
      <c r="E3" s="169">
        <v>1200</v>
      </c>
      <c r="F3" s="169">
        <v>1200</v>
      </c>
      <c r="G3" s="169">
        <v>1200</v>
      </c>
      <c r="H3" s="169">
        <v>1200</v>
      </c>
      <c r="I3" s="169">
        <v>0</v>
      </c>
      <c r="J3" s="169">
        <v>900</v>
      </c>
      <c r="K3" s="170">
        <v>1500</v>
      </c>
      <c r="L3" s="171">
        <v>1900</v>
      </c>
      <c r="M3" s="169">
        <v>2000</v>
      </c>
      <c r="N3" s="169">
        <v>2550</v>
      </c>
      <c r="O3" s="170">
        <v>2650</v>
      </c>
      <c r="P3" s="5"/>
      <c r="Q3" s="60" t="s">
        <v>33</v>
      </c>
      <c r="R3" s="61">
        <v>0</v>
      </c>
      <c r="S3" s="61">
        <v>950</v>
      </c>
      <c r="T3" s="61">
        <v>1200</v>
      </c>
      <c r="U3" s="61">
        <v>1200</v>
      </c>
      <c r="V3" s="61">
        <v>1200</v>
      </c>
      <c r="W3" s="61">
        <v>1200</v>
      </c>
      <c r="X3" s="61">
        <v>1200</v>
      </c>
      <c r="Y3" s="61">
        <v>0</v>
      </c>
      <c r="Z3" s="61">
        <v>900</v>
      </c>
      <c r="AA3" s="62">
        <v>1500</v>
      </c>
      <c r="AB3" s="63">
        <v>1900</v>
      </c>
      <c r="AC3" s="61">
        <v>2000</v>
      </c>
      <c r="AD3" s="61">
        <v>2550</v>
      </c>
      <c r="AE3" s="62">
        <v>2650</v>
      </c>
      <c r="AG3" s="60" t="s">
        <v>33</v>
      </c>
      <c r="AH3" s="61" t="b">
        <f>B3=R3</f>
        <v>1</v>
      </c>
      <c r="AI3" s="61" t="b">
        <f t="shared" ref="AI3:AU16" si="0">C3=S3</f>
        <v>1</v>
      </c>
      <c r="AJ3" s="61" t="b">
        <f t="shared" si="0"/>
        <v>1</v>
      </c>
      <c r="AK3" s="61" t="b">
        <f t="shared" si="0"/>
        <v>1</v>
      </c>
      <c r="AL3" s="61" t="b">
        <f t="shared" si="0"/>
        <v>1</v>
      </c>
      <c r="AM3" s="61" t="b">
        <f t="shared" si="0"/>
        <v>1</v>
      </c>
      <c r="AN3" s="61" t="b">
        <f t="shared" si="0"/>
        <v>1</v>
      </c>
      <c r="AO3" s="61" t="b">
        <f t="shared" si="0"/>
        <v>1</v>
      </c>
      <c r="AP3" s="61" t="b">
        <f t="shared" si="0"/>
        <v>1</v>
      </c>
      <c r="AQ3" s="61" t="b">
        <f t="shared" si="0"/>
        <v>1</v>
      </c>
      <c r="AR3" s="61" t="b">
        <f t="shared" si="0"/>
        <v>1</v>
      </c>
      <c r="AS3" s="61" t="b">
        <f t="shared" si="0"/>
        <v>1</v>
      </c>
      <c r="AT3" s="61" t="b">
        <f t="shared" si="0"/>
        <v>1</v>
      </c>
      <c r="AU3" s="61" t="b">
        <f t="shared" si="0"/>
        <v>1</v>
      </c>
    </row>
    <row r="4" spans="1:47">
      <c r="A4" s="168" t="s">
        <v>34</v>
      </c>
      <c r="B4" s="169">
        <v>950</v>
      </c>
      <c r="C4" s="169">
        <v>0</v>
      </c>
      <c r="D4" s="169">
        <v>950</v>
      </c>
      <c r="E4" s="169">
        <v>950</v>
      </c>
      <c r="F4" s="169">
        <v>950</v>
      </c>
      <c r="G4" s="169">
        <v>950</v>
      </c>
      <c r="H4" s="169">
        <v>1200</v>
      </c>
      <c r="I4" s="169">
        <v>0</v>
      </c>
      <c r="J4" s="169">
        <v>800</v>
      </c>
      <c r="K4" s="170">
        <v>1200</v>
      </c>
      <c r="L4" s="171">
        <v>1650</v>
      </c>
      <c r="M4" s="169">
        <v>1750</v>
      </c>
      <c r="N4" s="169">
        <v>2300</v>
      </c>
      <c r="O4" s="170">
        <v>2400</v>
      </c>
      <c r="P4" s="5"/>
      <c r="Q4" s="60" t="s">
        <v>34</v>
      </c>
      <c r="R4" s="61">
        <v>950</v>
      </c>
      <c r="S4" s="61">
        <v>0</v>
      </c>
      <c r="T4" s="61">
        <v>950</v>
      </c>
      <c r="U4" s="61">
        <v>950</v>
      </c>
      <c r="V4" s="61">
        <v>950</v>
      </c>
      <c r="W4" s="61">
        <v>950</v>
      </c>
      <c r="X4" s="61">
        <v>1200</v>
      </c>
      <c r="Y4" s="61">
        <v>0</v>
      </c>
      <c r="Z4" s="61">
        <v>800</v>
      </c>
      <c r="AA4" s="62">
        <v>1200</v>
      </c>
      <c r="AB4" s="63">
        <v>1650</v>
      </c>
      <c r="AC4" s="61">
        <v>1750</v>
      </c>
      <c r="AD4" s="61">
        <v>2300</v>
      </c>
      <c r="AE4" s="62">
        <v>2400</v>
      </c>
      <c r="AG4" s="60" t="s">
        <v>34</v>
      </c>
      <c r="AH4" s="61" t="b">
        <f t="shared" ref="AH4:AH16" si="1">B4=R4</f>
        <v>1</v>
      </c>
      <c r="AI4" s="61" t="b">
        <f t="shared" si="0"/>
        <v>1</v>
      </c>
      <c r="AJ4" s="61" t="b">
        <f t="shared" si="0"/>
        <v>1</v>
      </c>
      <c r="AK4" s="61" t="b">
        <f t="shared" si="0"/>
        <v>1</v>
      </c>
      <c r="AL4" s="61" t="b">
        <f t="shared" si="0"/>
        <v>1</v>
      </c>
      <c r="AM4" s="61" t="b">
        <f t="shared" si="0"/>
        <v>1</v>
      </c>
      <c r="AN4" s="61" t="b">
        <f t="shared" si="0"/>
        <v>1</v>
      </c>
      <c r="AO4" s="61" t="b">
        <f t="shared" si="0"/>
        <v>1</v>
      </c>
      <c r="AP4" s="61" t="b">
        <f t="shared" si="0"/>
        <v>1</v>
      </c>
      <c r="AQ4" s="61" t="b">
        <f t="shared" si="0"/>
        <v>1</v>
      </c>
      <c r="AR4" s="61" t="b">
        <f t="shared" si="0"/>
        <v>1</v>
      </c>
      <c r="AS4" s="61" t="b">
        <f t="shared" si="0"/>
        <v>1</v>
      </c>
      <c r="AT4" s="61" t="b">
        <f t="shared" si="0"/>
        <v>1</v>
      </c>
      <c r="AU4" s="61" t="b">
        <f t="shared" si="0"/>
        <v>1</v>
      </c>
    </row>
    <row r="5" spans="1:47">
      <c r="A5" s="168" t="s">
        <v>35</v>
      </c>
      <c r="B5" s="169">
        <v>1200</v>
      </c>
      <c r="C5" s="169">
        <v>950</v>
      </c>
      <c r="D5" s="169">
        <v>0</v>
      </c>
      <c r="E5" s="169">
        <v>950</v>
      </c>
      <c r="F5" s="169">
        <v>950</v>
      </c>
      <c r="G5" s="169">
        <v>950</v>
      </c>
      <c r="H5" s="169">
        <v>1200</v>
      </c>
      <c r="I5" s="169">
        <v>0</v>
      </c>
      <c r="J5" s="169">
        <v>800</v>
      </c>
      <c r="K5" s="170">
        <v>1200</v>
      </c>
      <c r="L5" s="171">
        <v>1650</v>
      </c>
      <c r="M5" s="169">
        <v>1750</v>
      </c>
      <c r="N5" s="169">
        <v>2300</v>
      </c>
      <c r="O5" s="170">
        <v>2400</v>
      </c>
      <c r="P5" s="5"/>
      <c r="Q5" s="60" t="s">
        <v>35</v>
      </c>
      <c r="R5" s="61">
        <v>1200</v>
      </c>
      <c r="S5" s="61">
        <v>950</v>
      </c>
      <c r="T5" s="61">
        <v>0</v>
      </c>
      <c r="U5" s="61">
        <v>950</v>
      </c>
      <c r="V5" s="61">
        <v>950</v>
      </c>
      <c r="W5" s="61">
        <v>950</v>
      </c>
      <c r="X5" s="61">
        <v>1200</v>
      </c>
      <c r="Y5" s="61">
        <v>0</v>
      </c>
      <c r="Z5" s="61">
        <v>800</v>
      </c>
      <c r="AA5" s="62">
        <v>1200</v>
      </c>
      <c r="AB5" s="63">
        <v>1650</v>
      </c>
      <c r="AC5" s="61">
        <v>1750</v>
      </c>
      <c r="AD5" s="61">
        <v>2300</v>
      </c>
      <c r="AE5" s="62">
        <v>2400</v>
      </c>
      <c r="AG5" s="60" t="s">
        <v>35</v>
      </c>
      <c r="AH5" s="61" t="b">
        <f t="shared" si="1"/>
        <v>1</v>
      </c>
      <c r="AI5" s="61" t="b">
        <f t="shared" si="0"/>
        <v>1</v>
      </c>
      <c r="AJ5" s="61" t="b">
        <f t="shared" si="0"/>
        <v>1</v>
      </c>
      <c r="AK5" s="61" t="b">
        <f t="shared" si="0"/>
        <v>1</v>
      </c>
      <c r="AL5" s="61" t="b">
        <f t="shared" si="0"/>
        <v>1</v>
      </c>
      <c r="AM5" s="61" t="b">
        <f t="shared" si="0"/>
        <v>1</v>
      </c>
      <c r="AN5" s="61" t="b">
        <f t="shared" si="0"/>
        <v>1</v>
      </c>
      <c r="AO5" s="61" t="b">
        <f t="shared" si="0"/>
        <v>1</v>
      </c>
      <c r="AP5" s="61" t="b">
        <f t="shared" si="0"/>
        <v>1</v>
      </c>
      <c r="AQ5" s="61" t="b">
        <f t="shared" si="0"/>
        <v>1</v>
      </c>
      <c r="AR5" s="61" t="b">
        <f t="shared" si="0"/>
        <v>1</v>
      </c>
      <c r="AS5" s="61" t="b">
        <f t="shared" si="0"/>
        <v>1</v>
      </c>
      <c r="AT5" s="61" t="b">
        <f t="shared" si="0"/>
        <v>1</v>
      </c>
      <c r="AU5" s="61" t="b">
        <f t="shared" si="0"/>
        <v>1</v>
      </c>
    </row>
    <row r="6" spans="1:47">
      <c r="A6" s="168" t="s">
        <v>36</v>
      </c>
      <c r="B6" s="169">
        <v>1200</v>
      </c>
      <c r="C6" s="169">
        <v>950</v>
      </c>
      <c r="D6" s="169">
        <v>950</v>
      </c>
      <c r="E6" s="169">
        <v>0</v>
      </c>
      <c r="F6" s="169">
        <v>950</v>
      </c>
      <c r="G6" s="169">
        <v>950</v>
      </c>
      <c r="H6" s="169">
        <v>950</v>
      </c>
      <c r="I6" s="169">
        <v>0</v>
      </c>
      <c r="J6" s="169">
        <v>700</v>
      </c>
      <c r="K6" s="170">
        <v>1200</v>
      </c>
      <c r="L6" s="171">
        <v>1650</v>
      </c>
      <c r="M6" s="169">
        <v>1750</v>
      </c>
      <c r="N6" s="169">
        <v>2300</v>
      </c>
      <c r="O6" s="170">
        <v>2400</v>
      </c>
      <c r="P6" s="5"/>
      <c r="Q6" s="60" t="s">
        <v>36</v>
      </c>
      <c r="R6" s="61">
        <v>1200</v>
      </c>
      <c r="S6" s="61">
        <v>950</v>
      </c>
      <c r="T6" s="61">
        <v>950</v>
      </c>
      <c r="U6" s="61">
        <v>0</v>
      </c>
      <c r="V6" s="61">
        <v>950</v>
      </c>
      <c r="W6" s="61">
        <v>950</v>
      </c>
      <c r="X6" s="61">
        <v>950</v>
      </c>
      <c r="Y6" s="61">
        <v>0</v>
      </c>
      <c r="Z6" s="61">
        <v>700</v>
      </c>
      <c r="AA6" s="62">
        <v>1200</v>
      </c>
      <c r="AB6" s="63">
        <v>1650</v>
      </c>
      <c r="AC6" s="61">
        <v>1750</v>
      </c>
      <c r="AD6" s="61">
        <v>2300</v>
      </c>
      <c r="AE6" s="62">
        <v>2400</v>
      </c>
      <c r="AG6" s="60" t="s">
        <v>36</v>
      </c>
      <c r="AH6" s="61" t="b">
        <f t="shared" si="1"/>
        <v>1</v>
      </c>
      <c r="AI6" s="61" t="b">
        <f t="shared" si="0"/>
        <v>1</v>
      </c>
      <c r="AJ6" s="61" t="b">
        <f t="shared" si="0"/>
        <v>1</v>
      </c>
      <c r="AK6" s="61" t="b">
        <f t="shared" si="0"/>
        <v>1</v>
      </c>
      <c r="AL6" s="61" t="b">
        <f t="shared" si="0"/>
        <v>1</v>
      </c>
      <c r="AM6" s="61" t="b">
        <f t="shared" si="0"/>
        <v>1</v>
      </c>
      <c r="AN6" s="61" t="b">
        <f t="shared" si="0"/>
        <v>1</v>
      </c>
      <c r="AO6" s="61" t="b">
        <f t="shared" si="0"/>
        <v>1</v>
      </c>
      <c r="AP6" s="61" t="b">
        <f t="shared" si="0"/>
        <v>1</v>
      </c>
      <c r="AQ6" s="61" t="b">
        <f t="shared" si="0"/>
        <v>1</v>
      </c>
      <c r="AR6" s="61" t="b">
        <f t="shared" si="0"/>
        <v>1</v>
      </c>
      <c r="AS6" s="61" t="b">
        <f t="shared" si="0"/>
        <v>1</v>
      </c>
      <c r="AT6" s="61" t="b">
        <f t="shared" si="0"/>
        <v>1</v>
      </c>
      <c r="AU6" s="61" t="b">
        <f t="shared" si="0"/>
        <v>1</v>
      </c>
    </row>
    <row r="7" spans="1:47">
      <c r="A7" s="168" t="s">
        <v>37</v>
      </c>
      <c r="B7" s="169">
        <v>1200</v>
      </c>
      <c r="C7" s="169">
        <v>950</v>
      </c>
      <c r="D7" s="169">
        <v>950</v>
      </c>
      <c r="E7" s="169">
        <v>950</v>
      </c>
      <c r="F7" s="169">
        <v>0</v>
      </c>
      <c r="G7" s="169">
        <v>950</v>
      </c>
      <c r="H7" s="169">
        <v>950</v>
      </c>
      <c r="I7" s="169">
        <v>0</v>
      </c>
      <c r="J7" s="169">
        <v>600</v>
      </c>
      <c r="K7" s="170">
        <v>1050</v>
      </c>
      <c r="L7" s="171">
        <v>1550</v>
      </c>
      <c r="M7" s="169">
        <v>1650</v>
      </c>
      <c r="N7" s="169">
        <v>2200</v>
      </c>
      <c r="O7" s="170">
        <v>2300</v>
      </c>
      <c r="P7" s="5"/>
      <c r="Q7" s="60" t="s">
        <v>37</v>
      </c>
      <c r="R7" s="61">
        <v>1200</v>
      </c>
      <c r="S7" s="61">
        <v>950</v>
      </c>
      <c r="T7" s="61">
        <v>950</v>
      </c>
      <c r="U7" s="61">
        <v>950</v>
      </c>
      <c r="V7" s="61">
        <v>0</v>
      </c>
      <c r="W7" s="61">
        <v>950</v>
      </c>
      <c r="X7" s="61">
        <v>950</v>
      </c>
      <c r="Y7" s="61">
        <v>0</v>
      </c>
      <c r="Z7" s="61">
        <v>600</v>
      </c>
      <c r="AA7" s="62">
        <v>1050</v>
      </c>
      <c r="AB7" s="63">
        <v>1550</v>
      </c>
      <c r="AC7" s="61">
        <v>1650</v>
      </c>
      <c r="AD7" s="61">
        <v>2200</v>
      </c>
      <c r="AE7" s="62">
        <v>2300</v>
      </c>
      <c r="AG7" s="60" t="s">
        <v>37</v>
      </c>
      <c r="AH7" s="61" t="b">
        <f t="shared" si="1"/>
        <v>1</v>
      </c>
      <c r="AI7" s="61" t="b">
        <f t="shared" si="0"/>
        <v>1</v>
      </c>
      <c r="AJ7" s="61" t="b">
        <f t="shared" si="0"/>
        <v>1</v>
      </c>
      <c r="AK7" s="61" t="b">
        <f t="shared" si="0"/>
        <v>1</v>
      </c>
      <c r="AL7" s="61" t="b">
        <f t="shared" si="0"/>
        <v>1</v>
      </c>
      <c r="AM7" s="61" t="b">
        <f t="shared" si="0"/>
        <v>1</v>
      </c>
      <c r="AN7" s="61" t="b">
        <f t="shared" si="0"/>
        <v>1</v>
      </c>
      <c r="AO7" s="61" t="b">
        <f t="shared" si="0"/>
        <v>1</v>
      </c>
      <c r="AP7" s="61" t="b">
        <f t="shared" si="0"/>
        <v>1</v>
      </c>
      <c r="AQ7" s="61" t="b">
        <f t="shared" si="0"/>
        <v>1</v>
      </c>
      <c r="AR7" s="61" t="b">
        <f t="shared" si="0"/>
        <v>1</v>
      </c>
      <c r="AS7" s="61" t="b">
        <f t="shared" si="0"/>
        <v>1</v>
      </c>
      <c r="AT7" s="61" t="b">
        <f t="shared" si="0"/>
        <v>1</v>
      </c>
      <c r="AU7" s="61" t="b">
        <f t="shared" si="0"/>
        <v>1</v>
      </c>
    </row>
    <row r="8" spans="1:47">
      <c r="A8" s="168" t="s">
        <v>38</v>
      </c>
      <c r="B8" s="169">
        <v>1200</v>
      </c>
      <c r="C8" s="169">
        <v>950</v>
      </c>
      <c r="D8" s="169">
        <v>950</v>
      </c>
      <c r="E8" s="169">
        <v>950</v>
      </c>
      <c r="F8" s="169">
        <v>950</v>
      </c>
      <c r="G8" s="169">
        <v>0</v>
      </c>
      <c r="H8" s="169">
        <v>950</v>
      </c>
      <c r="I8" s="169">
        <v>0</v>
      </c>
      <c r="J8" s="169">
        <v>600</v>
      </c>
      <c r="K8" s="170">
        <v>1050</v>
      </c>
      <c r="L8" s="171">
        <v>1550</v>
      </c>
      <c r="M8" s="169">
        <v>1650</v>
      </c>
      <c r="N8" s="169">
        <v>2200</v>
      </c>
      <c r="O8" s="170">
        <v>2300</v>
      </c>
      <c r="P8" s="5"/>
      <c r="Q8" s="60" t="s">
        <v>38</v>
      </c>
      <c r="R8" s="61">
        <v>1200</v>
      </c>
      <c r="S8" s="61">
        <v>950</v>
      </c>
      <c r="T8" s="61">
        <v>950</v>
      </c>
      <c r="U8" s="61">
        <v>950</v>
      </c>
      <c r="V8" s="61">
        <v>950</v>
      </c>
      <c r="W8" s="61">
        <v>0</v>
      </c>
      <c r="X8" s="61">
        <v>950</v>
      </c>
      <c r="Y8" s="61">
        <v>0</v>
      </c>
      <c r="Z8" s="61">
        <v>600</v>
      </c>
      <c r="AA8" s="62">
        <v>1050</v>
      </c>
      <c r="AB8" s="63">
        <v>1550</v>
      </c>
      <c r="AC8" s="61">
        <v>1650</v>
      </c>
      <c r="AD8" s="61">
        <v>2200</v>
      </c>
      <c r="AE8" s="62">
        <v>2300</v>
      </c>
      <c r="AG8" s="60" t="s">
        <v>38</v>
      </c>
      <c r="AH8" s="61" t="b">
        <f t="shared" si="1"/>
        <v>1</v>
      </c>
      <c r="AI8" s="61" t="b">
        <f t="shared" si="0"/>
        <v>1</v>
      </c>
      <c r="AJ8" s="61" t="b">
        <f t="shared" si="0"/>
        <v>1</v>
      </c>
      <c r="AK8" s="61" t="b">
        <f t="shared" si="0"/>
        <v>1</v>
      </c>
      <c r="AL8" s="61" t="b">
        <f t="shared" si="0"/>
        <v>1</v>
      </c>
      <c r="AM8" s="61" t="b">
        <f t="shared" si="0"/>
        <v>1</v>
      </c>
      <c r="AN8" s="61" t="b">
        <f t="shared" si="0"/>
        <v>1</v>
      </c>
      <c r="AO8" s="61" t="b">
        <f t="shared" si="0"/>
        <v>1</v>
      </c>
      <c r="AP8" s="61" t="b">
        <f t="shared" si="0"/>
        <v>1</v>
      </c>
      <c r="AQ8" s="61" t="b">
        <f t="shared" si="0"/>
        <v>1</v>
      </c>
      <c r="AR8" s="61" t="b">
        <f t="shared" si="0"/>
        <v>1</v>
      </c>
      <c r="AS8" s="61" t="b">
        <f t="shared" si="0"/>
        <v>1</v>
      </c>
      <c r="AT8" s="61" t="b">
        <f t="shared" si="0"/>
        <v>1</v>
      </c>
      <c r="AU8" s="61" t="b">
        <f t="shared" si="0"/>
        <v>1</v>
      </c>
    </row>
    <row r="9" spans="1:47">
      <c r="A9" s="168" t="s">
        <v>39</v>
      </c>
      <c r="B9" s="169">
        <v>1200</v>
      </c>
      <c r="C9" s="169">
        <v>1200</v>
      </c>
      <c r="D9" s="169">
        <v>1200</v>
      </c>
      <c r="E9" s="169">
        <v>950</v>
      </c>
      <c r="F9" s="169">
        <v>950</v>
      </c>
      <c r="G9" s="169">
        <v>950</v>
      </c>
      <c r="H9" s="169">
        <v>0</v>
      </c>
      <c r="I9" s="169">
        <v>0</v>
      </c>
      <c r="J9" s="169">
        <v>600</v>
      </c>
      <c r="K9" s="170">
        <v>950</v>
      </c>
      <c r="L9" s="171">
        <v>1450</v>
      </c>
      <c r="M9" s="169">
        <v>1550</v>
      </c>
      <c r="N9" s="169">
        <v>2100</v>
      </c>
      <c r="O9" s="170">
        <v>2200</v>
      </c>
      <c r="P9" s="5"/>
      <c r="Q9" s="60" t="s">
        <v>39</v>
      </c>
      <c r="R9" s="61">
        <v>1200</v>
      </c>
      <c r="S9" s="61">
        <v>1200</v>
      </c>
      <c r="T9" s="61">
        <v>1200</v>
      </c>
      <c r="U9" s="61">
        <v>950</v>
      </c>
      <c r="V9" s="61">
        <v>950</v>
      </c>
      <c r="W9" s="61">
        <v>950</v>
      </c>
      <c r="X9" s="61">
        <v>0</v>
      </c>
      <c r="Y9" s="61">
        <v>0</v>
      </c>
      <c r="Z9" s="61">
        <v>600</v>
      </c>
      <c r="AA9" s="62">
        <v>950</v>
      </c>
      <c r="AB9" s="63">
        <v>1450</v>
      </c>
      <c r="AC9" s="61">
        <v>1550</v>
      </c>
      <c r="AD9" s="61">
        <v>2100</v>
      </c>
      <c r="AE9" s="62">
        <v>2200</v>
      </c>
      <c r="AG9" s="60" t="s">
        <v>39</v>
      </c>
      <c r="AH9" s="61" t="b">
        <f t="shared" si="1"/>
        <v>1</v>
      </c>
      <c r="AI9" s="61" t="b">
        <f t="shared" si="0"/>
        <v>1</v>
      </c>
      <c r="AJ9" s="61" t="b">
        <f t="shared" si="0"/>
        <v>1</v>
      </c>
      <c r="AK9" s="61" t="b">
        <f t="shared" si="0"/>
        <v>1</v>
      </c>
      <c r="AL9" s="61" t="b">
        <f t="shared" si="0"/>
        <v>1</v>
      </c>
      <c r="AM9" s="61" t="b">
        <f t="shared" si="0"/>
        <v>1</v>
      </c>
      <c r="AN9" s="61" t="b">
        <f t="shared" si="0"/>
        <v>1</v>
      </c>
      <c r="AO9" s="61" t="b">
        <f t="shared" si="0"/>
        <v>1</v>
      </c>
      <c r="AP9" s="61" t="b">
        <f t="shared" si="0"/>
        <v>1</v>
      </c>
      <c r="AQ9" s="61" t="b">
        <f t="shared" si="0"/>
        <v>1</v>
      </c>
      <c r="AR9" s="61" t="b">
        <f t="shared" si="0"/>
        <v>1</v>
      </c>
      <c r="AS9" s="61" t="b">
        <f t="shared" si="0"/>
        <v>1</v>
      </c>
      <c r="AT9" s="61" t="b">
        <f t="shared" si="0"/>
        <v>1</v>
      </c>
      <c r="AU9" s="61" t="b">
        <f t="shared" si="0"/>
        <v>1</v>
      </c>
    </row>
    <row r="10" spans="1:47">
      <c r="A10" s="168" t="s">
        <v>40</v>
      </c>
      <c r="B10" s="169">
        <v>0</v>
      </c>
      <c r="C10" s="169">
        <v>0</v>
      </c>
      <c r="D10" s="169">
        <v>0</v>
      </c>
      <c r="E10" s="169">
        <v>0</v>
      </c>
      <c r="F10" s="169">
        <v>0</v>
      </c>
      <c r="G10" s="169">
        <v>0</v>
      </c>
      <c r="H10" s="169">
        <v>0</v>
      </c>
      <c r="I10" s="169">
        <v>0</v>
      </c>
      <c r="J10" s="169">
        <v>0</v>
      </c>
      <c r="K10" s="170">
        <v>0</v>
      </c>
      <c r="L10" s="171">
        <v>0</v>
      </c>
      <c r="M10" s="169">
        <v>0</v>
      </c>
      <c r="N10" s="169">
        <v>0</v>
      </c>
      <c r="O10" s="170">
        <v>0</v>
      </c>
      <c r="P10" s="5"/>
      <c r="Q10" s="60" t="s">
        <v>40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2">
        <v>1000</v>
      </c>
      <c r="AB10" s="63">
        <v>0</v>
      </c>
      <c r="AC10" s="61">
        <v>0</v>
      </c>
      <c r="AD10" s="61">
        <v>0</v>
      </c>
      <c r="AE10" s="62">
        <v>0</v>
      </c>
      <c r="AG10" s="60" t="s">
        <v>40</v>
      </c>
      <c r="AH10" s="61" t="b">
        <f t="shared" si="1"/>
        <v>1</v>
      </c>
      <c r="AI10" s="61" t="b">
        <f t="shared" si="0"/>
        <v>1</v>
      </c>
      <c r="AJ10" s="61" t="b">
        <f t="shared" si="0"/>
        <v>1</v>
      </c>
      <c r="AK10" s="61" t="b">
        <f t="shared" si="0"/>
        <v>1</v>
      </c>
      <c r="AL10" s="61" t="b">
        <f t="shared" si="0"/>
        <v>1</v>
      </c>
      <c r="AM10" s="61" t="b">
        <f t="shared" si="0"/>
        <v>1</v>
      </c>
      <c r="AN10" s="61" t="b">
        <f t="shared" si="0"/>
        <v>1</v>
      </c>
      <c r="AO10" s="61" t="b">
        <f t="shared" si="0"/>
        <v>1</v>
      </c>
      <c r="AP10" s="61" t="b">
        <f t="shared" si="0"/>
        <v>1</v>
      </c>
      <c r="AQ10" s="61" t="b">
        <f t="shared" si="0"/>
        <v>0</v>
      </c>
      <c r="AR10" s="61" t="b">
        <f t="shared" si="0"/>
        <v>1</v>
      </c>
      <c r="AS10" s="61" t="b">
        <f t="shared" si="0"/>
        <v>1</v>
      </c>
      <c r="AT10" s="61" t="b">
        <f t="shared" si="0"/>
        <v>1</v>
      </c>
      <c r="AU10" s="61" t="b">
        <f t="shared" si="0"/>
        <v>1</v>
      </c>
    </row>
    <row r="11" spans="1:47">
      <c r="A11" s="168" t="s">
        <v>41</v>
      </c>
      <c r="B11" s="169">
        <v>900</v>
      </c>
      <c r="C11" s="169">
        <v>800</v>
      </c>
      <c r="D11" s="169">
        <v>800</v>
      </c>
      <c r="E11" s="169">
        <v>700</v>
      </c>
      <c r="F11" s="169">
        <v>600</v>
      </c>
      <c r="G11" s="169">
        <v>600</v>
      </c>
      <c r="H11" s="169">
        <v>600</v>
      </c>
      <c r="I11" s="169">
        <v>0</v>
      </c>
      <c r="J11" s="169">
        <v>0</v>
      </c>
      <c r="K11" s="170">
        <v>600</v>
      </c>
      <c r="L11" s="171">
        <v>1300</v>
      </c>
      <c r="M11" s="169">
        <v>1400</v>
      </c>
      <c r="N11" s="169">
        <v>1950</v>
      </c>
      <c r="O11" s="170">
        <v>2050</v>
      </c>
      <c r="P11" s="5"/>
      <c r="Q11" s="60" t="s">
        <v>41</v>
      </c>
      <c r="R11" s="61">
        <v>900</v>
      </c>
      <c r="S11" s="61">
        <v>800</v>
      </c>
      <c r="T11" s="61">
        <v>800</v>
      </c>
      <c r="U11" s="61">
        <v>700</v>
      </c>
      <c r="V11" s="61">
        <v>600</v>
      </c>
      <c r="W11" s="61">
        <v>600</v>
      </c>
      <c r="X11" s="61">
        <v>600</v>
      </c>
      <c r="Y11" s="61">
        <v>0</v>
      </c>
      <c r="Z11" s="61">
        <v>0</v>
      </c>
      <c r="AA11" s="62">
        <v>600</v>
      </c>
      <c r="AB11" s="63">
        <v>1300</v>
      </c>
      <c r="AC11" s="61">
        <v>1400</v>
      </c>
      <c r="AD11" s="61">
        <v>1950</v>
      </c>
      <c r="AE11" s="62">
        <v>2050</v>
      </c>
      <c r="AG11" s="60" t="s">
        <v>41</v>
      </c>
      <c r="AH11" s="61" t="b">
        <f t="shared" si="1"/>
        <v>1</v>
      </c>
      <c r="AI11" s="61" t="b">
        <f t="shared" si="0"/>
        <v>1</v>
      </c>
      <c r="AJ11" s="61" t="b">
        <f t="shared" si="0"/>
        <v>1</v>
      </c>
      <c r="AK11" s="61" t="b">
        <f t="shared" si="0"/>
        <v>1</v>
      </c>
      <c r="AL11" s="61" t="b">
        <f t="shared" si="0"/>
        <v>1</v>
      </c>
      <c r="AM11" s="61" t="b">
        <f t="shared" si="0"/>
        <v>1</v>
      </c>
      <c r="AN11" s="61" t="b">
        <f t="shared" si="0"/>
        <v>1</v>
      </c>
      <c r="AO11" s="61" t="b">
        <f t="shared" si="0"/>
        <v>1</v>
      </c>
      <c r="AP11" s="61" t="b">
        <f t="shared" si="0"/>
        <v>1</v>
      </c>
      <c r="AQ11" s="61" t="b">
        <f t="shared" si="0"/>
        <v>1</v>
      </c>
      <c r="AR11" s="61" t="b">
        <f t="shared" si="0"/>
        <v>1</v>
      </c>
      <c r="AS11" s="61" t="b">
        <f t="shared" si="0"/>
        <v>1</v>
      </c>
      <c r="AT11" s="61" t="b">
        <f t="shared" si="0"/>
        <v>1</v>
      </c>
      <c r="AU11" s="61" t="b">
        <f t="shared" si="0"/>
        <v>1</v>
      </c>
    </row>
    <row r="12" spans="1:47" ht="16.5" thickBot="1">
      <c r="A12" s="172" t="s">
        <v>42</v>
      </c>
      <c r="B12" s="71">
        <v>1500</v>
      </c>
      <c r="C12" s="71">
        <v>1200</v>
      </c>
      <c r="D12" s="71">
        <v>1200</v>
      </c>
      <c r="E12" s="71">
        <v>1200</v>
      </c>
      <c r="F12" s="71">
        <v>1050</v>
      </c>
      <c r="G12" s="71">
        <v>1050</v>
      </c>
      <c r="H12" s="71">
        <v>950</v>
      </c>
      <c r="I12" s="71">
        <v>0</v>
      </c>
      <c r="J12" s="71">
        <v>600</v>
      </c>
      <c r="K12" s="173">
        <v>0</v>
      </c>
      <c r="L12" s="171">
        <v>700</v>
      </c>
      <c r="M12" s="169">
        <v>800</v>
      </c>
      <c r="N12" s="169">
        <v>1350</v>
      </c>
      <c r="O12" s="170">
        <v>1450</v>
      </c>
      <c r="P12" s="5"/>
      <c r="Q12" s="64" t="s">
        <v>42</v>
      </c>
      <c r="R12" s="174">
        <v>1500</v>
      </c>
      <c r="S12" s="174">
        <v>1200</v>
      </c>
      <c r="T12" s="174">
        <v>1200</v>
      </c>
      <c r="U12" s="174">
        <v>1200</v>
      </c>
      <c r="V12" s="174">
        <v>1050</v>
      </c>
      <c r="W12" s="174">
        <v>1050</v>
      </c>
      <c r="X12" s="174">
        <v>950</v>
      </c>
      <c r="Y12" s="174">
        <v>1000</v>
      </c>
      <c r="Z12" s="174">
        <v>600</v>
      </c>
      <c r="AA12" s="65">
        <v>0</v>
      </c>
      <c r="AB12" s="63">
        <v>700</v>
      </c>
      <c r="AC12" s="61">
        <v>800</v>
      </c>
      <c r="AD12" s="61">
        <v>1350</v>
      </c>
      <c r="AE12" s="62">
        <v>1450</v>
      </c>
      <c r="AG12" s="64" t="s">
        <v>42</v>
      </c>
      <c r="AH12" s="61" t="b">
        <f t="shared" si="1"/>
        <v>1</v>
      </c>
      <c r="AI12" s="61" t="b">
        <f t="shared" si="0"/>
        <v>1</v>
      </c>
      <c r="AJ12" s="61" t="b">
        <f t="shared" si="0"/>
        <v>1</v>
      </c>
      <c r="AK12" s="61" t="b">
        <f t="shared" si="0"/>
        <v>1</v>
      </c>
      <c r="AL12" s="61" t="b">
        <f t="shared" si="0"/>
        <v>1</v>
      </c>
      <c r="AM12" s="61" t="b">
        <f t="shared" si="0"/>
        <v>1</v>
      </c>
      <c r="AN12" s="61" t="b">
        <f t="shared" si="0"/>
        <v>1</v>
      </c>
      <c r="AO12" s="61" t="b">
        <f t="shared" si="0"/>
        <v>0</v>
      </c>
      <c r="AP12" s="61" t="b">
        <f t="shared" si="0"/>
        <v>1</v>
      </c>
      <c r="AQ12" s="61" t="b">
        <f t="shared" si="0"/>
        <v>1</v>
      </c>
      <c r="AR12" s="61" t="b">
        <f t="shared" si="0"/>
        <v>1</v>
      </c>
      <c r="AS12" s="61" t="b">
        <f t="shared" si="0"/>
        <v>1</v>
      </c>
      <c r="AT12" s="61" t="b">
        <f t="shared" si="0"/>
        <v>1</v>
      </c>
      <c r="AU12" s="61" t="b">
        <f t="shared" si="0"/>
        <v>1</v>
      </c>
    </row>
    <row r="13" spans="1:47">
      <c r="A13" s="10" t="s">
        <v>43</v>
      </c>
      <c r="B13" s="175">
        <v>1900</v>
      </c>
      <c r="C13" s="175">
        <v>1650</v>
      </c>
      <c r="D13" s="175">
        <v>1650</v>
      </c>
      <c r="E13" s="175">
        <v>1650</v>
      </c>
      <c r="F13" s="175">
        <v>1550</v>
      </c>
      <c r="G13" s="175">
        <v>1550</v>
      </c>
      <c r="H13" s="175">
        <v>1450</v>
      </c>
      <c r="I13" s="175">
        <v>0</v>
      </c>
      <c r="J13" s="175">
        <v>1300</v>
      </c>
      <c r="K13" s="175">
        <v>700</v>
      </c>
      <c r="L13" s="169">
        <v>0</v>
      </c>
      <c r="M13" s="169">
        <v>600</v>
      </c>
      <c r="N13" s="169">
        <v>1300</v>
      </c>
      <c r="O13" s="170">
        <v>1400</v>
      </c>
      <c r="P13" s="5"/>
      <c r="Q13" s="66" t="s">
        <v>43</v>
      </c>
      <c r="R13" s="67">
        <v>1900</v>
      </c>
      <c r="S13" s="67">
        <v>1650</v>
      </c>
      <c r="T13" s="67">
        <v>1650</v>
      </c>
      <c r="U13" s="67">
        <v>1650</v>
      </c>
      <c r="V13" s="67">
        <v>1550</v>
      </c>
      <c r="W13" s="67">
        <v>1550</v>
      </c>
      <c r="X13" s="67">
        <v>1450</v>
      </c>
      <c r="Y13" s="67">
        <v>0</v>
      </c>
      <c r="Z13" s="67">
        <v>1300</v>
      </c>
      <c r="AA13" s="67">
        <v>700</v>
      </c>
      <c r="AB13" s="61">
        <v>0</v>
      </c>
      <c r="AC13" s="61">
        <v>600</v>
      </c>
      <c r="AD13" s="61">
        <v>1300</v>
      </c>
      <c r="AE13" s="62">
        <v>1400</v>
      </c>
      <c r="AG13" s="66" t="s">
        <v>43</v>
      </c>
      <c r="AH13" s="61" t="b">
        <f t="shared" si="1"/>
        <v>1</v>
      </c>
      <c r="AI13" s="61" t="b">
        <f t="shared" si="0"/>
        <v>1</v>
      </c>
      <c r="AJ13" s="61" t="b">
        <f t="shared" si="0"/>
        <v>1</v>
      </c>
      <c r="AK13" s="61" t="b">
        <f t="shared" si="0"/>
        <v>1</v>
      </c>
      <c r="AL13" s="61" t="b">
        <f t="shared" si="0"/>
        <v>1</v>
      </c>
      <c r="AM13" s="61" t="b">
        <f t="shared" si="0"/>
        <v>1</v>
      </c>
      <c r="AN13" s="61" t="b">
        <f t="shared" si="0"/>
        <v>1</v>
      </c>
      <c r="AO13" s="61" t="b">
        <f t="shared" si="0"/>
        <v>1</v>
      </c>
      <c r="AP13" s="61" t="b">
        <f t="shared" si="0"/>
        <v>1</v>
      </c>
      <c r="AQ13" s="61" t="b">
        <f t="shared" si="0"/>
        <v>1</v>
      </c>
      <c r="AR13" s="61" t="b">
        <f t="shared" si="0"/>
        <v>1</v>
      </c>
      <c r="AS13" s="61" t="b">
        <f t="shared" si="0"/>
        <v>1</v>
      </c>
      <c r="AT13" s="61" t="b">
        <f t="shared" si="0"/>
        <v>1</v>
      </c>
      <c r="AU13" s="61" t="b">
        <f t="shared" si="0"/>
        <v>1</v>
      </c>
    </row>
    <row r="14" spans="1:47">
      <c r="A14" s="168" t="s">
        <v>44</v>
      </c>
      <c r="B14" s="176">
        <v>2000</v>
      </c>
      <c r="C14" s="176">
        <v>1750</v>
      </c>
      <c r="D14" s="176">
        <v>1750</v>
      </c>
      <c r="E14" s="176">
        <v>1750</v>
      </c>
      <c r="F14" s="176">
        <v>1650</v>
      </c>
      <c r="G14" s="176">
        <v>1650</v>
      </c>
      <c r="H14" s="176">
        <v>1550</v>
      </c>
      <c r="I14" s="176">
        <v>0</v>
      </c>
      <c r="J14" s="176">
        <v>1400</v>
      </c>
      <c r="K14" s="176">
        <v>800</v>
      </c>
      <c r="L14" s="176">
        <v>600</v>
      </c>
      <c r="M14" s="176">
        <v>0</v>
      </c>
      <c r="N14" s="177">
        <v>550</v>
      </c>
      <c r="O14" s="178">
        <v>650</v>
      </c>
      <c r="P14" s="5"/>
      <c r="Q14" s="60" t="s">
        <v>44</v>
      </c>
      <c r="R14" s="68">
        <v>2000</v>
      </c>
      <c r="S14" s="68">
        <v>1750</v>
      </c>
      <c r="T14" s="68">
        <v>1750</v>
      </c>
      <c r="U14" s="68">
        <v>1750</v>
      </c>
      <c r="V14" s="68">
        <v>1650</v>
      </c>
      <c r="W14" s="68">
        <v>1650</v>
      </c>
      <c r="X14" s="68">
        <v>1550</v>
      </c>
      <c r="Y14" s="68">
        <v>0</v>
      </c>
      <c r="Z14" s="68">
        <v>1400</v>
      </c>
      <c r="AA14" s="68">
        <v>800</v>
      </c>
      <c r="AB14" s="68">
        <v>600</v>
      </c>
      <c r="AC14" s="68">
        <v>0</v>
      </c>
      <c r="AD14" s="68">
        <v>550</v>
      </c>
      <c r="AE14" s="69">
        <v>650</v>
      </c>
      <c r="AG14" s="60" t="s">
        <v>44</v>
      </c>
      <c r="AH14" s="61" t="b">
        <f t="shared" si="1"/>
        <v>1</v>
      </c>
      <c r="AI14" s="61" t="b">
        <f t="shared" si="0"/>
        <v>1</v>
      </c>
      <c r="AJ14" s="61" t="b">
        <f t="shared" si="0"/>
        <v>1</v>
      </c>
      <c r="AK14" s="61" t="b">
        <f t="shared" si="0"/>
        <v>1</v>
      </c>
      <c r="AL14" s="61" t="b">
        <f t="shared" si="0"/>
        <v>1</v>
      </c>
      <c r="AM14" s="61" t="b">
        <f t="shared" si="0"/>
        <v>1</v>
      </c>
      <c r="AN14" s="61" t="b">
        <f t="shared" si="0"/>
        <v>1</v>
      </c>
      <c r="AO14" s="61" t="b">
        <f t="shared" si="0"/>
        <v>1</v>
      </c>
      <c r="AP14" s="61" t="b">
        <f t="shared" si="0"/>
        <v>1</v>
      </c>
      <c r="AQ14" s="61" t="b">
        <f t="shared" si="0"/>
        <v>1</v>
      </c>
      <c r="AR14" s="61" t="b">
        <f t="shared" si="0"/>
        <v>1</v>
      </c>
      <c r="AS14" s="61" t="b">
        <f t="shared" si="0"/>
        <v>1</v>
      </c>
      <c r="AT14" s="61" t="b">
        <f t="shared" si="0"/>
        <v>1</v>
      </c>
      <c r="AU14" s="61" t="b">
        <f t="shared" si="0"/>
        <v>1</v>
      </c>
    </row>
    <row r="15" spans="1:47">
      <c r="A15" s="168" t="s">
        <v>45</v>
      </c>
      <c r="B15" s="169">
        <v>2550</v>
      </c>
      <c r="C15" s="169">
        <v>2300</v>
      </c>
      <c r="D15" s="169">
        <v>2300</v>
      </c>
      <c r="E15" s="169">
        <v>2300</v>
      </c>
      <c r="F15" s="169">
        <v>2200</v>
      </c>
      <c r="G15" s="169">
        <v>2200</v>
      </c>
      <c r="H15" s="169">
        <v>2100</v>
      </c>
      <c r="I15" s="169">
        <v>0</v>
      </c>
      <c r="J15" s="169">
        <v>1950</v>
      </c>
      <c r="K15" s="169">
        <v>1350</v>
      </c>
      <c r="L15" s="169">
        <v>1300</v>
      </c>
      <c r="M15" s="179">
        <v>550</v>
      </c>
      <c r="N15" s="169">
        <v>0</v>
      </c>
      <c r="O15" s="170">
        <v>600</v>
      </c>
      <c r="P15" s="5"/>
      <c r="Q15" s="60" t="s">
        <v>45</v>
      </c>
      <c r="R15" s="61">
        <v>2550</v>
      </c>
      <c r="S15" s="61">
        <v>2300</v>
      </c>
      <c r="T15" s="61">
        <v>2300</v>
      </c>
      <c r="U15" s="61">
        <v>2300</v>
      </c>
      <c r="V15" s="61">
        <v>2200</v>
      </c>
      <c r="W15" s="61">
        <v>2200</v>
      </c>
      <c r="X15" s="61">
        <v>2100</v>
      </c>
      <c r="Y15" s="61">
        <v>0</v>
      </c>
      <c r="Z15" s="61">
        <v>1950</v>
      </c>
      <c r="AA15" s="61">
        <v>1350</v>
      </c>
      <c r="AB15" s="61">
        <v>1300</v>
      </c>
      <c r="AC15" s="61">
        <v>550</v>
      </c>
      <c r="AD15" s="61">
        <v>0</v>
      </c>
      <c r="AE15" s="62">
        <v>600</v>
      </c>
      <c r="AG15" s="60" t="s">
        <v>45</v>
      </c>
      <c r="AH15" s="61" t="b">
        <f t="shared" si="1"/>
        <v>1</v>
      </c>
      <c r="AI15" s="61" t="b">
        <f t="shared" si="0"/>
        <v>1</v>
      </c>
      <c r="AJ15" s="61" t="b">
        <f t="shared" si="0"/>
        <v>1</v>
      </c>
      <c r="AK15" s="61" t="b">
        <f t="shared" si="0"/>
        <v>1</v>
      </c>
      <c r="AL15" s="61" t="b">
        <f t="shared" si="0"/>
        <v>1</v>
      </c>
      <c r="AM15" s="61" t="b">
        <f t="shared" si="0"/>
        <v>1</v>
      </c>
      <c r="AN15" s="61" t="b">
        <f t="shared" si="0"/>
        <v>1</v>
      </c>
      <c r="AO15" s="61" t="b">
        <f t="shared" si="0"/>
        <v>1</v>
      </c>
      <c r="AP15" s="61" t="b">
        <f t="shared" si="0"/>
        <v>1</v>
      </c>
      <c r="AQ15" s="61" t="b">
        <f t="shared" si="0"/>
        <v>1</v>
      </c>
      <c r="AR15" s="61" t="b">
        <f t="shared" si="0"/>
        <v>1</v>
      </c>
      <c r="AS15" s="61" t="b">
        <f t="shared" si="0"/>
        <v>1</v>
      </c>
      <c r="AT15" s="61" t="b">
        <f t="shared" si="0"/>
        <v>1</v>
      </c>
      <c r="AU15" s="61" t="b">
        <f t="shared" si="0"/>
        <v>1</v>
      </c>
    </row>
    <row r="16" spans="1:47" ht="16.5" thickBot="1">
      <c r="A16" s="172" t="s">
        <v>46</v>
      </c>
      <c r="B16" s="71">
        <v>2650</v>
      </c>
      <c r="C16" s="71">
        <v>2400</v>
      </c>
      <c r="D16" s="71">
        <v>2400</v>
      </c>
      <c r="E16" s="71">
        <v>2400</v>
      </c>
      <c r="F16" s="71">
        <v>2300</v>
      </c>
      <c r="G16" s="71">
        <v>2300</v>
      </c>
      <c r="H16" s="71">
        <v>2200</v>
      </c>
      <c r="I16" s="71">
        <v>0</v>
      </c>
      <c r="J16" s="71">
        <v>2050</v>
      </c>
      <c r="K16" s="71">
        <v>1450</v>
      </c>
      <c r="L16" s="71">
        <v>1400</v>
      </c>
      <c r="M16" s="72">
        <v>650</v>
      </c>
      <c r="N16" s="71">
        <v>600</v>
      </c>
      <c r="O16" s="173">
        <v>0</v>
      </c>
      <c r="P16" s="11"/>
      <c r="Q16" s="64" t="s">
        <v>46</v>
      </c>
      <c r="R16" s="174">
        <v>2650</v>
      </c>
      <c r="S16" s="174">
        <v>2400</v>
      </c>
      <c r="T16" s="174">
        <v>2400</v>
      </c>
      <c r="U16" s="174">
        <v>2400</v>
      </c>
      <c r="V16" s="174">
        <v>2300</v>
      </c>
      <c r="W16" s="174">
        <v>2300</v>
      </c>
      <c r="X16" s="174">
        <v>2200</v>
      </c>
      <c r="Y16" s="174">
        <v>0</v>
      </c>
      <c r="Z16" s="174">
        <v>2050</v>
      </c>
      <c r="AA16" s="174">
        <v>1450</v>
      </c>
      <c r="AB16" s="174">
        <v>1400</v>
      </c>
      <c r="AC16" s="174">
        <v>650</v>
      </c>
      <c r="AD16" s="174">
        <v>600</v>
      </c>
      <c r="AE16" s="65">
        <v>0</v>
      </c>
      <c r="AG16" s="64" t="s">
        <v>46</v>
      </c>
      <c r="AH16" s="61" t="b">
        <f t="shared" si="1"/>
        <v>1</v>
      </c>
      <c r="AI16" s="61" t="b">
        <f t="shared" si="0"/>
        <v>1</v>
      </c>
      <c r="AJ16" s="61" t="b">
        <f t="shared" si="0"/>
        <v>1</v>
      </c>
      <c r="AK16" s="61" t="b">
        <f t="shared" si="0"/>
        <v>1</v>
      </c>
      <c r="AL16" s="61" t="b">
        <f t="shared" si="0"/>
        <v>1</v>
      </c>
      <c r="AM16" s="61" t="b">
        <f t="shared" si="0"/>
        <v>1</v>
      </c>
      <c r="AN16" s="61" t="b">
        <f t="shared" si="0"/>
        <v>1</v>
      </c>
      <c r="AO16" s="61" t="b">
        <f t="shared" si="0"/>
        <v>1</v>
      </c>
      <c r="AP16" s="61" t="b">
        <f t="shared" si="0"/>
        <v>1</v>
      </c>
      <c r="AQ16" s="61" t="b">
        <f t="shared" si="0"/>
        <v>1</v>
      </c>
      <c r="AR16" s="61" t="b">
        <f t="shared" si="0"/>
        <v>1</v>
      </c>
      <c r="AS16" s="61" t="b">
        <f t="shared" si="0"/>
        <v>1</v>
      </c>
      <c r="AT16" s="61" t="b">
        <f t="shared" si="0"/>
        <v>1</v>
      </c>
      <c r="AU16" s="61" t="b">
        <f t="shared" si="0"/>
        <v>1</v>
      </c>
    </row>
    <row r="17" spans="1:47" ht="16.5" thickBo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5"/>
      <c r="Q17" s="70">
        <v>0.33</v>
      </c>
      <c r="AG17" s="70">
        <v>0.33</v>
      </c>
    </row>
    <row r="18" spans="1:47" ht="16.5" thickBot="1">
      <c r="A18" s="130" t="s">
        <v>47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2"/>
      <c r="P18" s="5"/>
      <c r="Q18" s="124" t="s">
        <v>48</v>
      </c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6"/>
      <c r="AG18" s="124" t="s">
        <v>48</v>
      </c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6"/>
    </row>
    <row r="19" spans="1:47" ht="67.5">
      <c r="A19" s="6" t="s">
        <v>32</v>
      </c>
      <c r="B19" s="7" t="s">
        <v>33</v>
      </c>
      <c r="C19" s="7" t="s">
        <v>34</v>
      </c>
      <c r="D19" s="7" t="s">
        <v>35</v>
      </c>
      <c r="E19" s="7" t="s">
        <v>36</v>
      </c>
      <c r="F19" s="7" t="s">
        <v>37</v>
      </c>
      <c r="G19" s="7" t="s">
        <v>38</v>
      </c>
      <c r="H19" s="7" t="s">
        <v>39</v>
      </c>
      <c r="I19" s="7" t="s">
        <v>40</v>
      </c>
      <c r="J19" s="7" t="s">
        <v>41</v>
      </c>
      <c r="K19" s="8" t="s">
        <v>42</v>
      </c>
      <c r="L19" s="9" t="s">
        <v>43</v>
      </c>
      <c r="M19" s="7" t="s">
        <v>44</v>
      </c>
      <c r="N19" s="7" t="s">
        <v>45</v>
      </c>
      <c r="O19" s="8" t="s">
        <v>46</v>
      </c>
      <c r="P19" s="5"/>
      <c r="Q19" s="56" t="s">
        <v>32</v>
      </c>
      <c r="R19" s="57" t="s">
        <v>33</v>
      </c>
      <c r="S19" s="57" t="s">
        <v>34</v>
      </c>
      <c r="T19" s="57" t="s">
        <v>35</v>
      </c>
      <c r="U19" s="57" t="s">
        <v>36</v>
      </c>
      <c r="V19" s="57" t="s">
        <v>37</v>
      </c>
      <c r="W19" s="57" t="s">
        <v>38</v>
      </c>
      <c r="X19" s="57" t="s">
        <v>39</v>
      </c>
      <c r="Y19" s="57" t="s">
        <v>40</v>
      </c>
      <c r="Z19" s="57" t="s">
        <v>41</v>
      </c>
      <c r="AA19" s="58" t="s">
        <v>42</v>
      </c>
      <c r="AB19" s="59" t="s">
        <v>43</v>
      </c>
      <c r="AC19" s="57" t="s">
        <v>44</v>
      </c>
      <c r="AD19" s="57" t="s">
        <v>45</v>
      </c>
      <c r="AE19" s="58" t="s">
        <v>46</v>
      </c>
      <c r="AG19" s="56" t="s">
        <v>32</v>
      </c>
      <c r="AH19" s="57" t="s">
        <v>33</v>
      </c>
      <c r="AI19" s="57" t="s">
        <v>34</v>
      </c>
      <c r="AJ19" s="57" t="s">
        <v>35</v>
      </c>
      <c r="AK19" s="57" t="s">
        <v>36</v>
      </c>
      <c r="AL19" s="57" t="s">
        <v>37</v>
      </c>
      <c r="AM19" s="57" t="s">
        <v>38</v>
      </c>
      <c r="AN19" s="57" t="s">
        <v>39</v>
      </c>
      <c r="AO19" s="57" t="s">
        <v>40</v>
      </c>
      <c r="AP19" s="57" t="s">
        <v>41</v>
      </c>
      <c r="AQ19" s="58" t="s">
        <v>42</v>
      </c>
      <c r="AR19" s="59" t="s">
        <v>43</v>
      </c>
      <c r="AS19" s="57" t="s">
        <v>44</v>
      </c>
      <c r="AT19" s="57" t="s">
        <v>45</v>
      </c>
      <c r="AU19" s="58" t="s">
        <v>46</v>
      </c>
    </row>
    <row r="20" spans="1:47">
      <c r="A20" s="168" t="s">
        <v>33</v>
      </c>
      <c r="B20" s="169">
        <v>0</v>
      </c>
      <c r="C20" s="169">
        <v>310</v>
      </c>
      <c r="D20" s="169">
        <v>400</v>
      </c>
      <c r="E20" s="169">
        <v>400</v>
      </c>
      <c r="F20" s="169">
        <v>400</v>
      </c>
      <c r="G20" s="169">
        <v>400</v>
      </c>
      <c r="H20" s="169">
        <v>400</v>
      </c>
      <c r="I20" s="169">
        <v>0</v>
      </c>
      <c r="J20" s="169">
        <v>300</v>
      </c>
      <c r="K20" s="170">
        <v>500</v>
      </c>
      <c r="L20" s="171">
        <v>650</v>
      </c>
      <c r="M20" s="169">
        <v>650</v>
      </c>
      <c r="N20" s="169">
        <v>850</v>
      </c>
      <c r="O20" s="170">
        <v>850</v>
      </c>
      <c r="P20" s="5"/>
      <c r="Q20" s="60" t="s">
        <v>33</v>
      </c>
      <c r="R20" s="61">
        <v>0</v>
      </c>
      <c r="S20" s="61">
        <v>310</v>
      </c>
      <c r="T20" s="61">
        <v>400</v>
      </c>
      <c r="U20" s="61">
        <v>400</v>
      </c>
      <c r="V20" s="61">
        <v>400</v>
      </c>
      <c r="W20" s="61">
        <v>400</v>
      </c>
      <c r="X20" s="61">
        <v>400</v>
      </c>
      <c r="Y20" s="61">
        <v>0</v>
      </c>
      <c r="Z20" s="61">
        <v>300</v>
      </c>
      <c r="AA20" s="62">
        <v>500</v>
      </c>
      <c r="AB20" s="63">
        <v>650</v>
      </c>
      <c r="AC20" s="63">
        <v>650</v>
      </c>
      <c r="AD20" s="63">
        <v>850</v>
      </c>
      <c r="AE20" s="63">
        <v>850</v>
      </c>
      <c r="AG20" s="60" t="s">
        <v>33</v>
      </c>
      <c r="AH20" s="61" t="b">
        <f>B20=R20</f>
        <v>1</v>
      </c>
      <c r="AI20" s="61" t="b">
        <f t="shared" ref="AI20:AI33" si="2">C20=S20</f>
        <v>1</v>
      </c>
      <c r="AJ20" s="61" t="b">
        <f t="shared" ref="AJ20:AJ33" si="3">D20=T20</f>
        <v>1</v>
      </c>
      <c r="AK20" s="61" t="b">
        <f t="shared" ref="AK20:AK33" si="4">E20=U20</f>
        <v>1</v>
      </c>
      <c r="AL20" s="61" t="b">
        <f t="shared" ref="AL20:AL33" si="5">F20=V20</f>
        <v>1</v>
      </c>
      <c r="AM20" s="61" t="b">
        <f t="shared" ref="AM20:AM33" si="6">G20=W20</f>
        <v>1</v>
      </c>
      <c r="AN20" s="61" t="b">
        <f t="shared" ref="AN20:AN33" si="7">H20=X20</f>
        <v>1</v>
      </c>
      <c r="AO20" s="61" t="b">
        <f t="shared" ref="AO20:AO33" si="8">I20=Y20</f>
        <v>1</v>
      </c>
      <c r="AP20" s="61" t="b">
        <f t="shared" ref="AP20:AP33" si="9">J20=Z20</f>
        <v>1</v>
      </c>
      <c r="AQ20" s="61" t="b">
        <f t="shared" ref="AQ20:AQ33" si="10">K20=AA20</f>
        <v>1</v>
      </c>
      <c r="AR20" s="61" t="b">
        <f t="shared" ref="AR20:AR33" si="11">L20=AB20</f>
        <v>1</v>
      </c>
      <c r="AS20" s="61" t="b">
        <f t="shared" ref="AS20:AS33" si="12">M20=AC20</f>
        <v>1</v>
      </c>
      <c r="AT20" s="61" t="b">
        <f t="shared" ref="AT20:AT33" si="13">N20=AD20</f>
        <v>1</v>
      </c>
      <c r="AU20" s="61" t="b">
        <f t="shared" ref="AU20:AU33" si="14">O20=AE20</f>
        <v>1</v>
      </c>
    </row>
    <row r="21" spans="1:47">
      <c r="A21" s="168" t="s">
        <v>34</v>
      </c>
      <c r="B21" s="169">
        <v>310</v>
      </c>
      <c r="C21" s="169">
        <v>0</v>
      </c>
      <c r="D21" s="169">
        <v>310</v>
      </c>
      <c r="E21" s="169">
        <v>310</v>
      </c>
      <c r="F21" s="169">
        <v>310</v>
      </c>
      <c r="G21" s="169">
        <v>310</v>
      </c>
      <c r="H21" s="169">
        <v>400</v>
      </c>
      <c r="I21" s="169">
        <v>0</v>
      </c>
      <c r="J21" s="169">
        <v>250</v>
      </c>
      <c r="K21" s="170">
        <v>400</v>
      </c>
      <c r="L21" s="171">
        <v>550</v>
      </c>
      <c r="M21" s="169">
        <v>600</v>
      </c>
      <c r="N21" s="169">
        <v>750</v>
      </c>
      <c r="O21" s="170">
        <v>800</v>
      </c>
      <c r="P21" s="5"/>
      <c r="Q21" s="60" t="s">
        <v>34</v>
      </c>
      <c r="R21" s="61">
        <v>310</v>
      </c>
      <c r="S21" s="61">
        <v>0</v>
      </c>
      <c r="T21" s="61">
        <v>310</v>
      </c>
      <c r="U21" s="61">
        <v>310</v>
      </c>
      <c r="V21" s="61">
        <v>310</v>
      </c>
      <c r="W21" s="61">
        <v>310</v>
      </c>
      <c r="X21" s="61">
        <v>400</v>
      </c>
      <c r="Y21" s="61">
        <v>0</v>
      </c>
      <c r="Z21" s="61">
        <v>250</v>
      </c>
      <c r="AA21" s="62">
        <v>400</v>
      </c>
      <c r="AB21" s="63">
        <v>550</v>
      </c>
      <c r="AC21" s="63">
        <v>600</v>
      </c>
      <c r="AD21" s="63">
        <v>750</v>
      </c>
      <c r="AE21" s="63">
        <v>800</v>
      </c>
      <c r="AG21" s="60" t="s">
        <v>34</v>
      </c>
      <c r="AH21" s="61" t="b">
        <f t="shared" ref="AH21:AH33" si="15">B21=R21</f>
        <v>1</v>
      </c>
      <c r="AI21" s="61" t="b">
        <f t="shared" si="2"/>
        <v>1</v>
      </c>
      <c r="AJ21" s="61" t="b">
        <f t="shared" si="3"/>
        <v>1</v>
      </c>
      <c r="AK21" s="61" t="b">
        <f t="shared" si="4"/>
        <v>1</v>
      </c>
      <c r="AL21" s="61" t="b">
        <f t="shared" si="5"/>
        <v>1</v>
      </c>
      <c r="AM21" s="61" t="b">
        <f t="shared" si="6"/>
        <v>1</v>
      </c>
      <c r="AN21" s="61" t="b">
        <f t="shared" si="7"/>
        <v>1</v>
      </c>
      <c r="AO21" s="61" t="b">
        <f t="shared" si="8"/>
        <v>1</v>
      </c>
      <c r="AP21" s="61" t="b">
        <f t="shared" si="9"/>
        <v>1</v>
      </c>
      <c r="AQ21" s="61" t="b">
        <f t="shared" si="10"/>
        <v>1</v>
      </c>
      <c r="AR21" s="61" t="b">
        <f t="shared" si="11"/>
        <v>1</v>
      </c>
      <c r="AS21" s="61" t="b">
        <f t="shared" si="12"/>
        <v>1</v>
      </c>
      <c r="AT21" s="61" t="b">
        <f t="shared" si="13"/>
        <v>1</v>
      </c>
      <c r="AU21" s="61" t="b">
        <f t="shared" si="14"/>
        <v>1</v>
      </c>
    </row>
    <row r="22" spans="1:47">
      <c r="A22" s="168" t="s">
        <v>35</v>
      </c>
      <c r="B22" s="169">
        <v>400</v>
      </c>
      <c r="C22" s="169">
        <v>310</v>
      </c>
      <c r="D22" s="169">
        <v>0</v>
      </c>
      <c r="E22" s="169">
        <v>310</v>
      </c>
      <c r="F22" s="169">
        <v>310</v>
      </c>
      <c r="G22" s="169">
        <v>310</v>
      </c>
      <c r="H22" s="169">
        <v>400</v>
      </c>
      <c r="I22" s="169">
        <v>0</v>
      </c>
      <c r="J22" s="169">
        <v>250</v>
      </c>
      <c r="K22" s="170">
        <v>400</v>
      </c>
      <c r="L22" s="171">
        <v>550</v>
      </c>
      <c r="M22" s="169">
        <v>600</v>
      </c>
      <c r="N22" s="169">
        <v>750</v>
      </c>
      <c r="O22" s="170">
        <v>800</v>
      </c>
      <c r="P22" s="5"/>
      <c r="Q22" s="60" t="s">
        <v>35</v>
      </c>
      <c r="R22" s="61">
        <v>400</v>
      </c>
      <c r="S22" s="61">
        <v>310</v>
      </c>
      <c r="T22" s="61">
        <v>0</v>
      </c>
      <c r="U22" s="61">
        <v>310</v>
      </c>
      <c r="V22" s="61">
        <v>310</v>
      </c>
      <c r="W22" s="61">
        <v>310</v>
      </c>
      <c r="X22" s="61">
        <v>400</v>
      </c>
      <c r="Y22" s="61">
        <v>0</v>
      </c>
      <c r="Z22" s="61">
        <v>250</v>
      </c>
      <c r="AA22" s="62">
        <v>400</v>
      </c>
      <c r="AB22" s="63">
        <v>550</v>
      </c>
      <c r="AC22" s="63">
        <v>600</v>
      </c>
      <c r="AD22" s="63">
        <v>750</v>
      </c>
      <c r="AE22" s="63">
        <v>800</v>
      </c>
      <c r="AG22" s="60" t="s">
        <v>35</v>
      </c>
      <c r="AH22" s="61" t="b">
        <f t="shared" si="15"/>
        <v>1</v>
      </c>
      <c r="AI22" s="61" t="b">
        <f t="shared" si="2"/>
        <v>1</v>
      </c>
      <c r="AJ22" s="61" t="b">
        <f t="shared" si="3"/>
        <v>1</v>
      </c>
      <c r="AK22" s="61" t="b">
        <f t="shared" si="4"/>
        <v>1</v>
      </c>
      <c r="AL22" s="61" t="b">
        <f t="shared" si="5"/>
        <v>1</v>
      </c>
      <c r="AM22" s="61" t="b">
        <f t="shared" si="6"/>
        <v>1</v>
      </c>
      <c r="AN22" s="61" t="b">
        <f t="shared" si="7"/>
        <v>1</v>
      </c>
      <c r="AO22" s="61" t="b">
        <f t="shared" si="8"/>
        <v>1</v>
      </c>
      <c r="AP22" s="61" t="b">
        <f t="shared" si="9"/>
        <v>1</v>
      </c>
      <c r="AQ22" s="61" t="b">
        <f t="shared" si="10"/>
        <v>1</v>
      </c>
      <c r="AR22" s="61" t="b">
        <f t="shared" si="11"/>
        <v>1</v>
      </c>
      <c r="AS22" s="61" t="b">
        <f t="shared" si="12"/>
        <v>1</v>
      </c>
      <c r="AT22" s="61" t="b">
        <f t="shared" si="13"/>
        <v>1</v>
      </c>
      <c r="AU22" s="61" t="b">
        <f t="shared" si="14"/>
        <v>1</v>
      </c>
    </row>
    <row r="23" spans="1:47">
      <c r="A23" s="168" t="s">
        <v>36</v>
      </c>
      <c r="B23" s="169">
        <v>400</v>
      </c>
      <c r="C23" s="169">
        <v>310</v>
      </c>
      <c r="D23" s="169">
        <v>310</v>
      </c>
      <c r="E23" s="169">
        <v>0</v>
      </c>
      <c r="F23" s="169">
        <v>310</v>
      </c>
      <c r="G23" s="169">
        <v>310</v>
      </c>
      <c r="H23" s="169">
        <v>310</v>
      </c>
      <c r="I23" s="169">
        <v>0</v>
      </c>
      <c r="J23" s="169">
        <v>250</v>
      </c>
      <c r="K23" s="170">
        <v>400</v>
      </c>
      <c r="L23" s="171">
        <v>550</v>
      </c>
      <c r="M23" s="169">
        <v>600</v>
      </c>
      <c r="N23" s="169">
        <v>750</v>
      </c>
      <c r="O23" s="170">
        <v>800</v>
      </c>
      <c r="P23" s="5"/>
      <c r="Q23" s="60" t="s">
        <v>36</v>
      </c>
      <c r="R23" s="61">
        <v>400</v>
      </c>
      <c r="S23" s="61">
        <v>310</v>
      </c>
      <c r="T23" s="61">
        <v>310</v>
      </c>
      <c r="U23" s="61">
        <v>0</v>
      </c>
      <c r="V23" s="61">
        <v>310</v>
      </c>
      <c r="W23" s="61">
        <v>310</v>
      </c>
      <c r="X23" s="61">
        <v>310</v>
      </c>
      <c r="Y23" s="61">
        <v>0</v>
      </c>
      <c r="Z23" s="61">
        <v>250</v>
      </c>
      <c r="AA23" s="62">
        <v>400</v>
      </c>
      <c r="AB23" s="63">
        <v>550</v>
      </c>
      <c r="AC23" s="63">
        <v>600</v>
      </c>
      <c r="AD23" s="63">
        <v>750</v>
      </c>
      <c r="AE23" s="63">
        <v>800</v>
      </c>
      <c r="AG23" s="60" t="s">
        <v>36</v>
      </c>
      <c r="AH23" s="61" t="b">
        <f t="shared" si="15"/>
        <v>1</v>
      </c>
      <c r="AI23" s="61" t="b">
        <f t="shared" si="2"/>
        <v>1</v>
      </c>
      <c r="AJ23" s="61" t="b">
        <f t="shared" si="3"/>
        <v>1</v>
      </c>
      <c r="AK23" s="61" t="b">
        <f t="shared" si="4"/>
        <v>1</v>
      </c>
      <c r="AL23" s="61" t="b">
        <f t="shared" si="5"/>
        <v>1</v>
      </c>
      <c r="AM23" s="61" t="b">
        <f t="shared" si="6"/>
        <v>1</v>
      </c>
      <c r="AN23" s="61" t="b">
        <f t="shared" si="7"/>
        <v>1</v>
      </c>
      <c r="AO23" s="61" t="b">
        <f t="shared" si="8"/>
        <v>1</v>
      </c>
      <c r="AP23" s="61" t="b">
        <f t="shared" si="9"/>
        <v>1</v>
      </c>
      <c r="AQ23" s="61" t="b">
        <f t="shared" si="10"/>
        <v>1</v>
      </c>
      <c r="AR23" s="61" t="b">
        <f t="shared" si="11"/>
        <v>1</v>
      </c>
      <c r="AS23" s="61" t="b">
        <f t="shared" si="12"/>
        <v>1</v>
      </c>
      <c r="AT23" s="61" t="b">
        <f t="shared" si="13"/>
        <v>1</v>
      </c>
      <c r="AU23" s="61" t="b">
        <f t="shared" si="14"/>
        <v>1</v>
      </c>
    </row>
    <row r="24" spans="1:47">
      <c r="A24" s="168" t="s">
        <v>37</v>
      </c>
      <c r="B24" s="169">
        <v>400</v>
      </c>
      <c r="C24" s="169">
        <v>310</v>
      </c>
      <c r="D24" s="169">
        <v>310</v>
      </c>
      <c r="E24" s="169">
        <v>310</v>
      </c>
      <c r="F24" s="169">
        <v>0</v>
      </c>
      <c r="G24" s="169">
        <v>310</v>
      </c>
      <c r="H24" s="169">
        <v>310</v>
      </c>
      <c r="I24" s="169">
        <v>0</v>
      </c>
      <c r="J24" s="169">
        <v>200</v>
      </c>
      <c r="K24" s="170">
        <v>350</v>
      </c>
      <c r="L24" s="171">
        <v>500</v>
      </c>
      <c r="M24" s="169">
        <v>550</v>
      </c>
      <c r="N24" s="169">
        <v>750</v>
      </c>
      <c r="O24" s="170">
        <v>750</v>
      </c>
      <c r="P24" s="5"/>
      <c r="Q24" s="60" t="s">
        <v>37</v>
      </c>
      <c r="R24" s="61">
        <v>400</v>
      </c>
      <c r="S24" s="61">
        <v>310</v>
      </c>
      <c r="T24" s="61">
        <v>310</v>
      </c>
      <c r="U24" s="61">
        <v>310</v>
      </c>
      <c r="V24" s="61">
        <v>0</v>
      </c>
      <c r="W24" s="61">
        <v>310</v>
      </c>
      <c r="X24" s="61">
        <v>310</v>
      </c>
      <c r="Y24" s="61">
        <v>0</v>
      </c>
      <c r="Z24" s="61">
        <v>200</v>
      </c>
      <c r="AA24" s="62">
        <v>350</v>
      </c>
      <c r="AB24" s="63">
        <v>500</v>
      </c>
      <c r="AC24" s="63">
        <v>550</v>
      </c>
      <c r="AD24" s="63">
        <v>750</v>
      </c>
      <c r="AE24" s="63">
        <v>750</v>
      </c>
      <c r="AG24" s="60" t="s">
        <v>37</v>
      </c>
      <c r="AH24" s="61" t="b">
        <f t="shared" si="15"/>
        <v>1</v>
      </c>
      <c r="AI24" s="61" t="b">
        <f t="shared" si="2"/>
        <v>1</v>
      </c>
      <c r="AJ24" s="61" t="b">
        <f t="shared" si="3"/>
        <v>1</v>
      </c>
      <c r="AK24" s="61" t="b">
        <f t="shared" si="4"/>
        <v>1</v>
      </c>
      <c r="AL24" s="61" t="b">
        <f t="shared" si="5"/>
        <v>1</v>
      </c>
      <c r="AM24" s="61" t="b">
        <f t="shared" si="6"/>
        <v>1</v>
      </c>
      <c r="AN24" s="61" t="b">
        <f t="shared" si="7"/>
        <v>1</v>
      </c>
      <c r="AO24" s="61" t="b">
        <f t="shared" si="8"/>
        <v>1</v>
      </c>
      <c r="AP24" s="61" t="b">
        <f t="shared" si="9"/>
        <v>1</v>
      </c>
      <c r="AQ24" s="61" t="b">
        <f t="shared" si="10"/>
        <v>1</v>
      </c>
      <c r="AR24" s="61" t="b">
        <f t="shared" si="11"/>
        <v>1</v>
      </c>
      <c r="AS24" s="61" t="b">
        <f t="shared" si="12"/>
        <v>1</v>
      </c>
      <c r="AT24" s="61" t="b">
        <f t="shared" si="13"/>
        <v>1</v>
      </c>
      <c r="AU24" s="61" t="b">
        <f t="shared" si="14"/>
        <v>1</v>
      </c>
    </row>
    <row r="25" spans="1:47">
      <c r="A25" s="168" t="s">
        <v>38</v>
      </c>
      <c r="B25" s="169">
        <v>400</v>
      </c>
      <c r="C25" s="169">
        <v>310</v>
      </c>
      <c r="D25" s="169">
        <v>310</v>
      </c>
      <c r="E25" s="169">
        <v>310</v>
      </c>
      <c r="F25" s="169">
        <v>310</v>
      </c>
      <c r="G25" s="169">
        <v>0</v>
      </c>
      <c r="H25" s="169">
        <v>310</v>
      </c>
      <c r="I25" s="169">
        <v>0</v>
      </c>
      <c r="J25" s="169">
        <v>200</v>
      </c>
      <c r="K25" s="170">
        <v>350</v>
      </c>
      <c r="L25" s="171">
        <v>500</v>
      </c>
      <c r="M25" s="169">
        <v>550</v>
      </c>
      <c r="N25" s="169">
        <v>750</v>
      </c>
      <c r="O25" s="170">
        <v>750</v>
      </c>
      <c r="P25" s="5"/>
      <c r="Q25" s="60" t="s">
        <v>38</v>
      </c>
      <c r="R25" s="61">
        <v>400</v>
      </c>
      <c r="S25" s="61">
        <v>310</v>
      </c>
      <c r="T25" s="61">
        <v>310</v>
      </c>
      <c r="U25" s="61">
        <v>310</v>
      </c>
      <c r="V25" s="61">
        <v>310</v>
      </c>
      <c r="W25" s="61">
        <v>0</v>
      </c>
      <c r="X25" s="61">
        <v>310</v>
      </c>
      <c r="Y25" s="61">
        <v>0</v>
      </c>
      <c r="Z25" s="61">
        <v>200</v>
      </c>
      <c r="AA25" s="62">
        <v>350</v>
      </c>
      <c r="AB25" s="63">
        <v>500</v>
      </c>
      <c r="AC25" s="63">
        <v>550</v>
      </c>
      <c r="AD25" s="63">
        <v>750</v>
      </c>
      <c r="AE25" s="63">
        <v>750</v>
      </c>
      <c r="AG25" s="60" t="s">
        <v>38</v>
      </c>
      <c r="AH25" s="61" t="b">
        <f t="shared" si="15"/>
        <v>1</v>
      </c>
      <c r="AI25" s="61" t="b">
        <f t="shared" si="2"/>
        <v>1</v>
      </c>
      <c r="AJ25" s="61" t="b">
        <f t="shared" si="3"/>
        <v>1</v>
      </c>
      <c r="AK25" s="61" t="b">
        <f t="shared" si="4"/>
        <v>1</v>
      </c>
      <c r="AL25" s="61" t="b">
        <f t="shared" si="5"/>
        <v>1</v>
      </c>
      <c r="AM25" s="61" t="b">
        <f t="shared" si="6"/>
        <v>1</v>
      </c>
      <c r="AN25" s="61" t="b">
        <f t="shared" si="7"/>
        <v>1</v>
      </c>
      <c r="AO25" s="61" t="b">
        <f t="shared" si="8"/>
        <v>1</v>
      </c>
      <c r="AP25" s="61" t="b">
        <f t="shared" si="9"/>
        <v>1</v>
      </c>
      <c r="AQ25" s="61" t="b">
        <f t="shared" si="10"/>
        <v>1</v>
      </c>
      <c r="AR25" s="61" t="b">
        <f t="shared" si="11"/>
        <v>1</v>
      </c>
      <c r="AS25" s="61" t="b">
        <f t="shared" si="12"/>
        <v>1</v>
      </c>
      <c r="AT25" s="61" t="b">
        <f t="shared" si="13"/>
        <v>1</v>
      </c>
      <c r="AU25" s="61" t="b">
        <f t="shared" si="14"/>
        <v>1</v>
      </c>
    </row>
    <row r="26" spans="1:47">
      <c r="A26" s="168" t="s">
        <v>39</v>
      </c>
      <c r="B26" s="169">
        <v>400</v>
      </c>
      <c r="C26" s="169">
        <v>400</v>
      </c>
      <c r="D26" s="169">
        <v>400</v>
      </c>
      <c r="E26" s="169">
        <v>310</v>
      </c>
      <c r="F26" s="169">
        <v>310</v>
      </c>
      <c r="G26" s="169">
        <v>310</v>
      </c>
      <c r="H26" s="169">
        <v>0</v>
      </c>
      <c r="I26" s="169">
        <v>0</v>
      </c>
      <c r="J26" s="169">
        <v>200</v>
      </c>
      <c r="K26" s="170">
        <v>310</v>
      </c>
      <c r="L26" s="171">
        <v>500</v>
      </c>
      <c r="M26" s="169">
        <v>500</v>
      </c>
      <c r="N26" s="169">
        <v>700</v>
      </c>
      <c r="O26" s="170">
        <v>750</v>
      </c>
      <c r="P26" s="5"/>
      <c r="Q26" s="60" t="s">
        <v>39</v>
      </c>
      <c r="R26" s="61">
        <v>400</v>
      </c>
      <c r="S26" s="61">
        <v>400</v>
      </c>
      <c r="T26" s="61">
        <v>400</v>
      </c>
      <c r="U26" s="61">
        <v>310</v>
      </c>
      <c r="V26" s="61">
        <v>310</v>
      </c>
      <c r="W26" s="61">
        <v>310</v>
      </c>
      <c r="X26" s="61">
        <v>0</v>
      </c>
      <c r="Y26" s="61">
        <v>0</v>
      </c>
      <c r="Z26" s="61">
        <v>200</v>
      </c>
      <c r="AA26" s="62">
        <v>310</v>
      </c>
      <c r="AB26" s="63">
        <v>500</v>
      </c>
      <c r="AC26" s="63">
        <v>500</v>
      </c>
      <c r="AD26" s="63">
        <v>700</v>
      </c>
      <c r="AE26" s="63">
        <v>750</v>
      </c>
      <c r="AG26" s="60" t="s">
        <v>39</v>
      </c>
      <c r="AH26" s="61" t="b">
        <f t="shared" si="15"/>
        <v>1</v>
      </c>
      <c r="AI26" s="61" t="b">
        <f t="shared" si="2"/>
        <v>1</v>
      </c>
      <c r="AJ26" s="61" t="b">
        <f t="shared" si="3"/>
        <v>1</v>
      </c>
      <c r="AK26" s="61" t="b">
        <f t="shared" si="4"/>
        <v>1</v>
      </c>
      <c r="AL26" s="61" t="b">
        <f t="shared" si="5"/>
        <v>1</v>
      </c>
      <c r="AM26" s="61" t="b">
        <f t="shared" si="6"/>
        <v>1</v>
      </c>
      <c r="AN26" s="61" t="b">
        <f t="shared" si="7"/>
        <v>1</v>
      </c>
      <c r="AO26" s="61" t="b">
        <f t="shared" si="8"/>
        <v>1</v>
      </c>
      <c r="AP26" s="61" t="b">
        <f t="shared" si="9"/>
        <v>1</v>
      </c>
      <c r="AQ26" s="61" t="b">
        <f t="shared" si="10"/>
        <v>1</v>
      </c>
      <c r="AR26" s="61" t="b">
        <f t="shared" si="11"/>
        <v>1</v>
      </c>
      <c r="AS26" s="61" t="b">
        <f t="shared" si="12"/>
        <v>1</v>
      </c>
      <c r="AT26" s="61" t="b">
        <f t="shared" si="13"/>
        <v>1</v>
      </c>
      <c r="AU26" s="61" t="b">
        <f t="shared" si="14"/>
        <v>1</v>
      </c>
    </row>
    <row r="27" spans="1:47">
      <c r="A27" s="168" t="s">
        <v>40</v>
      </c>
      <c r="B27" s="169">
        <v>0</v>
      </c>
      <c r="C27" s="169">
        <v>0</v>
      </c>
      <c r="D27" s="169">
        <v>0</v>
      </c>
      <c r="E27" s="169">
        <v>0</v>
      </c>
      <c r="F27" s="169">
        <v>0</v>
      </c>
      <c r="G27" s="169">
        <v>0</v>
      </c>
      <c r="H27" s="169">
        <v>0</v>
      </c>
      <c r="I27" s="169">
        <v>0</v>
      </c>
      <c r="J27" s="169">
        <v>0</v>
      </c>
      <c r="K27" s="170">
        <v>330</v>
      </c>
      <c r="L27" s="171">
        <v>0</v>
      </c>
      <c r="M27" s="169">
        <v>0</v>
      </c>
      <c r="N27" s="169">
        <v>0</v>
      </c>
      <c r="O27" s="170">
        <v>0</v>
      </c>
      <c r="P27" s="5"/>
      <c r="Q27" s="60" t="s">
        <v>40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2">
        <v>330</v>
      </c>
      <c r="AB27" s="63">
        <v>0</v>
      </c>
      <c r="AC27" s="63">
        <v>0</v>
      </c>
      <c r="AD27" s="63">
        <v>0</v>
      </c>
      <c r="AE27" s="63">
        <v>0</v>
      </c>
      <c r="AG27" s="60" t="s">
        <v>40</v>
      </c>
      <c r="AH27" s="61" t="b">
        <f t="shared" si="15"/>
        <v>1</v>
      </c>
      <c r="AI27" s="61" t="b">
        <f t="shared" si="2"/>
        <v>1</v>
      </c>
      <c r="AJ27" s="61" t="b">
        <f t="shared" si="3"/>
        <v>1</v>
      </c>
      <c r="AK27" s="61" t="b">
        <f t="shared" si="4"/>
        <v>1</v>
      </c>
      <c r="AL27" s="61" t="b">
        <f t="shared" si="5"/>
        <v>1</v>
      </c>
      <c r="AM27" s="61" t="b">
        <f t="shared" si="6"/>
        <v>1</v>
      </c>
      <c r="AN27" s="61" t="b">
        <f t="shared" si="7"/>
        <v>1</v>
      </c>
      <c r="AO27" s="61" t="b">
        <f t="shared" si="8"/>
        <v>1</v>
      </c>
      <c r="AP27" s="61" t="b">
        <f t="shared" si="9"/>
        <v>1</v>
      </c>
      <c r="AQ27" s="61" t="b">
        <f t="shared" si="10"/>
        <v>1</v>
      </c>
      <c r="AR27" s="61" t="b">
        <f t="shared" si="11"/>
        <v>1</v>
      </c>
      <c r="AS27" s="61" t="b">
        <f t="shared" si="12"/>
        <v>1</v>
      </c>
      <c r="AT27" s="61" t="b">
        <f t="shared" si="13"/>
        <v>1</v>
      </c>
      <c r="AU27" s="61" t="b">
        <f t="shared" si="14"/>
        <v>1</v>
      </c>
    </row>
    <row r="28" spans="1:47">
      <c r="A28" s="168" t="s">
        <v>41</v>
      </c>
      <c r="B28" s="169">
        <v>300</v>
      </c>
      <c r="C28" s="169">
        <v>250</v>
      </c>
      <c r="D28" s="169">
        <v>250</v>
      </c>
      <c r="E28" s="169">
        <v>250</v>
      </c>
      <c r="F28" s="169">
        <v>200</v>
      </c>
      <c r="G28" s="169">
        <v>200</v>
      </c>
      <c r="H28" s="169">
        <v>200</v>
      </c>
      <c r="I28" s="169">
        <v>0</v>
      </c>
      <c r="J28" s="169">
        <v>0</v>
      </c>
      <c r="K28" s="170">
        <v>200</v>
      </c>
      <c r="L28" s="171">
        <v>450</v>
      </c>
      <c r="M28" s="169">
        <v>450</v>
      </c>
      <c r="N28" s="169">
        <v>650</v>
      </c>
      <c r="O28" s="170">
        <v>700</v>
      </c>
      <c r="P28" s="5"/>
      <c r="Q28" s="60" t="s">
        <v>41</v>
      </c>
      <c r="R28" s="61">
        <v>300</v>
      </c>
      <c r="S28" s="61">
        <v>250</v>
      </c>
      <c r="T28" s="61">
        <v>250</v>
      </c>
      <c r="U28" s="61">
        <v>250</v>
      </c>
      <c r="V28" s="61">
        <v>200</v>
      </c>
      <c r="W28" s="61">
        <v>200</v>
      </c>
      <c r="X28" s="61">
        <v>200</v>
      </c>
      <c r="Y28" s="61">
        <v>0</v>
      </c>
      <c r="Z28" s="61">
        <v>0</v>
      </c>
      <c r="AA28" s="62">
        <v>200</v>
      </c>
      <c r="AB28" s="63">
        <v>450</v>
      </c>
      <c r="AC28" s="63">
        <v>450</v>
      </c>
      <c r="AD28" s="63">
        <v>650</v>
      </c>
      <c r="AE28" s="63">
        <v>700</v>
      </c>
      <c r="AG28" s="60" t="s">
        <v>41</v>
      </c>
      <c r="AH28" s="61" t="b">
        <f t="shared" si="15"/>
        <v>1</v>
      </c>
      <c r="AI28" s="61" t="b">
        <f t="shared" si="2"/>
        <v>1</v>
      </c>
      <c r="AJ28" s="61" t="b">
        <f t="shared" si="3"/>
        <v>1</v>
      </c>
      <c r="AK28" s="61" t="b">
        <f t="shared" si="4"/>
        <v>1</v>
      </c>
      <c r="AL28" s="61" t="b">
        <f t="shared" si="5"/>
        <v>1</v>
      </c>
      <c r="AM28" s="61" t="b">
        <f t="shared" si="6"/>
        <v>1</v>
      </c>
      <c r="AN28" s="61" t="b">
        <f t="shared" si="7"/>
        <v>1</v>
      </c>
      <c r="AO28" s="61" t="b">
        <f t="shared" si="8"/>
        <v>1</v>
      </c>
      <c r="AP28" s="61" t="b">
        <f t="shared" si="9"/>
        <v>1</v>
      </c>
      <c r="AQ28" s="61" t="b">
        <f t="shared" si="10"/>
        <v>1</v>
      </c>
      <c r="AR28" s="61" t="b">
        <f t="shared" si="11"/>
        <v>1</v>
      </c>
      <c r="AS28" s="61" t="b">
        <f t="shared" si="12"/>
        <v>1</v>
      </c>
      <c r="AT28" s="61" t="b">
        <f t="shared" si="13"/>
        <v>1</v>
      </c>
      <c r="AU28" s="61" t="b">
        <f t="shared" si="14"/>
        <v>1</v>
      </c>
    </row>
    <row r="29" spans="1:47" ht="16.5" thickBot="1">
      <c r="A29" s="172" t="s">
        <v>42</v>
      </c>
      <c r="B29" s="71">
        <v>500</v>
      </c>
      <c r="C29" s="71">
        <v>400</v>
      </c>
      <c r="D29" s="71">
        <v>400</v>
      </c>
      <c r="E29" s="71">
        <v>400</v>
      </c>
      <c r="F29" s="71">
        <v>350</v>
      </c>
      <c r="G29" s="71">
        <v>350</v>
      </c>
      <c r="H29" s="71">
        <v>310</v>
      </c>
      <c r="I29" s="71">
        <v>330</v>
      </c>
      <c r="J29" s="71">
        <v>200</v>
      </c>
      <c r="K29" s="173">
        <v>0</v>
      </c>
      <c r="L29" s="171">
        <v>250</v>
      </c>
      <c r="M29" s="169">
        <v>250</v>
      </c>
      <c r="N29" s="169">
        <v>450</v>
      </c>
      <c r="O29" s="170">
        <v>500</v>
      </c>
      <c r="P29" s="5"/>
      <c r="Q29" s="64" t="s">
        <v>42</v>
      </c>
      <c r="R29" s="174">
        <v>500</v>
      </c>
      <c r="S29" s="174">
        <v>400</v>
      </c>
      <c r="T29" s="174">
        <v>400</v>
      </c>
      <c r="U29" s="174">
        <v>400</v>
      </c>
      <c r="V29" s="174">
        <v>350</v>
      </c>
      <c r="W29" s="174">
        <v>350</v>
      </c>
      <c r="X29" s="174">
        <v>310</v>
      </c>
      <c r="Y29" s="174">
        <v>330</v>
      </c>
      <c r="Z29" s="174">
        <v>200</v>
      </c>
      <c r="AA29" s="65">
        <v>0</v>
      </c>
      <c r="AB29" s="63">
        <v>250</v>
      </c>
      <c r="AC29" s="63">
        <v>250</v>
      </c>
      <c r="AD29" s="63">
        <v>450</v>
      </c>
      <c r="AE29" s="63">
        <v>500</v>
      </c>
      <c r="AG29" s="64" t="s">
        <v>42</v>
      </c>
      <c r="AH29" s="61" t="b">
        <f t="shared" si="15"/>
        <v>1</v>
      </c>
      <c r="AI29" s="61" t="b">
        <f t="shared" si="2"/>
        <v>1</v>
      </c>
      <c r="AJ29" s="61" t="b">
        <f t="shared" si="3"/>
        <v>1</v>
      </c>
      <c r="AK29" s="61" t="b">
        <f t="shared" si="4"/>
        <v>1</v>
      </c>
      <c r="AL29" s="61" t="b">
        <f t="shared" si="5"/>
        <v>1</v>
      </c>
      <c r="AM29" s="61" t="b">
        <f t="shared" si="6"/>
        <v>1</v>
      </c>
      <c r="AN29" s="61" t="b">
        <f t="shared" si="7"/>
        <v>1</v>
      </c>
      <c r="AO29" s="61" t="b">
        <f t="shared" si="8"/>
        <v>1</v>
      </c>
      <c r="AP29" s="61" t="b">
        <f t="shared" si="9"/>
        <v>1</v>
      </c>
      <c r="AQ29" s="61" t="b">
        <f t="shared" si="10"/>
        <v>1</v>
      </c>
      <c r="AR29" s="61" t="b">
        <f t="shared" si="11"/>
        <v>1</v>
      </c>
      <c r="AS29" s="61" t="b">
        <f t="shared" si="12"/>
        <v>1</v>
      </c>
      <c r="AT29" s="61" t="b">
        <f t="shared" si="13"/>
        <v>1</v>
      </c>
      <c r="AU29" s="61" t="b">
        <f t="shared" si="14"/>
        <v>1</v>
      </c>
    </row>
    <row r="30" spans="1:47" ht="18" customHeight="1">
      <c r="A30" s="10" t="s">
        <v>43</v>
      </c>
      <c r="B30" s="175">
        <v>650</v>
      </c>
      <c r="C30" s="175">
        <v>550</v>
      </c>
      <c r="D30" s="175">
        <v>550</v>
      </c>
      <c r="E30" s="175">
        <v>550</v>
      </c>
      <c r="F30" s="175">
        <v>500</v>
      </c>
      <c r="G30" s="175">
        <v>500</v>
      </c>
      <c r="H30" s="175">
        <v>500</v>
      </c>
      <c r="I30" s="175">
        <v>0</v>
      </c>
      <c r="J30" s="175">
        <v>450</v>
      </c>
      <c r="K30" s="175">
        <v>250</v>
      </c>
      <c r="L30" s="169">
        <v>0</v>
      </c>
      <c r="M30" s="169">
        <v>200</v>
      </c>
      <c r="N30" s="169">
        <v>450</v>
      </c>
      <c r="O30" s="170">
        <v>450</v>
      </c>
      <c r="P30" s="5"/>
      <c r="Q30" s="66" t="s">
        <v>43</v>
      </c>
      <c r="R30" s="67">
        <v>650</v>
      </c>
      <c r="S30" s="67">
        <v>550</v>
      </c>
      <c r="T30" s="67">
        <v>550</v>
      </c>
      <c r="U30" s="67">
        <v>550</v>
      </c>
      <c r="V30" s="67">
        <v>500</v>
      </c>
      <c r="W30" s="67">
        <v>500</v>
      </c>
      <c r="X30" s="67">
        <v>500</v>
      </c>
      <c r="Y30" s="67">
        <v>0</v>
      </c>
      <c r="Z30" s="67">
        <v>450</v>
      </c>
      <c r="AA30" s="67">
        <v>250</v>
      </c>
      <c r="AB30" s="63">
        <v>0</v>
      </c>
      <c r="AC30" s="63">
        <v>200</v>
      </c>
      <c r="AD30" s="63">
        <v>450</v>
      </c>
      <c r="AE30" s="63">
        <v>450</v>
      </c>
      <c r="AG30" s="66" t="s">
        <v>43</v>
      </c>
      <c r="AH30" s="61" t="b">
        <f t="shared" si="15"/>
        <v>1</v>
      </c>
      <c r="AI30" s="61" t="b">
        <f t="shared" si="2"/>
        <v>1</v>
      </c>
      <c r="AJ30" s="61" t="b">
        <f t="shared" si="3"/>
        <v>1</v>
      </c>
      <c r="AK30" s="61" t="b">
        <f t="shared" si="4"/>
        <v>1</v>
      </c>
      <c r="AL30" s="61" t="b">
        <f t="shared" si="5"/>
        <v>1</v>
      </c>
      <c r="AM30" s="61" t="b">
        <f t="shared" si="6"/>
        <v>1</v>
      </c>
      <c r="AN30" s="61" t="b">
        <f t="shared" si="7"/>
        <v>1</v>
      </c>
      <c r="AO30" s="61" t="b">
        <f t="shared" si="8"/>
        <v>1</v>
      </c>
      <c r="AP30" s="61" t="b">
        <f t="shared" si="9"/>
        <v>1</v>
      </c>
      <c r="AQ30" s="61" t="b">
        <f t="shared" si="10"/>
        <v>1</v>
      </c>
      <c r="AR30" s="61" t="b">
        <f t="shared" si="11"/>
        <v>1</v>
      </c>
      <c r="AS30" s="61" t="b">
        <f t="shared" si="12"/>
        <v>1</v>
      </c>
      <c r="AT30" s="61" t="b">
        <f t="shared" si="13"/>
        <v>1</v>
      </c>
      <c r="AU30" s="61" t="b">
        <f t="shared" si="14"/>
        <v>1</v>
      </c>
    </row>
    <row r="31" spans="1:47">
      <c r="A31" s="168" t="s">
        <v>44</v>
      </c>
      <c r="B31" s="180">
        <v>650</v>
      </c>
      <c r="C31" s="180">
        <v>600</v>
      </c>
      <c r="D31" s="180">
        <v>600</v>
      </c>
      <c r="E31" s="180">
        <v>600</v>
      </c>
      <c r="F31" s="180">
        <v>550</v>
      </c>
      <c r="G31" s="180">
        <v>550</v>
      </c>
      <c r="H31" s="180">
        <v>500</v>
      </c>
      <c r="I31" s="180">
        <v>0</v>
      </c>
      <c r="J31" s="180">
        <v>450</v>
      </c>
      <c r="K31" s="180">
        <v>250</v>
      </c>
      <c r="L31" s="180">
        <v>200</v>
      </c>
      <c r="M31" s="180">
        <v>0</v>
      </c>
      <c r="N31" s="181">
        <v>200</v>
      </c>
      <c r="O31" s="182">
        <v>200</v>
      </c>
      <c r="P31" s="5"/>
      <c r="Q31" s="60" t="s">
        <v>44</v>
      </c>
      <c r="R31" s="67">
        <v>650</v>
      </c>
      <c r="S31" s="67">
        <v>600</v>
      </c>
      <c r="T31" s="67">
        <v>600</v>
      </c>
      <c r="U31" s="67">
        <v>600</v>
      </c>
      <c r="V31" s="67">
        <v>550</v>
      </c>
      <c r="W31" s="67">
        <v>550</v>
      </c>
      <c r="X31" s="67">
        <v>500</v>
      </c>
      <c r="Y31" s="67">
        <v>0</v>
      </c>
      <c r="Z31" s="67">
        <v>450</v>
      </c>
      <c r="AA31" s="67">
        <v>250</v>
      </c>
      <c r="AB31" s="63">
        <v>200</v>
      </c>
      <c r="AC31" s="63">
        <v>0</v>
      </c>
      <c r="AD31" s="63">
        <v>200</v>
      </c>
      <c r="AE31" s="63">
        <v>200</v>
      </c>
      <c r="AG31" s="60" t="s">
        <v>44</v>
      </c>
      <c r="AH31" s="61" t="b">
        <f t="shared" si="15"/>
        <v>1</v>
      </c>
      <c r="AI31" s="61" t="b">
        <f t="shared" si="2"/>
        <v>1</v>
      </c>
      <c r="AJ31" s="61" t="b">
        <f t="shared" si="3"/>
        <v>1</v>
      </c>
      <c r="AK31" s="61" t="b">
        <f t="shared" si="4"/>
        <v>1</v>
      </c>
      <c r="AL31" s="61" t="b">
        <f t="shared" si="5"/>
        <v>1</v>
      </c>
      <c r="AM31" s="61" t="b">
        <f t="shared" si="6"/>
        <v>1</v>
      </c>
      <c r="AN31" s="61" t="b">
        <f t="shared" si="7"/>
        <v>1</v>
      </c>
      <c r="AO31" s="61" t="b">
        <f t="shared" si="8"/>
        <v>1</v>
      </c>
      <c r="AP31" s="61" t="b">
        <f t="shared" si="9"/>
        <v>1</v>
      </c>
      <c r="AQ31" s="61" t="b">
        <f t="shared" si="10"/>
        <v>1</v>
      </c>
      <c r="AR31" s="61" t="b">
        <f t="shared" si="11"/>
        <v>1</v>
      </c>
      <c r="AS31" s="61" t="b">
        <f t="shared" si="12"/>
        <v>1</v>
      </c>
      <c r="AT31" s="61" t="b">
        <f t="shared" si="13"/>
        <v>1</v>
      </c>
      <c r="AU31" s="61" t="b">
        <f t="shared" si="14"/>
        <v>1</v>
      </c>
    </row>
    <row r="32" spans="1:47">
      <c r="A32" s="168" t="s">
        <v>45</v>
      </c>
      <c r="B32" s="169">
        <v>850</v>
      </c>
      <c r="C32" s="169">
        <v>750</v>
      </c>
      <c r="D32" s="169">
        <v>750</v>
      </c>
      <c r="E32" s="169">
        <v>750</v>
      </c>
      <c r="F32" s="169">
        <v>750</v>
      </c>
      <c r="G32" s="169">
        <v>750</v>
      </c>
      <c r="H32" s="169">
        <v>700</v>
      </c>
      <c r="I32" s="169">
        <v>0</v>
      </c>
      <c r="J32" s="169">
        <v>650</v>
      </c>
      <c r="K32" s="169">
        <v>450</v>
      </c>
      <c r="L32" s="169">
        <v>450</v>
      </c>
      <c r="M32" s="179">
        <v>200</v>
      </c>
      <c r="N32" s="169">
        <v>0</v>
      </c>
      <c r="O32" s="170">
        <v>200</v>
      </c>
      <c r="P32" s="5"/>
      <c r="Q32" s="60" t="s">
        <v>45</v>
      </c>
      <c r="R32" s="67">
        <v>850</v>
      </c>
      <c r="S32" s="67">
        <v>750</v>
      </c>
      <c r="T32" s="67">
        <v>750</v>
      </c>
      <c r="U32" s="67">
        <v>750</v>
      </c>
      <c r="V32" s="67">
        <v>750</v>
      </c>
      <c r="W32" s="67">
        <v>750</v>
      </c>
      <c r="X32" s="67">
        <v>700</v>
      </c>
      <c r="Y32" s="67">
        <v>0</v>
      </c>
      <c r="Z32" s="67">
        <v>650</v>
      </c>
      <c r="AA32" s="67">
        <v>450</v>
      </c>
      <c r="AB32" s="63">
        <v>450</v>
      </c>
      <c r="AC32" s="63">
        <v>200</v>
      </c>
      <c r="AD32" s="63">
        <v>0</v>
      </c>
      <c r="AE32" s="63">
        <v>200</v>
      </c>
      <c r="AG32" s="60" t="s">
        <v>45</v>
      </c>
      <c r="AH32" s="61" t="b">
        <f t="shared" si="15"/>
        <v>1</v>
      </c>
      <c r="AI32" s="61" t="b">
        <f t="shared" si="2"/>
        <v>1</v>
      </c>
      <c r="AJ32" s="61" t="b">
        <f t="shared" si="3"/>
        <v>1</v>
      </c>
      <c r="AK32" s="61" t="b">
        <f t="shared" si="4"/>
        <v>1</v>
      </c>
      <c r="AL32" s="61" t="b">
        <f t="shared" si="5"/>
        <v>1</v>
      </c>
      <c r="AM32" s="61" t="b">
        <f t="shared" si="6"/>
        <v>1</v>
      </c>
      <c r="AN32" s="61" t="b">
        <f t="shared" si="7"/>
        <v>1</v>
      </c>
      <c r="AO32" s="61" t="b">
        <f t="shared" si="8"/>
        <v>1</v>
      </c>
      <c r="AP32" s="61" t="b">
        <f t="shared" si="9"/>
        <v>1</v>
      </c>
      <c r="AQ32" s="61" t="b">
        <f t="shared" si="10"/>
        <v>1</v>
      </c>
      <c r="AR32" s="61" t="b">
        <f t="shared" si="11"/>
        <v>1</v>
      </c>
      <c r="AS32" s="61" t="b">
        <f t="shared" si="12"/>
        <v>1</v>
      </c>
      <c r="AT32" s="61" t="b">
        <f t="shared" si="13"/>
        <v>1</v>
      </c>
      <c r="AU32" s="61" t="b">
        <f t="shared" si="14"/>
        <v>1</v>
      </c>
    </row>
    <row r="33" spans="1:47" ht="16.5" thickBot="1">
      <c r="A33" s="172" t="s">
        <v>46</v>
      </c>
      <c r="B33" s="71">
        <v>850</v>
      </c>
      <c r="C33" s="71">
        <v>800</v>
      </c>
      <c r="D33" s="71">
        <v>800</v>
      </c>
      <c r="E33" s="71">
        <v>800</v>
      </c>
      <c r="F33" s="71">
        <v>750</v>
      </c>
      <c r="G33" s="71">
        <v>750</v>
      </c>
      <c r="H33" s="71">
        <v>750</v>
      </c>
      <c r="I33" s="71">
        <v>0</v>
      </c>
      <c r="J33" s="71">
        <v>700</v>
      </c>
      <c r="K33" s="71">
        <v>500</v>
      </c>
      <c r="L33" s="71">
        <v>450</v>
      </c>
      <c r="M33" s="72">
        <v>200</v>
      </c>
      <c r="N33" s="71">
        <v>200</v>
      </c>
      <c r="O33" s="173">
        <v>0</v>
      </c>
      <c r="P33" s="5"/>
      <c r="Q33" s="64" t="s">
        <v>46</v>
      </c>
      <c r="R33" s="67">
        <v>850</v>
      </c>
      <c r="S33" s="67">
        <v>800</v>
      </c>
      <c r="T33" s="67">
        <v>800</v>
      </c>
      <c r="U33" s="67">
        <v>800</v>
      </c>
      <c r="V33" s="67">
        <v>750</v>
      </c>
      <c r="W33" s="67">
        <v>750</v>
      </c>
      <c r="X33" s="67">
        <v>750</v>
      </c>
      <c r="Y33" s="67">
        <v>0</v>
      </c>
      <c r="Z33" s="67">
        <v>700</v>
      </c>
      <c r="AA33" s="67">
        <v>500</v>
      </c>
      <c r="AB33" s="63">
        <v>450</v>
      </c>
      <c r="AC33" s="63">
        <v>200</v>
      </c>
      <c r="AD33" s="63">
        <v>200</v>
      </c>
      <c r="AE33" s="63">
        <v>0</v>
      </c>
      <c r="AG33" s="64" t="s">
        <v>46</v>
      </c>
      <c r="AH33" s="61" t="b">
        <f t="shared" si="15"/>
        <v>1</v>
      </c>
      <c r="AI33" s="61" t="b">
        <f t="shared" si="2"/>
        <v>1</v>
      </c>
      <c r="AJ33" s="61" t="b">
        <f t="shared" si="3"/>
        <v>1</v>
      </c>
      <c r="AK33" s="61" t="b">
        <f t="shared" si="4"/>
        <v>1</v>
      </c>
      <c r="AL33" s="61" t="b">
        <f t="shared" si="5"/>
        <v>1</v>
      </c>
      <c r="AM33" s="61" t="b">
        <f t="shared" si="6"/>
        <v>1</v>
      </c>
      <c r="AN33" s="61" t="b">
        <f t="shared" si="7"/>
        <v>1</v>
      </c>
      <c r="AO33" s="61" t="b">
        <f t="shared" si="8"/>
        <v>1</v>
      </c>
      <c r="AP33" s="61" t="b">
        <f t="shared" si="9"/>
        <v>1</v>
      </c>
      <c r="AQ33" s="61" t="b">
        <f t="shared" si="10"/>
        <v>1</v>
      </c>
      <c r="AR33" s="61" t="b">
        <f t="shared" si="11"/>
        <v>1</v>
      </c>
      <c r="AS33" s="61" t="b">
        <f t="shared" si="12"/>
        <v>1</v>
      </c>
      <c r="AT33" s="61" t="b">
        <f t="shared" si="13"/>
        <v>1</v>
      </c>
      <c r="AU33" s="61" t="b">
        <f t="shared" si="14"/>
        <v>1</v>
      </c>
    </row>
    <row r="34" spans="1:47" ht="16.5" thickBot="1">
      <c r="P34" s="5"/>
      <c r="Q34" s="70">
        <v>0.5</v>
      </c>
      <c r="AG34" s="70">
        <v>0.5</v>
      </c>
    </row>
    <row r="35" spans="1:47" ht="19.5" customHeight="1" thickBot="1">
      <c r="A35" s="23" t="s">
        <v>27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5"/>
      <c r="Q35" s="127" t="s">
        <v>49</v>
      </c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9"/>
      <c r="AG35" s="127" t="s">
        <v>49</v>
      </c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9"/>
    </row>
    <row r="36" spans="1:47" ht="67.5">
      <c r="A36" s="6" t="s">
        <v>32</v>
      </c>
      <c r="B36" s="7" t="s">
        <v>33</v>
      </c>
      <c r="C36" s="7" t="s">
        <v>34</v>
      </c>
      <c r="D36" s="7" t="s">
        <v>35</v>
      </c>
      <c r="E36" s="7" t="s">
        <v>36</v>
      </c>
      <c r="F36" s="7" t="s">
        <v>37</v>
      </c>
      <c r="G36" s="7" t="s">
        <v>38</v>
      </c>
      <c r="H36" s="7" t="s">
        <v>39</v>
      </c>
      <c r="I36" s="7" t="s">
        <v>40</v>
      </c>
      <c r="J36" s="7" t="s">
        <v>41</v>
      </c>
      <c r="K36" s="8" t="s">
        <v>42</v>
      </c>
      <c r="L36" s="9" t="s">
        <v>43</v>
      </c>
      <c r="M36" s="7" t="s">
        <v>44</v>
      </c>
      <c r="N36" s="7" t="s">
        <v>45</v>
      </c>
      <c r="O36" s="8" t="s">
        <v>46</v>
      </c>
      <c r="P36" s="5"/>
      <c r="Q36" s="56" t="s">
        <v>32</v>
      </c>
      <c r="R36" s="57" t="s">
        <v>33</v>
      </c>
      <c r="S36" s="57" t="s">
        <v>34</v>
      </c>
      <c r="T36" s="57" t="s">
        <v>35</v>
      </c>
      <c r="U36" s="57" t="s">
        <v>36</v>
      </c>
      <c r="V36" s="57" t="s">
        <v>37</v>
      </c>
      <c r="W36" s="57" t="s">
        <v>38</v>
      </c>
      <c r="X36" s="57" t="s">
        <v>39</v>
      </c>
      <c r="Y36" s="57" t="s">
        <v>40</v>
      </c>
      <c r="Z36" s="57" t="s">
        <v>41</v>
      </c>
      <c r="AA36" s="58" t="s">
        <v>42</v>
      </c>
      <c r="AB36" s="59" t="s">
        <v>43</v>
      </c>
      <c r="AC36" s="57" t="s">
        <v>44</v>
      </c>
      <c r="AD36" s="57" t="s">
        <v>45</v>
      </c>
      <c r="AE36" s="58" t="s">
        <v>46</v>
      </c>
      <c r="AG36" s="56" t="s">
        <v>32</v>
      </c>
      <c r="AH36" s="57" t="s">
        <v>33</v>
      </c>
      <c r="AI36" s="57" t="s">
        <v>34</v>
      </c>
      <c r="AJ36" s="57" t="s">
        <v>35</v>
      </c>
      <c r="AK36" s="57" t="s">
        <v>36</v>
      </c>
      <c r="AL36" s="57" t="s">
        <v>37</v>
      </c>
      <c r="AM36" s="57" t="s">
        <v>38</v>
      </c>
      <c r="AN36" s="57" t="s">
        <v>39</v>
      </c>
      <c r="AO36" s="57" t="s">
        <v>40</v>
      </c>
      <c r="AP36" s="57" t="s">
        <v>41</v>
      </c>
      <c r="AQ36" s="58" t="s">
        <v>42</v>
      </c>
      <c r="AR36" s="59" t="s">
        <v>43</v>
      </c>
      <c r="AS36" s="57" t="s">
        <v>44</v>
      </c>
      <c r="AT36" s="57" t="s">
        <v>45</v>
      </c>
      <c r="AU36" s="58" t="s">
        <v>46</v>
      </c>
    </row>
    <row r="37" spans="1:47">
      <c r="A37" s="168" t="s">
        <v>33</v>
      </c>
      <c r="B37" s="183">
        <v>0</v>
      </c>
      <c r="C37" s="183">
        <v>480</v>
      </c>
      <c r="D37" s="183">
        <v>600</v>
      </c>
      <c r="E37" s="183">
        <v>600</v>
      </c>
      <c r="F37" s="183">
        <v>600</v>
      </c>
      <c r="G37" s="183">
        <v>600</v>
      </c>
      <c r="H37" s="183">
        <v>600</v>
      </c>
      <c r="I37" s="183">
        <v>0</v>
      </c>
      <c r="J37" s="183">
        <v>450</v>
      </c>
      <c r="K37" s="184">
        <v>750</v>
      </c>
      <c r="L37" s="185">
        <v>950</v>
      </c>
      <c r="M37" s="183">
        <v>1000</v>
      </c>
      <c r="N37" s="183">
        <v>1300</v>
      </c>
      <c r="O37" s="184">
        <v>1350</v>
      </c>
      <c r="P37" s="5"/>
      <c r="Q37" s="60" t="s">
        <v>33</v>
      </c>
      <c r="R37" s="61">
        <v>0</v>
      </c>
      <c r="S37" s="61">
        <v>480</v>
      </c>
      <c r="T37" s="61">
        <v>600</v>
      </c>
      <c r="U37" s="61">
        <v>600</v>
      </c>
      <c r="V37" s="61">
        <v>600</v>
      </c>
      <c r="W37" s="61">
        <v>600</v>
      </c>
      <c r="X37" s="61">
        <v>600</v>
      </c>
      <c r="Y37" s="61">
        <v>0</v>
      </c>
      <c r="Z37" s="61">
        <v>450</v>
      </c>
      <c r="AA37" s="62">
        <v>750</v>
      </c>
      <c r="AB37" s="63">
        <v>950</v>
      </c>
      <c r="AC37" s="63">
        <v>1000</v>
      </c>
      <c r="AD37" s="63">
        <v>1300</v>
      </c>
      <c r="AE37" s="63">
        <v>1350</v>
      </c>
      <c r="AG37" s="60" t="s">
        <v>33</v>
      </c>
      <c r="AH37" s="61" t="b">
        <f>B37=R37</f>
        <v>1</v>
      </c>
      <c r="AI37" s="61" t="b">
        <f t="shared" ref="AI37:AI50" si="16">C37=S37</f>
        <v>1</v>
      </c>
      <c r="AJ37" s="61" t="b">
        <f t="shared" ref="AJ37:AJ50" si="17">D37=T37</f>
        <v>1</v>
      </c>
      <c r="AK37" s="61" t="b">
        <f t="shared" ref="AK37:AK50" si="18">E37=U37</f>
        <v>1</v>
      </c>
      <c r="AL37" s="61" t="b">
        <f t="shared" ref="AL37:AL50" si="19">F37=V37</f>
        <v>1</v>
      </c>
      <c r="AM37" s="61" t="b">
        <f t="shared" ref="AM37:AM50" si="20">G37=W37</f>
        <v>1</v>
      </c>
      <c r="AN37" s="61" t="b">
        <f t="shared" ref="AN37:AN50" si="21">H37=X37</f>
        <v>1</v>
      </c>
      <c r="AO37" s="61" t="b">
        <f t="shared" ref="AO37:AO50" si="22">I37=Y37</f>
        <v>1</v>
      </c>
      <c r="AP37" s="61" t="b">
        <f t="shared" ref="AP37:AP50" si="23">J37=Z37</f>
        <v>1</v>
      </c>
      <c r="AQ37" s="61" t="b">
        <f t="shared" ref="AQ37:AQ50" si="24">K37=AA37</f>
        <v>1</v>
      </c>
      <c r="AR37" s="61" t="b">
        <f t="shared" ref="AR37:AR50" si="25">L37=AB37</f>
        <v>1</v>
      </c>
      <c r="AS37" s="61" t="b">
        <f t="shared" ref="AS37:AS50" si="26">M37=AC37</f>
        <v>1</v>
      </c>
      <c r="AT37" s="61" t="b">
        <f t="shared" ref="AT37:AT50" si="27">N37=AD37</f>
        <v>1</v>
      </c>
      <c r="AU37" s="61" t="b">
        <f t="shared" ref="AU37:AU50" si="28">O37=AE37</f>
        <v>1</v>
      </c>
    </row>
    <row r="38" spans="1:47">
      <c r="A38" s="168" t="s">
        <v>34</v>
      </c>
      <c r="B38" s="183">
        <v>480</v>
      </c>
      <c r="C38" s="183">
        <v>0</v>
      </c>
      <c r="D38" s="183">
        <v>480</v>
      </c>
      <c r="E38" s="183">
        <v>480</v>
      </c>
      <c r="F38" s="183">
        <v>480</v>
      </c>
      <c r="G38" s="183">
        <v>480</v>
      </c>
      <c r="H38" s="183">
        <v>600</v>
      </c>
      <c r="I38" s="183">
        <v>0</v>
      </c>
      <c r="J38" s="183">
        <v>400</v>
      </c>
      <c r="K38" s="184">
        <v>600</v>
      </c>
      <c r="L38" s="185">
        <v>850</v>
      </c>
      <c r="M38" s="183">
        <v>900</v>
      </c>
      <c r="N38" s="183">
        <v>1150</v>
      </c>
      <c r="O38" s="184">
        <v>1200</v>
      </c>
      <c r="P38" s="5"/>
      <c r="Q38" s="60" t="s">
        <v>34</v>
      </c>
      <c r="R38" s="61">
        <v>480</v>
      </c>
      <c r="S38" s="61">
        <v>0</v>
      </c>
      <c r="T38" s="61">
        <v>480</v>
      </c>
      <c r="U38" s="61">
        <v>480</v>
      </c>
      <c r="V38" s="61">
        <v>480</v>
      </c>
      <c r="W38" s="61">
        <v>480</v>
      </c>
      <c r="X38" s="61">
        <v>600</v>
      </c>
      <c r="Y38" s="61">
        <v>0</v>
      </c>
      <c r="Z38" s="61">
        <v>400</v>
      </c>
      <c r="AA38" s="62">
        <v>600</v>
      </c>
      <c r="AB38" s="63">
        <v>850</v>
      </c>
      <c r="AC38" s="63">
        <v>900</v>
      </c>
      <c r="AD38" s="63">
        <v>1150</v>
      </c>
      <c r="AE38" s="63">
        <v>1200</v>
      </c>
      <c r="AG38" s="60" t="s">
        <v>34</v>
      </c>
      <c r="AH38" s="61" t="b">
        <f t="shared" ref="AH38:AH50" si="29">B38=R38</f>
        <v>1</v>
      </c>
      <c r="AI38" s="61" t="b">
        <f t="shared" si="16"/>
        <v>1</v>
      </c>
      <c r="AJ38" s="61" t="b">
        <f t="shared" si="17"/>
        <v>1</v>
      </c>
      <c r="AK38" s="61" t="b">
        <f t="shared" si="18"/>
        <v>1</v>
      </c>
      <c r="AL38" s="61" t="b">
        <f t="shared" si="19"/>
        <v>1</v>
      </c>
      <c r="AM38" s="61" t="b">
        <f t="shared" si="20"/>
        <v>1</v>
      </c>
      <c r="AN38" s="61" t="b">
        <f t="shared" si="21"/>
        <v>1</v>
      </c>
      <c r="AO38" s="61" t="b">
        <f t="shared" si="22"/>
        <v>1</v>
      </c>
      <c r="AP38" s="61" t="b">
        <f t="shared" si="23"/>
        <v>1</v>
      </c>
      <c r="AQ38" s="61" t="b">
        <f t="shared" si="24"/>
        <v>1</v>
      </c>
      <c r="AR38" s="61" t="b">
        <f t="shared" si="25"/>
        <v>1</v>
      </c>
      <c r="AS38" s="61" t="b">
        <f t="shared" si="26"/>
        <v>1</v>
      </c>
      <c r="AT38" s="61" t="b">
        <f t="shared" si="27"/>
        <v>1</v>
      </c>
      <c r="AU38" s="61" t="b">
        <f t="shared" si="28"/>
        <v>1</v>
      </c>
    </row>
    <row r="39" spans="1:47">
      <c r="A39" s="168" t="s">
        <v>35</v>
      </c>
      <c r="B39" s="183">
        <v>600</v>
      </c>
      <c r="C39" s="183">
        <v>480</v>
      </c>
      <c r="D39" s="183">
        <v>0</v>
      </c>
      <c r="E39" s="183">
        <v>480</v>
      </c>
      <c r="F39" s="183">
        <v>480</v>
      </c>
      <c r="G39" s="183">
        <v>480</v>
      </c>
      <c r="H39" s="183">
        <v>600</v>
      </c>
      <c r="I39" s="183">
        <v>0</v>
      </c>
      <c r="J39" s="183">
        <v>400</v>
      </c>
      <c r="K39" s="184">
        <v>600</v>
      </c>
      <c r="L39" s="185">
        <v>850</v>
      </c>
      <c r="M39" s="183">
        <v>900</v>
      </c>
      <c r="N39" s="183">
        <v>1150</v>
      </c>
      <c r="O39" s="184">
        <v>1200</v>
      </c>
      <c r="P39" s="5"/>
      <c r="Q39" s="60" t="s">
        <v>35</v>
      </c>
      <c r="R39" s="61">
        <v>600</v>
      </c>
      <c r="S39" s="61">
        <v>480</v>
      </c>
      <c r="T39" s="61">
        <v>0</v>
      </c>
      <c r="U39" s="61">
        <v>480</v>
      </c>
      <c r="V39" s="61">
        <v>480</v>
      </c>
      <c r="W39" s="61">
        <v>480</v>
      </c>
      <c r="X39" s="61">
        <v>600</v>
      </c>
      <c r="Y39" s="61">
        <v>0</v>
      </c>
      <c r="Z39" s="61">
        <v>400</v>
      </c>
      <c r="AA39" s="62">
        <v>600</v>
      </c>
      <c r="AB39" s="63">
        <v>850</v>
      </c>
      <c r="AC39" s="63">
        <v>900</v>
      </c>
      <c r="AD39" s="63">
        <v>1150</v>
      </c>
      <c r="AE39" s="63">
        <v>1200</v>
      </c>
      <c r="AG39" s="60" t="s">
        <v>35</v>
      </c>
      <c r="AH39" s="61" t="b">
        <f t="shared" si="29"/>
        <v>1</v>
      </c>
      <c r="AI39" s="61" t="b">
        <f t="shared" si="16"/>
        <v>1</v>
      </c>
      <c r="AJ39" s="61" t="b">
        <f t="shared" si="17"/>
        <v>1</v>
      </c>
      <c r="AK39" s="61" t="b">
        <f t="shared" si="18"/>
        <v>1</v>
      </c>
      <c r="AL39" s="61" t="b">
        <f t="shared" si="19"/>
        <v>1</v>
      </c>
      <c r="AM39" s="61" t="b">
        <f t="shared" si="20"/>
        <v>1</v>
      </c>
      <c r="AN39" s="61" t="b">
        <f t="shared" si="21"/>
        <v>1</v>
      </c>
      <c r="AO39" s="61" t="b">
        <f t="shared" si="22"/>
        <v>1</v>
      </c>
      <c r="AP39" s="61" t="b">
        <f t="shared" si="23"/>
        <v>1</v>
      </c>
      <c r="AQ39" s="61" t="b">
        <f t="shared" si="24"/>
        <v>1</v>
      </c>
      <c r="AR39" s="61" t="b">
        <f t="shared" si="25"/>
        <v>1</v>
      </c>
      <c r="AS39" s="61" t="b">
        <f t="shared" si="26"/>
        <v>1</v>
      </c>
      <c r="AT39" s="61" t="b">
        <f t="shared" si="27"/>
        <v>1</v>
      </c>
      <c r="AU39" s="61" t="b">
        <f t="shared" si="28"/>
        <v>1</v>
      </c>
    </row>
    <row r="40" spans="1:47">
      <c r="A40" s="168" t="s">
        <v>36</v>
      </c>
      <c r="B40" s="183">
        <v>600</v>
      </c>
      <c r="C40" s="183">
        <v>480</v>
      </c>
      <c r="D40" s="183">
        <v>480</v>
      </c>
      <c r="E40" s="183">
        <v>0</v>
      </c>
      <c r="F40" s="183">
        <v>480</v>
      </c>
      <c r="G40" s="183">
        <v>480</v>
      </c>
      <c r="H40" s="183">
        <v>480</v>
      </c>
      <c r="I40" s="183">
        <v>0</v>
      </c>
      <c r="J40" s="183">
        <v>350</v>
      </c>
      <c r="K40" s="184">
        <v>600</v>
      </c>
      <c r="L40" s="185">
        <v>850</v>
      </c>
      <c r="M40" s="183">
        <v>900</v>
      </c>
      <c r="N40" s="183">
        <v>1150</v>
      </c>
      <c r="O40" s="184">
        <v>1200</v>
      </c>
      <c r="P40" s="5"/>
      <c r="Q40" s="60" t="s">
        <v>36</v>
      </c>
      <c r="R40" s="61">
        <v>600</v>
      </c>
      <c r="S40" s="61">
        <v>480</v>
      </c>
      <c r="T40" s="61">
        <v>480</v>
      </c>
      <c r="U40" s="61">
        <v>0</v>
      </c>
      <c r="V40" s="61">
        <v>480</v>
      </c>
      <c r="W40" s="61">
        <v>480</v>
      </c>
      <c r="X40" s="61">
        <v>480</v>
      </c>
      <c r="Y40" s="61">
        <v>0</v>
      </c>
      <c r="Z40" s="61">
        <v>350</v>
      </c>
      <c r="AA40" s="62">
        <v>600</v>
      </c>
      <c r="AB40" s="63">
        <v>850</v>
      </c>
      <c r="AC40" s="63">
        <v>900</v>
      </c>
      <c r="AD40" s="63">
        <v>1150</v>
      </c>
      <c r="AE40" s="63">
        <v>1200</v>
      </c>
      <c r="AG40" s="60" t="s">
        <v>36</v>
      </c>
      <c r="AH40" s="61" t="b">
        <f t="shared" si="29"/>
        <v>1</v>
      </c>
      <c r="AI40" s="61" t="b">
        <f t="shared" si="16"/>
        <v>1</v>
      </c>
      <c r="AJ40" s="61" t="b">
        <f t="shared" si="17"/>
        <v>1</v>
      </c>
      <c r="AK40" s="61" t="b">
        <f t="shared" si="18"/>
        <v>1</v>
      </c>
      <c r="AL40" s="61" t="b">
        <f t="shared" si="19"/>
        <v>1</v>
      </c>
      <c r="AM40" s="61" t="b">
        <f t="shared" si="20"/>
        <v>1</v>
      </c>
      <c r="AN40" s="61" t="b">
        <f t="shared" si="21"/>
        <v>1</v>
      </c>
      <c r="AO40" s="61" t="b">
        <f t="shared" si="22"/>
        <v>1</v>
      </c>
      <c r="AP40" s="61" t="b">
        <f t="shared" si="23"/>
        <v>1</v>
      </c>
      <c r="AQ40" s="61" t="b">
        <f t="shared" si="24"/>
        <v>1</v>
      </c>
      <c r="AR40" s="61" t="b">
        <f t="shared" si="25"/>
        <v>1</v>
      </c>
      <c r="AS40" s="61" t="b">
        <f t="shared" si="26"/>
        <v>1</v>
      </c>
      <c r="AT40" s="61" t="b">
        <f t="shared" si="27"/>
        <v>1</v>
      </c>
      <c r="AU40" s="61" t="b">
        <f t="shared" si="28"/>
        <v>1</v>
      </c>
    </row>
    <row r="41" spans="1:47">
      <c r="A41" s="168" t="s">
        <v>37</v>
      </c>
      <c r="B41" s="183">
        <v>600</v>
      </c>
      <c r="C41" s="183">
        <v>480</v>
      </c>
      <c r="D41" s="183">
        <v>480</v>
      </c>
      <c r="E41" s="183">
        <v>480</v>
      </c>
      <c r="F41" s="183">
        <v>0</v>
      </c>
      <c r="G41" s="183">
        <v>480</v>
      </c>
      <c r="H41" s="183">
        <v>480</v>
      </c>
      <c r="I41" s="183">
        <v>0</v>
      </c>
      <c r="J41" s="183">
        <v>300</v>
      </c>
      <c r="K41" s="184">
        <v>530</v>
      </c>
      <c r="L41" s="185">
        <v>800</v>
      </c>
      <c r="M41" s="183">
        <v>850</v>
      </c>
      <c r="N41" s="183">
        <v>1100</v>
      </c>
      <c r="O41" s="184">
        <v>1150</v>
      </c>
      <c r="P41" s="5"/>
      <c r="Q41" s="60" t="s">
        <v>37</v>
      </c>
      <c r="R41" s="61">
        <v>600</v>
      </c>
      <c r="S41" s="61">
        <v>480</v>
      </c>
      <c r="T41" s="61">
        <v>480</v>
      </c>
      <c r="U41" s="61">
        <v>480</v>
      </c>
      <c r="V41" s="61">
        <v>0</v>
      </c>
      <c r="W41" s="61">
        <v>480</v>
      </c>
      <c r="X41" s="61">
        <v>480</v>
      </c>
      <c r="Y41" s="61">
        <v>0</v>
      </c>
      <c r="Z41" s="61">
        <v>300</v>
      </c>
      <c r="AA41" s="62">
        <v>530</v>
      </c>
      <c r="AB41" s="63">
        <v>800</v>
      </c>
      <c r="AC41" s="63">
        <v>850</v>
      </c>
      <c r="AD41" s="63">
        <v>1100</v>
      </c>
      <c r="AE41" s="63">
        <v>1150</v>
      </c>
      <c r="AG41" s="60" t="s">
        <v>37</v>
      </c>
      <c r="AH41" s="61" t="b">
        <f t="shared" si="29"/>
        <v>1</v>
      </c>
      <c r="AI41" s="61" t="b">
        <f t="shared" si="16"/>
        <v>1</v>
      </c>
      <c r="AJ41" s="61" t="b">
        <f t="shared" si="17"/>
        <v>1</v>
      </c>
      <c r="AK41" s="61" t="b">
        <f t="shared" si="18"/>
        <v>1</v>
      </c>
      <c r="AL41" s="61" t="b">
        <f t="shared" si="19"/>
        <v>1</v>
      </c>
      <c r="AM41" s="61" t="b">
        <f t="shared" si="20"/>
        <v>1</v>
      </c>
      <c r="AN41" s="61" t="b">
        <f t="shared" si="21"/>
        <v>1</v>
      </c>
      <c r="AO41" s="61" t="b">
        <f t="shared" si="22"/>
        <v>1</v>
      </c>
      <c r="AP41" s="61" t="b">
        <f t="shared" si="23"/>
        <v>1</v>
      </c>
      <c r="AQ41" s="61" t="b">
        <f t="shared" si="24"/>
        <v>1</v>
      </c>
      <c r="AR41" s="61" t="b">
        <f t="shared" si="25"/>
        <v>1</v>
      </c>
      <c r="AS41" s="61" t="b">
        <f t="shared" si="26"/>
        <v>1</v>
      </c>
      <c r="AT41" s="61" t="b">
        <f t="shared" si="27"/>
        <v>1</v>
      </c>
      <c r="AU41" s="61" t="b">
        <f t="shared" si="28"/>
        <v>1</v>
      </c>
    </row>
    <row r="42" spans="1:47">
      <c r="A42" s="168" t="s">
        <v>38</v>
      </c>
      <c r="B42" s="183">
        <v>600</v>
      </c>
      <c r="C42" s="183">
        <v>480</v>
      </c>
      <c r="D42" s="183">
        <v>480</v>
      </c>
      <c r="E42" s="183">
        <v>480</v>
      </c>
      <c r="F42" s="183">
        <v>480</v>
      </c>
      <c r="G42" s="183">
        <v>0</v>
      </c>
      <c r="H42" s="183">
        <v>480</v>
      </c>
      <c r="I42" s="183">
        <v>0</v>
      </c>
      <c r="J42" s="183">
        <v>300</v>
      </c>
      <c r="K42" s="184">
        <v>530</v>
      </c>
      <c r="L42" s="185">
        <v>800</v>
      </c>
      <c r="M42" s="183">
        <v>850</v>
      </c>
      <c r="N42" s="183">
        <v>1100</v>
      </c>
      <c r="O42" s="184">
        <v>1150</v>
      </c>
      <c r="P42" s="5"/>
      <c r="Q42" s="60" t="s">
        <v>38</v>
      </c>
      <c r="R42" s="61">
        <v>600</v>
      </c>
      <c r="S42" s="61">
        <v>480</v>
      </c>
      <c r="T42" s="61">
        <v>480</v>
      </c>
      <c r="U42" s="61">
        <v>480</v>
      </c>
      <c r="V42" s="61">
        <v>480</v>
      </c>
      <c r="W42" s="61">
        <v>0</v>
      </c>
      <c r="X42" s="61">
        <v>480</v>
      </c>
      <c r="Y42" s="61">
        <v>0</v>
      </c>
      <c r="Z42" s="61">
        <v>300</v>
      </c>
      <c r="AA42" s="62">
        <v>530</v>
      </c>
      <c r="AB42" s="63">
        <v>800</v>
      </c>
      <c r="AC42" s="63">
        <v>850</v>
      </c>
      <c r="AD42" s="63">
        <v>1100</v>
      </c>
      <c r="AE42" s="63">
        <v>1150</v>
      </c>
      <c r="AG42" s="60" t="s">
        <v>38</v>
      </c>
      <c r="AH42" s="61" t="b">
        <f t="shared" si="29"/>
        <v>1</v>
      </c>
      <c r="AI42" s="61" t="b">
        <f t="shared" si="16"/>
        <v>1</v>
      </c>
      <c r="AJ42" s="61" t="b">
        <f t="shared" si="17"/>
        <v>1</v>
      </c>
      <c r="AK42" s="61" t="b">
        <f t="shared" si="18"/>
        <v>1</v>
      </c>
      <c r="AL42" s="61" t="b">
        <f t="shared" si="19"/>
        <v>1</v>
      </c>
      <c r="AM42" s="61" t="b">
        <f t="shared" si="20"/>
        <v>1</v>
      </c>
      <c r="AN42" s="61" t="b">
        <f t="shared" si="21"/>
        <v>1</v>
      </c>
      <c r="AO42" s="61" t="b">
        <f t="shared" si="22"/>
        <v>1</v>
      </c>
      <c r="AP42" s="61" t="b">
        <f t="shared" si="23"/>
        <v>1</v>
      </c>
      <c r="AQ42" s="61" t="b">
        <f t="shared" si="24"/>
        <v>1</v>
      </c>
      <c r="AR42" s="61" t="b">
        <f t="shared" si="25"/>
        <v>1</v>
      </c>
      <c r="AS42" s="61" t="b">
        <f t="shared" si="26"/>
        <v>1</v>
      </c>
      <c r="AT42" s="61" t="b">
        <f t="shared" si="27"/>
        <v>1</v>
      </c>
      <c r="AU42" s="61" t="b">
        <f t="shared" si="28"/>
        <v>1</v>
      </c>
    </row>
    <row r="43" spans="1:47">
      <c r="A43" s="168" t="s">
        <v>39</v>
      </c>
      <c r="B43" s="183">
        <v>600</v>
      </c>
      <c r="C43" s="183">
        <v>600</v>
      </c>
      <c r="D43" s="183">
        <v>600</v>
      </c>
      <c r="E43" s="183">
        <v>480</v>
      </c>
      <c r="F43" s="183">
        <v>480</v>
      </c>
      <c r="G43" s="183">
        <v>480</v>
      </c>
      <c r="H43" s="183">
        <v>0</v>
      </c>
      <c r="I43" s="183">
        <v>0</v>
      </c>
      <c r="J43" s="183">
        <v>300</v>
      </c>
      <c r="K43" s="184">
        <v>480</v>
      </c>
      <c r="L43" s="185">
        <v>750</v>
      </c>
      <c r="M43" s="183">
        <v>800</v>
      </c>
      <c r="N43" s="183">
        <v>1050</v>
      </c>
      <c r="O43" s="184">
        <v>1100</v>
      </c>
      <c r="P43" s="5"/>
      <c r="Q43" s="60" t="s">
        <v>39</v>
      </c>
      <c r="R43" s="61">
        <v>600</v>
      </c>
      <c r="S43" s="61">
        <v>600</v>
      </c>
      <c r="T43" s="61">
        <v>600</v>
      </c>
      <c r="U43" s="61">
        <v>480</v>
      </c>
      <c r="V43" s="61">
        <v>480</v>
      </c>
      <c r="W43" s="61">
        <v>480</v>
      </c>
      <c r="X43" s="61">
        <v>0</v>
      </c>
      <c r="Y43" s="61">
        <v>0</v>
      </c>
      <c r="Z43" s="61">
        <v>300</v>
      </c>
      <c r="AA43" s="62">
        <v>480</v>
      </c>
      <c r="AB43" s="63">
        <v>750</v>
      </c>
      <c r="AC43" s="63">
        <v>800</v>
      </c>
      <c r="AD43" s="63">
        <v>1050</v>
      </c>
      <c r="AE43" s="63">
        <v>1100</v>
      </c>
      <c r="AG43" s="60" t="s">
        <v>39</v>
      </c>
      <c r="AH43" s="61" t="b">
        <f t="shared" si="29"/>
        <v>1</v>
      </c>
      <c r="AI43" s="61" t="b">
        <f t="shared" si="16"/>
        <v>1</v>
      </c>
      <c r="AJ43" s="61" t="b">
        <f t="shared" si="17"/>
        <v>1</v>
      </c>
      <c r="AK43" s="61" t="b">
        <f t="shared" si="18"/>
        <v>1</v>
      </c>
      <c r="AL43" s="61" t="b">
        <f t="shared" si="19"/>
        <v>1</v>
      </c>
      <c r="AM43" s="61" t="b">
        <f t="shared" si="20"/>
        <v>1</v>
      </c>
      <c r="AN43" s="61" t="b">
        <f t="shared" si="21"/>
        <v>1</v>
      </c>
      <c r="AO43" s="61" t="b">
        <f t="shared" si="22"/>
        <v>1</v>
      </c>
      <c r="AP43" s="61" t="b">
        <f t="shared" si="23"/>
        <v>1</v>
      </c>
      <c r="AQ43" s="61" t="b">
        <f t="shared" si="24"/>
        <v>1</v>
      </c>
      <c r="AR43" s="61" t="b">
        <f t="shared" si="25"/>
        <v>1</v>
      </c>
      <c r="AS43" s="61" t="b">
        <f t="shared" si="26"/>
        <v>1</v>
      </c>
      <c r="AT43" s="61" t="b">
        <f t="shared" si="27"/>
        <v>1</v>
      </c>
      <c r="AU43" s="61" t="b">
        <f t="shared" si="28"/>
        <v>1</v>
      </c>
    </row>
    <row r="44" spans="1:47">
      <c r="A44" s="168" t="s">
        <v>40</v>
      </c>
      <c r="B44" s="183">
        <v>0</v>
      </c>
      <c r="C44" s="183">
        <v>0</v>
      </c>
      <c r="D44" s="183">
        <v>0</v>
      </c>
      <c r="E44" s="183">
        <v>0</v>
      </c>
      <c r="F44" s="183">
        <v>0</v>
      </c>
      <c r="G44" s="183">
        <v>0</v>
      </c>
      <c r="H44" s="183">
        <v>0</v>
      </c>
      <c r="I44" s="183">
        <v>0</v>
      </c>
      <c r="J44" s="183">
        <v>0</v>
      </c>
      <c r="K44" s="184">
        <v>0</v>
      </c>
      <c r="L44" s="185">
        <v>0</v>
      </c>
      <c r="M44" s="183">
        <v>0</v>
      </c>
      <c r="N44" s="183">
        <v>0</v>
      </c>
      <c r="O44" s="184">
        <v>0</v>
      </c>
      <c r="P44" s="5"/>
      <c r="Q44" s="60" t="s">
        <v>40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2">
        <v>500</v>
      </c>
      <c r="AB44" s="63">
        <v>0</v>
      </c>
      <c r="AC44" s="63">
        <v>0</v>
      </c>
      <c r="AD44" s="63">
        <v>0</v>
      </c>
      <c r="AE44" s="63">
        <v>0</v>
      </c>
      <c r="AG44" s="60" t="s">
        <v>40</v>
      </c>
      <c r="AH44" s="61" t="b">
        <f t="shared" si="29"/>
        <v>1</v>
      </c>
      <c r="AI44" s="61" t="b">
        <f t="shared" si="16"/>
        <v>1</v>
      </c>
      <c r="AJ44" s="61" t="b">
        <f t="shared" si="17"/>
        <v>1</v>
      </c>
      <c r="AK44" s="61" t="b">
        <f t="shared" si="18"/>
        <v>1</v>
      </c>
      <c r="AL44" s="61" t="b">
        <f t="shared" si="19"/>
        <v>1</v>
      </c>
      <c r="AM44" s="61" t="b">
        <f t="shared" si="20"/>
        <v>1</v>
      </c>
      <c r="AN44" s="61" t="b">
        <f t="shared" si="21"/>
        <v>1</v>
      </c>
      <c r="AO44" s="61" t="b">
        <f t="shared" si="22"/>
        <v>1</v>
      </c>
      <c r="AP44" s="61" t="b">
        <f t="shared" si="23"/>
        <v>1</v>
      </c>
      <c r="AQ44" s="61" t="b">
        <f t="shared" si="24"/>
        <v>0</v>
      </c>
      <c r="AR44" s="61" t="b">
        <f t="shared" si="25"/>
        <v>1</v>
      </c>
      <c r="AS44" s="61" t="b">
        <f t="shared" si="26"/>
        <v>1</v>
      </c>
      <c r="AT44" s="61" t="b">
        <f t="shared" si="27"/>
        <v>1</v>
      </c>
      <c r="AU44" s="61" t="b">
        <f t="shared" si="28"/>
        <v>1</v>
      </c>
    </row>
    <row r="45" spans="1:47">
      <c r="A45" s="168" t="s">
        <v>41</v>
      </c>
      <c r="B45" s="183">
        <v>450</v>
      </c>
      <c r="C45" s="183">
        <v>400</v>
      </c>
      <c r="D45" s="183">
        <v>400</v>
      </c>
      <c r="E45" s="183">
        <v>350</v>
      </c>
      <c r="F45" s="183">
        <v>300</v>
      </c>
      <c r="G45" s="183">
        <v>300</v>
      </c>
      <c r="H45" s="183">
        <v>300</v>
      </c>
      <c r="I45" s="183">
        <v>0</v>
      </c>
      <c r="J45" s="183">
        <v>0</v>
      </c>
      <c r="K45" s="184">
        <v>300</v>
      </c>
      <c r="L45" s="185">
        <v>650</v>
      </c>
      <c r="M45" s="183">
        <v>700</v>
      </c>
      <c r="N45" s="183">
        <v>1000</v>
      </c>
      <c r="O45" s="184">
        <v>1050</v>
      </c>
      <c r="P45" s="5"/>
      <c r="Q45" s="60" t="s">
        <v>41</v>
      </c>
      <c r="R45" s="61">
        <v>450</v>
      </c>
      <c r="S45" s="61">
        <v>400</v>
      </c>
      <c r="T45" s="61">
        <v>400</v>
      </c>
      <c r="U45" s="61">
        <v>350</v>
      </c>
      <c r="V45" s="61">
        <v>300</v>
      </c>
      <c r="W45" s="61">
        <v>300</v>
      </c>
      <c r="X45" s="61">
        <v>300</v>
      </c>
      <c r="Y45" s="61">
        <v>0</v>
      </c>
      <c r="Z45" s="61">
        <v>0</v>
      </c>
      <c r="AA45" s="62">
        <v>300</v>
      </c>
      <c r="AB45" s="63">
        <v>650</v>
      </c>
      <c r="AC45" s="63">
        <v>700</v>
      </c>
      <c r="AD45" s="63">
        <v>1000</v>
      </c>
      <c r="AE45" s="63">
        <v>1050</v>
      </c>
      <c r="AG45" s="60" t="s">
        <v>41</v>
      </c>
      <c r="AH45" s="61" t="b">
        <f t="shared" si="29"/>
        <v>1</v>
      </c>
      <c r="AI45" s="61" t="b">
        <f t="shared" si="16"/>
        <v>1</v>
      </c>
      <c r="AJ45" s="61" t="b">
        <f t="shared" si="17"/>
        <v>1</v>
      </c>
      <c r="AK45" s="61" t="b">
        <f t="shared" si="18"/>
        <v>1</v>
      </c>
      <c r="AL45" s="61" t="b">
        <f t="shared" si="19"/>
        <v>1</v>
      </c>
      <c r="AM45" s="61" t="b">
        <f t="shared" si="20"/>
        <v>1</v>
      </c>
      <c r="AN45" s="61" t="b">
        <f t="shared" si="21"/>
        <v>1</v>
      </c>
      <c r="AO45" s="61" t="b">
        <f t="shared" si="22"/>
        <v>1</v>
      </c>
      <c r="AP45" s="61" t="b">
        <f t="shared" si="23"/>
        <v>1</v>
      </c>
      <c r="AQ45" s="61" t="b">
        <f t="shared" si="24"/>
        <v>1</v>
      </c>
      <c r="AR45" s="61" t="b">
        <f t="shared" si="25"/>
        <v>1</v>
      </c>
      <c r="AS45" s="61" t="b">
        <f t="shared" si="26"/>
        <v>1</v>
      </c>
      <c r="AT45" s="61" t="b">
        <f t="shared" si="27"/>
        <v>1</v>
      </c>
      <c r="AU45" s="61" t="b">
        <f t="shared" si="28"/>
        <v>1</v>
      </c>
    </row>
    <row r="46" spans="1:47" ht="16.5" thickBot="1">
      <c r="A46" s="172" t="s">
        <v>42</v>
      </c>
      <c r="B46" s="19">
        <v>750</v>
      </c>
      <c r="C46" s="19">
        <v>600</v>
      </c>
      <c r="D46" s="19">
        <v>600</v>
      </c>
      <c r="E46" s="19">
        <v>600</v>
      </c>
      <c r="F46" s="19">
        <v>530</v>
      </c>
      <c r="G46" s="19">
        <v>530</v>
      </c>
      <c r="H46" s="19">
        <v>480</v>
      </c>
      <c r="I46" s="19">
        <v>0</v>
      </c>
      <c r="J46" s="19">
        <v>300</v>
      </c>
      <c r="K46" s="186">
        <v>0</v>
      </c>
      <c r="L46" s="185">
        <v>350</v>
      </c>
      <c r="M46" s="183">
        <v>400</v>
      </c>
      <c r="N46" s="183">
        <v>700</v>
      </c>
      <c r="O46" s="184">
        <v>750</v>
      </c>
      <c r="P46" s="5"/>
      <c r="Q46" s="64" t="s">
        <v>42</v>
      </c>
      <c r="R46" s="174">
        <v>750</v>
      </c>
      <c r="S46" s="174">
        <v>600</v>
      </c>
      <c r="T46" s="174">
        <v>600</v>
      </c>
      <c r="U46" s="174">
        <v>600</v>
      </c>
      <c r="V46" s="174">
        <v>530</v>
      </c>
      <c r="W46" s="174">
        <v>530</v>
      </c>
      <c r="X46" s="174">
        <v>480</v>
      </c>
      <c r="Y46" s="174">
        <v>500</v>
      </c>
      <c r="Z46" s="174">
        <v>300</v>
      </c>
      <c r="AA46" s="65">
        <v>0</v>
      </c>
      <c r="AB46" s="63">
        <v>350</v>
      </c>
      <c r="AC46" s="63">
        <v>400</v>
      </c>
      <c r="AD46" s="63">
        <v>700</v>
      </c>
      <c r="AE46" s="63">
        <v>750</v>
      </c>
      <c r="AG46" s="64" t="s">
        <v>42</v>
      </c>
      <c r="AH46" s="61" t="b">
        <f t="shared" si="29"/>
        <v>1</v>
      </c>
      <c r="AI46" s="61" t="b">
        <f t="shared" si="16"/>
        <v>1</v>
      </c>
      <c r="AJ46" s="61" t="b">
        <f t="shared" si="17"/>
        <v>1</v>
      </c>
      <c r="AK46" s="61" t="b">
        <f t="shared" si="18"/>
        <v>1</v>
      </c>
      <c r="AL46" s="61" t="b">
        <f t="shared" si="19"/>
        <v>1</v>
      </c>
      <c r="AM46" s="61" t="b">
        <f t="shared" si="20"/>
        <v>1</v>
      </c>
      <c r="AN46" s="61" t="b">
        <f t="shared" si="21"/>
        <v>1</v>
      </c>
      <c r="AO46" s="61" t="b">
        <f t="shared" si="22"/>
        <v>0</v>
      </c>
      <c r="AP46" s="61" t="b">
        <f t="shared" si="23"/>
        <v>1</v>
      </c>
      <c r="AQ46" s="61" t="b">
        <f t="shared" si="24"/>
        <v>1</v>
      </c>
      <c r="AR46" s="61" t="b">
        <f t="shared" si="25"/>
        <v>1</v>
      </c>
      <c r="AS46" s="61" t="b">
        <f t="shared" si="26"/>
        <v>1</v>
      </c>
      <c r="AT46" s="61" t="b">
        <f t="shared" si="27"/>
        <v>1</v>
      </c>
      <c r="AU46" s="61" t="b">
        <f t="shared" si="28"/>
        <v>1</v>
      </c>
    </row>
    <row r="47" spans="1:47">
      <c r="A47" s="10" t="s">
        <v>43</v>
      </c>
      <c r="B47" s="187">
        <v>950</v>
      </c>
      <c r="C47" s="187">
        <v>850</v>
      </c>
      <c r="D47" s="187">
        <v>850</v>
      </c>
      <c r="E47" s="187">
        <v>850</v>
      </c>
      <c r="F47" s="187">
        <v>800</v>
      </c>
      <c r="G47" s="187">
        <v>800</v>
      </c>
      <c r="H47" s="187">
        <v>750</v>
      </c>
      <c r="I47" s="187">
        <v>0</v>
      </c>
      <c r="J47" s="187">
        <v>650</v>
      </c>
      <c r="K47" s="187">
        <v>350</v>
      </c>
      <c r="L47" s="183">
        <v>0</v>
      </c>
      <c r="M47" s="183">
        <v>300</v>
      </c>
      <c r="N47" s="183">
        <v>650</v>
      </c>
      <c r="O47" s="184">
        <v>700</v>
      </c>
      <c r="P47" s="5"/>
      <c r="Q47" s="66" t="s">
        <v>43</v>
      </c>
      <c r="R47" s="67">
        <v>950</v>
      </c>
      <c r="S47" s="67">
        <v>850</v>
      </c>
      <c r="T47" s="67">
        <v>850</v>
      </c>
      <c r="U47" s="67">
        <v>850</v>
      </c>
      <c r="V47" s="67">
        <v>800</v>
      </c>
      <c r="W47" s="67">
        <v>800</v>
      </c>
      <c r="X47" s="67">
        <v>750</v>
      </c>
      <c r="Y47" s="67">
        <v>0</v>
      </c>
      <c r="Z47" s="67">
        <v>650</v>
      </c>
      <c r="AA47" s="67">
        <v>350</v>
      </c>
      <c r="AB47" s="63">
        <v>0</v>
      </c>
      <c r="AC47" s="63">
        <v>300</v>
      </c>
      <c r="AD47" s="63">
        <v>650</v>
      </c>
      <c r="AE47" s="63">
        <v>700</v>
      </c>
      <c r="AG47" s="66" t="s">
        <v>43</v>
      </c>
      <c r="AH47" s="61" t="b">
        <f t="shared" si="29"/>
        <v>1</v>
      </c>
      <c r="AI47" s="61" t="b">
        <f t="shared" si="16"/>
        <v>1</v>
      </c>
      <c r="AJ47" s="61" t="b">
        <f t="shared" si="17"/>
        <v>1</v>
      </c>
      <c r="AK47" s="61" t="b">
        <f t="shared" si="18"/>
        <v>1</v>
      </c>
      <c r="AL47" s="61" t="b">
        <f t="shared" si="19"/>
        <v>1</v>
      </c>
      <c r="AM47" s="61" t="b">
        <f t="shared" si="20"/>
        <v>1</v>
      </c>
      <c r="AN47" s="61" t="b">
        <f t="shared" si="21"/>
        <v>1</v>
      </c>
      <c r="AO47" s="61" t="b">
        <f t="shared" si="22"/>
        <v>1</v>
      </c>
      <c r="AP47" s="61" t="b">
        <f t="shared" si="23"/>
        <v>1</v>
      </c>
      <c r="AQ47" s="61" t="b">
        <f t="shared" si="24"/>
        <v>1</v>
      </c>
      <c r="AR47" s="61" t="b">
        <f t="shared" si="25"/>
        <v>1</v>
      </c>
      <c r="AS47" s="61" t="b">
        <f t="shared" si="26"/>
        <v>1</v>
      </c>
      <c r="AT47" s="61" t="b">
        <f t="shared" si="27"/>
        <v>1</v>
      </c>
      <c r="AU47" s="61" t="b">
        <f t="shared" si="28"/>
        <v>1</v>
      </c>
    </row>
    <row r="48" spans="1:47">
      <c r="A48" s="168" t="s">
        <v>44</v>
      </c>
      <c r="B48" s="188">
        <v>1000</v>
      </c>
      <c r="C48" s="188">
        <v>900</v>
      </c>
      <c r="D48" s="188">
        <v>900</v>
      </c>
      <c r="E48" s="188">
        <v>900</v>
      </c>
      <c r="F48" s="188">
        <v>850</v>
      </c>
      <c r="G48" s="188">
        <v>850</v>
      </c>
      <c r="H48" s="188">
        <v>800</v>
      </c>
      <c r="I48" s="188">
        <v>0</v>
      </c>
      <c r="J48" s="188">
        <v>700</v>
      </c>
      <c r="K48" s="188">
        <v>400</v>
      </c>
      <c r="L48" s="188">
        <v>300</v>
      </c>
      <c r="M48" s="188">
        <v>0</v>
      </c>
      <c r="N48" s="189">
        <v>300</v>
      </c>
      <c r="O48" s="190">
        <v>350</v>
      </c>
      <c r="P48" s="5"/>
      <c r="Q48" s="60" t="s">
        <v>44</v>
      </c>
      <c r="R48" s="67">
        <v>1000</v>
      </c>
      <c r="S48" s="67">
        <v>900</v>
      </c>
      <c r="T48" s="67">
        <v>900</v>
      </c>
      <c r="U48" s="67">
        <v>900</v>
      </c>
      <c r="V48" s="67">
        <v>850</v>
      </c>
      <c r="W48" s="67">
        <v>850</v>
      </c>
      <c r="X48" s="67">
        <v>800</v>
      </c>
      <c r="Y48" s="67">
        <v>0</v>
      </c>
      <c r="Z48" s="67">
        <v>700</v>
      </c>
      <c r="AA48" s="67">
        <v>400</v>
      </c>
      <c r="AB48" s="63">
        <v>300</v>
      </c>
      <c r="AC48" s="63">
        <v>0</v>
      </c>
      <c r="AD48" s="63">
        <v>300</v>
      </c>
      <c r="AE48" s="63">
        <v>350</v>
      </c>
      <c r="AG48" s="60" t="s">
        <v>44</v>
      </c>
      <c r="AH48" s="61" t="b">
        <f t="shared" si="29"/>
        <v>1</v>
      </c>
      <c r="AI48" s="61" t="b">
        <f t="shared" si="16"/>
        <v>1</v>
      </c>
      <c r="AJ48" s="61" t="b">
        <f t="shared" si="17"/>
        <v>1</v>
      </c>
      <c r="AK48" s="61" t="b">
        <f t="shared" si="18"/>
        <v>1</v>
      </c>
      <c r="AL48" s="61" t="b">
        <f t="shared" si="19"/>
        <v>1</v>
      </c>
      <c r="AM48" s="61" t="b">
        <f t="shared" si="20"/>
        <v>1</v>
      </c>
      <c r="AN48" s="61" t="b">
        <f t="shared" si="21"/>
        <v>1</v>
      </c>
      <c r="AO48" s="61" t="b">
        <f t="shared" si="22"/>
        <v>1</v>
      </c>
      <c r="AP48" s="61" t="b">
        <f t="shared" si="23"/>
        <v>1</v>
      </c>
      <c r="AQ48" s="61" t="b">
        <f t="shared" si="24"/>
        <v>1</v>
      </c>
      <c r="AR48" s="61" t="b">
        <f t="shared" si="25"/>
        <v>1</v>
      </c>
      <c r="AS48" s="61" t="b">
        <f t="shared" si="26"/>
        <v>1</v>
      </c>
      <c r="AT48" s="61" t="b">
        <f t="shared" si="27"/>
        <v>1</v>
      </c>
      <c r="AU48" s="61" t="b">
        <f t="shared" si="28"/>
        <v>1</v>
      </c>
    </row>
    <row r="49" spans="1:47">
      <c r="A49" s="168" t="s">
        <v>45</v>
      </c>
      <c r="B49" s="183">
        <v>1300</v>
      </c>
      <c r="C49" s="183">
        <v>1150</v>
      </c>
      <c r="D49" s="183">
        <v>1150</v>
      </c>
      <c r="E49" s="183">
        <v>1150</v>
      </c>
      <c r="F49" s="183">
        <v>1100</v>
      </c>
      <c r="G49" s="183">
        <v>1100</v>
      </c>
      <c r="H49" s="183">
        <v>1050</v>
      </c>
      <c r="I49" s="183">
        <v>0</v>
      </c>
      <c r="J49" s="183">
        <v>1000</v>
      </c>
      <c r="K49" s="183">
        <v>700</v>
      </c>
      <c r="L49" s="183">
        <v>650</v>
      </c>
      <c r="M49" s="191">
        <v>300</v>
      </c>
      <c r="N49" s="183">
        <v>0</v>
      </c>
      <c r="O49" s="184">
        <v>300</v>
      </c>
      <c r="P49" s="5"/>
      <c r="Q49" s="60" t="s">
        <v>45</v>
      </c>
      <c r="R49" s="67">
        <v>1300</v>
      </c>
      <c r="S49" s="67">
        <v>1150</v>
      </c>
      <c r="T49" s="67">
        <v>1150</v>
      </c>
      <c r="U49" s="67">
        <v>1150</v>
      </c>
      <c r="V49" s="67">
        <v>1100</v>
      </c>
      <c r="W49" s="67">
        <v>1100</v>
      </c>
      <c r="X49" s="67">
        <v>1050</v>
      </c>
      <c r="Y49" s="67">
        <v>0</v>
      </c>
      <c r="Z49" s="67">
        <v>1000</v>
      </c>
      <c r="AA49" s="67">
        <v>700</v>
      </c>
      <c r="AB49" s="63">
        <v>650</v>
      </c>
      <c r="AC49" s="63">
        <v>300</v>
      </c>
      <c r="AD49" s="63">
        <v>0</v>
      </c>
      <c r="AE49" s="63">
        <v>300</v>
      </c>
      <c r="AG49" s="60" t="s">
        <v>45</v>
      </c>
      <c r="AH49" s="61" t="b">
        <f t="shared" si="29"/>
        <v>1</v>
      </c>
      <c r="AI49" s="61" t="b">
        <f t="shared" si="16"/>
        <v>1</v>
      </c>
      <c r="AJ49" s="61" t="b">
        <f t="shared" si="17"/>
        <v>1</v>
      </c>
      <c r="AK49" s="61" t="b">
        <f t="shared" si="18"/>
        <v>1</v>
      </c>
      <c r="AL49" s="61" t="b">
        <f t="shared" si="19"/>
        <v>1</v>
      </c>
      <c r="AM49" s="61" t="b">
        <f t="shared" si="20"/>
        <v>1</v>
      </c>
      <c r="AN49" s="61" t="b">
        <f t="shared" si="21"/>
        <v>1</v>
      </c>
      <c r="AO49" s="61" t="b">
        <f t="shared" si="22"/>
        <v>1</v>
      </c>
      <c r="AP49" s="61" t="b">
        <f t="shared" si="23"/>
        <v>1</v>
      </c>
      <c r="AQ49" s="61" t="b">
        <f t="shared" si="24"/>
        <v>1</v>
      </c>
      <c r="AR49" s="61" t="b">
        <f t="shared" si="25"/>
        <v>1</v>
      </c>
      <c r="AS49" s="61" t="b">
        <f t="shared" si="26"/>
        <v>1</v>
      </c>
      <c r="AT49" s="61" t="b">
        <f t="shared" si="27"/>
        <v>1</v>
      </c>
      <c r="AU49" s="61" t="b">
        <f t="shared" si="28"/>
        <v>1</v>
      </c>
    </row>
    <row r="50" spans="1:47" ht="16.5" thickBot="1">
      <c r="A50" s="172" t="s">
        <v>46</v>
      </c>
      <c r="B50" s="19">
        <v>1350</v>
      </c>
      <c r="C50" s="19">
        <v>1200</v>
      </c>
      <c r="D50" s="19">
        <v>1200</v>
      </c>
      <c r="E50" s="19">
        <v>1200</v>
      </c>
      <c r="F50" s="19">
        <v>1150</v>
      </c>
      <c r="G50" s="19">
        <v>1150</v>
      </c>
      <c r="H50" s="19">
        <v>1100</v>
      </c>
      <c r="I50" s="19">
        <v>0</v>
      </c>
      <c r="J50" s="19">
        <v>1050</v>
      </c>
      <c r="K50" s="19">
        <v>750</v>
      </c>
      <c r="L50" s="19">
        <v>700</v>
      </c>
      <c r="M50" s="41">
        <v>350</v>
      </c>
      <c r="N50" s="19">
        <v>300</v>
      </c>
      <c r="O50" s="186">
        <v>0</v>
      </c>
      <c r="P50" s="5"/>
      <c r="Q50" s="64" t="s">
        <v>46</v>
      </c>
      <c r="R50" s="67">
        <v>1350</v>
      </c>
      <c r="S50" s="67">
        <v>1200</v>
      </c>
      <c r="T50" s="67">
        <v>1200</v>
      </c>
      <c r="U50" s="67">
        <v>1200</v>
      </c>
      <c r="V50" s="67">
        <v>1150</v>
      </c>
      <c r="W50" s="67">
        <v>1150</v>
      </c>
      <c r="X50" s="67">
        <v>1100</v>
      </c>
      <c r="Y50" s="67">
        <v>0</v>
      </c>
      <c r="Z50" s="67">
        <v>1050</v>
      </c>
      <c r="AA50" s="67">
        <v>750</v>
      </c>
      <c r="AB50" s="63">
        <v>700</v>
      </c>
      <c r="AC50" s="63">
        <v>350</v>
      </c>
      <c r="AD50" s="63">
        <v>300</v>
      </c>
      <c r="AE50" s="63">
        <v>0</v>
      </c>
      <c r="AG50" s="64" t="s">
        <v>46</v>
      </c>
      <c r="AH50" s="61" t="b">
        <f t="shared" si="29"/>
        <v>1</v>
      </c>
      <c r="AI50" s="61" t="b">
        <f t="shared" si="16"/>
        <v>1</v>
      </c>
      <c r="AJ50" s="61" t="b">
        <f t="shared" si="17"/>
        <v>1</v>
      </c>
      <c r="AK50" s="61" t="b">
        <f t="shared" si="18"/>
        <v>1</v>
      </c>
      <c r="AL50" s="61" t="b">
        <f t="shared" si="19"/>
        <v>1</v>
      </c>
      <c r="AM50" s="61" t="b">
        <f t="shared" si="20"/>
        <v>1</v>
      </c>
      <c r="AN50" s="61" t="b">
        <f t="shared" si="21"/>
        <v>1</v>
      </c>
      <c r="AO50" s="61" t="b">
        <f t="shared" si="22"/>
        <v>1</v>
      </c>
      <c r="AP50" s="61" t="b">
        <f t="shared" si="23"/>
        <v>1</v>
      </c>
      <c r="AQ50" s="61" t="b">
        <f t="shared" si="24"/>
        <v>1</v>
      </c>
      <c r="AR50" s="61" t="b">
        <f t="shared" si="25"/>
        <v>1</v>
      </c>
      <c r="AS50" s="61" t="b">
        <f t="shared" si="26"/>
        <v>1</v>
      </c>
      <c r="AT50" s="61" t="b">
        <f t="shared" si="27"/>
        <v>1</v>
      </c>
      <c r="AU50" s="61" t="b">
        <f t="shared" si="28"/>
        <v>1</v>
      </c>
    </row>
    <row r="52" spans="1:47" ht="16.5" hidden="1" thickBot="1">
      <c r="A52" s="12" t="s">
        <v>50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/>
    </row>
    <row r="53" spans="1:47" ht="67.5" hidden="1">
      <c r="A53" s="6" t="s">
        <v>32</v>
      </c>
      <c r="B53" s="7" t="s">
        <v>33</v>
      </c>
      <c r="C53" s="7" t="s">
        <v>34</v>
      </c>
      <c r="D53" s="7" t="s">
        <v>35</v>
      </c>
      <c r="E53" s="7" t="s">
        <v>36</v>
      </c>
      <c r="F53" s="7" t="s">
        <v>37</v>
      </c>
      <c r="G53" s="7" t="s">
        <v>38</v>
      </c>
      <c r="H53" s="7" t="s">
        <v>39</v>
      </c>
      <c r="I53" s="7" t="s">
        <v>40</v>
      </c>
      <c r="J53" s="7" t="s">
        <v>41</v>
      </c>
      <c r="K53" s="8" t="s">
        <v>42</v>
      </c>
      <c r="L53" s="9" t="s">
        <v>43</v>
      </c>
      <c r="M53" s="7" t="s">
        <v>44</v>
      </c>
      <c r="N53" s="7" t="s">
        <v>45</v>
      </c>
      <c r="O53" s="8" t="s">
        <v>46</v>
      </c>
    </row>
    <row r="54" spans="1:47" hidden="1">
      <c r="A54" s="168" t="s">
        <v>33</v>
      </c>
      <c r="B54" s="192">
        <v>0</v>
      </c>
      <c r="C54" s="192">
        <v>250</v>
      </c>
      <c r="D54" s="192">
        <v>300</v>
      </c>
      <c r="E54" s="192">
        <v>300</v>
      </c>
      <c r="F54" s="192">
        <v>300</v>
      </c>
      <c r="G54" s="192">
        <v>300</v>
      </c>
      <c r="H54" s="192">
        <v>300</v>
      </c>
      <c r="I54" s="183">
        <v>0</v>
      </c>
      <c r="J54" s="183">
        <v>300</v>
      </c>
      <c r="K54" s="193">
        <v>400</v>
      </c>
      <c r="L54" s="194">
        <v>650</v>
      </c>
      <c r="M54" s="195">
        <v>650</v>
      </c>
      <c r="N54" s="196">
        <v>850</v>
      </c>
      <c r="O54" s="197">
        <v>850</v>
      </c>
    </row>
    <row r="55" spans="1:47" hidden="1">
      <c r="A55" s="168" t="s">
        <v>34</v>
      </c>
      <c r="B55" s="192">
        <v>250</v>
      </c>
      <c r="C55" s="192">
        <v>0</v>
      </c>
      <c r="D55" s="192">
        <v>250</v>
      </c>
      <c r="E55" s="192">
        <v>250</v>
      </c>
      <c r="F55" s="192">
        <v>250</v>
      </c>
      <c r="G55" s="192">
        <v>250</v>
      </c>
      <c r="H55" s="192">
        <v>300</v>
      </c>
      <c r="I55" s="183">
        <v>0</v>
      </c>
      <c r="J55" s="183">
        <v>250</v>
      </c>
      <c r="K55" s="193">
        <v>300</v>
      </c>
      <c r="L55" s="194">
        <v>550</v>
      </c>
      <c r="M55" s="195">
        <v>600</v>
      </c>
      <c r="N55" s="196">
        <v>750</v>
      </c>
      <c r="O55" s="197">
        <v>800</v>
      </c>
    </row>
    <row r="56" spans="1:47" hidden="1">
      <c r="A56" s="168" t="s">
        <v>35</v>
      </c>
      <c r="B56" s="192">
        <v>300</v>
      </c>
      <c r="C56" s="192">
        <v>250</v>
      </c>
      <c r="D56" s="192">
        <v>0</v>
      </c>
      <c r="E56" s="192">
        <v>250</v>
      </c>
      <c r="F56" s="192">
        <v>250</v>
      </c>
      <c r="G56" s="192">
        <v>250</v>
      </c>
      <c r="H56" s="192">
        <v>300</v>
      </c>
      <c r="I56" s="183">
        <v>0</v>
      </c>
      <c r="J56" s="183">
        <v>250</v>
      </c>
      <c r="K56" s="193">
        <v>300</v>
      </c>
      <c r="L56" s="194">
        <v>550</v>
      </c>
      <c r="M56" s="195">
        <v>600</v>
      </c>
      <c r="N56" s="196">
        <v>750</v>
      </c>
      <c r="O56" s="197">
        <v>800</v>
      </c>
    </row>
    <row r="57" spans="1:47" hidden="1">
      <c r="A57" s="168" t="s">
        <v>36</v>
      </c>
      <c r="B57" s="192">
        <v>300</v>
      </c>
      <c r="C57" s="192">
        <v>250</v>
      </c>
      <c r="D57" s="192">
        <v>250</v>
      </c>
      <c r="E57" s="192">
        <v>0</v>
      </c>
      <c r="F57" s="192">
        <v>250</v>
      </c>
      <c r="G57" s="192">
        <v>250</v>
      </c>
      <c r="H57" s="192">
        <v>250</v>
      </c>
      <c r="I57" s="183">
        <v>0</v>
      </c>
      <c r="J57" s="183">
        <v>250</v>
      </c>
      <c r="K57" s="193">
        <v>300</v>
      </c>
      <c r="L57" s="194">
        <v>550</v>
      </c>
      <c r="M57" s="195">
        <v>600</v>
      </c>
      <c r="N57" s="196">
        <v>750</v>
      </c>
      <c r="O57" s="197">
        <v>800</v>
      </c>
    </row>
    <row r="58" spans="1:47" hidden="1">
      <c r="A58" s="168" t="s">
        <v>37</v>
      </c>
      <c r="B58" s="192">
        <v>300</v>
      </c>
      <c r="C58" s="192">
        <v>250</v>
      </c>
      <c r="D58" s="192">
        <v>250</v>
      </c>
      <c r="E58" s="192">
        <v>250</v>
      </c>
      <c r="F58" s="192">
        <v>0</v>
      </c>
      <c r="G58" s="192">
        <v>250</v>
      </c>
      <c r="H58" s="192">
        <v>250</v>
      </c>
      <c r="I58" s="183">
        <v>0</v>
      </c>
      <c r="J58" s="183">
        <v>200</v>
      </c>
      <c r="K58" s="193">
        <v>300</v>
      </c>
      <c r="L58" s="194">
        <v>500</v>
      </c>
      <c r="M58" s="195">
        <v>550</v>
      </c>
      <c r="N58" s="196">
        <v>750</v>
      </c>
      <c r="O58" s="197">
        <v>750</v>
      </c>
    </row>
    <row r="59" spans="1:47" hidden="1">
      <c r="A59" s="168" t="s">
        <v>38</v>
      </c>
      <c r="B59" s="192">
        <v>300</v>
      </c>
      <c r="C59" s="192">
        <v>250</v>
      </c>
      <c r="D59" s="192">
        <v>250</v>
      </c>
      <c r="E59" s="192">
        <v>250</v>
      </c>
      <c r="F59" s="192">
        <v>250</v>
      </c>
      <c r="G59" s="192">
        <v>0</v>
      </c>
      <c r="H59" s="192">
        <v>250</v>
      </c>
      <c r="I59" s="183">
        <v>0</v>
      </c>
      <c r="J59" s="183">
        <v>200</v>
      </c>
      <c r="K59" s="193">
        <v>300</v>
      </c>
      <c r="L59" s="194">
        <v>500</v>
      </c>
      <c r="M59" s="195">
        <v>550</v>
      </c>
      <c r="N59" s="196">
        <v>750</v>
      </c>
      <c r="O59" s="197">
        <v>750</v>
      </c>
    </row>
    <row r="60" spans="1:47" hidden="1">
      <c r="A60" s="168" t="s">
        <v>39</v>
      </c>
      <c r="B60" s="192">
        <v>300</v>
      </c>
      <c r="C60" s="192">
        <v>300</v>
      </c>
      <c r="D60" s="192">
        <v>300</v>
      </c>
      <c r="E60" s="192">
        <v>250</v>
      </c>
      <c r="F60" s="192">
        <v>250</v>
      </c>
      <c r="G60" s="192">
        <v>250</v>
      </c>
      <c r="H60" s="192">
        <v>0</v>
      </c>
      <c r="I60" s="183">
        <v>0</v>
      </c>
      <c r="J60" s="183">
        <v>200</v>
      </c>
      <c r="K60" s="193">
        <v>250</v>
      </c>
      <c r="L60" s="194">
        <v>500</v>
      </c>
      <c r="M60" s="195">
        <v>500</v>
      </c>
      <c r="N60" s="196">
        <v>700</v>
      </c>
      <c r="O60" s="197">
        <v>750</v>
      </c>
    </row>
    <row r="61" spans="1:47" hidden="1">
      <c r="A61" s="168" t="s">
        <v>40</v>
      </c>
      <c r="B61" s="183">
        <v>0</v>
      </c>
      <c r="C61" s="183">
        <v>0</v>
      </c>
      <c r="D61" s="183">
        <v>0</v>
      </c>
      <c r="E61" s="183">
        <v>0</v>
      </c>
      <c r="F61" s="183">
        <v>0</v>
      </c>
      <c r="G61" s="183">
        <v>0</v>
      </c>
      <c r="H61" s="183">
        <v>0</v>
      </c>
      <c r="I61" s="183">
        <v>0</v>
      </c>
      <c r="J61" s="183">
        <v>0</v>
      </c>
      <c r="K61" s="184">
        <v>300</v>
      </c>
      <c r="L61" s="185">
        <v>0</v>
      </c>
      <c r="M61" s="195">
        <v>0</v>
      </c>
      <c r="N61" s="183">
        <v>0</v>
      </c>
      <c r="O61" s="184">
        <v>0</v>
      </c>
    </row>
    <row r="62" spans="1:47" hidden="1">
      <c r="A62" s="168" t="s">
        <v>41</v>
      </c>
      <c r="B62" s="183">
        <v>300</v>
      </c>
      <c r="C62" s="183">
        <v>250</v>
      </c>
      <c r="D62" s="183">
        <v>250</v>
      </c>
      <c r="E62" s="183">
        <v>250</v>
      </c>
      <c r="F62" s="183">
        <v>200</v>
      </c>
      <c r="G62" s="183">
        <v>200</v>
      </c>
      <c r="H62" s="183">
        <v>200</v>
      </c>
      <c r="I62" s="183">
        <v>0</v>
      </c>
      <c r="J62" s="183">
        <v>0</v>
      </c>
      <c r="K62" s="184">
        <v>200</v>
      </c>
      <c r="L62" s="185">
        <v>450</v>
      </c>
      <c r="M62" s="195">
        <v>450</v>
      </c>
      <c r="N62" s="183">
        <v>650</v>
      </c>
      <c r="O62" s="184">
        <v>700</v>
      </c>
    </row>
    <row r="63" spans="1:47" ht="16.5" hidden="1" thickBot="1">
      <c r="A63" s="172" t="s">
        <v>42</v>
      </c>
      <c r="B63" s="18">
        <v>400</v>
      </c>
      <c r="C63" s="18">
        <v>300</v>
      </c>
      <c r="D63" s="18">
        <v>300</v>
      </c>
      <c r="E63" s="18">
        <v>300</v>
      </c>
      <c r="F63" s="18">
        <v>300</v>
      </c>
      <c r="G63" s="18">
        <v>300</v>
      </c>
      <c r="H63" s="18">
        <v>250</v>
      </c>
      <c r="I63" s="19">
        <v>300</v>
      </c>
      <c r="J63" s="19">
        <v>200</v>
      </c>
      <c r="K63" s="198">
        <v>0</v>
      </c>
      <c r="L63" s="194">
        <v>250</v>
      </c>
      <c r="M63" s="195">
        <v>250</v>
      </c>
      <c r="N63" s="196">
        <v>450</v>
      </c>
      <c r="O63" s="197">
        <v>500</v>
      </c>
    </row>
    <row r="64" spans="1:47" hidden="1">
      <c r="A64" s="10" t="s">
        <v>43</v>
      </c>
      <c r="B64" s="199">
        <v>650</v>
      </c>
      <c r="C64" s="199">
        <v>550</v>
      </c>
      <c r="D64" s="199">
        <v>550</v>
      </c>
      <c r="E64" s="199">
        <v>550</v>
      </c>
      <c r="F64" s="199">
        <v>500</v>
      </c>
      <c r="G64" s="199">
        <v>500</v>
      </c>
      <c r="H64" s="199">
        <v>500</v>
      </c>
      <c r="I64" s="199">
        <v>0</v>
      </c>
      <c r="J64" s="199">
        <v>450</v>
      </c>
      <c r="K64" s="199">
        <v>250</v>
      </c>
      <c r="L64" s="196">
        <v>0</v>
      </c>
      <c r="M64" s="195">
        <v>200</v>
      </c>
      <c r="N64" s="196">
        <v>450</v>
      </c>
      <c r="O64" s="197">
        <v>450</v>
      </c>
    </row>
    <row r="65" spans="1:15" hidden="1">
      <c r="A65" s="168" t="s">
        <v>44</v>
      </c>
      <c r="B65" s="200">
        <v>650</v>
      </c>
      <c r="C65" s="200">
        <v>600</v>
      </c>
      <c r="D65" s="200">
        <v>600</v>
      </c>
      <c r="E65" s="200">
        <v>600</v>
      </c>
      <c r="F65" s="200">
        <v>550</v>
      </c>
      <c r="G65" s="200">
        <v>550</v>
      </c>
      <c r="H65" s="200">
        <v>500</v>
      </c>
      <c r="I65" s="200">
        <v>0</v>
      </c>
      <c r="J65" s="200">
        <v>450</v>
      </c>
      <c r="K65" s="200">
        <v>250</v>
      </c>
      <c r="L65" s="200">
        <v>200</v>
      </c>
      <c r="M65" s="200">
        <v>0</v>
      </c>
      <c r="N65" s="201">
        <v>200</v>
      </c>
      <c r="O65" s="202">
        <v>200</v>
      </c>
    </row>
    <row r="66" spans="1:15" hidden="1">
      <c r="A66" s="168" t="s">
        <v>45</v>
      </c>
      <c r="B66" s="203">
        <v>850</v>
      </c>
      <c r="C66" s="203">
        <v>750</v>
      </c>
      <c r="D66" s="203">
        <v>750</v>
      </c>
      <c r="E66" s="203">
        <v>750</v>
      </c>
      <c r="F66" s="203">
        <v>750</v>
      </c>
      <c r="G66" s="203">
        <v>750</v>
      </c>
      <c r="H66" s="203">
        <v>700</v>
      </c>
      <c r="I66" s="203">
        <v>0</v>
      </c>
      <c r="J66" s="203">
        <v>650</v>
      </c>
      <c r="K66" s="203">
        <v>450</v>
      </c>
      <c r="L66" s="196">
        <v>450</v>
      </c>
      <c r="M66" s="204">
        <v>200</v>
      </c>
      <c r="N66" s="196">
        <v>0</v>
      </c>
      <c r="O66" s="197">
        <v>200</v>
      </c>
    </row>
    <row r="67" spans="1:15" ht="16.5" hidden="1" thickBot="1">
      <c r="A67" s="172" t="s">
        <v>46</v>
      </c>
      <c r="B67" s="20">
        <v>850</v>
      </c>
      <c r="C67" s="20">
        <v>800</v>
      </c>
      <c r="D67" s="20">
        <v>800</v>
      </c>
      <c r="E67" s="20">
        <v>800</v>
      </c>
      <c r="F67" s="20">
        <v>750</v>
      </c>
      <c r="G67" s="20">
        <v>750</v>
      </c>
      <c r="H67" s="20">
        <v>750</v>
      </c>
      <c r="I67" s="20">
        <v>0</v>
      </c>
      <c r="J67" s="20">
        <v>700</v>
      </c>
      <c r="K67" s="20">
        <v>500</v>
      </c>
      <c r="L67" s="21">
        <v>450</v>
      </c>
      <c r="M67" s="22">
        <v>200</v>
      </c>
      <c r="N67" s="21">
        <v>200</v>
      </c>
      <c r="O67" s="205">
        <v>0</v>
      </c>
    </row>
    <row r="68" spans="1:15" hidden="1"/>
  </sheetData>
  <mergeCells count="8">
    <mergeCell ref="AG1:AU1"/>
    <mergeCell ref="AG18:AU18"/>
    <mergeCell ref="AG35:AU35"/>
    <mergeCell ref="A1:O1"/>
    <mergeCell ref="A18:O18"/>
    <mergeCell ref="Q1:AE1"/>
    <mergeCell ref="Q18:AE18"/>
    <mergeCell ref="Q35:AE35"/>
  </mergeCells>
  <conditionalFormatting sqref="AH3:AU16">
    <cfRule type="cellIs" dxfId="26" priority="3" operator="equal">
      <formula>$AQ$10</formula>
    </cfRule>
  </conditionalFormatting>
  <conditionalFormatting sqref="AH20:AU33">
    <cfRule type="cellIs" dxfId="25" priority="2" operator="equal">
      <formula>$AP$22</formula>
    </cfRule>
  </conditionalFormatting>
  <conditionalFormatting sqref="AH37:AU50">
    <cfRule type="cellIs" dxfId="24" priority="1" operator="equal">
      <formula>$AQ$44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C97-41CB-4AC6-A1EA-B18870F16598}">
  <dimension ref="A1:P39"/>
  <sheetViews>
    <sheetView zoomScale="80" zoomScaleNormal="80" workbookViewId="0">
      <selection sqref="A1:A2"/>
    </sheetView>
  </sheetViews>
  <sheetFormatPr defaultColWidth="11" defaultRowHeight="15.75"/>
  <cols>
    <col min="1" max="1" width="5.125" bestFit="1" customWidth="1"/>
    <col min="2" max="11" width="5.75" bestFit="1" customWidth="1"/>
    <col min="15" max="15" width="7.375" bestFit="1" customWidth="1"/>
    <col min="16" max="16" width="25.625" bestFit="1" customWidth="1"/>
  </cols>
  <sheetData>
    <row r="1" spans="1:16">
      <c r="A1" s="133" t="s">
        <v>51</v>
      </c>
      <c r="B1" s="134" t="s">
        <v>52</v>
      </c>
      <c r="C1" s="206"/>
      <c r="D1" s="206"/>
      <c r="E1" s="206"/>
      <c r="F1" s="206"/>
      <c r="G1" s="206"/>
      <c r="H1" s="206"/>
      <c r="I1" s="206"/>
      <c r="J1" s="206"/>
      <c r="K1" s="207"/>
      <c r="O1" s="16"/>
      <c r="P1" s="16"/>
    </row>
    <row r="2" spans="1:16" ht="16.5" thickBot="1">
      <c r="A2" s="208"/>
      <c r="B2" s="42">
        <v>1</v>
      </c>
      <c r="C2" s="42">
        <v>2</v>
      </c>
      <c r="D2" s="42">
        <v>3</v>
      </c>
      <c r="E2" s="42">
        <v>4</v>
      </c>
      <c r="F2" s="42">
        <v>5</v>
      </c>
      <c r="G2" s="42">
        <v>6</v>
      </c>
      <c r="H2" s="42">
        <v>7</v>
      </c>
      <c r="I2" s="42">
        <v>8</v>
      </c>
      <c r="J2" s="42">
        <v>9</v>
      </c>
      <c r="K2" s="42">
        <v>10</v>
      </c>
      <c r="O2" s="16"/>
      <c r="P2" s="16"/>
    </row>
    <row r="3" spans="1:16" ht="16.5" thickBot="1">
      <c r="A3" s="43">
        <v>1</v>
      </c>
      <c r="B3" s="47">
        <v>340</v>
      </c>
      <c r="C3" s="47">
        <v>400</v>
      </c>
      <c r="D3" s="47">
        <v>450</v>
      </c>
      <c r="E3" s="47">
        <v>460</v>
      </c>
      <c r="F3" s="47">
        <v>480</v>
      </c>
      <c r="G3" s="47">
        <v>480</v>
      </c>
      <c r="H3" s="47">
        <v>490</v>
      </c>
      <c r="I3" s="47">
        <v>770</v>
      </c>
      <c r="J3" s="47">
        <v>820</v>
      </c>
      <c r="K3" s="47">
        <v>830</v>
      </c>
      <c r="O3" s="209" t="s">
        <v>53</v>
      </c>
      <c r="P3" s="210" t="s">
        <v>54</v>
      </c>
    </row>
    <row r="4" spans="1:16" ht="16.5" thickBot="1">
      <c r="A4" s="43">
        <v>2</v>
      </c>
      <c r="B4" s="47">
        <v>400</v>
      </c>
      <c r="C4" s="47">
        <v>340</v>
      </c>
      <c r="D4" s="47">
        <v>420</v>
      </c>
      <c r="E4" s="47">
        <v>450</v>
      </c>
      <c r="F4" s="47">
        <v>460</v>
      </c>
      <c r="G4" s="47">
        <v>470</v>
      </c>
      <c r="H4" s="47">
        <v>480</v>
      </c>
      <c r="I4" s="47">
        <v>760</v>
      </c>
      <c r="J4" s="47">
        <v>770</v>
      </c>
      <c r="K4" s="47">
        <v>770</v>
      </c>
      <c r="O4" s="44"/>
      <c r="P4" s="16"/>
    </row>
    <row r="5" spans="1:16" ht="16.5" thickBot="1">
      <c r="A5" s="43">
        <v>3</v>
      </c>
      <c r="B5" s="47">
        <v>450</v>
      </c>
      <c r="C5" s="47">
        <v>420</v>
      </c>
      <c r="D5" s="47">
        <v>340</v>
      </c>
      <c r="E5" s="47">
        <v>400</v>
      </c>
      <c r="F5" s="47">
        <v>450</v>
      </c>
      <c r="G5" s="47">
        <v>450</v>
      </c>
      <c r="H5" s="48">
        <v>460</v>
      </c>
      <c r="I5" s="48">
        <v>720</v>
      </c>
      <c r="J5" s="48">
        <v>720</v>
      </c>
      <c r="K5" s="48">
        <v>740</v>
      </c>
      <c r="O5" s="209" t="s">
        <v>55</v>
      </c>
      <c r="P5" s="210" t="s">
        <v>56</v>
      </c>
    </row>
    <row r="6" spans="1:16" ht="16.5" thickBot="1">
      <c r="A6" s="43">
        <v>4</v>
      </c>
      <c r="B6" s="47">
        <v>460</v>
      </c>
      <c r="C6" s="47">
        <v>450</v>
      </c>
      <c r="D6" s="47">
        <v>400</v>
      </c>
      <c r="E6" s="47">
        <v>340</v>
      </c>
      <c r="F6" s="47">
        <v>400</v>
      </c>
      <c r="G6" s="47">
        <v>440</v>
      </c>
      <c r="H6" s="47">
        <v>480</v>
      </c>
      <c r="I6" s="47">
        <v>730</v>
      </c>
      <c r="J6" s="47">
        <v>740</v>
      </c>
      <c r="K6" s="47">
        <v>760</v>
      </c>
      <c r="O6" s="44"/>
      <c r="P6" s="210" t="s">
        <v>57</v>
      </c>
    </row>
    <row r="7" spans="1:16" ht="16.5" thickBot="1">
      <c r="A7" s="43">
        <v>5</v>
      </c>
      <c r="B7" s="47">
        <v>480</v>
      </c>
      <c r="C7" s="47">
        <v>460</v>
      </c>
      <c r="D7" s="47">
        <v>450</v>
      </c>
      <c r="E7" s="47">
        <v>400</v>
      </c>
      <c r="F7" s="47">
        <v>340</v>
      </c>
      <c r="G7" s="47">
        <v>440</v>
      </c>
      <c r="H7" s="47">
        <v>480</v>
      </c>
      <c r="I7" s="47">
        <v>740</v>
      </c>
      <c r="J7" s="47">
        <v>760</v>
      </c>
      <c r="K7" s="47">
        <v>770</v>
      </c>
      <c r="O7" s="44"/>
      <c r="P7" s="210" t="s">
        <v>58</v>
      </c>
    </row>
    <row r="8" spans="1:16" ht="16.5" thickBot="1">
      <c r="A8" s="43">
        <v>6</v>
      </c>
      <c r="B8" s="47">
        <v>480</v>
      </c>
      <c r="C8" s="47">
        <v>470</v>
      </c>
      <c r="D8" s="47">
        <v>450</v>
      </c>
      <c r="E8" s="47">
        <v>440</v>
      </c>
      <c r="F8" s="47">
        <v>440</v>
      </c>
      <c r="G8" s="47">
        <v>340</v>
      </c>
      <c r="H8" s="48">
        <v>420</v>
      </c>
      <c r="I8" s="47">
        <v>530</v>
      </c>
      <c r="J8" s="47">
        <v>560</v>
      </c>
      <c r="K8" s="47">
        <v>670</v>
      </c>
      <c r="O8" s="44"/>
      <c r="P8" s="210" t="s">
        <v>59</v>
      </c>
    </row>
    <row r="9" spans="1:16" ht="16.5" thickBot="1">
      <c r="A9" s="43">
        <v>7</v>
      </c>
      <c r="B9" s="47">
        <v>490</v>
      </c>
      <c r="C9" s="47">
        <v>480</v>
      </c>
      <c r="D9" s="48">
        <v>460</v>
      </c>
      <c r="E9" s="47">
        <v>480</v>
      </c>
      <c r="F9" s="47">
        <v>480</v>
      </c>
      <c r="G9" s="48">
        <v>420</v>
      </c>
      <c r="H9" s="47">
        <v>340</v>
      </c>
      <c r="I9" s="47">
        <v>490</v>
      </c>
      <c r="J9" s="47">
        <v>510</v>
      </c>
      <c r="K9" s="47">
        <v>530</v>
      </c>
      <c r="O9" s="44"/>
      <c r="P9" s="16"/>
    </row>
    <row r="10" spans="1:16" ht="16.5" thickBot="1">
      <c r="A10" s="43">
        <v>8</v>
      </c>
      <c r="B10" s="47">
        <v>770</v>
      </c>
      <c r="C10" s="47">
        <v>760</v>
      </c>
      <c r="D10" s="48">
        <v>720</v>
      </c>
      <c r="E10" s="47">
        <v>730</v>
      </c>
      <c r="F10" s="47">
        <v>740</v>
      </c>
      <c r="G10" s="47">
        <v>530</v>
      </c>
      <c r="H10" s="47">
        <v>490</v>
      </c>
      <c r="I10" s="47">
        <v>340</v>
      </c>
      <c r="J10" s="47">
        <v>360</v>
      </c>
      <c r="K10" s="47">
        <v>440</v>
      </c>
      <c r="O10" s="209" t="s">
        <v>60</v>
      </c>
      <c r="P10" s="210" t="s">
        <v>61</v>
      </c>
    </row>
    <row r="11" spans="1:16" ht="16.5" thickBot="1">
      <c r="A11" s="43">
        <v>9</v>
      </c>
      <c r="B11" s="47">
        <v>820</v>
      </c>
      <c r="C11" s="47">
        <v>770</v>
      </c>
      <c r="D11" s="48">
        <v>720</v>
      </c>
      <c r="E11" s="47">
        <v>740</v>
      </c>
      <c r="F11" s="47">
        <v>760</v>
      </c>
      <c r="G11" s="47">
        <v>560</v>
      </c>
      <c r="H11" s="47">
        <v>510</v>
      </c>
      <c r="I11" s="47">
        <v>360</v>
      </c>
      <c r="J11" s="47">
        <v>340</v>
      </c>
      <c r="K11" s="47">
        <v>350</v>
      </c>
      <c r="O11" s="44"/>
      <c r="P11" s="210" t="s">
        <v>62</v>
      </c>
    </row>
    <row r="12" spans="1:16">
      <c r="A12" s="43">
        <v>10</v>
      </c>
      <c r="B12" s="47">
        <v>830</v>
      </c>
      <c r="C12" s="47">
        <v>770</v>
      </c>
      <c r="D12" s="48">
        <v>740</v>
      </c>
      <c r="E12" s="47">
        <v>760</v>
      </c>
      <c r="F12" s="47">
        <v>770</v>
      </c>
      <c r="G12" s="47">
        <v>670</v>
      </c>
      <c r="H12" s="47">
        <v>530</v>
      </c>
      <c r="I12" s="47">
        <v>440</v>
      </c>
      <c r="J12" s="47">
        <v>350</v>
      </c>
      <c r="K12" s="47">
        <v>340</v>
      </c>
      <c r="O12" s="44"/>
      <c r="P12" s="16"/>
    </row>
    <row r="13" spans="1:16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O13" s="209" t="s">
        <v>63</v>
      </c>
      <c r="P13" s="210" t="s">
        <v>6</v>
      </c>
    </row>
    <row r="14" spans="1:16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O14" s="16"/>
      <c r="P14" s="210" t="s">
        <v>64</v>
      </c>
    </row>
    <row r="15" spans="1:16">
      <c r="A15" s="133" t="s">
        <v>51</v>
      </c>
      <c r="B15" s="134" t="s">
        <v>65</v>
      </c>
      <c r="C15" s="206"/>
      <c r="D15" s="206"/>
      <c r="E15" s="206"/>
      <c r="F15" s="206"/>
      <c r="G15" s="206"/>
      <c r="H15" s="206"/>
      <c r="I15" s="206"/>
      <c r="J15" s="206"/>
      <c r="K15" s="207"/>
      <c r="O15" s="44"/>
      <c r="P15" s="210" t="s">
        <v>66</v>
      </c>
    </row>
    <row r="16" spans="1:16" ht="16.5" thickBot="1">
      <c r="A16" s="208"/>
      <c r="B16" s="42">
        <v>1</v>
      </c>
      <c r="C16" s="42">
        <v>2</v>
      </c>
      <c r="D16" s="42">
        <v>3</v>
      </c>
      <c r="E16" s="42">
        <v>4</v>
      </c>
      <c r="F16" s="42">
        <v>5</v>
      </c>
      <c r="G16" s="42">
        <v>6</v>
      </c>
      <c r="H16" s="42">
        <v>7</v>
      </c>
      <c r="I16" s="42">
        <v>8</v>
      </c>
      <c r="J16" s="42">
        <v>9</v>
      </c>
      <c r="K16" s="42">
        <v>10</v>
      </c>
      <c r="O16" s="44"/>
      <c r="P16" s="16"/>
    </row>
    <row r="17" spans="1:16" ht="16.5" thickBot="1">
      <c r="A17" s="43">
        <v>1</v>
      </c>
      <c r="B17" s="47">
        <v>110</v>
      </c>
      <c r="C17" s="47">
        <v>140</v>
      </c>
      <c r="D17" s="47">
        <v>150</v>
      </c>
      <c r="E17" s="47">
        <v>160</v>
      </c>
      <c r="F17" s="47">
        <v>160</v>
      </c>
      <c r="G17" s="47">
        <v>160</v>
      </c>
      <c r="H17" s="47">
        <v>170</v>
      </c>
      <c r="I17" s="47">
        <v>260</v>
      </c>
      <c r="J17" s="47">
        <v>270</v>
      </c>
      <c r="K17" s="47">
        <v>280</v>
      </c>
      <c r="O17" s="209" t="s">
        <v>67</v>
      </c>
      <c r="P17" s="210" t="s">
        <v>68</v>
      </c>
    </row>
    <row r="18" spans="1:16" ht="16.5" thickBot="1">
      <c r="A18" s="43">
        <v>2</v>
      </c>
      <c r="B18" s="47">
        <v>140</v>
      </c>
      <c r="C18" s="47">
        <v>110</v>
      </c>
      <c r="D18" s="47">
        <v>140</v>
      </c>
      <c r="E18" s="47">
        <v>150</v>
      </c>
      <c r="F18" s="47">
        <v>160</v>
      </c>
      <c r="G18" s="47">
        <v>160</v>
      </c>
      <c r="H18" s="47">
        <v>160</v>
      </c>
      <c r="I18" s="47">
        <v>250</v>
      </c>
      <c r="J18" s="47">
        <v>260</v>
      </c>
      <c r="K18" s="47">
        <v>260</v>
      </c>
      <c r="O18" s="44"/>
      <c r="P18" s="210" t="s">
        <v>69</v>
      </c>
    </row>
    <row r="19" spans="1:16" ht="16.5" thickBot="1">
      <c r="A19" s="43">
        <v>3</v>
      </c>
      <c r="B19" s="47">
        <v>150</v>
      </c>
      <c r="C19" s="47">
        <v>140</v>
      </c>
      <c r="D19" s="47">
        <v>110</v>
      </c>
      <c r="E19" s="47">
        <v>140</v>
      </c>
      <c r="F19" s="47">
        <v>150</v>
      </c>
      <c r="G19" s="47">
        <v>150</v>
      </c>
      <c r="H19" s="48">
        <v>160</v>
      </c>
      <c r="I19" s="48">
        <v>240</v>
      </c>
      <c r="J19" s="48">
        <v>240</v>
      </c>
      <c r="K19" s="48">
        <v>250</v>
      </c>
      <c r="O19" s="44"/>
      <c r="P19" s="16"/>
    </row>
    <row r="20" spans="1:16" ht="16.5" thickBot="1">
      <c r="A20" s="43">
        <v>4</v>
      </c>
      <c r="B20" s="47">
        <v>160</v>
      </c>
      <c r="C20" s="47">
        <v>150</v>
      </c>
      <c r="D20" s="47">
        <v>140</v>
      </c>
      <c r="E20" s="47">
        <v>110</v>
      </c>
      <c r="F20" s="47">
        <v>140</v>
      </c>
      <c r="G20" s="47">
        <v>150</v>
      </c>
      <c r="H20" s="47">
        <v>160</v>
      </c>
      <c r="I20" s="47">
        <v>240</v>
      </c>
      <c r="J20" s="47">
        <v>250</v>
      </c>
      <c r="K20" s="47">
        <v>250</v>
      </c>
      <c r="O20" s="209" t="s">
        <v>70</v>
      </c>
      <c r="P20" s="210" t="s">
        <v>71</v>
      </c>
    </row>
    <row r="21" spans="1:16" ht="16.5" thickBot="1">
      <c r="A21" s="43">
        <v>5</v>
      </c>
      <c r="B21" s="47">
        <v>160</v>
      </c>
      <c r="C21" s="47">
        <v>160</v>
      </c>
      <c r="D21" s="47">
        <v>150</v>
      </c>
      <c r="E21" s="47">
        <v>140</v>
      </c>
      <c r="F21" s="47">
        <v>110</v>
      </c>
      <c r="G21" s="47">
        <v>150</v>
      </c>
      <c r="H21" s="47">
        <v>160</v>
      </c>
      <c r="I21" s="47">
        <v>250</v>
      </c>
      <c r="J21" s="47">
        <v>250</v>
      </c>
      <c r="K21" s="47">
        <v>260</v>
      </c>
      <c r="O21" s="44"/>
      <c r="P21" s="210" t="s">
        <v>72</v>
      </c>
    </row>
    <row r="22" spans="1:16" ht="16.5" thickBot="1">
      <c r="A22" s="43">
        <v>6</v>
      </c>
      <c r="B22" s="47">
        <v>160</v>
      </c>
      <c r="C22" s="47">
        <v>160</v>
      </c>
      <c r="D22" s="47">
        <v>150</v>
      </c>
      <c r="E22" s="47">
        <v>150</v>
      </c>
      <c r="F22" s="47">
        <v>150</v>
      </c>
      <c r="G22" s="47">
        <v>110</v>
      </c>
      <c r="H22" s="48">
        <v>140</v>
      </c>
      <c r="I22" s="47">
        <v>180</v>
      </c>
      <c r="J22" s="47">
        <v>190</v>
      </c>
      <c r="K22" s="47">
        <v>230</v>
      </c>
      <c r="O22" s="44"/>
      <c r="P22" s="210" t="s">
        <v>73</v>
      </c>
    </row>
    <row r="23" spans="1:16" ht="16.5" thickBot="1">
      <c r="A23" s="43">
        <v>7</v>
      </c>
      <c r="B23" s="47">
        <v>170</v>
      </c>
      <c r="C23" s="47">
        <v>160</v>
      </c>
      <c r="D23" s="48">
        <v>160</v>
      </c>
      <c r="E23" s="47">
        <v>160</v>
      </c>
      <c r="F23" s="47">
        <v>160</v>
      </c>
      <c r="G23" s="48">
        <v>140</v>
      </c>
      <c r="H23" s="47">
        <v>110</v>
      </c>
      <c r="I23" s="47">
        <v>170</v>
      </c>
      <c r="J23" s="47">
        <v>170</v>
      </c>
      <c r="K23" s="47">
        <v>180</v>
      </c>
      <c r="O23" s="44"/>
      <c r="P23" s="16"/>
    </row>
    <row r="24" spans="1:16" ht="16.5" thickBot="1">
      <c r="A24" s="43">
        <v>8</v>
      </c>
      <c r="B24" s="47">
        <v>260</v>
      </c>
      <c r="C24" s="47">
        <v>250</v>
      </c>
      <c r="D24" s="48">
        <v>240</v>
      </c>
      <c r="E24" s="47">
        <v>240</v>
      </c>
      <c r="F24" s="47">
        <v>250</v>
      </c>
      <c r="G24" s="47">
        <v>180</v>
      </c>
      <c r="H24" s="47">
        <v>170</v>
      </c>
      <c r="I24" s="47">
        <v>110</v>
      </c>
      <c r="J24" s="47">
        <v>120</v>
      </c>
      <c r="K24" s="47">
        <v>150</v>
      </c>
      <c r="O24" s="209" t="s">
        <v>74</v>
      </c>
      <c r="P24" s="210" t="s">
        <v>75</v>
      </c>
    </row>
    <row r="25" spans="1:16" ht="16.5" thickBot="1">
      <c r="A25" s="43">
        <v>9</v>
      </c>
      <c r="B25" s="47">
        <v>270</v>
      </c>
      <c r="C25" s="47">
        <v>260</v>
      </c>
      <c r="D25" s="48">
        <v>240</v>
      </c>
      <c r="E25" s="47">
        <v>250</v>
      </c>
      <c r="F25" s="47">
        <v>250</v>
      </c>
      <c r="G25" s="47">
        <v>190</v>
      </c>
      <c r="H25" s="47">
        <v>170</v>
      </c>
      <c r="I25" s="47">
        <v>120</v>
      </c>
      <c r="J25" s="47">
        <v>110</v>
      </c>
      <c r="K25" s="47">
        <v>120</v>
      </c>
      <c r="O25" s="44"/>
      <c r="P25" s="210" t="s">
        <v>76</v>
      </c>
    </row>
    <row r="26" spans="1:16">
      <c r="A26" s="43">
        <v>10</v>
      </c>
      <c r="B26" s="47">
        <v>280</v>
      </c>
      <c r="C26" s="47">
        <v>260</v>
      </c>
      <c r="D26" s="48">
        <v>250</v>
      </c>
      <c r="E26" s="47">
        <v>250</v>
      </c>
      <c r="F26" s="47">
        <v>260</v>
      </c>
      <c r="G26" s="47">
        <v>230</v>
      </c>
      <c r="H26" s="47">
        <v>180</v>
      </c>
      <c r="I26" s="47">
        <v>150</v>
      </c>
      <c r="J26" s="47">
        <v>120</v>
      </c>
      <c r="K26" s="47">
        <v>110</v>
      </c>
      <c r="O26" s="44"/>
      <c r="P26" s="210" t="s">
        <v>77</v>
      </c>
    </row>
    <row r="27" spans="1:1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O27" s="44"/>
      <c r="P27" s="210" t="s">
        <v>78</v>
      </c>
    </row>
    <row r="28" spans="1:16">
      <c r="A28" s="42" t="s">
        <v>51</v>
      </c>
      <c r="B28" s="134" t="s">
        <v>79</v>
      </c>
      <c r="C28" s="206"/>
      <c r="D28" s="206"/>
      <c r="E28" s="206"/>
      <c r="F28" s="206"/>
      <c r="G28" s="206"/>
      <c r="H28" s="206"/>
      <c r="I28" s="206"/>
      <c r="J28" s="206"/>
      <c r="K28" s="207"/>
      <c r="O28" s="44"/>
      <c r="P28" s="16"/>
    </row>
    <row r="29" spans="1:16" ht="16.5" thickBot="1">
      <c r="A29" s="211"/>
      <c r="B29" s="42">
        <v>1</v>
      </c>
      <c r="C29" s="42">
        <v>2</v>
      </c>
      <c r="D29" s="42">
        <v>3</v>
      </c>
      <c r="E29" s="42">
        <v>4</v>
      </c>
      <c r="F29" s="42">
        <v>5</v>
      </c>
      <c r="G29" s="42">
        <v>6</v>
      </c>
      <c r="H29" s="42">
        <v>7</v>
      </c>
      <c r="I29" s="42">
        <v>8</v>
      </c>
      <c r="J29" s="42">
        <v>9</v>
      </c>
      <c r="K29" s="42">
        <v>10</v>
      </c>
      <c r="O29" s="209" t="s">
        <v>80</v>
      </c>
      <c r="P29" s="210" t="s">
        <v>81</v>
      </c>
    </row>
    <row r="30" spans="1:16" ht="16.5" thickBot="1">
      <c r="A30" s="43">
        <v>1</v>
      </c>
      <c r="B30" s="49">
        <v>170</v>
      </c>
      <c r="C30" s="49">
        <v>200</v>
      </c>
      <c r="D30" s="49">
        <v>230</v>
      </c>
      <c r="E30" s="49">
        <v>230</v>
      </c>
      <c r="F30" s="49">
        <v>240</v>
      </c>
      <c r="G30" s="49">
        <v>240</v>
      </c>
      <c r="H30" s="49">
        <v>250</v>
      </c>
      <c r="I30" s="49">
        <v>390</v>
      </c>
      <c r="J30" s="49">
        <v>410</v>
      </c>
      <c r="K30" s="49">
        <v>420</v>
      </c>
      <c r="O30" s="44"/>
      <c r="P30" s="210" t="s">
        <v>82</v>
      </c>
    </row>
    <row r="31" spans="1:16" ht="16.5" thickBot="1">
      <c r="A31" s="43">
        <v>2</v>
      </c>
      <c r="B31" s="49">
        <v>200</v>
      </c>
      <c r="C31" s="49">
        <v>170</v>
      </c>
      <c r="D31" s="49">
        <v>210</v>
      </c>
      <c r="E31" s="49">
        <v>230</v>
      </c>
      <c r="F31" s="49">
        <v>230</v>
      </c>
      <c r="G31" s="49">
        <v>240</v>
      </c>
      <c r="H31" s="49">
        <v>240</v>
      </c>
      <c r="I31" s="49">
        <v>380</v>
      </c>
      <c r="J31" s="49">
        <v>390</v>
      </c>
      <c r="K31" s="49">
        <v>390</v>
      </c>
      <c r="O31" s="44"/>
      <c r="P31" s="16"/>
    </row>
    <row r="32" spans="1:16" ht="16.5" thickBot="1">
      <c r="A32" s="43">
        <v>3</v>
      </c>
      <c r="B32" s="49">
        <v>230</v>
      </c>
      <c r="C32" s="49">
        <v>210</v>
      </c>
      <c r="D32" s="49">
        <v>170</v>
      </c>
      <c r="E32" s="49">
        <v>200</v>
      </c>
      <c r="F32" s="49">
        <v>230</v>
      </c>
      <c r="G32" s="49">
        <v>230</v>
      </c>
      <c r="H32" s="49">
        <v>230</v>
      </c>
      <c r="I32" s="49">
        <v>360</v>
      </c>
      <c r="J32" s="49">
        <v>360</v>
      </c>
      <c r="K32" s="49">
        <v>370</v>
      </c>
      <c r="O32" s="209" t="s">
        <v>83</v>
      </c>
      <c r="P32" s="210" t="s">
        <v>84</v>
      </c>
    </row>
    <row r="33" spans="1:16" ht="16.5" thickBot="1">
      <c r="A33" s="43">
        <v>4</v>
      </c>
      <c r="B33" s="49">
        <v>230</v>
      </c>
      <c r="C33" s="49">
        <v>230</v>
      </c>
      <c r="D33" s="49">
        <v>200</v>
      </c>
      <c r="E33" s="49">
        <v>170</v>
      </c>
      <c r="F33" s="49">
        <v>200</v>
      </c>
      <c r="G33" s="49">
        <v>220</v>
      </c>
      <c r="H33" s="49">
        <v>240</v>
      </c>
      <c r="I33" s="49">
        <v>370</v>
      </c>
      <c r="J33" s="49">
        <v>370</v>
      </c>
      <c r="K33" s="49">
        <v>380</v>
      </c>
      <c r="O33" s="44"/>
      <c r="P33" s="210" t="s">
        <v>85</v>
      </c>
    </row>
    <row r="34" spans="1:16" ht="16.5" thickBot="1">
      <c r="A34" s="43">
        <v>5</v>
      </c>
      <c r="B34" s="49">
        <v>240</v>
      </c>
      <c r="C34" s="49">
        <v>230</v>
      </c>
      <c r="D34" s="49">
        <v>230</v>
      </c>
      <c r="E34" s="49">
        <v>200</v>
      </c>
      <c r="F34" s="49">
        <v>170</v>
      </c>
      <c r="G34" s="49">
        <v>220</v>
      </c>
      <c r="H34" s="49">
        <v>240</v>
      </c>
      <c r="I34" s="49">
        <v>370</v>
      </c>
      <c r="J34" s="49">
        <v>380</v>
      </c>
      <c r="K34" s="49">
        <v>390</v>
      </c>
      <c r="O34" s="44"/>
      <c r="P34" s="16"/>
    </row>
    <row r="35" spans="1:16" ht="16.5" thickBot="1">
      <c r="A35" s="43">
        <v>6</v>
      </c>
      <c r="B35" s="49">
        <v>240</v>
      </c>
      <c r="C35" s="49">
        <v>240</v>
      </c>
      <c r="D35" s="49">
        <v>230</v>
      </c>
      <c r="E35" s="49">
        <v>220</v>
      </c>
      <c r="F35" s="49">
        <v>220</v>
      </c>
      <c r="G35" s="49">
        <v>170</v>
      </c>
      <c r="H35" s="49">
        <v>210</v>
      </c>
      <c r="I35" s="49">
        <v>270</v>
      </c>
      <c r="J35" s="49">
        <v>280</v>
      </c>
      <c r="K35" s="49">
        <v>340</v>
      </c>
      <c r="O35" s="209" t="s">
        <v>86</v>
      </c>
      <c r="P35" s="210" t="s">
        <v>87</v>
      </c>
    </row>
    <row r="36" spans="1:16" ht="16.5" thickBot="1">
      <c r="A36" s="43">
        <v>7</v>
      </c>
      <c r="B36" s="49">
        <v>250</v>
      </c>
      <c r="C36" s="49">
        <v>240</v>
      </c>
      <c r="D36" s="49">
        <v>230</v>
      </c>
      <c r="E36" s="49">
        <v>240</v>
      </c>
      <c r="F36" s="49">
        <v>240</v>
      </c>
      <c r="G36" s="49">
        <v>210</v>
      </c>
      <c r="H36" s="49">
        <v>170</v>
      </c>
      <c r="I36" s="49">
        <v>250</v>
      </c>
      <c r="J36" s="49">
        <v>260</v>
      </c>
      <c r="K36" s="49">
        <v>270</v>
      </c>
      <c r="O36" s="16"/>
      <c r="P36" s="210" t="s">
        <v>88</v>
      </c>
    </row>
    <row r="37" spans="1:16" ht="16.5" thickBot="1">
      <c r="A37" s="43">
        <v>8</v>
      </c>
      <c r="B37" s="49">
        <v>390</v>
      </c>
      <c r="C37" s="49">
        <v>380</v>
      </c>
      <c r="D37" s="49">
        <v>360</v>
      </c>
      <c r="E37" s="49">
        <v>370</v>
      </c>
      <c r="F37" s="49">
        <v>370</v>
      </c>
      <c r="G37" s="49">
        <v>270</v>
      </c>
      <c r="H37" s="49">
        <v>250</v>
      </c>
      <c r="I37" s="49">
        <v>170</v>
      </c>
      <c r="J37" s="49">
        <v>180</v>
      </c>
      <c r="K37" s="49">
        <v>220</v>
      </c>
      <c r="O37" s="16"/>
      <c r="P37" s="16"/>
    </row>
    <row r="38" spans="1:16" ht="16.5" thickBot="1">
      <c r="A38" s="43">
        <v>9</v>
      </c>
      <c r="B38" s="49">
        <v>410</v>
      </c>
      <c r="C38" s="49">
        <v>390</v>
      </c>
      <c r="D38" s="49">
        <v>360</v>
      </c>
      <c r="E38" s="49">
        <v>370</v>
      </c>
      <c r="F38" s="49">
        <v>380</v>
      </c>
      <c r="G38" s="49">
        <v>280</v>
      </c>
      <c r="H38" s="49">
        <v>260</v>
      </c>
      <c r="I38" s="49">
        <v>180</v>
      </c>
      <c r="J38" s="49">
        <v>170</v>
      </c>
      <c r="K38" s="49">
        <v>180</v>
      </c>
      <c r="O38" s="16"/>
      <c r="P38" s="16"/>
    </row>
    <row r="39" spans="1:16">
      <c r="A39" s="43">
        <v>10</v>
      </c>
      <c r="B39" s="49">
        <v>420</v>
      </c>
      <c r="C39" s="49">
        <v>390</v>
      </c>
      <c r="D39" s="49">
        <v>370</v>
      </c>
      <c r="E39" s="49">
        <v>380</v>
      </c>
      <c r="F39" s="49">
        <v>390</v>
      </c>
      <c r="G39" s="49">
        <v>340</v>
      </c>
      <c r="H39" s="49">
        <v>270</v>
      </c>
      <c r="I39" s="49">
        <v>220</v>
      </c>
      <c r="J39" s="49">
        <v>180</v>
      </c>
      <c r="K39" s="49">
        <v>170</v>
      </c>
      <c r="O39" s="16"/>
      <c r="P39" s="16"/>
    </row>
  </sheetData>
  <mergeCells count="5">
    <mergeCell ref="A1:A2"/>
    <mergeCell ref="B1:K1"/>
    <mergeCell ref="A15:A16"/>
    <mergeCell ref="B15:K15"/>
    <mergeCell ref="B28:K28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F94B-3965-416E-AF98-70A8BA371403}">
  <dimension ref="A1:CB83"/>
  <sheetViews>
    <sheetView zoomScale="70" zoomScaleNormal="70" workbookViewId="0">
      <selection activeCell="CE30" sqref="CE30"/>
    </sheetView>
  </sheetViews>
  <sheetFormatPr defaultColWidth="11" defaultRowHeight="15.75"/>
  <cols>
    <col min="1" max="1" width="17.75" style="16" bestFit="1" customWidth="1"/>
    <col min="2" max="26" width="5.625" style="16" bestFit="1" customWidth="1"/>
    <col min="28" max="28" width="17.75" style="16" hidden="1" customWidth="1"/>
    <col min="29" max="53" width="5.625" style="16" hidden="1" customWidth="1"/>
    <col min="54" max="54" width="0" hidden="1" customWidth="1"/>
    <col min="55" max="55" width="17.75" style="16" hidden="1" customWidth="1"/>
    <col min="56" max="80" width="5.625" style="16" hidden="1" customWidth="1"/>
  </cols>
  <sheetData>
    <row r="1" spans="1:80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B1" s="135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C1" s="135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</row>
    <row r="2" spans="1:80" ht="73.5">
      <c r="A2" s="212" t="s">
        <v>32</v>
      </c>
      <c r="B2" s="212" t="s">
        <v>13</v>
      </c>
      <c r="C2" s="212" t="s">
        <v>89</v>
      </c>
      <c r="D2" s="212" t="s">
        <v>90</v>
      </c>
      <c r="E2" s="212" t="s">
        <v>24</v>
      </c>
      <c r="F2" s="212" t="s">
        <v>9</v>
      </c>
      <c r="G2" s="212" t="s">
        <v>91</v>
      </c>
      <c r="H2" s="212" t="s">
        <v>7</v>
      </c>
      <c r="I2" s="212" t="s">
        <v>6</v>
      </c>
      <c r="J2" s="212" t="s">
        <v>5</v>
      </c>
      <c r="K2" s="212" t="s">
        <v>4</v>
      </c>
      <c r="L2" s="212" t="s">
        <v>3</v>
      </c>
      <c r="M2" s="212" t="s">
        <v>2</v>
      </c>
      <c r="N2" s="212" t="s">
        <v>92</v>
      </c>
      <c r="O2" s="212" t="s">
        <v>93</v>
      </c>
      <c r="P2" s="212" t="s">
        <v>94</v>
      </c>
      <c r="Q2" s="212" t="s">
        <v>95</v>
      </c>
      <c r="R2" s="212" t="s">
        <v>96</v>
      </c>
      <c r="S2" s="212" t="s">
        <v>97</v>
      </c>
      <c r="T2" s="212" t="s">
        <v>98</v>
      </c>
      <c r="U2" s="212" t="s">
        <v>99</v>
      </c>
      <c r="V2" s="212" t="s">
        <v>100</v>
      </c>
      <c r="W2" s="212" t="s">
        <v>101</v>
      </c>
      <c r="X2" s="212" t="s">
        <v>102</v>
      </c>
      <c r="Y2" s="212" t="s">
        <v>103</v>
      </c>
      <c r="Z2" s="212" t="s">
        <v>104</v>
      </c>
      <c r="AB2" s="212" t="s">
        <v>32</v>
      </c>
      <c r="AC2" s="212" t="s">
        <v>13</v>
      </c>
      <c r="AD2" s="212" t="s">
        <v>89</v>
      </c>
      <c r="AE2" s="212" t="s">
        <v>90</v>
      </c>
      <c r="AF2" s="212" t="s">
        <v>24</v>
      </c>
      <c r="AG2" s="212" t="s">
        <v>9</v>
      </c>
      <c r="AH2" s="212" t="s">
        <v>91</v>
      </c>
      <c r="AI2" s="212" t="s">
        <v>7</v>
      </c>
      <c r="AJ2" s="212" t="s">
        <v>6</v>
      </c>
      <c r="AK2" s="212" t="s">
        <v>5</v>
      </c>
      <c r="AL2" s="212" t="s">
        <v>4</v>
      </c>
      <c r="AM2" s="212" t="s">
        <v>3</v>
      </c>
      <c r="AN2" s="212" t="s">
        <v>2</v>
      </c>
      <c r="AO2" s="212" t="s">
        <v>92</v>
      </c>
      <c r="AP2" s="212" t="s">
        <v>93</v>
      </c>
      <c r="AQ2" s="212" t="s">
        <v>94</v>
      </c>
      <c r="AR2" s="212" t="s">
        <v>95</v>
      </c>
      <c r="AS2" s="212" t="s">
        <v>96</v>
      </c>
      <c r="AT2" s="212" t="s">
        <v>97</v>
      </c>
      <c r="AU2" s="212" t="s">
        <v>98</v>
      </c>
      <c r="AV2" s="212" t="s">
        <v>99</v>
      </c>
      <c r="AW2" s="212" t="s">
        <v>100</v>
      </c>
      <c r="AX2" s="212" t="s">
        <v>101</v>
      </c>
      <c r="AY2" s="212" t="s">
        <v>102</v>
      </c>
      <c r="AZ2" s="212" t="s">
        <v>103</v>
      </c>
      <c r="BA2" s="212" t="s">
        <v>104</v>
      </c>
      <c r="BC2" s="212" t="s">
        <v>32</v>
      </c>
      <c r="BD2" s="212" t="s">
        <v>13</v>
      </c>
      <c r="BE2" s="212" t="s">
        <v>89</v>
      </c>
      <c r="BF2" s="212" t="s">
        <v>90</v>
      </c>
      <c r="BG2" s="212" t="s">
        <v>24</v>
      </c>
      <c r="BH2" s="212" t="s">
        <v>9</v>
      </c>
      <c r="BI2" s="212" t="s">
        <v>91</v>
      </c>
      <c r="BJ2" s="212" t="s">
        <v>7</v>
      </c>
      <c r="BK2" s="212" t="s">
        <v>6</v>
      </c>
      <c r="BL2" s="212" t="s">
        <v>5</v>
      </c>
      <c r="BM2" s="212" t="s">
        <v>4</v>
      </c>
      <c r="BN2" s="212" t="s">
        <v>3</v>
      </c>
      <c r="BO2" s="212" t="s">
        <v>2</v>
      </c>
      <c r="BP2" s="212" t="s">
        <v>92</v>
      </c>
      <c r="BQ2" s="212" t="s">
        <v>93</v>
      </c>
      <c r="BR2" s="212" t="s">
        <v>94</v>
      </c>
      <c r="BS2" s="212" t="s">
        <v>95</v>
      </c>
      <c r="BT2" s="212" t="s">
        <v>96</v>
      </c>
      <c r="BU2" s="212" t="s">
        <v>97</v>
      </c>
      <c r="BV2" s="212" t="s">
        <v>98</v>
      </c>
      <c r="BW2" s="212" t="s">
        <v>99</v>
      </c>
      <c r="BX2" s="212" t="s">
        <v>100</v>
      </c>
      <c r="BY2" s="212" t="s">
        <v>101</v>
      </c>
      <c r="BZ2" s="212" t="s">
        <v>102</v>
      </c>
      <c r="CA2" s="212" t="s">
        <v>103</v>
      </c>
      <c r="CB2" s="212" t="s">
        <v>104</v>
      </c>
    </row>
    <row r="3" spans="1:80">
      <c r="A3" s="213" t="s">
        <v>13</v>
      </c>
      <c r="B3" s="214">
        <v>380</v>
      </c>
      <c r="C3" s="214">
        <v>450</v>
      </c>
      <c r="D3" s="214">
        <v>450</v>
      </c>
      <c r="E3" s="214">
        <v>450</v>
      </c>
      <c r="F3" s="214">
        <v>450</v>
      </c>
      <c r="G3" s="214">
        <v>500</v>
      </c>
      <c r="H3" s="214">
        <v>500</v>
      </c>
      <c r="I3" s="214">
        <v>510</v>
      </c>
      <c r="J3" s="214">
        <v>510</v>
      </c>
      <c r="K3" s="214">
        <v>510</v>
      </c>
      <c r="L3" s="214">
        <v>530</v>
      </c>
      <c r="M3" s="214">
        <v>530</v>
      </c>
      <c r="N3" s="214">
        <v>530</v>
      </c>
      <c r="O3" s="214">
        <v>530</v>
      </c>
      <c r="P3" s="214">
        <v>530</v>
      </c>
      <c r="Q3" s="214">
        <v>540</v>
      </c>
      <c r="R3" s="214">
        <v>540</v>
      </c>
      <c r="S3" s="214">
        <v>540</v>
      </c>
      <c r="T3" s="215">
        <v>540</v>
      </c>
      <c r="U3" s="215">
        <v>840</v>
      </c>
      <c r="V3" s="215">
        <v>840</v>
      </c>
      <c r="W3" s="215">
        <v>890</v>
      </c>
      <c r="X3" s="215">
        <v>890</v>
      </c>
      <c r="Y3" s="215">
        <v>900</v>
      </c>
      <c r="Z3" s="215">
        <v>900</v>
      </c>
      <c r="AB3" s="213" t="s">
        <v>13</v>
      </c>
      <c r="AC3" s="214">
        <v>340</v>
      </c>
      <c r="AD3" s="214">
        <v>400</v>
      </c>
      <c r="AE3" s="214">
        <v>400</v>
      </c>
      <c r="AF3" s="214">
        <v>400</v>
      </c>
      <c r="AG3" s="214">
        <v>400</v>
      </c>
      <c r="AH3" s="214">
        <v>450</v>
      </c>
      <c r="AI3" s="214">
        <v>450</v>
      </c>
      <c r="AJ3" s="214">
        <v>460</v>
      </c>
      <c r="AK3" s="214">
        <v>460</v>
      </c>
      <c r="AL3" s="214">
        <v>460</v>
      </c>
      <c r="AM3" s="214">
        <v>480</v>
      </c>
      <c r="AN3" s="214">
        <v>480</v>
      </c>
      <c r="AO3" s="214">
        <v>480</v>
      </c>
      <c r="AP3" s="214">
        <v>480</v>
      </c>
      <c r="AQ3" s="214">
        <v>480</v>
      </c>
      <c r="AR3" s="214">
        <v>490</v>
      </c>
      <c r="AS3" s="214">
        <v>490</v>
      </c>
      <c r="AT3" s="214">
        <v>490</v>
      </c>
      <c r="AU3" s="215">
        <v>490</v>
      </c>
      <c r="AV3" s="215">
        <v>770</v>
      </c>
      <c r="AW3" s="215">
        <v>770</v>
      </c>
      <c r="AX3" s="215">
        <v>820</v>
      </c>
      <c r="AY3" s="215">
        <v>820</v>
      </c>
      <c r="AZ3" s="215">
        <v>830</v>
      </c>
      <c r="BA3" s="215">
        <v>830</v>
      </c>
      <c r="BC3" s="213" t="s">
        <v>13</v>
      </c>
      <c r="BD3" s="214">
        <f>B3-AC3</f>
        <v>40</v>
      </c>
      <c r="BE3" s="214">
        <f t="shared" ref="BE3:CB13" si="0">C3-AD3</f>
        <v>50</v>
      </c>
      <c r="BF3" s="214">
        <f t="shared" si="0"/>
        <v>50</v>
      </c>
      <c r="BG3" s="214">
        <f t="shared" si="0"/>
        <v>50</v>
      </c>
      <c r="BH3" s="214">
        <f t="shared" si="0"/>
        <v>50</v>
      </c>
      <c r="BI3" s="214">
        <f t="shared" si="0"/>
        <v>50</v>
      </c>
      <c r="BJ3" s="214">
        <f t="shared" si="0"/>
        <v>50</v>
      </c>
      <c r="BK3" s="214">
        <f t="shared" si="0"/>
        <v>50</v>
      </c>
      <c r="BL3" s="214">
        <f t="shared" si="0"/>
        <v>50</v>
      </c>
      <c r="BM3" s="214">
        <f t="shared" si="0"/>
        <v>50</v>
      </c>
      <c r="BN3" s="214">
        <f t="shared" si="0"/>
        <v>50</v>
      </c>
      <c r="BO3" s="214">
        <f t="shared" si="0"/>
        <v>50</v>
      </c>
      <c r="BP3" s="214">
        <f t="shared" si="0"/>
        <v>50</v>
      </c>
      <c r="BQ3" s="214">
        <f t="shared" si="0"/>
        <v>50</v>
      </c>
      <c r="BR3" s="214">
        <f t="shared" si="0"/>
        <v>50</v>
      </c>
      <c r="BS3" s="214">
        <f t="shared" si="0"/>
        <v>50</v>
      </c>
      <c r="BT3" s="214">
        <f t="shared" si="0"/>
        <v>50</v>
      </c>
      <c r="BU3" s="214">
        <f t="shared" si="0"/>
        <v>50</v>
      </c>
      <c r="BV3" s="214">
        <f t="shared" si="0"/>
        <v>50</v>
      </c>
      <c r="BW3" s="214">
        <f t="shared" si="0"/>
        <v>70</v>
      </c>
      <c r="BX3" s="214">
        <f t="shared" si="0"/>
        <v>70</v>
      </c>
      <c r="BY3" s="214">
        <f t="shared" si="0"/>
        <v>70</v>
      </c>
      <c r="BZ3" s="214">
        <f t="shared" si="0"/>
        <v>70</v>
      </c>
      <c r="CA3" s="214">
        <f t="shared" si="0"/>
        <v>70</v>
      </c>
      <c r="CB3" s="214">
        <f t="shared" si="0"/>
        <v>70</v>
      </c>
    </row>
    <row r="4" spans="1:80">
      <c r="A4" s="213" t="s">
        <v>89</v>
      </c>
      <c r="B4" s="214">
        <v>450</v>
      </c>
      <c r="C4" s="214">
        <v>380</v>
      </c>
      <c r="D4" s="214">
        <v>380</v>
      </c>
      <c r="E4" s="214">
        <v>380</v>
      </c>
      <c r="F4" s="214">
        <v>380</v>
      </c>
      <c r="G4" s="214">
        <v>470</v>
      </c>
      <c r="H4" s="214">
        <v>470</v>
      </c>
      <c r="I4" s="214">
        <v>500</v>
      </c>
      <c r="J4" s="214">
        <v>500</v>
      </c>
      <c r="K4" s="214">
        <v>500</v>
      </c>
      <c r="L4" s="214">
        <v>510</v>
      </c>
      <c r="M4" s="214">
        <v>510</v>
      </c>
      <c r="N4" s="214">
        <v>520</v>
      </c>
      <c r="O4" s="214">
        <v>520</v>
      </c>
      <c r="P4" s="214">
        <v>520</v>
      </c>
      <c r="Q4" s="214">
        <v>530</v>
      </c>
      <c r="R4" s="214">
        <v>530</v>
      </c>
      <c r="S4" s="214">
        <v>530</v>
      </c>
      <c r="T4" s="215">
        <v>530</v>
      </c>
      <c r="U4" s="215">
        <v>830</v>
      </c>
      <c r="V4" s="215">
        <v>830</v>
      </c>
      <c r="W4" s="215">
        <v>840</v>
      </c>
      <c r="X4" s="215">
        <v>840</v>
      </c>
      <c r="Y4" s="215">
        <v>840</v>
      </c>
      <c r="Z4" s="215">
        <v>840</v>
      </c>
      <c r="AB4" s="213" t="s">
        <v>89</v>
      </c>
      <c r="AC4" s="214">
        <v>400</v>
      </c>
      <c r="AD4" s="214">
        <v>340</v>
      </c>
      <c r="AE4" s="214">
        <v>340</v>
      </c>
      <c r="AF4" s="214">
        <v>340</v>
      </c>
      <c r="AG4" s="214">
        <v>340</v>
      </c>
      <c r="AH4" s="214">
        <v>420</v>
      </c>
      <c r="AI4" s="214">
        <v>420</v>
      </c>
      <c r="AJ4" s="214">
        <v>450</v>
      </c>
      <c r="AK4" s="214">
        <v>450</v>
      </c>
      <c r="AL4" s="214">
        <v>450</v>
      </c>
      <c r="AM4" s="214">
        <v>460</v>
      </c>
      <c r="AN4" s="214">
        <v>460</v>
      </c>
      <c r="AO4" s="214">
        <v>470</v>
      </c>
      <c r="AP4" s="214">
        <v>470</v>
      </c>
      <c r="AQ4" s="214">
        <v>470</v>
      </c>
      <c r="AR4" s="214">
        <v>480</v>
      </c>
      <c r="AS4" s="214">
        <v>480</v>
      </c>
      <c r="AT4" s="214">
        <v>480</v>
      </c>
      <c r="AU4" s="215">
        <v>480</v>
      </c>
      <c r="AV4" s="215">
        <v>760</v>
      </c>
      <c r="AW4" s="215">
        <v>760</v>
      </c>
      <c r="AX4" s="215">
        <v>770</v>
      </c>
      <c r="AY4" s="215">
        <v>770</v>
      </c>
      <c r="AZ4" s="215">
        <v>770</v>
      </c>
      <c r="BA4" s="215">
        <v>770</v>
      </c>
      <c r="BC4" s="213" t="s">
        <v>89</v>
      </c>
      <c r="BD4" s="214">
        <f t="shared" ref="BD4:BD27" si="1">B4-AC4</f>
        <v>50</v>
      </c>
      <c r="BE4" s="214">
        <f t="shared" si="0"/>
        <v>40</v>
      </c>
      <c r="BF4" s="214">
        <f t="shared" si="0"/>
        <v>40</v>
      </c>
      <c r="BG4" s="214">
        <f t="shared" si="0"/>
        <v>40</v>
      </c>
      <c r="BH4" s="214">
        <f t="shared" si="0"/>
        <v>40</v>
      </c>
      <c r="BI4" s="214">
        <f t="shared" si="0"/>
        <v>50</v>
      </c>
      <c r="BJ4" s="214">
        <f t="shared" si="0"/>
        <v>50</v>
      </c>
      <c r="BK4" s="214">
        <f t="shared" si="0"/>
        <v>50</v>
      </c>
      <c r="BL4" s="214">
        <f t="shared" si="0"/>
        <v>50</v>
      </c>
      <c r="BM4" s="214">
        <f t="shared" si="0"/>
        <v>50</v>
      </c>
      <c r="BN4" s="214">
        <f t="shared" si="0"/>
        <v>50</v>
      </c>
      <c r="BO4" s="214">
        <f t="shared" si="0"/>
        <v>50</v>
      </c>
      <c r="BP4" s="214">
        <f t="shared" si="0"/>
        <v>50</v>
      </c>
      <c r="BQ4" s="214">
        <f t="shared" si="0"/>
        <v>50</v>
      </c>
      <c r="BR4" s="214">
        <f t="shared" si="0"/>
        <v>50</v>
      </c>
      <c r="BS4" s="214">
        <f t="shared" si="0"/>
        <v>50</v>
      </c>
      <c r="BT4" s="214">
        <f t="shared" si="0"/>
        <v>50</v>
      </c>
      <c r="BU4" s="214">
        <f t="shared" si="0"/>
        <v>50</v>
      </c>
      <c r="BV4" s="214">
        <f t="shared" si="0"/>
        <v>50</v>
      </c>
      <c r="BW4" s="214">
        <f t="shared" si="0"/>
        <v>70</v>
      </c>
      <c r="BX4" s="214">
        <f t="shared" si="0"/>
        <v>70</v>
      </c>
      <c r="BY4" s="214">
        <f t="shared" si="0"/>
        <v>70</v>
      </c>
      <c r="BZ4" s="214">
        <f t="shared" si="0"/>
        <v>70</v>
      </c>
      <c r="CA4" s="214">
        <f t="shared" si="0"/>
        <v>70</v>
      </c>
      <c r="CB4" s="214">
        <f t="shared" si="0"/>
        <v>70</v>
      </c>
    </row>
    <row r="5" spans="1:80">
      <c r="A5" s="213" t="s">
        <v>90</v>
      </c>
      <c r="B5" s="214">
        <v>450</v>
      </c>
      <c r="C5" s="214">
        <v>380</v>
      </c>
      <c r="D5" s="214">
        <v>380</v>
      </c>
      <c r="E5" s="214">
        <v>380</v>
      </c>
      <c r="F5" s="214">
        <v>380</v>
      </c>
      <c r="G5" s="214">
        <v>470</v>
      </c>
      <c r="H5" s="214">
        <v>470</v>
      </c>
      <c r="I5" s="214">
        <v>500</v>
      </c>
      <c r="J5" s="214">
        <v>500</v>
      </c>
      <c r="K5" s="214">
        <v>500</v>
      </c>
      <c r="L5" s="214">
        <v>510</v>
      </c>
      <c r="M5" s="214">
        <v>510</v>
      </c>
      <c r="N5" s="214">
        <v>520</v>
      </c>
      <c r="O5" s="214">
        <v>520</v>
      </c>
      <c r="P5" s="214">
        <v>520</v>
      </c>
      <c r="Q5" s="214">
        <v>530</v>
      </c>
      <c r="R5" s="214">
        <v>530</v>
      </c>
      <c r="S5" s="214">
        <v>530</v>
      </c>
      <c r="T5" s="215">
        <v>530</v>
      </c>
      <c r="U5" s="215">
        <v>830</v>
      </c>
      <c r="V5" s="215">
        <v>830</v>
      </c>
      <c r="W5" s="215">
        <v>840</v>
      </c>
      <c r="X5" s="215">
        <v>840</v>
      </c>
      <c r="Y5" s="215">
        <v>840</v>
      </c>
      <c r="Z5" s="215">
        <v>840</v>
      </c>
      <c r="AB5" s="213" t="s">
        <v>90</v>
      </c>
      <c r="AC5" s="214">
        <v>400</v>
      </c>
      <c r="AD5" s="214">
        <v>340</v>
      </c>
      <c r="AE5" s="214">
        <v>340</v>
      </c>
      <c r="AF5" s="214">
        <v>340</v>
      </c>
      <c r="AG5" s="214">
        <v>340</v>
      </c>
      <c r="AH5" s="214">
        <v>420</v>
      </c>
      <c r="AI5" s="214">
        <v>420</v>
      </c>
      <c r="AJ5" s="214">
        <v>450</v>
      </c>
      <c r="AK5" s="214">
        <v>450</v>
      </c>
      <c r="AL5" s="214">
        <v>450</v>
      </c>
      <c r="AM5" s="214">
        <v>460</v>
      </c>
      <c r="AN5" s="214">
        <v>460</v>
      </c>
      <c r="AO5" s="214">
        <v>470</v>
      </c>
      <c r="AP5" s="214">
        <v>470</v>
      </c>
      <c r="AQ5" s="214">
        <v>470</v>
      </c>
      <c r="AR5" s="214">
        <v>480</v>
      </c>
      <c r="AS5" s="214">
        <v>480</v>
      </c>
      <c r="AT5" s="214">
        <v>480</v>
      </c>
      <c r="AU5" s="215">
        <v>480</v>
      </c>
      <c r="AV5" s="215">
        <v>760</v>
      </c>
      <c r="AW5" s="215">
        <v>760</v>
      </c>
      <c r="AX5" s="215">
        <v>770</v>
      </c>
      <c r="AY5" s="215">
        <v>770</v>
      </c>
      <c r="AZ5" s="215">
        <v>770</v>
      </c>
      <c r="BA5" s="215">
        <v>770</v>
      </c>
      <c r="BC5" s="213" t="s">
        <v>90</v>
      </c>
      <c r="BD5" s="214">
        <f t="shared" si="1"/>
        <v>50</v>
      </c>
      <c r="BE5" s="214">
        <f t="shared" si="0"/>
        <v>40</v>
      </c>
      <c r="BF5" s="214">
        <f t="shared" si="0"/>
        <v>40</v>
      </c>
      <c r="BG5" s="214">
        <f t="shared" si="0"/>
        <v>40</v>
      </c>
      <c r="BH5" s="214">
        <f t="shared" si="0"/>
        <v>40</v>
      </c>
      <c r="BI5" s="214">
        <f t="shared" si="0"/>
        <v>50</v>
      </c>
      <c r="BJ5" s="214">
        <f t="shared" si="0"/>
        <v>50</v>
      </c>
      <c r="BK5" s="214">
        <f t="shared" si="0"/>
        <v>50</v>
      </c>
      <c r="BL5" s="214">
        <f t="shared" si="0"/>
        <v>50</v>
      </c>
      <c r="BM5" s="214">
        <f t="shared" si="0"/>
        <v>50</v>
      </c>
      <c r="BN5" s="214">
        <f t="shared" si="0"/>
        <v>50</v>
      </c>
      <c r="BO5" s="214">
        <f t="shared" si="0"/>
        <v>50</v>
      </c>
      <c r="BP5" s="214">
        <f t="shared" si="0"/>
        <v>50</v>
      </c>
      <c r="BQ5" s="214">
        <f t="shared" si="0"/>
        <v>50</v>
      </c>
      <c r="BR5" s="214">
        <f t="shared" si="0"/>
        <v>50</v>
      </c>
      <c r="BS5" s="214">
        <f t="shared" si="0"/>
        <v>50</v>
      </c>
      <c r="BT5" s="214">
        <f t="shared" si="0"/>
        <v>50</v>
      </c>
      <c r="BU5" s="214">
        <f t="shared" si="0"/>
        <v>50</v>
      </c>
      <c r="BV5" s="214">
        <f t="shared" si="0"/>
        <v>50</v>
      </c>
      <c r="BW5" s="214">
        <f t="shared" si="0"/>
        <v>70</v>
      </c>
      <c r="BX5" s="214">
        <f t="shared" si="0"/>
        <v>70</v>
      </c>
      <c r="BY5" s="214">
        <f t="shared" si="0"/>
        <v>70</v>
      </c>
      <c r="BZ5" s="214">
        <f t="shared" si="0"/>
        <v>70</v>
      </c>
      <c r="CA5" s="214">
        <f t="shared" si="0"/>
        <v>70</v>
      </c>
      <c r="CB5" s="214">
        <f t="shared" si="0"/>
        <v>70</v>
      </c>
    </row>
    <row r="6" spans="1:80">
      <c r="A6" s="213" t="s">
        <v>24</v>
      </c>
      <c r="B6" s="214">
        <v>450</v>
      </c>
      <c r="C6" s="214">
        <v>380</v>
      </c>
      <c r="D6" s="214">
        <v>380</v>
      </c>
      <c r="E6" s="214">
        <v>380</v>
      </c>
      <c r="F6" s="214">
        <v>380</v>
      </c>
      <c r="G6" s="214">
        <v>470</v>
      </c>
      <c r="H6" s="214">
        <v>470</v>
      </c>
      <c r="I6" s="214">
        <v>500</v>
      </c>
      <c r="J6" s="214">
        <v>500</v>
      </c>
      <c r="K6" s="214">
        <v>500</v>
      </c>
      <c r="L6" s="214">
        <v>510</v>
      </c>
      <c r="M6" s="214">
        <v>510</v>
      </c>
      <c r="N6" s="214">
        <v>520</v>
      </c>
      <c r="O6" s="214">
        <v>520</v>
      </c>
      <c r="P6" s="214">
        <v>520</v>
      </c>
      <c r="Q6" s="214">
        <v>530</v>
      </c>
      <c r="R6" s="214">
        <v>530</v>
      </c>
      <c r="S6" s="214">
        <v>530</v>
      </c>
      <c r="T6" s="215">
        <v>530</v>
      </c>
      <c r="U6" s="215">
        <v>830</v>
      </c>
      <c r="V6" s="215">
        <v>830</v>
      </c>
      <c r="W6" s="215">
        <v>840</v>
      </c>
      <c r="X6" s="215">
        <v>840</v>
      </c>
      <c r="Y6" s="215">
        <v>840</v>
      </c>
      <c r="Z6" s="215">
        <v>840</v>
      </c>
      <c r="AB6" s="213" t="s">
        <v>24</v>
      </c>
      <c r="AC6" s="214">
        <v>400</v>
      </c>
      <c r="AD6" s="214">
        <v>340</v>
      </c>
      <c r="AE6" s="214">
        <v>340</v>
      </c>
      <c r="AF6" s="214">
        <v>340</v>
      </c>
      <c r="AG6" s="214">
        <v>340</v>
      </c>
      <c r="AH6" s="214">
        <v>420</v>
      </c>
      <c r="AI6" s="214">
        <v>420</v>
      </c>
      <c r="AJ6" s="214">
        <v>450</v>
      </c>
      <c r="AK6" s="214">
        <v>450</v>
      </c>
      <c r="AL6" s="214">
        <v>450</v>
      </c>
      <c r="AM6" s="214">
        <v>460</v>
      </c>
      <c r="AN6" s="214">
        <v>460</v>
      </c>
      <c r="AO6" s="214">
        <v>470</v>
      </c>
      <c r="AP6" s="214">
        <v>470</v>
      </c>
      <c r="AQ6" s="214">
        <v>470</v>
      </c>
      <c r="AR6" s="214">
        <v>480</v>
      </c>
      <c r="AS6" s="214">
        <v>480</v>
      </c>
      <c r="AT6" s="214">
        <v>480</v>
      </c>
      <c r="AU6" s="215">
        <v>480</v>
      </c>
      <c r="AV6" s="215">
        <v>760</v>
      </c>
      <c r="AW6" s="215">
        <v>760</v>
      </c>
      <c r="AX6" s="215">
        <v>770</v>
      </c>
      <c r="AY6" s="215">
        <v>770</v>
      </c>
      <c r="AZ6" s="215">
        <v>770</v>
      </c>
      <c r="BA6" s="215">
        <v>770</v>
      </c>
      <c r="BC6" s="213" t="s">
        <v>24</v>
      </c>
      <c r="BD6" s="214">
        <f t="shared" si="1"/>
        <v>50</v>
      </c>
      <c r="BE6" s="214">
        <f t="shared" si="0"/>
        <v>40</v>
      </c>
      <c r="BF6" s="214">
        <f t="shared" si="0"/>
        <v>40</v>
      </c>
      <c r="BG6" s="214">
        <f t="shared" si="0"/>
        <v>40</v>
      </c>
      <c r="BH6" s="214">
        <f t="shared" si="0"/>
        <v>40</v>
      </c>
      <c r="BI6" s="214">
        <f t="shared" si="0"/>
        <v>50</v>
      </c>
      <c r="BJ6" s="214">
        <f t="shared" si="0"/>
        <v>50</v>
      </c>
      <c r="BK6" s="214">
        <f t="shared" si="0"/>
        <v>50</v>
      </c>
      <c r="BL6" s="214">
        <f t="shared" si="0"/>
        <v>50</v>
      </c>
      <c r="BM6" s="214">
        <f t="shared" si="0"/>
        <v>50</v>
      </c>
      <c r="BN6" s="214">
        <f t="shared" si="0"/>
        <v>50</v>
      </c>
      <c r="BO6" s="214">
        <f t="shared" si="0"/>
        <v>50</v>
      </c>
      <c r="BP6" s="214">
        <f t="shared" si="0"/>
        <v>50</v>
      </c>
      <c r="BQ6" s="214">
        <f t="shared" si="0"/>
        <v>50</v>
      </c>
      <c r="BR6" s="214">
        <f t="shared" si="0"/>
        <v>50</v>
      </c>
      <c r="BS6" s="214">
        <f t="shared" si="0"/>
        <v>50</v>
      </c>
      <c r="BT6" s="214">
        <f t="shared" si="0"/>
        <v>50</v>
      </c>
      <c r="BU6" s="214">
        <f t="shared" si="0"/>
        <v>50</v>
      </c>
      <c r="BV6" s="214">
        <f t="shared" si="0"/>
        <v>50</v>
      </c>
      <c r="BW6" s="214">
        <f t="shared" si="0"/>
        <v>70</v>
      </c>
      <c r="BX6" s="214">
        <f t="shared" si="0"/>
        <v>70</v>
      </c>
      <c r="BY6" s="214">
        <f t="shared" si="0"/>
        <v>70</v>
      </c>
      <c r="BZ6" s="214">
        <f t="shared" si="0"/>
        <v>70</v>
      </c>
      <c r="CA6" s="214">
        <f t="shared" si="0"/>
        <v>70</v>
      </c>
      <c r="CB6" s="214">
        <f t="shared" si="0"/>
        <v>70</v>
      </c>
    </row>
    <row r="7" spans="1:80">
      <c r="A7" s="213" t="s">
        <v>9</v>
      </c>
      <c r="B7" s="214">
        <v>450</v>
      </c>
      <c r="C7" s="214">
        <v>380</v>
      </c>
      <c r="D7" s="214">
        <v>380</v>
      </c>
      <c r="E7" s="214">
        <v>380</v>
      </c>
      <c r="F7" s="214">
        <v>380</v>
      </c>
      <c r="G7" s="214">
        <v>470</v>
      </c>
      <c r="H7" s="214">
        <v>470</v>
      </c>
      <c r="I7" s="214">
        <v>500</v>
      </c>
      <c r="J7" s="214">
        <v>500</v>
      </c>
      <c r="K7" s="214">
        <v>500</v>
      </c>
      <c r="L7" s="214">
        <v>510</v>
      </c>
      <c r="M7" s="214">
        <v>510</v>
      </c>
      <c r="N7" s="214">
        <v>520</v>
      </c>
      <c r="O7" s="214">
        <v>520</v>
      </c>
      <c r="P7" s="214">
        <v>520</v>
      </c>
      <c r="Q7" s="214">
        <v>530</v>
      </c>
      <c r="R7" s="214">
        <v>530</v>
      </c>
      <c r="S7" s="214">
        <v>530</v>
      </c>
      <c r="T7" s="215">
        <v>530</v>
      </c>
      <c r="U7" s="215">
        <v>830</v>
      </c>
      <c r="V7" s="215">
        <v>830</v>
      </c>
      <c r="W7" s="215">
        <v>840</v>
      </c>
      <c r="X7" s="215">
        <v>840</v>
      </c>
      <c r="Y7" s="215">
        <v>840</v>
      </c>
      <c r="Z7" s="215">
        <v>840</v>
      </c>
      <c r="AB7" s="213" t="s">
        <v>9</v>
      </c>
      <c r="AC7" s="214">
        <v>400</v>
      </c>
      <c r="AD7" s="214">
        <v>340</v>
      </c>
      <c r="AE7" s="214">
        <v>340</v>
      </c>
      <c r="AF7" s="214">
        <v>340</v>
      </c>
      <c r="AG7" s="214">
        <v>340</v>
      </c>
      <c r="AH7" s="214">
        <v>420</v>
      </c>
      <c r="AI7" s="214">
        <v>420</v>
      </c>
      <c r="AJ7" s="214">
        <v>450</v>
      </c>
      <c r="AK7" s="214">
        <v>450</v>
      </c>
      <c r="AL7" s="214">
        <v>450</v>
      </c>
      <c r="AM7" s="214">
        <v>460</v>
      </c>
      <c r="AN7" s="214">
        <v>460</v>
      </c>
      <c r="AO7" s="214">
        <v>470</v>
      </c>
      <c r="AP7" s="214">
        <v>470</v>
      </c>
      <c r="AQ7" s="214">
        <v>470</v>
      </c>
      <c r="AR7" s="214">
        <v>480</v>
      </c>
      <c r="AS7" s="214">
        <v>480</v>
      </c>
      <c r="AT7" s="214">
        <v>480</v>
      </c>
      <c r="AU7" s="215">
        <v>480</v>
      </c>
      <c r="AV7" s="215">
        <v>760</v>
      </c>
      <c r="AW7" s="215">
        <v>760</v>
      </c>
      <c r="AX7" s="215">
        <v>770</v>
      </c>
      <c r="AY7" s="215">
        <v>770</v>
      </c>
      <c r="AZ7" s="215">
        <v>770</v>
      </c>
      <c r="BA7" s="215">
        <v>770</v>
      </c>
      <c r="BC7" s="213" t="s">
        <v>9</v>
      </c>
      <c r="BD7" s="214">
        <f t="shared" si="1"/>
        <v>50</v>
      </c>
      <c r="BE7" s="214">
        <f t="shared" si="0"/>
        <v>40</v>
      </c>
      <c r="BF7" s="214">
        <f t="shared" si="0"/>
        <v>40</v>
      </c>
      <c r="BG7" s="214">
        <f t="shared" si="0"/>
        <v>40</v>
      </c>
      <c r="BH7" s="214">
        <f t="shared" si="0"/>
        <v>40</v>
      </c>
      <c r="BI7" s="214">
        <f t="shared" si="0"/>
        <v>50</v>
      </c>
      <c r="BJ7" s="214">
        <f t="shared" si="0"/>
        <v>50</v>
      </c>
      <c r="BK7" s="214">
        <f t="shared" si="0"/>
        <v>50</v>
      </c>
      <c r="BL7" s="214">
        <f t="shared" si="0"/>
        <v>50</v>
      </c>
      <c r="BM7" s="214">
        <f t="shared" si="0"/>
        <v>50</v>
      </c>
      <c r="BN7" s="214">
        <f t="shared" si="0"/>
        <v>50</v>
      </c>
      <c r="BO7" s="214">
        <f t="shared" si="0"/>
        <v>50</v>
      </c>
      <c r="BP7" s="214">
        <f t="shared" si="0"/>
        <v>50</v>
      </c>
      <c r="BQ7" s="214">
        <f t="shared" si="0"/>
        <v>50</v>
      </c>
      <c r="BR7" s="214">
        <f t="shared" si="0"/>
        <v>50</v>
      </c>
      <c r="BS7" s="214">
        <f t="shared" si="0"/>
        <v>50</v>
      </c>
      <c r="BT7" s="214">
        <f t="shared" si="0"/>
        <v>50</v>
      </c>
      <c r="BU7" s="214">
        <f t="shared" si="0"/>
        <v>50</v>
      </c>
      <c r="BV7" s="214">
        <f t="shared" si="0"/>
        <v>50</v>
      </c>
      <c r="BW7" s="214">
        <f t="shared" si="0"/>
        <v>70</v>
      </c>
      <c r="BX7" s="214">
        <f t="shared" si="0"/>
        <v>70</v>
      </c>
      <c r="BY7" s="214">
        <f t="shared" si="0"/>
        <v>70</v>
      </c>
      <c r="BZ7" s="214">
        <f t="shared" si="0"/>
        <v>70</v>
      </c>
      <c r="CA7" s="214">
        <f t="shared" si="0"/>
        <v>70</v>
      </c>
      <c r="CB7" s="214">
        <f t="shared" si="0"/>
        <v>70</v>
      </c>
    </row>
    <row r="8" spans="1:80">
      <c r="A8" s="213" t="s">
        <v>91</v>
      </c>
      <c r="B8" s="214">
        <v>500</v>
      </c>
      <c r="C8" s="214">
        <v>470</v>
      </c>
      <c r="D8" s="214">
        <v>470</v>
      </c>
      <c r="E8" s="214">
        <v>470</v>
      </c>
      <c r="F8" s="214">
        <v>470</v>
      </c>
      <c r="G8" s="214">
        <v>380</v>
      </c>
      <c r="H8" s="214">
        <v>380</v>
      </c>
      <c r="I8" s="214">
        <v>450</v>
      </c>
      <c r="J8" s="214">
        <v>450</v>
      </c>
      <c r="K8" s="214">
        <v>450</v>
      </c>
      <c r="L8" s="214">
        <v>500</v>
      </c>
      <c r="M8" s="214">
        <v>500</v>
      </c>
      <c r="N8" s="214">
        <v>500</v>
      </c>
      <c r="O8" s="214">
        <v>500</v>
      </c>
      <c r="P8" s="214">
        <v>500</v>
      </c>
      <c r="Q8" s="214">
        <v>510</v>
      </c>
      <c r="R8" s="214">
        <v>510</v>
      </c>
      <c r="S8" s="214">
        <v>510</v>
      </c>
      <c r="T8" s="215">
        <v>510</v>
      </c>
      <c r="U8" s="215">
        <v>780</v>
      </c>
      <c r="V8" s="215">
        <v>780</v>
      </c>
      <c r="W8" s="215">
        <v>780</v>
      </c>
      <c r="X8" s="215">
        <v>780</v>
      </c>
      <c r="Y8" s="215">
        <v>810</v>
      </c>
      <c r="Z8" s="215">
        <v>810</v>
      </c>
      <c r="AB8" s="213" t="s">
        <v>91</v>
      </c>
      <c r="AC8" s="214">
        <v>450</v>
      </c>
      <c r="AD8" s="214">
        <v>420</v>
      </c>
      <c r="AE8" s="214">
        <v>420</v>
      </c>
      <c r="AF8" s="214">
        <v>420</v>
      </c>
      <c r="AG8" s="214">
        <v>420</v>
      </c>
      <c r="AH8" s="214">
        <v>340</v>
      </c>
      <c r="AI8" s="214">
        <v>340</v>
      </c>
      <c r="AJ8" s="214">
        <v>400</v>
      </c>
      <c r="AK8" s="214">
        <v>400</v>
      </c>
      <c r="AL8" s="214">
        <v>400</v>
      </c>
      <c r="AM8" s="214">
        <v>450</v>
      </c>
      <c r="AN8" s="214">
        <v>450</v>
      </c>
      <c r="AO8" s="214">
        <v>450</v>
      </c>
      <c r="AP8" s="214">
        <v>450</v>
      </c>
      <c r="AQ8" s="214">
        <v>450</v>
      </c>
      <c r="AR8" s="214">
        <v>460</v>
      </c>
      <c r="AS8" s="214">
        <v>460</v>
      </c>
      <c r="AT8" s="214">
        <v>460</v>
      </c>
      <c r="AU8" s="215">
        <v>460</v>
      </c>
      <c r="AV8" s="215">
        <v>720</v>
      </c>
      <c r="AW8" s="215">
        <v>720</v>
      </c>
      <c r="AX8" s="215">
        <v>720</v>
      </c>
      <c r="AY8" s="215">
        <v>720</v>
      </c>
      <c r="AZ8" s="215">
        <v>740</v>
      </c>
      <c r="BA8" s="215">
        <v>740</v>
      </c>
      <c r="BC8" s="213" t="s">
        <v>91</v>
      </c>
      <c r="BD8" s="214">
        <f t="shared" si="1"/>
        <v>50</v>
      </c>
      <c r="BE8" s="214">
        <f t="shared" si="0"/>
        <v>50</v>
      </c>
      <c r="BF8" s="214">
        <f t="shared" si="0"/>
        <v>50</v>
      </c>
      <c r="BG8" s="214">
        <f t="shared" si="0"/>
        <v>50</v>
      </c>
      <c r="BH8" s="214">
        <f t="shared" si="0"/>
        <v>50</v>
      </c>
      <c r="BI8" s="214">
        <f t="shared" si="0"/>
        <v>40</v>
      </c>
      <c r="BJ8" s="214">
        <f t="shared" si="0"/>
        <v>40</v>
      </c>
      <c r="BK8" s="214">
        <f t="shared" si="0"/>
        <v>50</v>
      </c>
      <c r="BL8" s="214">
        <f t="shared" si="0"/>
        <v>50</v>
      </c>
      <c r="BM8" s="214">
        <f t="shared" si="0"/>
        <v>50</v>
      </c>
      <c r="BN8" s="214">
        <f t="shared" si="0"/>
        <v>50</v>
      </c>
      <c r="BO8" s="214">
        <f t="shared" si="0"/>
        <v>50</v>
      </c>
      <c r="BP8" s="214">
        <f t="shared" si="0"/>
        <v>50</v>
      </c>
      <c r="BQ8" s="214">
        <f t="shared" si="0"/>
        <v>50</v>
      </c>
      <c r="BR8" s="214">
        <f t="shared" si="0"/>
        <v>50</v>
      </c>
      <c r="BS8" s="214">
        <f t="shared" si="0"/>
        <v>50</v>
      </c>
      <c r="BT8" s="214">
        <f t="shared" si="0"/>
        <v>50</v>
      </c>
      <c r="BU8" s="214">
        <f t="shared" si="0"/>
        <v>50</v>
      </c>
      <c r="BV8" s="214">
        <f t="shared" si="0"/>
        <v>50</v>
      </c>
      <c r="BW8" s="214">
        <f t="shared" si="0"/>
        <v>60</v>
      </c>
      <c r="BX8" s="214">
        <f t="shared" si="0"/>
        <v>60</v>
      </c>
      <c r="BY8" s="214">
        <f t="shared" si="0"/>
        <v>60</v>
      </c>
      <c r="BZ8" s="214">
        <f t="shared" si="0"/>
        <v>60</v>
      </c>
      <c r="CA8" s="214">
        <f t="shared" si="0"/>
        <v>70</v>
      </c>
      <c r="CB8" s="214">
        <f t="shared" si="0"/>
        <v>70</v>
      </c>
    </row>
    <row r="9" spans="1:80">
      <c r="A9" s="213" t="s">
        <v>7</v>
      </c>
      <c r="B9" s="214">
        <v>500</v>
      </c>
      <c r="C9" s="214">
        <v>470</v>
      </c>
      <c r="D9" s="214">
        <v>470</v>
      </c>
      <c r="E9" s="214">
        <v>470</v>
      </c>
      <c r="F9" s="214">
        <v>470</v>
      </c>
      <c r="G9" s="214">
        <v>380</v>
      </c>
      <c r="H9" s="214">
        <v>380</v>
      </c>
      <c r="I9" s="214">
        <v>450</v>
      </c>
      <c r="J9" s="214">
        <v>450</v>
      </c>
      <c r="K9" s="214">
        <v>450</v>
      </c>
      <c r="L9" s="214">
        <v>500</v>
      </c>
      <c r="M9" s="214">
        <v>500</v>
      </c>
      <c r="N9" s="214">
        <v>500</v>
      </c>
      <c r="O9" s="214">
        <v>500</v>
      </c>
      <c r="P9" s="214">
        <v>500</v>
      </c>
      <c r="Q9" s="214">
        <v>510</v>
      </c>
      <c r="R9" s="214">
        <v>510</v>
      </c>
      <c r="S9" s="214">
        <v>510</v>
      </c>
      <c r="T9" s="215">
        <v>510</v>
      </c>
      <c r="U9" s="215">
        <v>780</v>
      </c>
      <c r="V9" s="215">
        <v>780</v>
      </c>
      <c r="W9" s="215">
        <v>780</v>
      </c>
      <c r="X9" s="215">
        <v>780</v>
      </c>
      <c r="Y9" s="215">
        <v>810</v>
      </c>
      <c r="Z9" s="215">
        <v>810</v>
      </c>
      <c r="AB9" s="213" t="s">
        <v>7</v>
      </c>
      <c r="AC9" s="214">
        <v>450</v>
      </c>
      <c r="AD9" s="214">
        <v>420</v>
      </c>
      <c r="AE9" s="214">
        <v>420</v>
      </c>
      <c r="AF9" s="214">
        <v>420</v>
      </c>
      <c r="AG9" s="214">
        <v>420</v>
      </c>
      <c r="AH9" s="214">
        <v>340</v>
      </c>
      <c r="AI9" s="214">
        <v>340</v>
      </c>
      <c r="AJ9" s="214">
        <v>400</v>
      </c>
      <c r="AK9" s="214">
        <v>400</v>
      </c>
      <c r="AL9" s="214">
        <v>400</v>
      </c>
      <c r="AM9" s="214">
        <v>450</v>
      </c>
      <c r="AN9" s="214">
        <v>450</v>
      </c>
      <c r="AO9" s="214">
        <v>450</v>
      </c>
      <c r="AP9" s="214">
        <v>450</v>
      </c>
      <c r="AQ9" s="214">
        <v>450</v>
      </c>
      <c r="AR9" s="214">
        <v>460</v>
      </c>
      <c r="AS9" s="214">
        <v>460</v>
      </c>
      <c r="AT9" s="214">
        <v>460</v>
      </c>
      <c r="AU9" s="215">
        <v>460</v>
      </c>
      <c r="AV9" s="215">
        <v>720</v>
      </c>
      <c r="AW9" s="215">
        <v>720</v>
      </c>
      <c r="AX9" s="215">
        <v>720</v>
      </c>
      <c r="AY9" s="215">
        <v>720</v>
      </c>
      <c r="AZ9" s="215">
        <v>740</v>
      </c>
      <c r="BA9" s="215">
        <v>740</v>
      </c>
      <c r="BC9" s="213" t="s">
        <v>7</v>
      </c>
      <c r="BD9" s="214">
        <f t="shared" si="1"/>
        <v>50</v>
      </c>
      <c r="BE9" s="214">
        <f t="shared" si="0"/>
        <v>50</v>
      </c>
      <c r="BF9" s="214">
        <f t="shared" si="0"/>
        <v>50</v>
      </c>
      <c r="BG9" s="214">
        <f t="shared" si="0"/>
        <v>50</v>
      </c>
      <c r="BH9" s="214">
        <f t="shared" si="0"/>
        <v>50</v>
      </c>
      <c r="BI9" s="214">
        <f t="shared" si="0"/>
        <v>40</v>
      </c>
      <c r="BJ9" s="214">
        <f t="shared" si="0"/>
        <v>40</v>
      </c>
      <c r="BK9" s="214">
        <f t="shared" si="0"/>
        <v>50</v>
      </c>
      <c r="BL9" s="214">
        <f t="shared" si="0"/>
        <v>50</v>
      </c>
      <c r="BM9" s="214">
        <f t="shared" si="0"/>
        <v>50</v>
      </c>
      <c r="BN9" s="214">
        <f t="shared" si="0"/>
        <v>50</v>
      </c>
      <c r="BO9" s="214">
        <f t="shared" si="0"/>
        <v>50</v>
      </c>
      <c r="BP9" s="214">
        <f t="shared" si="0"/>
        <v>50</v>
      </c>
      <c r="BQ9" s="214">
        <f t="shared" si="0"/>
        <v>50</v>
      </c>
      <c r="BR9" s="214">
        <f t="shared" si="0"/>
        <v>50</v>
      </c>
      <c r="BS9" s="214">
        <f t="shared" si="0"/>
        <v>50</v>
      </c>
      <c r="BT9" s="214">
        <f t="shared" si="0"/>
        <v>50</v>
      </c>
      <c r="BU9" s="214">
        <f t="shared" si="0"/>
        <v>50</v>
      </c>
      <c r="BV9" s="214">
        <f t="shared" si="0"/>
        <v>50</v>
      </c>
      <c r="BW9" s="214">
        <f t="shared" si="0"/>
        <v>60</v>
      </c>
      <c r="BX9" s="214">
        <f t="shared" si="0"/>
        <v>60</v>
      </c>
      <c r="BY9" s="214">
        <f t="shared" si="0"/>
        <v>60</v>
      </c>
      <c r="BZ9" s="214">
        <f t="shared" si="0"/>
        <v>60</v>
      </c>
      <c r="CA9" s="214">
        <f t="shared" si="0"/>
        <v>70</v>
      </c>
      <c r="CB9" s="214">
        <f t="shared" si="0"/>
        <v>70</v>
      </c>
    </row>
    <row r="10" spans="1:80">
      <c r="A10" s="213" t="s">
        <v>6</v>
      </c>
      <c r="B10" s="214">
        <v>510</v>
      </c>
      <c r="C10" s="214">
        <v>500</v>
      </c>
      <c r="D10" s="214">
        <v>500</v>
      </c>
      <c r="E10" s="214">
        <v>500</v>
      </c>
      <c r="F10" s="214">
        <v>500</v>
      </c>
      <c r="G10" s="214">
        <v>450</v>
      </c>
      <c r="H10" s="214">
        <v>450</v>
      </c>
      <c r="I10" s="214">
        <v>380</v>
      </c>
      <c r="J10" s="214">
        <v>380</v>
      </c>
      <c r="K10" s="214">
        <v>380</v>
      </c>
      <c r="L10" s="214">
        <v>450</v>
      </c>
      <c r="M10" s="214">
        <v>450</v>
      </c>
      <c r="N10" s="214">
        <v>490</v>
      </c>
      <c r="O10" s="214">
        <v>490</v>
      </c>
      <c r="P10" s="214">
        <v>490</v>
      </c>
      <c r="Q10" s="214">
        <v>530</v>
      </c>
      <c r="R10" s="214">
        <v>530</v>
      </c>
      <c r="S10" s="214">
        <v>530</v>
      </c>
      <c r="T10" s="215">
        <v>530</v>
      </c>
      <c r="U10" s="215">
        <v>800</v>
      </c>
      <c r="V10" s="215">
        <v>800</v>
      </c>
      <c r="W10" s="215">
        <v>810</v>
      </c>
      <c r="X10" s="215">
        <v>810</v>
      </c>
      <c r="Y10" s="215">
        <v>830</v>
      </c>
      <c r="Z10" s="215">
        <v>830</v>
      </c>
      <c r="AB10" s="213" t="s">
        <v>6</v>
      </c>
      <c r="AC10" s="214">
        <v>460</v>
      </c>
      <c r="AD10" s="214">
        <v>450</v>
      </c>
      <c r="AE10" s="214">
        <v>450</v>
      </c>
      <c r="AF10" s="214">
        <v>450</v>
      </c>
      <c r="AG10" s="214">
        <v>450</v>
      </c>
      <c r="AH10" s="214">
        <v>400</v>
      </c>
      <c r="AI10" s="214">
        <v>400</v>
      </c>
      <c r="AJ10" s="214">
        <v>340</v>
      </c>
      <c r="AK10" s="214">
        <v>340</v>
      </c>
      <c r="AL10" s="214">
        <v>340</v>
      </c>
      <c r="AM10" s="214">
        <v>400</v>
      </c>
      <c r="AN10" s="214">
        <v>400</v>
      </c>
      <c r="AO10" s="214">
        <v>440</v>
      </c>
      <c r="AP10" s="214">
        <v>440</v>
      </c>
      <c r="AQ10" s="214">
        <v>440</v>
      </c>
      <c r="AR10" s="214">
        <v>480</v>
      </c>
      <c r="AS10" s="214">
        <v>480</v>
      </c>
      <c r="AT10" s="214">
        <v>480</v>
      </c>
      <c r="AU10" s="215">
        <v>480</v>
      </c>
      <c r="AV10" s="215">
        <v>730</v>
      </c>
      <c r="AW10" s="215">
        <v>730</v>
      </c>
      <c r="AX10" s="215">
        <v>740</v>
      </c>
      <c r="AY10" s="215">
        <v>740</v>
      </c>
      <c r="AZ10" s="215">
        <v>760</v>
      </c>
      <c r="BA10" s="215">
        <v>760</v>
      </c>
      <c r="BC10" s="213" t="s">
        <v>6</v>
      </c>
      <c r="BD10" s="214">
        <f t="shared" si="1"/>
        <v>50</v>
      </c>
      <c r="BE10" s="214">
        <f t="shared" si="0"/>
        <v>50</v>
      </c>
      <c r="BF10" s="214">
        <f t="shared" si="0"/>
        <v>50</v>
      </c>
      <c r="BG10" s="214">
        <f t="shared" si="0"/>
        <v>50</v>
      </c>
      <c r="BH10" s="214">
        <f t="shared" si="0"/>
        <v>50</v>
      </c>
      <c r="BI10" s="214">
        <f t="shared" si="0"/>
        <v>50</v>
      </c>
      <c r="BJ10" s="214">
        <f t="shared" si="0"/>
        <v>50</v>
      </c>
      <c r="BK10" s="214">
        <f t="shared" si="0"/>
        <v>40</v>
      </c>
      <c r="BL10" s="214">
        <f t="shared" si="0"/>
        <v>40</v>
      </c>
      <c r="BM10" s="214">
        <f t="shared" si="0"/>
        <v>40</v>
      </c>
      <c r="BN10" s="214">
        <f t="shared" si="0"/>
        <v>50</v>
      </c>
      <c r="BO10" s="214">
        <f t="shared" si="0"/>
        <v>50</v>
      </c>
      <c r="BP10" s="214">
        <f t="shared" si="0"/>
        <v>50</v>
      </c>
      <c r="BQ10" s="214">
        <f t="shared" si="0"/>
        <v>50</v>
      </c>
      <c r="BR10" s="214">
        <f t="shared" si="0"/>
        <v>50</v>
      </c>
      <c r="BS10" s="214">
        <f t="shared" si="0"/>
        <v>50</v>
      </c>
      <c r="BT10" s="214">
        <f t="shared" si="0"/>
        <v>50</v>
      </c>
      <c r="BU10" s="214">
        <f t="shared" si="0"/>
        <v>50</v>
      </c>
      <c r="BV10" s="214">
        <f t="shared" si="0"/>
        <v>50</v>
      </c>
      <c r="BW10" s="214">
        <f t="shared" si="0"/>
        <v>70</v>
      </c>
      <c r="BX10" s="214">
        <f t="shared" si="0"/>
        <v>70</v>
      </c>
      <c r="BY10" s="214">
        <f t="shared" si="0"/>
        <v>70</v>
      </c>
      <c r="BZ10" s="214">
        <f t="shared" si="0"/>
        <v>70</v>
      </c>
      <c r="CA10" s="214">
        <f t="shared" si="0"/>
        <v>70</v>
      </c>
      <c r="CB10" s="214">
        <f t="shared" si="0"/>
        <v>70</v>
      </c>
    </row>
    <row r="11" spans="1:80">
      <c r="A11" s="213" t="s">
        <v>5</v>
      </c>
      <c r="B11" s="214">
        <v>510</v>
      </c>
      <c r="C11" s="214">
        <v>500</v>
      </c>
      <c r="D11" s="214">
        <v>500</v>
      </c>
      <c r="E11" s="214">
        <v>500</v>
      </c>
      <c r="F11" s="214">
        <v>500</v>
      </c>
      <c r="G11" s="214">
        <v>450</v>
      </c>
      <c r="H11" s="214">
        <v>450</v>
      </c>
      <c r="I11" s="214">
        <v>380</v>
      </c>
      <c r="J11" s="214">
        <v>380</v>
      </c>
      <c r="K11" s="214">
        <v>380</v>
      </c>
      <c r="L11" s="214">
        <v>450</v>
      </c>
      <c r="M11" s="214">
        <v>450</v>
      </c>
      <c r="N11" s="214">
        <v>490</v>
      </c>
      <c r="O11" s="214">
        <v>490</v>
      </c>
      <c r="P11" s="214">
        <v>490</v>
      </c>
      <c r="Q11" s="214">
        <v>530</v>
      </c>
      <c r="R11" s="214">
        <v>530</v>
      </c>
      <c r="S11" s="214">
        <v>530</v>
      </c>
      <c r="T11" s="215">
        <v>530</v>
      </c>
      <c r="U11" s="215">
        <v>800</v>
      </c>
      <c r="V11" s="215">
        <v>800</v>
      </c>
      <c r="W11" s="215">
        <v>810</v>
      </c>
      <c r="X11" s="215">
        <v>810</v>
      </c>
      <c r="Y11" s="215">
        <v>830</v>
      </c>
      <c r="Z11" s="215">
        <v>830</v>
      </c>
      <c r="AB11" s="213" t="s">
        <v>5</v>
      </c>
      <c r="AC11" s="214">
        <v>460</v>
      </c>
      <c r="AD11" s="214">
        <v>450</v>
      </c>
      <c r="AE11" s="214">
        <v>450</v>
      </c>
      <c r="AF11" s="214">
        <v>450</v>
      </c>
      <c r="AG11" s="214">
        <v>450</v>
      </c>
      <c r="AH11" s="214">
        <v>400</v>
      </c>
      <c r="AI11" s="214">
        <v>400</v>
      </c>
      <c r="AJ11" s="214">
        <v>340</v>
      </c>
      <c r="AK11" s="214">
        <v>340</v>
      </c>
      <c r="AL11" s="214">
        <v>340</v>
      </c>
      <c r="AM11" s="214">
        <v>400</v>
      </c>
      <c r="AN11" s="214">
        <v>400</v>
      </c>
      <c r="AO11" s="214">
        <v>440</v>
      </c>
      <c r="AP11" s="214">
        <v>440</v>
      </c>
      <c r="AQ11" s="214">
        <v>440</v>
      </c>
      <c r="AR11" s="214">
        <v>480</v>
      </c>
      <c r="AS11" s="214">
        <v>480</v>
      </c>
      <c r="AT11" s="214">
        <v>480</v>
      </c>
      <c r="AU11" s="215">
        <v>480</v>
      </c>
      <c r="AV11" s="215">
        <v>730</v>
      </c>
      <c r="AW11" s="215">
        <v>730</v>
      </c>
      <c r="AX11" s="215">
        <v>740</v>
      </c>
      <c r="AY11" s="215">
        <v>740</v>
      </c>
      <c r="AZ11" s="215">
        <v>760</v>
      </c>
      <c r="BA11" s="215">
        <v>760</v>
      </c>
      <c r="BC11" s="213" t="s">
        <v>5</v>
      </c>
      <c r="BD11" s="214">
        <f t="shared" si="1"/>
        <v>50</v>
      </c>
      <c r="BE11" s="214">
        <f t="shared" si="0"/>
        <v>50</v>
      </c>
      <c r="BF11" s="214">
        <f t="shared" si="0"/>
        <v>50</v>
      </c>
      <c r="BG11" s="214">
        <f t="shared" si="0"/>
        <v>50</v>
      </c>
      <c r="BH11" s="214">
        <f t="shared" si="0"/>
        <v>50</v>
      </c>
      <c r="BI11" s="214">
        <f t="shared" si="0"/>
        <v>50</v>
      </c>
      <c r="BJ11" s="214">
        <f t="shared" si="0"/>
        <v>50</v>
      </c>
      <c r="BK11" s="214">
        <f t="shared" si="0"/>
        <v>40</v>
      </c>
      <c r="BL11" s="214">
        <f t="shared" si="0"/>
        <v>40</v>
      </c>
      <c r="BM11" s="214">
        <f t="shared" si="0"/>
        <v>40</v>
      </c>
      <c r="BN11" s="214">
        <f t="shared" si="0"/>
        <v>50</v>
      </c>
      <c r="BO11" s="214">
        <f t="shared" si="0"/>
        <v>50</v>
      </c>
      <c r="BP11" s="214">
        <f t="shared" si="0"/>
        <v>50</v>
      </c>
      <c r="BQ11" s="214">
        <f t="shared" si="0"/>
        <v>50</v>
      </c>
      <c r="BR11" s="214">
        <f t="shared" si="0"/>
        <v>50</v>
      </c>
      <c r="BS11" s="214">
        <f t="shared" si="0"/>
        <v>50</v>
      </c>
      <c r="BT11" s="214">
        <f t="shared" si="0"/>
        <v>50</v>
      </c>
      <c r="BU11" s="214">
        <f t="shared" si="0"/>
        <v>50</v>
      </c>
      <c r="BV11" s="214">
        <f t="shared" si="0"/>
        <v>50</v>
      </c>
      <c r="BW11" s="214">
        <f t="shared" si="0"/>
        <v>70</v>
      </c>
      <c r="BX11" s="214">
        <f t="shared" si="0"/>
        <v>70</v>
      </c>
      <c r="BY11" s="214">
        <f t="shared" si="0"/>
        <v>70</v>
      </c>
      <c r="BZ11" s="214">
        <f t="shared" si="0"/>
        <v>70</v>
      </c>
      <c r="CA11" s="214">
        <f t="shared" si="0"/>
        <v>70</v>
      </c>
      <c r="CB11" s="214">
        <f t="shared" si="0"/>
        <v>70</v>
      </c>
    </row>
    <row r="12" spans="1:80">
      <c r="A12" s="213" t="s">
        <v>4</v>
      </c>
      <c r="B12" s="214">
        <v>510</v>
      </c>
      <c r="C12" s="214">
        <v>500</v>
      </c>
      <c r="D12" s="214">
        <v>500</v>
      </c>
      <c r="E12" s="214">
        <v>500</v>
      </c>
      <c r="F12" s="214">
        <v>500</v>
      </c>
      <c r="G12" s="214">
        <v>450</v>
      </c>
      <c r="H12" s="214">
        <v>450</v>
      </c>
      <c r="I12" s="214">
        <v>380</v>
      </c>
      <c r="J12" s="214">
        <v>380</v>
      </c>
      <c r="K12" s="214">
        <v>380</v>
      </c>
      <c r="L12" s="214">
        <v>450</v>
      </c>
      <c r="M12" s="214">
        <v>450</v>
      </c>
      <c r="N12" s="214">
        <v>490</v>
      </c>
      <c r="O12" s="214">
        <v>490</v>
      </c>
      <c r="P12" s="214">
        <v>490</v>
      </c>
      <c r="Q12" s="214">
        <v>530</v>
      </c>
      <c r="R12" s="214">
        <v>530</v>
      </c>
      <c r="S12" s="214">
        <v>530</v>
      </c>
      <c r="T12" s="215">
        <v>530</v>
      </c>
      <c r="U12" s="215">
        <v>800</v>
      </c>
      <c r="V12" s="215">
        <v>800</v>
      </c>
      <c r="W12" s="215">
        <v>810</v>
      </c>
      <c r="X12" s="215">
        <v>810</v>
      </c>
      <c r="Y12" s="215">
        <v>830</v>
      </c>
      <c r="Z12" s="215">
        <v>830</v>
      </c>
      <c r="AB12" s="213" t="s">
        <v>4</v>
      </c>
      <c r="AC12" s="214">
        <v>460</v>
      </c>
      <c r="AD12" s="214">
        <v>450</v>
      </c>
      <c r="AE12" s="214">
        <v>450</v>
      </c>
      <c r="AF12" s="214">
        <v>450</v>
      </c>
      <c r="AG12" s="214">
        <v>450</v>
      </c>
      <c r="AH12" s="214">
        <v>400</v>
      </c>
      <c r="AI12" s="214">
        <v>400</v>
      </c>
      <c r="AJ12" s="214">
        <v>340</v>
      </c>
      <c r="AK12" s="214">
        <v>340</v>
      </c>
      <c r="AL12" s="214">
        <v>340</v>
      </c>
      <c r="AM12" s="214">
        <v>400</v>
      </c>
      <c r="AN12" s="214">
        <v>400</v>
      </c>
      <c r="AO12" s="214">
        <v>440</v>
      </c>
      <c r="AP12" s="214">
        <v>440</v>
      </c>
      <c r="AQ12" s="214">
        <v>440</v>
      </c>
      <c r="AR12" s="214">
        <v>480</v>
      </c>
      <c r="AS12" s="214">
        <v>480</v>
      </c>
      <c r="AT12" s="214">
        <v>480</v>
      </c>
      <c r="AU12" s="215">
        <v>480</v>
      </c>
      <c r="AV12" s="215">
        <v>730</v>
      </c>
      <c r="AW12" s="215">
        <v>730</v>
      </c>
      <c r="AX12" s="215">
        <v>740</v>
      </c>
      <c r="AY12" s="215">
        <v>740</v>
      </c>
      <c r="AZ12" s="215">
        <v>760</v>
      </c>
      <c r="BA12" s="215">
        <v>760</v>
      </c>
      <c r="BC12" s="213" t="s">
        <v>4</v>
      </c>
      <c r="BD12" s="214">
        <f t="shared" si="1"/>
        <v>50</v>
      </c>
      <c r="BE12" s="214">
        <f t="shared" si="0"/>
        <v>50</v>
      </c>
      <c r="BF12" s="214">
        <f t="shared" si="0"/>
        <v>50</v>
      </c>
      <c r="BG12" s="214">
        <f t="shared" si="0"/>
        <v>50</v>
      </c>
      <c r="BH12" s="214">
        <f t="shared" si="0"/>
        <v>50</v>
      </c>
      <c r="BI12" s="214">
        <f t="shared" si="0"/>
        <v>50</v>
      </c>
      <c r="BJ12" s="214">
        <f t="shared" si="0"/>
        <v>50</v>
      </c>
      <c r="BK12" s="214">
        <f t="shared" si="0"/>
        <v>40</v>
      </c>
      <c r="BL12" s="214">
        <f t="shared" si="0"/>
        <v>40</v>
      </c>
      <c r="BM12" s="214">
        <f t="shared" si="0"/>
        <v>40</v>
      </c>
      <c r="BN12" s="214">
        <f t="shared" si="0"/>
        <v>50</v>
      </c>
      <c r="BO12" s="214">
        <f t="shared" si="0"/>
        <v>50</v>
      </c>
      <c r="BP12" s="214">
        <f t="shared" si="0"/>
        <v>50</v>
      </c>
      <c r="BQ12" s="214">
        <f t="shared" si="0"/>
        <v>50</v>
      </c>
      <c r="BR12" s="214">
        <f t="shared" si="0"/>
        <v>50</v>
      </c>
      <c r="BS12" s="214">
        <f t="shared" si="0"/>
        <v>50</v>
      </c>
      <c r="BT12" s="214">
        <f t="shared" si="0"/>
        <v>50</v>
      </c>
      <c r="BU12" s="214">
        <f t="shared" si="0"/>
        <v>50</v>
      </c>
      <c r="BV12" s="214">
        <f t="shared" si="0"/>
        <v>50</v>
      </c>
      <c r="BW12" s="214">
        <f t="shared" si="0"/>
        <v>70</v>
      </c>
      <c r="BX12" s="214">
        <f t="shared" si="0"/>
        <v>70</v>
      </c>
      <c r="BY12" s="214">
        <f t="shared" si="0"/>
        <v>70</v>
      </c>
      <c r="BZ12" s="214">
        <f t="shared" si="0"/>
        <v>70</v>
      </c>
      <c r="CA12" s="214">
        <f t="shared" si="0"/>
        <v>70</v>
      </c>
      <c r="CB12" s="214">
        <f t="shared" si="0"/>
        <v>70</v>
      </c>
    </row>
    <row r="13" spans="1:80">
      <c r="A13" s="213" t="s">
        <v>3</v>
      </c>
      <c r="B13" s="214">
        <v>530</v>
      </c>
      <c r="C13" s="214">
        <v>510</v>
      </c>
      <c r="D13" s="214">
        <v>510</v>
      </c>
      <c r="E13" s="214">
        <v>510</v>
      </c>
      <c r="F13" s="214">
        <v>510</v>
      </c>
      <c r="G13" s="214">
        <v>500</v>
      </c>
      <c r="H13" s="214">
        <v>500</v>
      </c>
      <c r="I13" s="214">
        <v>450</v>
      </c>
      <c r="J13" s="214">
        <v>450</v>
      </c>
      <c r="K13" s="214">
        <v>450</v>
      </c>
      <c r="L13" s="214">
        <v>380</v>
      </c>
      <c r="M13" s="214">
        <v>380</v>
      </c>
      <c r="N13" s="214">
        <v>490</v>
      </c>
      <c r="O13" s="214">
        <v>490</v>
      </c>
      <c r="P13" s="214">
        <v>490</v>
      </c>
      <c r="Q13" s="214">
        <v>530</v>
      </c>
      <c r="R13" s="214">
        <v>530</v>
      </c>
      <c r="S13" s="214">
        <v>530</v>
      </c>
      <c r="T13" s="215">
        <v>530</v>
      </c>
      <c r="U13" s="215">
        <v>810</v>
      </c>
      <c r="V13" s="215">
        <v>810</v>
      </c>
      <c r="W13" s="215">
        <v>830</v>
      </c>
      <c r="X13" s="215">
        <v>830</v>
      </c>
      <c r="Y13" s="215">
        <v>840</v>
      </c>
      <c r="Z13" s="215">
        <v>840</v>
      </c>
      <c r="AB13" s="213" t="s">
        <v>3</v>
      </c>
      <c r="AC13" s="214">
        <v>480</v>
      </c>
      <c r="AD13" s="214">
        <v>460</v>
      </c>
      <c r="AE13" s="214">
        <v>460</v>
      </c>
      <c r="AF13" s="214">
        <v>460</v>
      </c>
      <c r="AG13" s="214">
        <v>460</v>
      </c>
      <c r="AH13" s="214">
        <v>450</v>
      </c>
      <c r="AI13" s="214">
        <v>450</v>
      </c>
      <c r="AJ13" s="214">
        <v>400</v>
      </c>
      <c r="AK13" s="214">
        <v>400</v>
      </c>
      <c r="AL13" s="214">
        <v>400</v>
      </c>
      <c r="AM13" s="214">
        <v>340</v>
      </c>
      <c r="AN13" s="214">
        <v>340</v>
      </c>
      <c r="AO13" s="214">
        <v>440</v>
      </c>
      <c r="AP13" s="214">
        <v>440</v>
      </c>
      <c r="AQ13" s="214">
        <v>440</v>
      </c>
      <c r="AR13" s="214">
        <v>480</v>
      </c>
      <c r="AS13" s="214">
        <v>480</v>
      </c>
      <c r="AT13" s="214">
        <v>480</v>
      </c>
      <c r="AU13" s="215">
        <v>480</v>
      </c>
      <c r="AV13" s="215">
        <v>740</v>
      </c>
      <c r="AW13" s="215">
        <v>740</v>
      </c>
      <c r="AX13" s="215">
        <v>760</v>
      </c>
      <c r="AY13" s="215">
        <v>760</v>
      </c>
      <c r="AZ13" s="215">
        <v>770</v>
      </c>
      <c r="BA13" s="215">
        <v>770</v>
      </c>
      <c r="BC13" s="213" t="s">
        <v>3</v>
      </c>
      <c r="BD13" s="214">
        <f t="shared" si="1"/>
        <v>50</v>
      </c>
      <c r="BE13" s="214">
        <f t="shared" si="0"/>
        <v>50</v>
      </c>
      <c r="BF13" s="214">
        <f t="shared" si="0"/>
        <v>50</v>
      </c>
      <c r="BG13" s="214">
        <f t="shared" si="0"/>
        <v>50</v>
      </c>
      <c r="BH13" s="214">
        <f t="shared" si="0"/>
        <v>50</v>
      </c>
      <c r="BI13" s="214">
        <f t="shared" si="0"/>
        <v>50</v>
      </c>
      <c r="BJ13" s="214">
        <f t="shared" si="0"/>
        <v>50</v>
      </c>
      <c r="BK13" s="214">
        <f t="shared" si="0"/>
        <v>50</v>
      </c>
      <c r="BL13" s="214">
        <f t="shared" si="0"/>
        <v>50</v>
      </c>
      <c r="BM13" s="214">
        <f t="shared" si="0"/>
        <v>50</v>
      </c>
      <c r="BN13" s="214">
        <f t="shared" si="0"/>
        <v>40</v>
      </c>
      <c r="BO13" s="214">
        <f t="shared" si="0"/>
        <v>40</v>
      </c>
      <c r="BP13" s="214">
        <f t="shared" si="0"/>
        <v>50</v>
      </c>
      <c r="BQ13" s="214">
        <f t="shared" si="0"/>
        <v>50</v>
      </c>
      <c r="BR13" s="214">
        <f t="shared" si="0"/>
        <v>50</v>
      </c>
      <c r="BS13" s="214">
        <f t="shared" si="0"/>
        <v>50</v>
      </c>
      <c r="BT13" s="214">
        <f t="shared" ref="BT13:BT27" si="2">R13-AS13</f>
        <v>50</v>
      </c>
      <c r="BU13" s="214">
        <f t="shared" ref="BU13:BU27" si="3">S13-AT13</f>
        <v>50</v>
      </c>
      <c r="BV13" s="214">
        <f t="shared" ref="BV13:BV27" si="4">T13-AU13</f>
        <v>50</v>
      </c>
      <c r="BW13" s="214">
        <f t="shared" ref="BW13:BW27" si="5">U13-AV13</f>
        <v>70</v>
      </c>
      <c r="BX13" s="214">
        <f t="shared" ref="BX13:BX27" si="6">V13-AW13</f>
        <v>70</v>
      </c>
      <c r="BY13" s="214">
        <f t="shared" ref="BY13:BY27" si="7">W13-AX13</f>
        <v>70</v>
      </c>
      <c r="BZ13" s="214">
        <f t="shared" ref="BZ13:BZ27" si="8">X13-AY13</f>
        <v>70</v>
      </c>
      <c r="CA13" s="214">
        <f t="shared" ref="CA13:CA27" si="9">Y13-AZ13</f>
        <v>70</v>
      </c>
      <c r="CB13" s="214">
        <f t="shared" ref="CB13:CB27" si="10">Z13-BA13</f>
        <v>70</v>
      </c>
    </row>
    <row r="14" spans="1:80">
      <c r="A14" s="213" t="s">
        <v>2</v>
      </c>
      <c r="B14" s="214">
        <v>530</v>
      </c>
      <c r="C14" s="214">
        <v>510</v>
      </c>
      <c r="D14" s="214">
        <v>510</v>
      </c>
      <c r="E14" s="214">
        <v>510</v>
      </c>
      <c r="F14" s="214">
        <v>510</v>
      </c>
      <c r="G14" s="214">
        <v>500</v>
      </c>
      <c r="H14" s="214">
        <v>500</v>
      </c>
      <c r="I14" s="214">
        <v>450</v>
      </c>
      <c r="J14" s="214">
        <v>450</v>
      </c>
      <c r="K14" s="214">
        <v>450</v>
      </c>
      <c r="L14" s="214">
        <v>380</v>
      </c>
      <c r="M14" s="214">
        <v>380</v>
      </c>
      <c r="N14" s="214">
        <v>490</v>
      </c>
      <c r="O14" s="214">
        <v>490</v>
      </c>
      <c r="P14" s="214">
        <v>490</v>
      </c>
      <c r="Q14" s="214">
        <v>530</v>
      </c>
      <c r="R14" s="214">
        <v>530</v>
      </c>
      <c r="S14" s="214">
        <v>530</v>
      </c>
      <c r="T14" s="215">
        <v>530</v>
      </c>
      <c r="U14" s="215">
        <v>810</v>
      </c>
      <c r="V14" s="215">
        <v>810</v>
      </c>
      <c r="W14" s="215">
        <v>830</v>
      </c>
      <c r="X14" s="215">
        <v>830</v>
      </c>
      <c r="Y14" s="215">
        <v>840</v>
      </c>
      <c r="Z14" s="215">
        <v>840</v>
      </c>
      <c r="AB14" s="213" t="s">
        <v>2</v>
      </c>
      <c r="AC14" s="214">
        <v>480</v>
      </c>
      <c r="AD14" s="214">
        <v>460</v>
      </c>
      <c r="AE14" s="214">
        <v>460</v>
      </c>
      <c r="AF14" s="214">
        <v>460</v>
      </c>
      <c r="AG14" s="214">
        <v>460</v>
      </c>
      <c r="AH14" s="214">
        <v>450</v>
      </c>
      <c r="AI14" s="214">
        <v>450</v>
      </c>
      <c r="AJ14" s="214">
        <v>400</v>
      </c>
      <c r="AK14" s="214">
        <v>400</v>
      </c>
      <c r="AL14" s="214">
        <v>400</v>
      </c>
      <c r="AM14" s="214">
        <v>340</v>
      </c>
      <c r="AN14" s="214">
        <v>340</v>
      </c>
      <c r="AO14" s="214">
        <v>440</v>
      </c>
      <c r="AP14" s="214">
        <v>440</v>
      </c>
      <c r="AQ14" s="214">
        <v>440</v>
      </c>
      <c r="AR14" s="214">
        <v>480</v>
      </c>
      <c r="AS14" s="214">
        <v>480</v>
      </c>
      <c r="AT14" s="214">
        <v>480</v>
      </c>
      <c r="AU14" s="215">
        <v>480</v>
      </c>
      <c r="AV14" s="215">
        <v>740</v>
      </c>
      <c r="AW14" s="215">
        <v>740</v>
      </c>
      <c r="AX14" s="215">
        <v>760</v>
      </c>
      <c r="AY14" s="215">
        <v>760</v>
      </c>
      <c r="AZ14" s="215">
        <v>770</v>
      </c>
      <c r="BA14" s="215">
        <v>770</v>
      </c>
      <c r="BC14" s="213" t="s">
        <v>2</v>
      </c>
      <c r="BD14" s="214">
        <f t="shared" si="1"/>
        <v>50</v>
      </c>
      <c r="BE14" s="214">
        <f t="shared" ref="BE14:BE27" si="11">C14-AD14</f>
        <v>50</v>
      </c>
      <c r="BF14" s="214">
        <f t="shared" ref="BF14:BF27" si="12">D14-AE14</f>
        <v>50</v>
      </c>
      <c r="BG14" s="214">
        <f t="shared" ref="BG14:BG27" si="13">E14-AF14</f>
        <v>50</v>
      </c>
      <c r="BH14" s="214">
        <f t="shared" ref="BH14:BH27" si="14">F14-AG14</f>
        <v>50</v>
      </c>
      <c r="BI14" s="214">
        <f t="shared" ref="BI14:BI27" si="15">G14-AH14</f>
        <v>50</v>
      </c>
      <c r="BJ14" s="214">
        <f t="shared" ref="BJ14:BJ27" si="16">H14-AI14</f>
        <v>50</v>
      </c>
      <c r="BK14" s="214">
        <f t="shared" ref="BK14:BK27" si="17">I14-AJ14</f>
        <v>50</v>
      </c>
      <c r="BL14" s="214">
        <f t="shared" ref="BL14:BL27" si="18">J14-AK14</f>
        <v>50</v>
      </c>
      <c r="BM14" s="214">
        <f t="shared" ref="BM14:BM27" si="19">K14-AL14</f>
        <v>50</v>
      </c>
      <c r="BN14" s="214">
        <f t="shared" ref="BN14:BN27" si="20">L14-AM14</f>
        <v>40</v>
      </c>
      <c r="BO14" s="214">
        <f t="shared" ref="BO14:BO27" si="21">M14-AN14</f>
        <v>40</v>
      </c>
      <c r="BP14" s="214">
        <f t="shared" ref="BP14:BP27" si="22">N14-AO14</f>
        <v>50</v>
      </c>
      <c r="BQ14" s="214">
        <f t="shared" ref="BQ14:BQ27" si="23">O14-AP14</f>
        <v>50</v>
      </c>
      <c r="BR14" s="214">
        <f t="shared" ref="BR14:BR27" si="24">P14-AQ14</f>
        <v>50</v>
      </c>
      <c r="BS14" s="214">
        <f t="shared" ref="BS14:BS27" si="25">Q14-AR14</f>
        <v>50</v>
      </c>
      <c r="BT14" s="214">
        <f t="shared" si="2"/>
        <v>50</v>
      </c>
      <c r="BU14" s="214">
        <f t="shared" si="3"/>
        <v>50</v>
      </c>
      <c r="BV14" s="214">
        <f t="shared" si="4"/>
        <v>50</v>
      </c>
      <c r="BW14" s="214">
        <f t="shared" si="5"/>
        <v>70</v>
      </c>
      <c r="BX14" s="214">
        <f t="shared" si="6"/>
        <v>70</v>
      </c>
      <c r="BY14" s="214">
        <f t="shared" si="7"/>
        <v>70</v>
      </c>
      <c r="BZ14" s="214">
        <f t="shared" si="8"/>
        <v>70</v>
      </c>
      <c r="CA14" s="214">
        <f t="shared" si="9"/>
        <v>70</v>
      </c>
      <c r="CB14" s="214">
        <f t="shared" si="10"/>
        <v>70</v>
      </c>
    </row>
    <row r="15" spans="1:80">
      <c r="A15" s="213" t="s">
        <v>92</v>
      </c>
      <c r="B15" s="214">
        <v>530</v>
      </c>
      <c r="C15" s="214">
        <v>520</v>
      </c>
      <c r="D15" s="214">
        <v>520</v>
      </c>
      <c r="E15" s="214">
        <v>520</v>
      </c>
      <c r="F15" s="214">
        <v>520</v>
      </c>
      <c r="G15" s="214">
        <v>500</v>
      </c>
      <c r="H15" s="214">
        <v>500</v>
      </c>
      <c r="I15" s="214">
        <v>490</v>
      </c>
      <c r="J15" s="214">
        <v>490</v>
      </c>
      <c r="K15" s="214">
        <v>490</v>
      </c>
      <c r="L15" s="214">
        <v>490</v>
      </c>
      <c r="M15" s="214">
        <v>490</v>
      </c>
      <c r="N15" s="214">
        <v>380</v>
      </c>
      <c r="O15" s="214">
        <v>380</v>
      </c>
      <c r="P15" s="214">
        <v>380</v>
      </c>
      <c r="Q15" s="214">
        <v>470</v>
      </c>
      <c r="R15" s="214">
        <v>470</v>
      </c>
      <c r="S15" s="214">
        <v>470</v>
      </c>
      <c r="T15" s="215">
        <v>470</v>
      </c>
      <c r="U15" s="215">
        <v>580</v>
      </c>
      <c r="V15" s="215">
        <v>580</v>
      </c>
      <c r="W15" s="215">
        <v>610</v>
      </c>
      <c r="X15" s="215">
        <v>610</v>
      </c>
      <c r="Y15" s="215">
        <v>730</v>
      </c>
      <c r="Z15" s="215">
        <v>730</v>
      </c>
      <c r="AB15" s="213" t="s">
        <v>92</v>
      </c>
      <c r="AC15" s="214">
        <v>480</v>
      </c>
      <c r="AD15" s="214">
        <v>470</v>
      </c>
      <c r="AE15" s="214">
        <v>470</v>
      </c>
      <c r="AF15" s="214">
        <v>470</v>
      </c>
      <c r="AG15" s="214">
        <v>470</v>
      </c>
      <c r="AH15" s="214">
        <v>450</v>
      </c>
      <c r="AI15" s="214">
        <v>450</v>
      </c>
      <c r="AJ15" s="214">
        <v>440</v>
      </c>
      <c r="AK15" s="214">
        <v>440</v>
      </c>
      <c r="AL15" s="214">
        <v>440</v>
      </c>
      <c r="AM15" s="214">
        <v>440</v>
      </c>
      <c r="AN15" s="214">
        <v>440</v>
      </c>
      <c r="AO15" s="214">
        <v>340</v>
      </c>
      <c r="AP15" s="214">
        <v>340</v>
      </c>
      <c r="AQ15" s="214">
        <v>340</v>
      </c>
      <c r="AR15" s="214">
        <v>420</v>
      </c>
      <c r="AS15" s="214">
        <v>420</v>
      </c>
      <c r="AT15" s="214">
        <v>420</v>
      </c>
      <c r="AU15" s="215">
        <v>420</v>
      </c>
      <c r="AV15" s="215">
        <v>530</v>
      </c>
      <c r="AW15" s="215">
        <v>530</v>
      </c>
      <c r="AX15" s="215">
        <v>560</v>
      </c>
      <c r="AY15" s="215">
        <v>560</v>
      </c>
      <c r="AZ15" s="215">
        <v>670</v>
      </c>
      <c r="BA15" s="215">
        <v>670</v>
      </c>
      <c r="BC15" s="213" t="s">
        <v>92</v>
      </c>
      <c r="BD15" s="214">
        <f t="shared" si="1"/>
        <v>50</v>
      </c>
      <c r="BE15" s="214">
        <f t="shared" si="11"/>
        <v>50</v>
      </c>
      <c r="BF15" s="214">
        <f t="shared" si="12"/>
        <v>50</v>
      </c>
      <c r="BG15" s="214">
        <f t="shared" si="13"/>
        <v>50</v>
      </c>
      <c r="BH15" s="214">
        <f t="shared" si="14"/>
        <v>50</v>
      </c>
      <c r="BI15" s="214">
        <f t="shared" si="15"/>
        <v>50</v>
      </c>
      <c r="BJ15" s="214">
        <f t="shared" si="16"/>
        <v>50</v>
      </c>
      <c r="BK15" s="214">
        <f t="shared" si="17"/>
        <v>50</v>
      </c>
      <c r="BL15" s="214">
        <f t="shared" si="18"/>
        <v>50</v>
      </c>
      <c r="BM15" s="214">
        <f t="shared" si="19"/>
        <v>50</v>
      </c>
      <c r="BN15" s="214">
        <f t="shared" si="20"/>
        <v>50</v>
      </c>
      <c r="BO15" s="214">
        <f t="shared" si="21"/>
        <v>50</v>
      </c>
      <c r="BP15" s="214">
        <f t="shared" si="22"/>
        <v>40</v>
      </c>
      <c r="BQ15" s="214">
        <f t="shared" si="23"/>
        <v>40</v>
      </c>
      <c r="BR15" s="214">
        <f t="shared" si="24"/>
        <v>40</v>
      </c>
      <c r="BS15" s="214">
        <f t="shared" si="25"/>
        <v>50</v>
      </c>
      <c r="BT15" s="214">
        <f t="shared" si="2"/>
        <v>50</v>
      </c>
      <c r="BU15" s="214">
        <f t="shared" si="3"/>
        <v>50</v>
      </c>
      <c r="BV15" s="214">
        <f t="shared" si="4"/>
        <v>50</v>
      </c>
      <c r="BW15" s="214">
        <f t="shared" si="5"/>
        <v>50</v>
      </c>
      <c r="BX15" s="214">
        <f t="shared" si="6"/>
        <v>50</v>
      </c>
      <c r="BY15" s="214">
        <f t="shared" si="7"/>
        <v>50</v>
      </c>
      <c r="BZ15" s="214">
        <f t="shared" si="8"/>
        <v>50</v>
      </c>
      <c r="CA15" s="214">
        <f t="shared" si="9"/>
        <v>60</v>
      </c>
      <c r="CB15" s="214">
        <f t="shared" si="10"/>
        <v>60</v>
      </c>
    </row>
    <row r="16" spans="1:80">
      <c r="A16" s="213" t="s">
        <v>93</v>
      </c>
      <c r="B16" s="214">
        <v>530</v>
      </c>
      <c r="C16" s="214">
        <v>520</v>
      </c>
      <c r="D16" s="214">
        <v>520</v>
      </c>
      <c r="E16" s="214">
        <v>520</v>
      </c>
      <c r="F16" s="214">
        <v>520</v>
      </c>
      <c r="G16" s="214">
        <v>500</v>
      </c>
      <c r="H16" s="214">
        <v>500</v>
      </c>
      <c r="I16" s="214">
        <v>490</v>
      </c>
      <c r="J16" s="214">
        <v>490</v>
      </c>
      <c r="K16" s="214">
        <v>490</v>
      </c>
      <c r="L16" s="214">
        <v>490</v>
      </c>
      <c r="M16" s="214">
        <v>490</v>
      </c>
      <c r="N16" s="214">
        <v>380</v>
      </c>
      <c r="O16" s="214">
        <v>380</v>
      </c>
      <c r="P16" s="214">
        <v>380</v>
      </c>
      <c r="Q16" s="214">
        <v>470</v>
      </c>
      <c r="R16" s="214">
        <v>470</v>
      </c>
      <c r="S16" s="214">
        <v>470</v>
      </c>
      <c r="T16" s="215">
        <v>470</v>
      </c>
      <c r="U16" s="215">
        <v>580</v>
      </c>
      <c r="V16" s="215">
        <v>580</v>
      </c>
      <c r="W16" s="215">
        <v>610</v>
      </c>
      <c r="X16" s="215">
        <v>610</v>
      </c>
      <c r="Y16" s="215">
        <v>730</v>
      </c>
      <c r="Z16" s="215">
        <v>730</v>
      </c>
      <c r="AB16" s="213" t="s">
        <v>93</v>
      </c>
      <c r="AC16" s="214">
        <v>480</v>
      </c>
      <c r="AD16" s="214">
        <v>470</v>
      </c>
      <c r="AE16" s="214">
        <v>470</v>
      </c>
      <c r="AF16" s="214">
        <v>470</v>
      </c>
      <c r="AG16" s="214">
        <v>470</v>
      </c>
      <c r="AH16" s="214">
        <v>450</v>
      </c>
      <c r="AI16" s="214">
        <v>450</v>
      </c>
      <c r="AJ16" s="214">
        <v>440</v>
      </c>
      <c r="AK16" s="214">
        <v>440</v>
      </c>
      <c r="AL16" s="214">
        <v>440</v>
      </c>
      <c r="AM16" s="214">
        <v>440</v>
      </c>
      <c r="AN16" s="214">
        <v>440</v>
      </c>
      <c r="AO16" s="214">
        <v>340</v>
      </c>
      <c r="AP16" s="214">
        <v>340</v>
      </c>
      <c r="AQ16" s="214">
        <v>340</v>
      </c>
      <c r="AR16" s="214">
        <v>420</v>
      </c>
      <c r="AS16" s="214">
        <v>420</v>
      </c>
      <c r="AT16" s="214">
        <v>420</v>
      </c>
      <c r="AU16" s="215">
        <v>420</v>
      </c>
      <c r="AV16" s="215">
        <v>530</v>
      </c>
      <c r="AW16" s="215">
        <v>530</v>
      </c>
      <c r="AX16" s="215">
        <v>560</v>
      </c>
      <c r="AY16" s="215">
        <v>560</v>
      </c>
      <c r="AZ16" s="215">
        <v>670</v>
      </c>
      <c r="BA16" s="215">
        <v>670</v>
      </c>
      <c r="BC16" s="213" t="s">
        <v>93</v>
      </c>
      <c r="BD16" s="214">
        <f t="shared" si="1"/>
        <v>50</v>
      </c>
      <c r="BE16" s="214">
        <f t="shared" si="11"/>
        <v>50</v>
      </c>
      <c r="BF16" s="214">
        <f t="shared" si="12"/>
        <v>50</v>
      </c>
      <c r="BG16" s="214">
        <f t="shared" si="13"/>
        <v>50</v>
      </c>
      <c r="BH16" s="214">
        <f t="shared" si="14"/>
        <v>50</v>
      </c>
      <c r="BI16" s="214">
        <f t="shared" si="15"/>
        <v>50</v>
      </c>
      <c r="BJ16" s="214">
        <f t="shared" si="16"/>
        <v>50</v>
      </c>
      <c r="BK16" s="214">
        <f t="shared" si="17"/>
        <v>50</v>
      </c>
      <c r="BL16" s="214">
        <f t="shared" si="18"/>
        <v>50</v>
      </c>
      <c r="BM16" s="214">
        <f t="shared" si="19"/>
        <v>50</v>
      </c>
      <c r="BN16" s="214">
        <f t="shared" si="20"/>
        <v>50</v>
      </c>
      <c r="BO16" s="214">
        <f t="shared" si="21"/>
        <v>50</v>
      </c>
      <c r="BP16" s="214">
        <f t="shared" si="22"/>
        <v>40</v>
      </c>
      <c r="BQ16" s="214">
        <f t="shared" si="23"/>
        <v>40</v>
      </c>
      <c r="BR16" s="214">
        <f t="shared" si="24"/>
        <v>40</v>
      </c>
      <c r="BS16" s="214">
        <f t="shared" si="25"/>
        <v>50</v>
      </c>
      <c r="BT16" s="214">
        <f t="shared" si="2"/>
        <v>50</v>
      </c>
      <c r="BU16" s="214">
        <f t="shared" si="3"/>
        <v>50</v>
      </c>
      <c r="BV16" s="214">
        <f t="shared" si="4"/>
        <v>50</v>
      </c>
      <c r="BW16" s="214">
        <f t="shared" si="5"/>
        <v>50</v>
      </c>
      <c r="BX16" s="214">
        <f t="shared" si="6"/>
        <v>50</v>
      </c>
      <c r="BY16" s="214">
        <f t="shared" si="7"/>
        <v>50</v>
      </c>
      <c r="BZ16" s="214">
        <f t="shared" si="8"/>
        <v>50</v>
      </c>
      <c r="CA16" s="214">
        <f t="shared" si="9"/>
        <v>60</v>
      </c>
      <c r="CB16" s="214">
        <f t="shared" si="10"/>
        <v>60</v>
      </c>
    </row>
    <row r="17" spans="1:80">
      <c r="A17" s="213" t="s">
        <v>94</v>
      </c>
      <c r="B17" s="214">
        <v>530</v>
      </c>
      <c r="C17" s="214">
        <v>520</v>
      </c>
      <c r="D17" s="214">
        <v>520</v>
      </c>
      <c r="E17" s="214">
        <v>520</v>
      </c>
      <c r="F17" s="214">
        <v>520</v>
      </c>
      <c r="G17" s="214">
        <v>500</v>
      </c>
      <c r="H17" s="214">
        <v>500</v>
      </c>
      <c r="I17" s="214">
        <v>490</v>
      </c>
      <c r="J17" s="214">
        <v>490</v>
      </c>
      <c r="K17" s="214">
        <v>490</v>
      </c>
      <c r="L17" s="214">
        <v>490</v>
      </c>
      <c r="M17" s="214">
        <v>490</v>
      </c>
      <c r="N17" s="214">
        <v>380</v>
      </c>
      <c r="O17" s="214">
        <v>380</v>
      </c>
      <c r="P17" s="214">
        <v>380</v>
      </c>
      <c r="Q17" s="214">
        <v>470</v>
      </c>
      <c r="R17" s="214">
        <v>470</v>
      </c>
      <c r="S17" s="214">
        <v>470</v>
      </c>
      <c r="T17" s="215">
        <v>470</v>
      </c>
      <c r="U17" s="215">
        <v>580</v>
      </c>
      <c r="V17" s="215">
        <v>580</v>
      </c>
      <c r="W17" s="215">
        <v>610</v>
      </c>
      <c r="X17" s="215">
        <v>610</v>
      </c>
      <c r="Y17" s="215">
        <v>730</v>
      </c>
      <c r="Z17" s="215">
        <v>730</v>
      </c>
      <c r="AB17" s="213" t="s">
        <v>94</v>
      </c>
      <c r="AC17" s="214">
        <v>480</v>
      </c>
      <c r="AD17" s="214">
        <v>470</v>
      </c>
      <c r="AE17" s="214">
        <v>470</v>
      </c>
      <c r="AF17" s="214">
        <v>470</v>
      </c>
      <c r="AG17" s="214">
        <v>470</v>
      </c>
      <c r="AH17" s="214">
        <v>450</v>
      </c>
      <c r="AI17" s="214">
        <v>450</v>
      </c>
      <c r="AJ17" s="214">
        <v>440</v>
      </c>
      <c r="AK17" s="214">
        <v>440</v>
      </c>
      <c r="AL17" s="214">
        <v>440</v>
      </c>
      <c r="AM17" s="214">
        <v>440</v>
      </c>
      <c r="AN17" s="214">
        <v>440</v>
      </c>
      <c r="AO17" s="214">
        <v>340</v>
      </c>
      <c r="AP17" s="214">
        <v>340</v>
      </c>
      <c r="AQ17" s="214">
        <v>340</v>
      </c>
      <c r="AR17" s="214">
        <v>420</v>
      </c>
      <c r="AS17" s="214">
        <v>420</v>
      </c>
      <c r="AT17" s="214">
        <v>420</v>
      </c>
      <c r="AU17" s="215">
        <v>420</v>
      </c>
      <c r="AV17" s="215">
        <v>530</v>
      </c>
      <c r="AW17" s="215">
        <v>530</v>
      </c>
      <c r="AX17" s="215">
        <v>560</v>
      </c>
      <c r="AY17" s="215">
        <v>560</v>
      </c>
      <c r="AZ17" s="215">
        <v>670</v>
      </c>
      <c r="BA17" s="215">
        <v>670</v>
      </c>
      <c r="BC17" s="213" t="s">
        <v>94</v>
      </c>
      <c r="BD17" s="214">
        <f t="shared" si="1"/>
        <v>50</v>
      </c>
      <c r="BE17" s="214">
        <f t="shared" si="11"/>
        <v>50</v>
      </c>
      <c r="BF17" s="214">
        <f t="shared" si="12"/>
        <v>50</v>
      </c>
      <c r="BG17" s="214">
        <f t="shared" si="13"/>
        <v>50</v>
      </c>
      <c r="BH17" s="214">
        <f t="shared" si="14"/>
        <v>50</v>
      </c>
      <c r="BI17" s="214">
        <f t="shared" si="15"/>
        <v>50</v>
      </c>
      <c r="BJ17" s="214">
        <f t="shared" si="16"/>
        <v>50</v>
      </c>
      <c r="BK17" s="214">
        <f t="shared" si="17"/>
        <v>50</v>
      </c>
      <c r="BL17" s="214">
        <f t="shared" si="18"/>
        <v>50</v>
      </c>
      <c r="BM17" s="214">
        <f t="shared" si="19"/>
        <v>50</v>
      </c>
      <c r="BN17" s="214">
        <f t="shared" si="20"/>
        <v>50</v>
      </c>
      <c r="BO17" s="214">
        <f t="shared" si="21"/>
        <v>50</v>
      </c>
      <c r="BP17" s="214">
        <f t="shared" si="22"/>
        <v>40</v>
      </c>
      <c r="BQ17" s="214">
        <f t="shared" si="23"/>
        <v>40</v>
      </c>
      <c r="BR17" s="214">
        <f t="shared" si="24"/>
        <v>40</v>
      </c>
      <c r="BS17" s="214">
        <f t="shared" si="25"/>
        <v>50</v>
      </c>
      <c r="BT17" s="214">
        <f t="shared" si="2"/>
        <v>50</v>
      </c>
      <c r="BU17" s="214">
        <f t="shared" si="3"/>
        <v>50</v>
      </c>
      <c r="BV17" s="214">
        <f t="shared" si="4"/>
        <v>50</v>
      </c>
      <c r="BW17" s="214">
        <f t="shared" si="5"/>
        <v>50</v>
      </c>
      <c r="BX17" s="214">
        <f t="shared" si="6"/>
        <v>50</v>
      </c>
      <c r="BY17" s="214">
        <f t="shared" si="7"/>
        <v>50</v>
      </c>
      <c r="BZ17" s="214">
        <f t="shared" si="8"/>
        <v>50</v>
      </c>
      <c r="CA17" s="214">
        <f t="shared" si="9"/>
        <v>60</v>
      </c>
      <c r="CB17" s="214">
        <f t="shared" si="10"/>
        <v>60</v>
      </c>
    </row>
    <row r="18" spans="1:80">
      <c r="A18" s="213" t="s">
        <v>95</v>
      </c>
      <c r="B18" s="214">
        <v>540</v>
      </c>
      <c r="C18" s="214">
        <v>530</v>
      </c>
      <c r="D18" s="214">
        <v>530</v>
      </c>
      <c r="E18" s="214">
        <v>530</v>
      </c>
      <c r="F18" s="214">
        <v>530</v>
      </c>
      <c r="G18" s="214">
        <v>510</v>
      </c>
      <c r="H18" s="214">
        <v>510</v>
      </c>
      <c r="I18" s="214">
        <v>530</v>
      </c>
      <c r="J18" s="214">
        <v>530</v>
      </c>
      <c r="K18" s="214">
        <v>530</v>
      </c>
      <c r="L18" s="214">
        <v>530</v>
      </c>
      <c r="M18" s="214">
        <v>530</v>
      </c>
      <c r="N18" s="214">
        <v>470</v>
      </c>
      <c r="O18" s="214">
        <v>470</v>
      </c>
      <c r="P18" s="214">
        <v>470</v>
      </c>
      <c r="Q18" s="214">
        <v>380</v>
      </c>
      <c r="R18" s="214">
        <v>380</v>
      </c>
      <c r="S18" s="214">
        <v>380</v>
      </c>
      <c r="T18" s="215">
        <v>380</v>
      </c>
      <c r="U18" s="215">
        <v>540</v>
      </c>
      <c r="V18" s="215">
        <v>540</v>
      </c>
      <c r="W18" s="215">
        <v>560</v>
      </c>
      <c r="X18" s="215">
        <v>560</v>
      </c>
      <c r="Y18" s="215">
        <v>580</v>
      </c>
      <c r="Z18" s="215">
        <v>580</v>
      </c>
      <c r="AB18" s="213" t="s">
        <v>95</v>
      </c>
      <c r="AC18" s="214">
        <v>490</v>
      </c>
      <c r="AD18" s="214">
        <v>480</v>
      </c>
      <c r="AE18" s="214">
        <v>480</v>
      </c>
      <c r="AF18" s="214">
        <v>480</v>
      </c>
      <c r="AG18" s="214">
        <v>480</v>
      </c>
      <c r="AH18" s="214">
        <v>460</v>
      </c>
      <c r="AI18" s="214">
        <v>460</v>
      </c>
      <c r="AJ18" s="214">
        <v>480</v>
      </c>
      <c r="AK18" s="214">
        <v>480</v>
      </c>
      <c r="AL18" s="214">
        <v>480</v>
      </c>
      <c r="AM18" s="214">
        <v>480</v>
      </c>
      <c r="AN18" s="214">
        <v>480</v>
      </c>
      <c r="AO18" s="214">
        <v>420</v>
      </c>
      <c r="AP18" s="214">
        <v>420</v>
      </c>
      <c r="AQ18" s="214">
        <v>420</v>
      </c>
      <c r="AR18" s="214">
        <v>340</v>
      </c>
      <c r="AS18" s="214">
        <v>340</v>
      </c>
      <c r="AT18" s="214">
        <v>340</v>
      </c>
      <c r="AU18" s="215">
        <v>340</v>
      </c>
      <c r="AV18" s="215">
        <v>490</v>
      </c>
      <c r="AW18" s="215">
        <v>490</v>
      </c>
      <c r="AX18" s="215">
        <v>510</v>
      </c>
      <c r="AY18" s="215">
        <v>510</v>
      </c>
      <c r="AZ18" s="215">
        <v>530</v>
      </c>
      <c r="BA18" s="215">
        <v>530</v>
      </c>
      <c r="BC18" s="213" t="s">
        <v>95</v>
      </c>
      <c r="BD18" s="214">
        <f t="shared" si="1"/>
        <v>50</v>
      </c>
      <c r="BE18" s="214">
        <f t="shared" si="11"/>
        <v>50</v>
      </c>
      <c r="BF18" s="214">
        <f t="shared" si="12"/>
        <v>50</v>
      </c>
      <c r="BG18" s="214">
        <f t="shared" si="13"/>
        <v>50</v>
      </c>
      <c r="BH18" s="214">
        <f t="shared" si="14"/>
        <v>50</v>
      </c>
      <c r="BI18" s="214">
        <f t="shared" si="15"/>
        <v>50</v>
      </c>
      <c r="BJ18" s="214">
        <f t="shared" si="16"/>
        <v>50</v>
      </c>
      <c r="BK18" s="214">
        <f t="shared" si="17"/>
        <v>50</v>
      </c>
      <c r="BL18" s="214">
        <f t="shared" si="18"/>
        <v>50</v>
      </c>
      <c r="BM18" s="214">
        <f t="shared" si="19"/>
        <v>50</v>
      </c>
      <c r="BN18" s="214">
        <f t="shared" si="20"/>
        <v>50</v>
      </c>
      <c r="BO18" s="214">
        <f t="shared" si="21"/>
        <v>50</v>
      </c>
      <c r="BP18" s="214">
        <f t="shared" si="22"/>
        <v>50</v>
      </c>
      <c r="BQ18" s="214">
        <f t="shared" si="23"/>
        <v>50</v>
      </c>
      <c r="BR18" s="214">
        <f t="shared" si="24"/>
        <v>50</v>
      </c>
      <c r="BS18" s="214">
        <f t="shared" si="25"/>
        <v>40</v>
      </c>
      <c r="BT18" s="214">
        <f t="shared" si="2"/>
        <v>40</v>
      </c>
      <c r="BU18" s="214">
        <f t="shared" si="3"/>
        <v>40</v>
      </c>
      <c r="BV18" s="214">
        <f t="shared" si="4"/>
        <v>40</v>
      </c>
      <c r="BW18" s="214">
        <f t="shared" si="5"/>
        <v>50</v>
      </c>
      <c r="BX18" s="214">
        <f t="shared" si="6"/>
        <v>50</v>
      </c>
      <c r="BY18" s="214">
        <f t="shared" si="7"/>
        <v>50</v>
      </c>
      <c r="BZ18" s="214">
        <f t="shared" si="8"/>
        <v>50</v>
      </c>
      <c r="CA18" s="214">
        <f t="shared" si="9"/>
        <v>50</v>
      </c>
      <c r="CB18" s="214">
        <f t="shared" si="10"/>
        <v>50</v>
      </c>
    </row>
    <row r="19" spans="1:80">
      <c r="A19" s="213" t="s">
        <v>96</v>
      </c>
      <c r="B19" s="214">
        <v>540</v>
      </c>
      <c r="C19" s="214">
        <v>530</v>
      </c>
      <c r="D19" s="214">
        <v>530</v>
      </c>
      <c r="E19" s="214">
        <v>530</v>
      </c>
      <c r="F19" s="214">
        <v>530</v>
      </c>
      <c r="G19" s="214">
        <v>510</v>
      </c>
      <c r="H19" s="214">
        <v>510</v>
      </c>
      <c r="I19" s="214">
        <v>530</v>
      </c>
      <c r="J19" s="214">
        <v>530</v>
      </c>
      <c r="K19" s="214">
        <v>530</v>
      </c>
      <c r="L19" s="214">
        <v>530</v>
      </c>
      <c r="M19" s="214">
        <v>530</v>
      </c>
      <c r="N19" s="214">
        <v>470</v>
      </c>
      <c r="O19" s="214">
        <v>470</v>
      </c>
      <c r="P19" s="214">
        <v>470</v>
      </c>
      <c r="Q19" s="214">
        <v>380</v>
      </c>
      <c r="R19" s="214">
        <v>380</v>
      </c>
      <c r="S19" s="214">
        <v>380</v>
      </c>
      <c r="T19" s="214">
        <v>380</v>
      </c>
      <c r="U19" s="214">
        <v>540</v>
      </c>
      <c r="V19" s="214">
        <v>540</v>
      </c>
      <c r="W19" s="214">
        <v>560</v>
      </c>
      <c r="X19" s="214">
        <v>560</v>
      </c>
      <c r="Y19" s="214">
        <v>580</v>
      </c>
      <c r="Z19" s="214">
        <v>580</v>
      </c>
      <c r="AB19" s="213" t="s">
        <v>96</v>
      </c>
      <c r="AC19" s="214">
        <v>490</v>
      </c>
      <c r="AD19" s="214">
        <v>480</v>
      </c>
      <c r="AE19" s="214">
        <v>480</v>
      </c>
      <c r="AF19" s="214">
        <v>480</v>
      </c>
      <c r="AG19" s="214">
        <v>480</v>
      </c>
      <c r="AH19" s="214">
        <v>460</v>
      </c>
      <c r="AI19" s="214">
        <v>460</v>
      </c>
      <c r="AJ19" s="214">
        <v>480</v>
      </c>
      <c r="AK19" s="214">
        <v>480</v>
      </c>
      <c r="AL19" s="214">
        <v>480</v>
      </c>
      <c r="AM19" s="214">
        <v>480</v>
      </c>
      <c r="AN19" s="214">
        <v>480</v>
      </c>
      <c r="AO19" s="214">
        <v>420</v>
      </c>
      <c r="AP19" s="214">
        <v>420</v>
      </c>
      <c r="AQ19" s="214">
        <v>420</v>
      </c>
      <c r="AR19" s="214">
        <v>340</v>
      </c>
      <c r="AS19" s="214">
        <v>340</v>
      </c>
      <c r="AT19" s="214">
        <v>340</v>
      </c>
      <c r="AU19" s="214">
        <v>340</v>
      </c>
      <c r="AV19" s="214">
        <v>490</v>
      </c>
      <c r="AW19" s="214">
        <v>490</v>
      </c>
      <c r="AX19" s="214">
        <v>510</v>
      </c>
      <c r="AY19" s="214">
        <v>510</v>
      </c>
      <c r="AZ19" s="214">
        <v>530</v>
      </c>
      <c r="BA19" s="214">
        <v>530</v>
      </c>
      <c r="BC19" s="213" t="s">
        <v>96</v>
      </c>
      <c r="BD19" s="214">
        <f t="shared" si="1"/>
        <v>50</v>
      </c>
      <c r="BE19" s="214">
        <f t="shared" si="11"/>
        <v>50</v>
      </c>
      <c r="BF19" s="214">
        <f t="shared" si="12"/>
        <v>50</v>
      </c>
      <c r="BG19" s="214">
        <f t="shared" si="13"/>
        <v>50</v>
      </c>
      <c r="BH19" s="214">
        <f t="shared" si="14"/>
        <v>50</v>
      </c>
      <c r="BI19" s="214">
        <f t="shared" si="15"/>
        <v>50</v>
      </c>
      <c r="BJ19" s="214">
        <f t="shared" si="16"/>
        <v>50</v>
      </c>
      <c r="BK19" s="214">
        <f t="shared" si="17"/>
        <v>50</v>
      </c>
      <c r="BL19" s="214">
        <f t="shared" si="18"/>
        <v>50</v>
      </c>
      <c r="BM19" s="214">
        <f t="shared" si="19"/>
        <v>50</v>
      </c>
      <c r="BN19" s="214">
        <f t="shared" si="20"/>
        <v>50</v>
      </c>
      <c r="BO19" s="214">
        <f t="shared" si="21"/>
        <v>50</v>
      </c>
      <c r="BP19" s="214">
        <f t="shared" si="22"/>
        <v>50</v>
      </c>
      <c r="BQ19" s="214">
        <f t="shared" si="23"/>
        <v>50</v>
      </c>
      <c r="BR19" s="214">
        <f t="shared" si="24"/>
        <v>50</v>
      </c>
      <c r="BS19" s="214">
        <f t="shared" si="25"/>
        <v>40</v>
      </c>
      <c r="BT19" s="214">
        <f t="shared" si="2"/>
        <v>40</v>
      </c>
      <c r="BU19" s="214">
        <f t="shared" si="3"/>
        <v>40</v>
      </c>
      <c r="BV19" s="214">
        <f t="shared" si="4"/>
        <v>40</v>
      </c>
      <c r="BW19" s="214">
        <f t="shared" si="5"/>
        <v>50</v>
      </c>
      <c r="BX19" s="214">
        <f t="shared" si="6"/>
        <v>50</v>
      </c>
      <c r="BY19" s="214">
        <f t="shared" si="7"/>
        <v>50</v>
      </c>
      <c r="BZ19" s="214">
        <f t="shared" si="8"/>
        <v>50</v>
      </c>
      <c r="CA19" s="214">
        <f t="shared" si="9"/>
        <v>50</v>
      </c>
      <c r="CB19" s="214">
        <f t="shared" si="10"/>
        <v>50</v>
      </c>
    </row>
    <row r="20" spans="1:80">
      <c r="A20" s="213" t="s">
        <v>97</v>
      </c>
      <c r="B20" s="214">
        <v>540</v>
      </c>
      <c r="C20" s="214">
        <v>530</v>
      </c>
      <c r="D20" s="214">
        <v>530</v>
      </c>
      <c r="E20" s="214">
        <v>530</v>
      </c>
      <c r="F20" s="214">
        <v>530</v>
      </c>
      <c r="G20" s="214">
        <v>510</v>
      </c>
      <c r="H20" s="214">
        <v>510</v>
      </c>
      <c r="I20" s="214">
        <v>530</v>
      </c>
      <c r="J20" s="214">
        <v>530</v>
      </c>
      <c r="K20" s="214">
        <v>530</v>
      </c>
      <c r="L20" s="214">
        <v>530</v>
      </c>
      <c r="M20" s="214">
        <v>530</v>
      </c>
      <c r="N20" s="214">
        <v>470</v>
      </c>
      <c r="O20" s="214">
        <v>470</v>
      </c>
      <c r="P20" s="214">
        <v>470</v>
      </c>
      <c r="Q20" s="214">
        <v>380</v>
      </c>
      <c r="R20" s="214">
        <v>380</v>
      </c>
      <c r="S20" s="214">
        <v>380</v>
      </c>
      <c r="T20" s="215">
        <v>380</v>
      </c>
      <c r="U20" s="215">
        <v>540</v>
      </c>
      <c r="V20" s="215">
        <v>540</v>
      </c>
      <c r="W20" s="215">
        <v>560</v>
      </c>
      <c r="X20" s="215">
        <v>560</v>
      </c>
      <c r="Y20" s="215">
        <v>580</v>
      </c>
      <c r="Z20" s="215">
        <v>580</v>
      </c>
      <c r="AB20" s="213" t="s">
        <v>97</v>
      </c>
      <c r="AC20" s="214">
        <v>490</v>
      </c>
      <c r="AD20" s="214">
        <v>480</v>
      </c>
      <c r="AE20" s="214">
        <v>480</v>
      </c>
      <c r="AF20" s="214">
        <v>480</v>
      </c>
      <c r="AG20" s="214">
        <v>480</v>
      </c>
      <c r="AH20" s="214">
        <v>460</v>
      </c>
      <c r="AI20" s="214">
        <v>460</v>
      </c>
      <c r="AJ20" s="214">
        <v>480</v>
      </c>
      <c r="AK20" s="214">
        <v>480</v>
      </c>
      <c r="AL20" s="214">
        <v>480</v>
      </c>
      <c r="AM20" s="214">
        <v>480</v>
      </c>
      <c r="AN20" s="214">
        <v>480</v>
      </c>
      <c r="AO20" s="214">
        <v>420</v>
      </c>
      <c r="AP20" s="214">
        <v>420</v>
      </c>
      <c r="AQ20" s="214">
        <v>420</v>
      </c>
      <c r="AR20" s="214">
        <v>340</v>
      </c>
      <c r="AS20" s="214">
        <v>340</v>
      </c>
      <c r="AT20" s="214">
        <v>340</v>
      </c>
      <c r="AU20" s="215">
        <v>340</v>
      </c>
      <c r="AV20" s="215">
        <v>490</v>
      </c>
      <c r="AW20" s="215">
        <v>490</v>
      </c>
      <c r="AX20" s="215">
        <v>510</v>
      </c>
      <c r="AY20" s="215">
        <v>510</v>
      </c>
      <c r="AZ20" s="215">
        <v>530</v>
      </c>
      <c r="BA20" s="215">
        <v>530</v>
      </c>
      <c r="BC20" s="213" t="s">
        <v>97</v>
      </c>
      <c r="BD20" s="214">
        <f t="shared" si="1"/>
        <v>50</v>
      </c>
      <c r="BE20" s="214">
        <f t="shared" si="11"/>
        <v>50</v>
      </c>
      <c r="BF20" s="214">
        <f t="shared" si="12"/>
        <v>50</v>
      </c>
      <c r="BG20" s="214">
        <f t="shared" si="13"/>
        <v>50</v>
      </c>
      <c r="BH20" s="214">
        <f t="shared" si="14"/>
        <v>50</v>
      </c>
      <c r="BI20" s="214">
        <f t="shared" si="15"/>
        <v>50</v>
      </c>
      <c r="BJ20" s="214">
        <f t="shared" si="16"/>
        <v>50</v>
      </c>
      <c r="BK20" s="214">
        <f t="shared" si="17"/>
        <v>50</v>
      </c>
      <c r="BL20" s="214">
        <f t="shared" si="18"/>
        <v>50</v>
      </c>
      <c r="BM20" s="214">
        <f t="shared" si="19"/>
        <v>50</v>
      </c>
      <c r="BN20" s="214">
        <f t="shared" si="20"/>
        <v>50</v>
      </c>
      <c r="BO20" s="214">
        <f t="shared" si="21"/>
        <v>50</v>
      </c>
      <c r="BP20" s="214">
        <f t="shared" si="22"/>
        <v>50</v>
      </c>
      <c r="BQ20" s="214">
        <f t="shared" si="23"/>
        <v>50</v>
      </c>
      <c r="BR20" s="214">
        <f t="shared" si="24"/>
        <v>50</v>
      </c>
      <c r="BS20" s="214">
        <f t="shared" si="25"/>
        <v>40</v>
      </c>
      <c r="BT20" s="214">
        <f t="shared" si="2"/>
        <v>40</v>
      </c>
      <c r="BU20" s="214">
        <f t="shared" si="3"/>
        <v>40</v>
      </c>
      <c r="BV20" s="214">
        <f t="shared" si="4"/>
        <v>40</v>
      </c>
      <c r="BW20" s="214">
        <f t="shared" si="5"/>
        <v>50</v>
      </c>
      <c r="BX20" s="214">
        <f t="shared" si="6"/>
        <v>50</v>
      </c>
      <c r="BY20" s="214">
        <f t="shared" si="7"/>
        <v>50</v>
      </c>
      <c r="BZ20" s="214">
        <f t="shared" si="8"/>
        <v>50</v>
      </c>
      <c r="CA20" s="214">
        <f t="shared" si="9"/>
        <v>50</v>
      </c>
      <c r="CB20" s="214">
        <f t="shared" si="10"/>
        <v>50</v>
      </c>
    </row>
    <row r="21" spans="1:80">
      <c r="A21" s="213" t="s">
        <v>98</v>
      </c>
      <c r="B21" s="214">
        <v>540</v>
      </c>
      <c r="C21" s="214">
        <v>530</v>
      </c>
      <c r="D21" s="214">
        <v>530</v>
      </c>
      <c r="E21" s="214">
        <v>530</v>
      </c>
      <c r="F21" s="214">
        <v>530</v>
      </c>
      <c r="G21" s="214">
        <v>510</v>
      </c>
      <c r="H21" s="214">
        <v>510</v>
      </c>
      <c r="I21" s="214">
        <v>530</v>
      </c>
      <c r="J21" s="214">
        <v>530</v>
      </c>
      <c r="K21" s="214">
        <v>530</v>
      </c>
      <c r="L21" s="214">
        <v>530</v>
      </c>
      <c r="M21" s="214">
        <v>530</v>
      </c>
      <c r="N21" s="214">
        <v>470</v>
      </c>
      <c r="O21" s="214">
        <v>470</v>
      </c>
      <c r="P21" s="214">
        <v>470</v>
      </c>
      <c r="Q21" s="214">
        <v>380</v>
      </c>
      <c r="R21" s="214">
        <v>380</v>
      </c>
      <c r="S21" s="214">
        <v>380</v>
      </c>
      <c r="T21" s="215">
        <v>380</v>
      </c>
      <c r="U21" s="215">
        <v>540</v>
      </c>
      <c r="V21" s="215">
        <v>540</v>
      </c>
      <c r="W21" s="215">
        <v>560</v>
      </c>
      <c r="X21" s="215">
        <v>560</v>
      </c>
      <c r="Y21" s="215">
        <v>580</v>
      </c>
      <c r="Z21" s="215">
        <v>580</v>
      </c>
      <c r="AB21" s="213" t="s">
        <v>98</v>
      </c>
      <c r="AC21" s="214">
        <v>490</v>
      </c>
      <c r="AD21" s="214">
        <v>480</v>
      </c>
      <c r="AE21" s="214">
        <v>480</v>
      </c>
      <c r="AF21" s="214">
        <v>480</v>
      </c>
      <c r="AG21" s="214">
        <v>480</v>
      </c>
      <c r="AH21" s="214">
        <v>460</v>
      </c>
      <c r="AI21" s="214">
        <v>460</v>
      </c>
      <c r="AJ21" s="214">
        <v>480</v>
      </c>
      <c r="AK21" s="214">
        <v>480</v>
      </c>
      <c r="AL21" s="214">
        <v>480</v>
      </c>
      <c r="AM21" s="214">
        <v>480</v>
      </c>
      <c r="AN21" s="214">
        <v>480</v>
      </c>
      <c r="AO21" s="214">
        <v>420</v>
      </c>
      <c r="AP21" s="214">
        <v>420</v>
      </c>
      <c r="AQ21" s="214">
        <v>420</v>
      </c>
      <c r="AR21" s="214">
        <v>340</v>
      </c>
      <c r="AS21" s="214">
        <v>340</v>
      </c>
      <c r="AT21" s="214">
        <v>340</v>
      </c>
      <c r="AU21" s="215">
        <v>340</v>
      </c>
      <c r="AV21" s="215">
        <v>490</v>
      </c>
      <c r="AW21" s="215">
        <v>490</v>
      </c>
      <c r="AX21" s="215">
        <v>510</v>
      </c>
      <c r="AY21" s="215">
        <v>510</v>
      </c>
      <c r="AZ21" s="215">
        <v>530</v>
      </c>
      <c r="BA21" s="215">
        <v>530</v>
      </c>
      <c r="BC21" s="213" t="s">
        <v>98</v>
      </c>
      <c r="BD21" s="214">
        <f t="shared" si="1"/>
        <v>50</v>
      </c>
      <c r="BE21" s="214">
        <f t="shared" si="11"/>
        <v>50</v>
      </c>
      <c r="BF21" s="214">
        <f t="shared" si="12"/>
        <v>50</v>
      </c>
      <c r="BG21" s="214">
        <f t="shared" si="13"/>
        <v>50</v>
      </c>
      <c r="BH21" s="214">
        <f t="shared" si="14"/>
        <v>50</v>
      </c>
      <c r="BI21" s="214">
        <f t="shared" si="15"/>
        <v>50</v>
      </c>
      <c r="BJ21" s="214">
        <f t="shared" si="16"/>
        <v>50</v>
      </c>
      <c r="BK21" s="214">
        <f t="shared" si="17"/>
        <v>50</v>
      </c>
      <c r="BL21" s="214">
        <f t="shared" si="18"/>
        <v>50</v>
      </c>
      <c r="BM21" s="214">
        <f t="shared" si="19"/>
        <v>50</v>
      </c>
      <c r="BN21" s="214">
        <f t="shared" si="20"/>
        <v>50</v>
      </c>
      <c r="BO21" s="214">
        <f t="shared" si="21"/>
        <v>50</v>
      </c>
      <c r="BP21" s="214">
        <f t="shared" si="22"/>
        <v>50</v>
      </c>
      <c r="BQ21" s="214">
        <f t="shared" si="23"/>
        <v>50</v>
      </c>
      <c r="BR21" s="214">
        <f t="shared" si="24"/>
        <v>50</v>
      </c>
      <c r="BS21" s="214">
        <f t="shared" si="25"/>
        <v>40</v>
      </c>
      <c r="BT21" s="214">
        <f t="shared" si="2"/>
        <v>40</v>
      </c>
      <c r="BU21" s="214">
        <f t="shared" si="3"/>
        <v>40</v>
      </c>
      <c r="BV21" s="214">
        <f t="shared" si="4"/>
        <v>40</v>
      </c>
      <c r="BW21" s="214">
        <f t="shared" si="5"/>
        <v>50</v>
      </c>
      <c r="BX21" s="214">
        <f t="shared" si="6"/>
        <v>50</v>
      </c>
      <c r="BY21" s="214">
        <f t="shared" si="7"/>
        <v>50</v>
      </c>
      <c r="BZ21" s="214">
        <f t="shared" si="8"/>
        <v>50</v>
      </c>
      <c r="CA21" s="214">
        <f t="shared" si="9"/>
        <v>50</v>
      </c>
      <c r="CB21" s="214">
        <f t="shared" si="10"/>
        <v>50</v>
      </c>
    </row>
    <row r="22" spans="1:80">
      <c r="A22" s="213" t="s">
        <v>99</v>
      </c>
      <c r="B22" s="214">
        <v>840</v>
      </c>
      <c r="C22" s="214">
        <v>830</v>
      </c>
      <c r="D22" s="214">
        <v>830</v>
      </c>
      <c r="E22" s="214">
        <v>830</v>
      </c>
      <c r="F22" s="214">
        <v>830</v>
      </c>
      <c r="G22" s="214">
        <v>780</v>
      </c>
      <c r="H22" s="214">
        <v>780</v>
      </c>
      <c r="I22" s="214">
        <v>800</v>
      </c>
      <c r="J22" s="214">
        <v>800</v>
      </c>
      <c r="K22" s="214">
        <v>800</v>
      </c>
      <c r="L22" s="214">
        <v>810</v>
      </c>
      <c r="M22" s="214">
        <v>810</v>
      </c>
      <c r="N22" s="214">
        <v>580</v>
      </c>
      <c r="O22" s="214">
        <v>580</v>
      </c>
      <c r="P22" s="214">
        <v>580</v>
      </c>
      <c r="Q22" s="214">
        <v>540</v>
      </c>
      <c r="R22" s="214">
        <v>540</v>
      </c>
      <c r="S22" s="214">
        <v>540</v>
      </c>
      <c r="T22" s="215">
        <v>540</v>
      </c>
      <c r="U22" s="215">
        <v>380</v>
      </c>
      <c r="V22" s="215">
        <v>380</v>
      </c>
      <c r="W22" s="215">
        <v>400</v>
      </c>
      <c r="X22" s="215">
        <v>400</v>
      </c>
      <c r="Y22" s="215">
        <v>490</v>
      </c>
      <c r="Z22" s="215">
        <v>490</v>
      </c>
      <c r="AB22" s="213" t="s">
        <v>99</v>
      </c>
      <c r="AC22" s="214">
        <v>770</v>
      </c>
      <c r="AD22" s="214">
        <v>760</v>
      </c>
      <c r="AE22" s="214">
        <v>760</v>
      </c>
      <c r="AF22" s="214">
        <v>760</v>
      </c>
      <c r="AG22" s="214">
        <v>760</v>
      </c>
      <c r="AH22" s="214">
        <v>720</v>
      </c>
      <c r="AI22" s="214">
        <v>720</v>
      </c>
      <c r="AJ22" s="214">
        <v>730</v>
      </c>
      <c r="AK22" s="214">
        <v>730</v>
      </c>
      <c r="AL22" s="214">
        <v>730</v>
      </c>
      <c r="AM22" s="214">
        <v>740</v>
      </c>
      <c r="AN22" s="214">
        <v>740</v>
      </c>
      <c r="AO22" s="214">
        <v>530</v>
      </c>
      <c r="AP22" s="214">
        <v>530</v>
      </c>
      <c r="AQ22" s="214">
        <v>530</v>
      </c>
      <c r="AR22" s="214">
        <v>490</v>
      </c>
      <c r="AS22" s="214">
        <v>490</v>
      </c>
      <c r="AT22" s="214">
        <v>490</v>
      </c>
      <c r="AU22" s="215">
        <v>490</v>
      </c>
      <c r="AV22" s="215">
        <v>340</v>
      </c>
      <c r="AW22" s="215">
        <v>340</v>
      </c>
      <c r="AX22" s="215">
        <v>360</v>
      </c>
      <c r="AY22" s="215">
        <v>360</v>
      </c>
      <c r="AZ22" s="215">
        <v>440</v>
      </c>
      <c r="BA22" s="215">
        <v>440</v>
      </c>
      <c r="BC22" s="213" t="s">
        <v>99</v>
      </c>
      <c r="BD22" s="214">
        <f t="shared" si="1"/>
        <v>70</v>
      </c>
      <c r="BE22" s="214">
        <f t="shared" si="11"/>
        <v>70</v>
      </c>
      <c r="BF22" s="214">
        <f t="shared" si="12"/>
        <v>70</v>
      </c>
      <c r="BG22" s="214">
        <f t="shared" si="13"/>
        <v>70</v>
      </c>
      <c r="BH22" s="214">
        <f t="shared" si="14"/>
        <v>70</v>
      </c>
      <c r="BI22" s="214">
        <f t="shared" si="15"/>
        <v>60</v>
      </c>
      <c r="BJ22" s="214">
        <f t="shared" si="16"/>
        <v>60</v>
      </c>
      <c r="BK22" s="214">
        <f t="shared" si="17"/>
        <v>70</v>
      </c>
      <c r="BL22" s="214">
        <f t="shared" si="18"/>
        <v>70</v>
      </c>
      <c r="BM22" s="214">
        <f t="shared" si="19"/>
        <v>70</v>
      </c>
      <c r="BN22" s="214">
        <f t="shared" si="20"/>
        <v>70</v>
      </c>
      <c r="BO22" s="214">
        <f t="shared" si="21"/>
        <v>70</v>
      </c>
      <c r="BP22" s="214">
        <f t="shared" si="22"/>
        <v>50</v>
      </c>
      <c r="BQ22" s="214">
        <f t="shared" si="23"/>
        <v>50</v>
      </c>
      <c r="BR22" s="214">
        <f t="shared" si="24"/>
        <v>50</v>
      </c>
      <c r="BS22" s="214">
        <f t="shared" si="25"/>
        <v>50</v>
      </c>
      <c r="BT22" s="214">
        <f t="shared" si="2"/>
        <v>50</v>
      </c>
      <c r="BU22" s="214">
        <f t="shared" si="3"/>
        <v>50</v>
      </c>
      <c r="BV22" s="214">
        <f t="shared" si="4"/>
        <v>50</v>
      </c>
      <c r="BW22" s="214">
        <f t="shared" si="5"/>
        <v>40</v>
      </c>
      <c r="BX22" s="214">
        <f t="shared" si="6"/>
        <v>40</v>
      </c>
      <c r="BY22" s="214">
        <f t="shared" si="7"/>
        <v>40</v>
      </c>
      <c r="BZ22" s="214">
        <f t="shared" si="8"/>
        <v>40</v>
      </c>
      <c r="CA22" s="214">
        <f t="shared" si="9"/>
        <v>50</v>
      </c>
      <c r="CB22" s="214">
        <f t="shared" si="10"/>
        <v>50</v>
      </c>
    </row>
    <row r="23" spans="1:80">
      <c r="A23" s="213" t="s">
        <v>100</v>
      </c>
      <c r="B23" s="214">
        <v>840</v>
      </c>
      <c r="C23" s="214">
        <v>830</v>
      </c>
      <c r="D23" s="214">
        <v>830</v>
      </c>
      <c r="E23" s="214">
        <v>830</v>
      </c>
      <c r="F23" s="214">
        <v>830</v>
      </c>
      <c r="G23" s="214">
        <v>780</v>
      </c>
      <c r="H23" s="214">
        <v>780</v>
      </c>
      <c r="I23" s="214">
        <v>800</v>
      </c>
      <c r="J23" s="214">
        <v>800</v>
      </c>
      <c r="K23" s="214">
        <v>800</v>
      </c>
      <c r="L23" s="214">
        <v>810</v>
      </c>
      <c r="M23" s="214">
        <v>810</v>
      </c>
      <c r="N23" s="214">
        <v>580</v>
      </c>
      <c r="O23" s="214">
        <v>580</v>
      </c>
      <c r="P23" s="214">
        <v>580</v>
      </c>
      <c r="Q23" s="214">
        <v>540</v>
      </c>
      <c r="R23" s="214">
        <v>540</v>
      </c>
      <c r="S23" s="214">
        <v>540</v>
      </c>
      <c r="T23" s="215">
        <v>540</v>
      </c>
      <c r="U23" s="215">
        <v>380</v>
      </c>
      <c r="V23" s="215">
        <v>380</v>
      </c>
      <c r="W23" s="215">
        <v>400</v>
      </c>
      <c r="X23" s="215">
        <v>400</v>
      </c>
      <c r="Y23" s="215">
        <v>490</v>
      </c>
      <c r="Z23" s="215">
        <v>490</v>
      </c>
      <c r="AB23" s="213" t="s">
        <v>100</v>
      </c>
      <c r="AC23" s="214">
        <v>770</v>
      </c>
      <c r="AD23" s="214">
        <v>760</v>
      </c>
      <c r="AE23" s="214">
        <v>760</v>
      </c>
      <c r="AF23" s="214">
        <v>760</v>
      </c>
      <c r="AG23" s="214">
        <v>760</v>
      </c>
      <c r="AH23" s="214">
        <v>720</v>
      </c>
      <c r="AI23" s="214">
        <v>720</v>
      </c>
      <c r="AJ23" s="214">
        <v>730</v>
      </c>
      <c r="AK23" s="214">
        <v>730</v>
      </c>
      <c r="AL23" s="214">
        <v>730</v>
      </c>
      <c r="AM23" s="214">
        <v>740</v>
      </c>
      <c r="AN23" s="214">
        <v>740</v>
      </c>
      <c r="AO23" s="214">
        <v>530</v>
      </c>
      <c r="AP23" s="214">
        <v>530</v>
      </c>
      <c r="AQ23" s="214">
        <v>530</v>
      </c>
      <c r="AR23" s="214">
        <v>490</v>
      </c>
      <c r="AS23" s="214">
        <v>490</v>
      </c>
      <c r="AT23" s="214">
        <v>490</v>
      </c>
      <c r="AU23" s="215">
        <v>490</v>
      </c>
      <c r="AV23" s="215">
        <v>340</v>
      </c>
      <c r="AW23" s="215">
        <v>340</v>
      </c>
      <c r="AX23" s="215">
        <v>360</v>
      </c>
      <c r="AY23" s="215">
        <v>360</v>
      </c>
      <c r="AZ23" s="215">
        <v>440</v>
      </c>
      <c r="BA23" s="215">
        <v>440</v>
      </c>
      <c r="BC23" s="213" t="s">
        <v>100</v>
      </c>
      <c r="BD23" s="214">
        <f t="shared" si="1"/>
        <v>70</v>
      </c>
      <c r="BE23" s="214">
        <f t="shared" si="11"/>
        <v>70</v>
      </c>
      <c r="BF23" s="214">
        <f t="shared" si="12"/>
        <v>70</v>
      </c>
      <c r="BG23" s="214">
        <f t="shared" si="13"/>
        <v>70</v>
      </c>
      <c r="BH23" s="214">
        <f t="shared" si="14"/>
        <v>70</v>
      </c>
      <c r="BI23" s="214">
        <f t="shared" si="15"/>
        <v>60</v>
      </c>
      <c r="BJ23" s="214">
        <f t="shared" si="16"/>
        <v>60</v>
      </c>
      <c r="BK23" s="214">
        <f t="shared" si="17"/>
        <v>70</v>
      </c>
      <c r="BL23" s="214">
        <f t="shared" si="18"/>
        <v>70</v>
      </c>
      <c r="BM23" s="214">
        <f t="shared" si="19"/>
        <v>70</v>
      </c>
      <c r="BN23" s="214">
        <f t="shared" si="20"/>
        <v>70</v>
      </c>
      <c r="BO23" s="214">
        <f t="shared" si="21"/>
        <v>70</v>
      </c>
      <c r="BP23" s="214">
        <f t="shared" si="22"/>
        <v>50</v>
      </c>
      <c r="BQ23" s="214">
        <f t="shared" si="23"/>
        <v>50</v>
      </c>
      <c r="BR23" s="214">
        <f t="shared" si="24"/>
        <v>50</v>
      </c>
      <c r="BS23" s="214">
        <f t="shared" si="25"/>
        <v>50</v>
      </c>
      <c r="BT23" s="214">
        <f t="shared" si="2"/>
        <v>50</v>
      </c>
      <c r="BU23" s="214">
        <f t="shared" si="3"/>
        <v>50</v>
      </c>
      <c r="BV23" s="214">
        <f t="shared" si="4"/>
        <v>50</v>
      </c>
      <c r="BW23" s="214">
        <f t="shared" si="5"/>
        <v>40</v>
      </c>
      <c r="BX23" s="214">
        <f t="shared" si="6"/>
        <v>40</v>
      </c>
      <c r="BY23" s="214">
        <f t="shared" si="7"/>
        <v>40</v>
      </c>
      <c r="BZ23" s="214">
        <f t="shared" si="8"/>
        <v>40</v>
      </c>
      <c r="CA23" s="214">
        <f t="shared" si="9"/>
        <v>50</v>
      </c>
      <c r="CB23" s="214">
        <f t="shared" si="10"/>
        <v>50</v>
      </c>
    </row>
    <row r="24" spans="1:80">
      <c r="A24" s="213" t="s">
        <v>101</v>
      </c>
      <c r="B24" s="214">
        <v>890</v>
      </c>
      <c r="C24" s="214">
        <v>840</v>
      </c>
      <c r="D24" s="214">
        <v>840</v>
      </c>
      <c r="E24" s="214">
        <v>840</v>
      </c>
      <c r="F24" s="214">
        <v>840</v>
      </c>
      <c r="G24" s="214">
        <v>780</v>
      </c>
      <c r="H24" s="214">
        <v>780</v>
      </c>
      <c r="I24" s="214">
        <v>810</v>
      </c>
      <c r="J24" s="214">
        <v>810</v>
      </c>
      <c r="K24" s="214">
        <v>810</v>
      </c>
      <c r="L24" s="214">
        <v>830</v>
      </c>
      <c r="M24" s="214">
        <v>830</v>
      </c>
      <c r="N24" s="214">
        <v>610</v>
      </c>
      <c r="O24" s="214">
        <v>610</v>
      </c>
      <c r="P24" s="214">
        <v>610</v>
      </c>
      <c r="Q24" s="214">
        <v>560</v>
      </c>
      <c r="R24" s="214">
        <v>560</v>
      </c>
      <c r="S24" s="214">
        <v>560</v>
      </c>
      <c r="T24" s="215">
        <v>560</v>
      </c>
      <c r="U24" s="215">
        <v>400</v>
      </c>
      <c r="V24" s="215">
        <v>400</v>
      </c>
      <c r="W24" s="215">
        <v>380</v>
      </c>
      <c r="X24" s="215">
        <v>380</v>
      </c>
      <c r="Y24" s="215">
        <v>390</v>
      </c>
      <c r="Z24" s="215">
        <v>390</v>
      </c>
      <c r="AB24" s="213" t="s">
        <v>101</v>
      </c>
      <c r="AC24" s="214">
        <v>820</v>
      </c>
      <c r="AD24" s="214">
        <v>770</v>
      </c>
      <c r="AE24" s="214">
        <v>770</v>
      </c>
      <c r="AF24" s="214">
        <v>770</v>
      </c>
      <c r="AG24" s="214">
        <v>770</v>
      </c>
      <c r="AH24" s="214">
        <v>720</v>
      </c>
      <c r="AI24" s="214">
        <v>720</v>
      </c>
      <c r="AJ24" s="214">
        <v>740</v>
      </c>
      <c r="AK24" s="214">
        <v>740</v>
      </c>
      <c r="AL24" s="214">
        <v>740</v>
      </c>
      <c r="AM24" s="214">
        <v>760</v>
      </c>
      <c r="AN24" s="214">
        <v>760</v>
      </c>
      <c r="AO24" s="214">
        <v>560</v>
      </c>
      <c r="AP24" s="214">
        <v>560</v>
      </c>
      <c r="AQ24" s="214">
        <v>560</v>
      </c>
      <c r="AR24" s="214">
        <v>510</v>
      </c>
      <c r="AS24" s="214">
        <v>510</v>
      </c>
      <c r="AT24" s="214">
        <v>510</v>
      </c>
      <c r="AU24" s="215">
        <v>510</v>
      </c>
      <c r="AV24" s="215">
        <v>360</v>
      </c>
      <c r="AW24" s="215">
        <v>360</v>
      </c>
      <c r="AX24" s="215">
        <v>340</v>
      </c>
      <c r="AY24" s="215">
        <v>340</v>
      </c>
      <c r="AZ24" s="215">
        <v>350</v>
      </c>
      <c r="BA24" s="215">
        <v>350</v>
      </c>
      <c r="BC24" s="213" t="s">
        <v>101</v>
      </c>
      <c r="BD24" s="214">
        <f t="shared" si="1"/>
        <v>70</v>
      </c>
      <c r="BE24" s="214">
        <f t="shared" si="11"/>
        <v>70</v>
      </c>
      <c r="BF24" s="214">
        <f t="shared" si="12"/>
        <v>70</v>
      </c>
      <c r="BG24" s="214">
        <f t="shared" si="13"/>
        <v>70</v>
      </c>
      <c r="BH24" s="214">
        <f t="shared" si="14"/>
        <v>70</v>
      </c>
      <c r="BI24" s="214">
        <f t="shared" si="15"/>
        <v>60</v>
      </c>
      <c r="BJ24" s="214">
        <f t="shared" si="16"/>
        <v>60</v>
      </c>
      <c r="BK24" s="214">
        <f t="shared" si="17"/>
        <v>70</v>
      </c>
      <c r="BL24" s="214">
        <f t="shared" si="18"/>
        <v>70</v>
      </c>
      <c r="BM24" s="214">
        <f t="shared" si="19"/>
        <v>70</v>
      </c>
      <c r="BN24" s="214">
        <f t="shared" si="20"/>
        <v>70</v>
      </c>
      <c r="BO24" s="214">
        <f t="shared" si="21"/>
        <v>70</v>
      </c>
      <c r="BP24" s="214">
        <f t="shared" si="22"/>
        <v>50</v>
      </c>
      <c r="BQ24" s="214">
        <f t="shared" si="23"/>
        <v>50</v>
      </c>
      <c r="BR24" s="214">
        <f t="shared" si="24"/>
        <v>50</v>
      </c>
      <c r="BS24" s="214">
        <f t="shared" si="25"/>
        <v>50</v>
      </c>
      <c r="BT24" s="214">
        <f t="shared" si="2"/>
        <v>50</v>
      </c>
      <c r="BU24" s="214">
        <f t="shared" si="3"/>
        <v>50</v>
      </c>
      <c r="BV24" s="214">
        <f t="shared" si="4"/>
        <v>50</v>
      </c>
      <c r="BW24" s="214">
        <f t="shared" si="5"/>
        <v>40</v>
      </c>
      <c r="BX24" s="214">
        <f t="shared" si="6"/>
        <v>40</v>
      </c>
      <c r="BY24" s="214">
        <f t="shared" si="7"/>
        <v>40</v>
      </c>
      <c r="BZ24" s="214">
        <f t="shared" si="8"/>
        <v>40</v>
      </c>
      <c r="CA24" s="214">
        <f t="shared" si="9"/>
        <v>40</v>
      </c>
      <c r="CB24" s="214">
        <f t="shared" si="10"/>
        <v>40</v>
      </c>
    </row>
    <row r="25" spans="1:80">
      <c r="A25" s="213" t="s">
        <v>102</v>
      </c>
      <c r="B25" s="214">
        <v>890</v>
      </c>
      <c r="C25" s="214">
        <v>840</v>
      </c>
      <c r="D25" s="214">
        <v>840</v>
      </c>
      <c r="E25" s="214">
        <v>840</v>
      </c>
      <c r="F25" s="214">
        <v>840</v>
      </c>
      <c r="G25" s="214">
        <v>780</v>
      </c>
      <c r="H25" s="214">
        <v>780</v>
      </c>
      <c r="I25" s="214">
        <v>810</v>
      </c>
      <c r="J25" s="214">
        <v>810</v>
      </c>
      <c r="K25" s="214">
        <v>810</v>
      </c>
      <c r="L25" s="214">
        <v>830</v>
      </c>
      <c r="M25" s="214">
        <v>830</v>
      </c>
      <c r="N25" s="214">
        <v>610</v>
      </c>
      <c r="O25" s="214">
        <v>610</v>
      </c>
      <c r="P25" s="214">
        <v>610</v>
      </c>
      <c r="Q25" s="214">
        <v>560</v>
      </c>
      <c r="R25" s="214">
        <v>560</v>
      </c>
      <c r="S25" s="214">
        <v>560</v>
      </c>
      <c r="T25" s="215">
        <v>560</v>
      </c>
      <c r="U25" s="215">
        <v>400</v>
      </c>
      <c r="V25" s="215">
        <v>400</v>
      </c>
      <c r="W25" s="215">
        <v>380</v>
      </c>
      <c r="X25" s="215">
        <v>380</v>
      </c>
      <c r="Y25" s="215">
        <v>390</v>
      </c>
      <c r="Z25" s="215">
        <v>390</v>
      </c>
      <c r="AB25" s="213" t="s">
        <v>102</v>
      </c>
      <c r="AC25" s="214">
        <v>820</v>
      </c>
      <c r="AD25" s="214">
        <v>770</v>
      </c>
      <c r="AE25" s="214">
        <v>770</v>
      </c>
      <c r="AF25" s="214">
        <v>770</v>
      </c>
      <c r="AG25" s="214">
        <v>770</v>
      </c>
      <c r="AH25" s="214">
        <v>720</v>
      </c>
      <c r="AI25" s="214">
        <v>720</v>
      </c>
      <c r="AJ25" s="214">
        <v>740</v>
      </c>
      <c r="AK25" s="214">
        <v>740</v>
      </c>
      <c r="AL25" s="214">
        <v>740</v>
      </c>
      <c r="AM25" s="214">
        <v>760</v>
      </c>
      <c r="AN25" s="214">
        <v>760</v>
      </c>
      <c r="AO25" s="214">
        <v>560</v>
      </c>
      <c r="AP25" s="214">
        <v>560</v>
      </c>
      <c r="AQ25" s="214">
        <v>560</v>
      </c>
      <c r="AR25" s="214">
        <v>510</v>
      </c>
      <c r="AS25" s="214">
        <v>510</v>
      </c>
      <c r="AT25" s="214">
        <v>510</v>
      </c>
      <c r="AU25" s="215">
        <v>510</v>
      </c>
      <c r="AV25" s="215">
        <v>360</v>
      </c>
      <c r="AW25" s="215">
        <v>360</v>
      </c>
      <c r="AX25" s="215">
        <v>340</v>
      </c>
      <c r="AY25" s="215">
        <v>340</v>
      </c>
      <c r="AZ25" s="215">
        <v>350</v>
      </c>
      <c r="BA25" s="215">
        <v>350</v>
      </c>
      <c r="BC25" s="213" t="s">
        <v>102</v>
      </c>
      <c r="BD25" s="214">
        <f t="shared" si="1"/>
        <v>70</v>
      </c>
      <c r="BE25" s="214">
        <f t="shared" si="11"/>
        <v>70</v>
      </c>
      <c r="BF25" s="214">
        <f t="shared" si="12"/>
        <v>70</v>
      </c>
      <c r="BG25" s="214">
        <f t="shared" si="13"/>
        <v>70</v>
      </c>
      <c r="BH25" s="214">
        <f t="shared" si="14"/>
        <v>70</v>
      </c>
      <c r="BI25" s="214">
        <f t="shared" si="15"/>
        <v>60</v>
      </c>
      <c r="BJ25" s="214">
        <f t="shared" si="16"/>
        <v>60</v>
      </c>
      <c r="BK25" s="214">
        <f t="shared" si="17"/>
        <v>70</v>
      </c>
      <c r="BL25" s="214">
        <f t="shared" si="18"/>
        <v>70</v>
      </c>
      <c r="BM25" s="214">
        <f t="shared" si="19"/>
        <v>70</v>
      </c>
      <c r="BN25" s="214">
        <f t="shared" si="20"/>
        <v>70</v>
      </c>
      <c r="BO25" s="214">
        <f t="shared" si="21"/>
        <v>70</v>
      </c>
      <c r="BP25" s="214">
        <f t="shared" si="22"/>
        <v>50</v>
      </c>
      <c r="BQ25" s="214">
        <f t="shared" si="23"/>
        <v>50</v>
      </c>
      <c r="BR25" s="214">
        <f t="shared" si="24"/>
        <v>50</v>
      </c>
      <c r="BS25" s="214">
        <f t="shared" si="25"/>
        <v>50</v>
      </c>
      <c r="BT25" s="214">
        <f t="shared" si="2"/>
        <v>50</v>
      </c>
      <c r="BU25" s="214">
        <f t="shared" si="3"/>
        <v>50</v>
      </c>
      <c r="BV25" s="214">
        <f t="shared" si="4"/>
        <v>50</v>
      </c>
      <c r="BW25" s="214">
        <f t="shared" si="5"/>
        <v>40</v>
      </c>
      <c r="BX25" s="214">
        <f t="shared" si="6"/>
        <v>40</v>
      </c>
      <c r="BY25" s="214">
        <f t="shared" si="7"/>
        <v>40</v>
      </c>
      <c r="BZ25" s="214">
        <f t="shared" si="8"/>
        <v>40</v>
      </c>
      <c r="CA25" s="214">
        <f t="shared" si="9"/>
        <v>40</v>
      </c>
      <c r="CB25" s="214">
        <f t="shared" si="10"/>
        <v>40</v>
      </c>
    </row>
    <row r="26" spans="1:80">
      <c r="A26" s="213" t="s">
        <v>103</v>
      </c>
      <c r="B26" s="214">
        <v>900</v>
      </c>
      <c r="C26" s="214">
        <v>840</v>
      </c>
      <c r="D26" s="214">
        <v>840</v>
      </c>
      <c r="E26" s="214">
        <v>840</v>
      </c>
      <c r="F26" s="214">
        <v>840</v>
      </c>
      <c r="G26" s="214">
        <v>810</v>
      </c>
      <c r="H26" s="214">
        <v>810</v>
      </c>
      <c r="I26" s="214">
        <v>830</v>
      </c>
      <c r="J26" s="214">
        <v>830</v>
      </c>
      <c r="K26" s="214">
        <v>830</v>
      </c>
      <c r="L26" s="214">
        <v>840</v>
      </c>
      <c r="M26" s="214">
        <v>840</v>
      </c>
      <c r="N26" s="214">
        <v>730</v>
      </c>
      <c r="O26" s="214">
        <v>730</v>
      </c>
      <c r="P26" s="214">
        <v>730</v>
      </c>
      <c r="Q26" s="214">
        <v>580</v>
      </c>
      <c r="R26" s="214">
        <v>580</v>
      </c>
      <c r="S26" s="214">
        <v>580</v>
      </c>
      <c r="T26" s="215">
        <v>580</v>
      </c>
      <c r="U26" s="215">
        <v>490</v>
      </c>
      <c r="V26" s="215">
        <v>490</v>
      </c>
      <c r="W26" s="215">
        <v>390</v>
      </c>
      <c r="X26" s="215">
        <v>390</v>
      </c>
      <c r="Y26" s="215">
        <v>380</v>
      </c>
      <c r="Z26" s="215">
        <v>380</v>
      </c>
      <c r="AB26" s="213" t="s">
        <v>103</v>
      </c>
      <c r="AC26" s="214">
        <v>830</v>
      </c>
      <c r="AD26" s="214">
        <v>770</v>
      </c>
      <c r="AE26" s="214">
        <v>770</v>
      </c>
      <c r="AF26" s="214">
        <v>770</v>
      </c>
      <c r="AG26" s="214">
        <v>770</v>
      </c>
      <c r="AH26" s="214">
        <v>740</v>
      </c>
      <c r="AI26" s="214">
        <v>740</v>
      </c>
      <c r="AJ26" s="214">
        <v>760</v>
      </c>
      <c r="AK26" s="214">
        <v>760</v>
      </c>
      <c r="AL26" s="214">
        <v>760</v>
      </c>
      <c r="AM26" s="214">
        <v>770</v>
      </c>
      <c r="AN26" s="214">
        <v>770</v>
      </c>
      <c r="AO26" s="214">
        <v>670</v>
      </c>
      <c r="AP26" s="214">
        <v>670</v>
      </c>
      <c r="AQ26" s="214">
        <v>670</v>
      </c>
      <c r="AR26" s="214">
        <v>530</v>
      </c>
      <c r="AS26" s="214">
        <v>530</v>
      </c>
      <c r="AT26" s="214">
        <v>530</v>
      </c>
      <c r="AU26" s="215">
        <v>530</v>
      </c>
      <c r="AV26" s="215">
        <v>440</v>
      </c>
      <c r="AW26" s="215">
        <v>440</v>
      </c>
      <c r="AX26" s="215">
        <v>350</v>
      </c>
      <c r="AY26" s="215">
        <v>350</v>
      </c>
      <c r="AZ26" s="215">
        <v>340</v>
      </c>
      <c r="BA26" s="215">
        <v>340</v>
      </c>
      <c r="BC26" s="213" t="s">
        <v>103</v>
      </c>
      <c r="BD26" s="214">
        <f t="shared" si="1"/>
        <v>70</v>
      </c>
      <c r="BE26" s="214">
        <f t="shared" si="11"/>
        <v>70</v>
      </c>
      <c r="BF26" s="214">
        <f t="shared" si="12"/>
        <v>70</v>
      </c>
      <c r="BG26" s="214">
        <f t="shared" si="13"/>
        <v>70</v>
      </c>
      <c r="BH26" s="214">
        <f t="shared" si="14"/>
        <v>70</v>
      </c>
      <c r="BI26" s="214">
        <f t="shared" si="15"/>
        <v>70</v>
      </c>
      <c r="BJ26" s="214">
        <f t="shared" si="16"/>
        <v>70</v>
      </c>
      <c r="BK26" s="214">
        <f t="shared" si="17"/>
        <v>70</v>
      </c>
      <c r="BL26" s="214">
        <f t="shared" si="18"/>
        <v>70</v>
      </c>
      <c r="BM26" s="214">
        <f t="shared" si="19"/>
        <v>70</v>
      </c>
      <c r="BN26" s="214">
        <f t="shared" si="20"/>
        <v>70</v>
      </c>
      <c r="BO26" s="214">
        <f t="shared" si="21"/>
        <v>70</v>
      </c>
      <c r="BP26" s="214">
        <f t="shared" si="22"/>
        <v>60</v>
      </c>
      <c r="BQ26" s="214">
        <f t="shared" si="23"/>
        <v>60</v>
      </c>
      <c r="BR26" s="214">
        <f t="shared" si="24"/>
        <v>60</v>
      </c>
      <c r="BS26" s="214">
        <f t="shared" si="25"/>
        <v>50</v>
      </c>
      <c r="BT26" s="214">
        <f t="shared" si="2"/>
        <v>50</v>
      </c>
      <c r="BU26" s="214">
        <f t="shared" si="3"/>
        <v>50</v>
      </c>
      <c r="BV26" s="214">
        <f t="shared" si="4"/>
        <v>50</v>
      </c>
      <c r="BW26" s="214">
        <f t="shared" si="5"/>
        <v>50</v>
      </c>
      <c r="BX26" s="214">
        <f t="shared" si="6"/>
        <v>50</v>
      </c>
      <c r="BY26" s="214">
        <f t="shared" si="7"/>
        <v>40</v>
      </c>
      <c r="BZ26" s="214">
        <f t="shared" si="8"/>
        <v>40</v>
      </c>
      <c r="CA26" s="214">
        <f t="shared" si="9"/>
        <v>40</v>
      </c>
      <c r="CB26" s="214">
        <f t="shared" si="10"/>
        <v>40</v>
      </c>
    </row>
    <row r="27" spans="1:80">
      <c r="A27" s="213" t="s">
        <v>104</v>
      </c>
      <c r="B27" s="214">
        <v>900</v>
      </c>
      <c r="C27" s="214">
        <v>840</v>
      </c>
      <c r="D27" s="214">
        <v>840</v>
      </c>
      <c r="E27" s="214">
        <v>840</v>
      </c>
      <c r="F27" s="214">
        <v>840</v>
      </c>
      <c r="G27" s="214">
        <v>810</v>
      </c>
      <c r="H27" s="214">
        <v>810</v>
      </c>
      <c r="I27" s="214">
        <v>830</v>
      </c>
      <c r="J27" s="214">
        <v>830</v>
      </c>
      <c r="K27" s="214">
        <v>830</v>
      </c>
      <c r="L27" s="214">
        <v>840</v>
      </c>
      <c r="M27" s="214">
        <v>840</v>
      </c>
      <c r="N27" s="214">
        <v>730</v>
      </c>
      <c r="O27" s="214">
        <v>730</v>
      </c>
      <c r="P27" s="214">
        <v>730</v>
      </c>
      <c r="Q27" s="214">
        <v>580</v>
      </c>
      <c r="R27" s="214">
        <v>580</v>
      </c>
      <c r="S27" s="214">
        <v>580</v>
      </c>
      <c r="T27" s="215">
        <v>580</v>
      </c>
      <c r="U27" s="215">
        <v>490</v>
      </c>
      <c r="V27" s="215">
        <v>490</v>
      </c>
      <c r="W27" s="215">
        <v>390</v>
      </c>
      <c r="X27" s="215">
        <v>390</v>
      </c>
      <c r="Y27" s="215">
        <v>380</v>
      </c>
      <c r="Z27" s="215">
        <v>380</v>
      </c>
      <c r="AB27" s="213" t="s">
        <v>104</v>
      </c>
      <c r="AC27" s="214">
        <v>830</v>
      </c>
      <c r="AD27" s="214">
        <v>770</v>
      </c>
      <c r="AE27" s="214">
        <v>770</v>
      </c>
      <c r="AF27" s="214">
        <v>770</v>
      </c>
      <c r="AG27" s="214">
        <v>770</v>
      </c>
      <c r="AH27" s="214">
        <v>740</v>
      </c>
      <c r="AI27" s="214">
        <v>740</v>
      </c>
      <c r="AJ27" s="214">
        <v>760</v>
      </c>
      <c r="AK27" s="214">
        <v>760</v>
      </c>
      <c r="AL27" s="214">
        <v>760</v>
      </c>
      <c r="AM27" s="214">
        <v>770</v>
      </c>
      <c r="AN27" s="214">
        <v>770</v>
      </c>
      <c r="AO27" s="214">
        <v>670</v>
      </c>
      <c r="AP27" s="214">
        <v>670</v>
      </c>
      <c r="AQ27" s="214">
        <v>670</v>
      </c>
      <c r="AR27" s="214">
        <v>530</v>
      </c>
      <c r="AS27" s="214">
        <v>530</v>
      </c>
      <c r="AT27" s="214">
        <v>530</v>
      </c>
      <c r="AU27" s="215">
        <v>530</v>
      </c>
      <c r="AV27" s="215">
        <v>440</v>
      </c>
      <c r="AW27" s="215">
        <v>440</v>
      </c>
      <c r="AX27" s="215">
        <v>350</v>
      </c>
      <c r="AY27" s="215">
        <v>350</v>
      </c>
      <c r="AZ27" s="215">
        <v>340</v>
      </c>
      <c r="BA27" s="215">
        <v>340</v>
      </c>
      <c r="BC27" s="213" t="s">
        <v>104</v>
      </c>
      <c r="BD27" s="214">
        <f t="shared" si="1"/>
        <v>70</v>
      </c>
      <c r="BE27" s="214">
        <f t="shared" si="11"/>
        <v>70</v>
      </c>
      <c r="BF27" s="214">
        <f t="shared" si="12"/>
        <v>70</v>
      </c>
      <c r="BG27" s="214">
        <f t="shared" si="13"/>
        <v>70</v>
      </c>
      <c r="BH27" s="214">
        <f t="shared" si="14"/>
        <v>70</v>
      </c>
      <c r="BI27" s="214">
        <f t="shared" si="15"/>
        <v>70</v>
      </c>
      <c r="BJ27" s="214">
        <f t="shared" si="16"/>
        <v>70</v>
      </c>
      <c r="BK27" s="214">
        <f t="shared" si="17"/>
        <v>70</v>
      </c>
      <c r="BL27" s="214">
        <f t="shared" si="18"/>
        <v>70</v>
      </c>
      <c r="BM27" s="214">
        <f t="shared" si="19"/>
        <v>70</v>
      </c>
      <c r="BN27" s="214">
        <f t="shared" si="20"/>
        <v>70</v>
      </c>
      <c r="BO27" s="214">
        <f t="shared" si="21"/>
        <v>70</v>
      </c>
      <c r="BP27" s="214">
        <f t="shared" si="22"/>
        <v>60</v>
      </c>
      <c r="BQ27" s="214">
        <f t="shared" si="23"/>
        <v>60</v>
      </c>
      <c r="BR27" s="214">
        <f t="shared" si="24"/>
        <v>60</v>
      </c>
      <c r="BS27" s="214">
        <f t="shared" si="25"/>
        <v>50</v>
      </c>
      <c r="BT27" s="214">
        <f t="shared" si="2"/>
        <v>50</v>
      </c>
      <c r="BU27" s="214">
        <f t="shared" si="3"/>
        <v>50</v>
      </c>
      <c r="BV27" s="214">
        <f t="shared" si="4"/>
        <v>50</v>
      </c>
      <c r="BW27" s="214">
        <f t="shared" si="5"/>
        <v>50</v>
      </c>
      <c r="BX27" s="214">
        <f t="shared" si="6"/>
        <v>50</v>
      </c>
      <c r="BY27" s="214">
        <f t="shared" si="7"/>
        <v>40</v>
      </c>
      <c r="BZ27" s="214">
        <f t="shared" si="8"/>
        <v>40</v>
      </c>
      <c r="CA27" s="214">
        <f t="shared" si="9"/>
        <v>40</v>
      </c>
      <c r="CB27" s="214">
        <f t="shared" si="10"/>
        <v>40</v>
      </c>
    </row>
    <row r="29" spans="1:80">
      <c r="A29" s="135" t="s">
        <v>105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B29" s="135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C29" s="135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</row>
    <row r="30" spans="1:80" ht="73.5">
      <c r="A30" s="212" t="s">
        <v>32</v>
      </c>
      <c r="B30" s="212" t="s">
        <v>13</v>
      </c>
      <c r="C30" s="212" t="s">
        <v>89</v>
      </c>
      <c r="D30" s="212" t="s">
        <v>90</v>
      </c>
      <c r="E30" s="212" t="s">
        <v>24</v>
      </c>
      <c r="F30" s="212" t="s">
        <v>9</v>
      </c>
      <c r="G30" s="212" t="s">
        <v>91</v>
      </c>
      <c r="H30" s="212" t="s">
        <v>7</v>
      </c>
      <c r="I30" s="212" t="s">
        <v>6</v>
      </c>
      <c r="J30" s="212" t="s">
        <v>5</v>
      </c>
      <c r="K30" s="212" t="s">
        <v>4</v>
      </c>
      <c r="L30" s="212" t="s">
        <v>3</v>
      </c>
      <c r="M30" s="212" t="s">
        <v>2</v>
      </c>
      <c r="N30" s="212" t="s">
        <v>92</v>
      </c>
      <c r="O30" s="212" t="s">
        <v>93</v>
      </c>
      <c r="P30" s="212" t="s">
        <v>94</v>
      </c>
      <c r="Q30" s="212" t="s">
        <v>95</v>
      </c>
      <c r="R30" s="212" t="s">
        <v>96</v>
      </c>
      <c r="S30" s="212" t="s">
        <v>97</v>
      </c>
      <c r="T30" s="212" t="s">
        <v>98</v>
      </c>
      <c r="U30" s="212" t="s">
        <v>99</v>
      </c>
      <c r="V30" s="212" t="s">
        <v>100</v>
      </c>
      <c r="W30" s="212" t="s">
        <v>101</v>
      </c>
      <c r="X30" s="212" t="s">
        <v>102</v>
      </c>
      <c r="Y30" s="212" t="s">
        <v>103</v>
      </c>
      <c r="Z30" s="212" t="s">
        <v>104</v>
      </c>
      <c r="AB30" s="212" t="s">
        <v>32</v>
      </c>
      <c r="AC30" s="212" t="s">
        <v>13</v>
      </c>
      <c r="AD30" s="212" t="s">
        <v>89</v>
      </c>
      <c r="AE30" s="212" t="s">
        <v>90</v>
      </c>
      <c r="AF30" s="212" t="s">
        <v>24</v>
      </c>
      <c r="AG30" s="212" t="s">
        <v>9</v>
      </c>
      <c r="AH30" s="212" t="s">
        <v>91</v>
      </c>
      <c r="AI30" s="212" t="s">
        <v>7</v>
      </c>
      <c r="AJ30" s="212" t="s">
        <v>6</v>
      </c>
      <c r="AK30" s="212" t="s">
        <v>5</v>
      </c>
      <c r="AL30" s="212" t="s">
        <v>4</v>
      </c>
      <c r="AM30" s="212" t="s">
        <v>3</v>
      </c>
      <c r="AN30" s="212" t="s">
        <v>2</v>
      </c>
      <c r="AO30" s="212" t="s">
        <v>92</v>
      </c>
      <c r="AP30" s="212" t="s">
        <v>93</v>
      </c>
      <c r="AQ30" s="212" t="s">
        <v>94</v>
      </c>
      <c r="AR30" s="212" t="s">
        <v>95</v>
      </c>
      <c r="AS30" s="212" t="s">
        <v>96</v>
      </c>
      <c r="AT30" s="212" t="s">
        <v>97</v>
      </c>
      <c r="AU30" s="212" t="s">
        <v>98</v>
      </c>
      <c r="AV30" s="212" t="s">
        <v>99</v>
      </c>
      <c r="AW30" s="212" t="s">
        <v>100</v>
      </c>
      <c r="AX30" s="212" t="s">
        <v>101</v>
      </c>
      <c r="AY30" s="212" t="s">
        <v>102</v>
      </c>
      <c r="AZ30" s="212" t="s">
        <v>103</v>
      </c>
      <c r="BA30" s="212" t="s">
        <v>104</v>
      </c>
      <c r="BC30" s="212" t="s">
        <v>32</v>
      </c>
      <c r="BD30" s="212" t="s">
        <v>13</v>
      </c>
      <c r="BE30" s="212" t="s">
        <v>89</v>
      </c>
      <c r="BF30" s="212" t="s">
        <v>90</v>
      </c>
      <c r="BG30" s="212" t="s">
        <v>24</v>
      </c>
      <c r="BH30" s="212" t="s">
        <v>9</v>
      </c>
      <c r="BI30" s="212" t="s">
        <v>91</v>
      </c>
      <c r="BJ30" s="212" t="s">
        <v>7</v>
      </c>
      <c r="BK30" s="212" t="s">
        <v>6</v>
      </c>
      <c r="BL30" s="212" t="s">
        <v>5</v>
      </c>
      <c r="BM30" s="212" t="s">
        <v>4</v>
      </c>
      <c r="BN30" s="212" t="s">
        <v>3</v>
      </c>
      <c r="BO30" s="212" t="s">
        <v>2</v>
      </c>
      <c r="BP30" s="212" t="s">
        <v>92</v>
      </c>
      <c r="BQ30" s="212" t="s">
        <v>93</v>
      </c>
      <c r="BR30" s="212" t="s">
        <v>94</v>
      </c>
      <c r="BS30" s="212" t="s">
        <v>95</v>
      </c>
      <c r="BT30" s="212" t="s">
        <v>96</v>
      </c>
      <c r="BU30" s="212" t="s">
        <v>97</v>
      </c>
      <c r="BV30" s="212" t="s">
        <v>98</v>
      </c>
      <c r="BW30" s="212" t="s">
        <v>99</v>
      </c>
      <c r="BX30" s="212" t="s">
        <v>100</v>
      </c>
      <c r="BY30" s="212" t="s">
        <v>101</v>
      </c>
      <c r="BZ30" s="212" t="s">
        <v>102</v>
      </c>
      <c r="CA30" s="212" t="s">
        <v>103</v>
      </c>
      <c r="CB30" s="212" t="s">
        <v>104</v>
      </c>
    </row>
    <row r="31" spans="1:80">
      <c r="A31" s="213" t="s">
        <v>13</v>
      </c>
      <c r="B31" s="214">
        <v>130</v>
      </c>
      <c r="C31" s="214">
        <v>150</v>
      </c>
      <c r="D31" s="214">
        <v>150</v>
      </c>
      <c r="E31" s="214">
        <v>150</v>
      </c>
      <c r="F31" s="214">
        <v>150</v>
      </c>
      <c r="G31" s="214">
        <v>170</v>
      </c>
      <c r="H31" s="214">
        <v>170</v>
      </c>
      <c r="I31" s="214">
        <v>170</v>
      </c>
      <c r="J31" s="214">
        <v>170</v>
      </c>
      <c r="K31" s="214">
        <v>170</v>
      </c>
      <c r="L31" s="214">
        <v>170</v>
      </c>
      <c r="M31" s="214">
        <v>170</v>
      </c>
      <c r="N31" s="214">
        <v>170</v>
      </c>
      <c r="O31" s="214">
        <v>170</v>
      </c>
      <c r="P31" s="214">
        <v>170</v>
      </c>
      <c r="Q31" s="214">
        <v>180</v>
      </c>
      <c r="R31" s="214">
        <v>180</v>
      </c>
      <c r="S31" s="214">
        <v>180</v>
      </c>
      <c r="T31" s="215">
        <v>180</v>
      </c>
      <c r="U31" s="215">
        <v>280</v>
      </c>
      <c r="V31" s="215">
        <v>280</v>
      </c>
      <c r="W31" s="215">
        <v>290</v>
      </c>
      <c r="X31" s="215">
        <v>290</v>
      </c>
      <c r="Y31" s="215">
        <v>300</v>
      </c>
      <c r="Z31" s="215">
        <v>300</v>
      </c>
      <c r="AB31" s="213" t="s">
        <v>13</v>
      </c>
      <c r="AC31" s="214">
        <v>110</v>
      </c>
      <c r="AD31" s="214">
        <v>130</v>
      </c>
      <c r="AE31" s="214">
        <v>130</v>
      </c>
      <c r="AF31" s="214">
        <v>130</v>
      </c>
      <c r="AG31" s="214">
        <v>130</v>
      </c>
      <c r="AH31" s="214">
        <v>150</v>
      </c>
      <c r="AI31" s="214">
        <v>150</v>
      </c>
      <c r="AJ31" s="214">
        <v>160</v>
      </c>
      <c r="AK31" s="214">
        <v>160</v>
      </c>
      <c r="AL31" s="214">
        <v>160</v>
      </c>
      <c r="AM31" s="214">
        <v>160</v>
      </c>
      <c r="AN31" s="214">
        <v>160</v>
      </c>
      <c r="AO31" s="214">
        <v>160</v>
      </c>
      <c r="AP31" s="214">
        <v>160</v>
      </c>
      <c r="AQ31" s="214">
        <v>160</v>
      </c>
      <c r="AR31" s="214">
        <v>170</v>
      </c>
      <c r="AS31" s="214">
        <v>170</v>
      </c>
      <c r="AT31" s="214">
        <v>170</v>
      </c>
      <c r="AU31" s="215">
        <v>170</v>
      </c>
      <c r="AV31" s="215">
        <v>260</v>
      </c>
      <c r="AW31" s="215">
        <v>260</v>
      </c>
      <c r="AX31" s="215">
        <v>270</v>
      </c>
      <c r="AY31" s="215">
        <v>270</v>
      </c>
      <c r="AZ31" s="215">
        <v>280</v>
      </c>
      <c r="BA31" s="215">
        <v>280</v>
      </c>
      <c r="BC31" s="213" t="s">
        <v>13</v>
      </c>
      <c r="BD31" s="214">
        <v>110</v>
      </c>
      <c r="BE31" s="214">
        <v>130</v>
      </c>
      <c r="BF31" s="214">
        <v>130</v>
      </c>
      <c r="BG31" s="214">
        <v>130</v>
      </c>
      <c r="BH31" s="214">
        <v>130</v>
      </c>
      <c r="BI31" s="214">
        <v>150</v>
      </c>
      <c r="BJ31" s="214">
        <v>150</v>
      </c>
      <c r="BK31" s="214">
        <v>160</v>
      </c>
      <c r="BL31" s="214">
        <v>160</v>
      </c>
      <c r="BM31" s="214">
        <v>160</v>
      </c>
      <c r="BN31" s="214">
        <v>160</v>
      </c>
      <c r="BO31" s="214">
        <v>160</v>
      </c>
      <c r="BP31" s="214">
        <v>160</v>
      </c>
      <c r="BQ31" s="214">
        <v>160</v>
      </c>
      <c r="BR31" s="214">
        <v>160</v>
      </c>
      <c r="BS31" s="214">
        <v>170</v>
      </c>
      <c r="BT31" s="214">
        <v>170</v>
      </c>
      <c r="BU31" s="214">
        <v>170</v>
      </c>
      <c r="BV31" s="215">
        <v>170</v>
      </c>
      <c r="BW31" s="215">
        <v>260</v>
      </c>
      <c r="BX31" s="215">
        <v>260</v>
      </c>
      <c r="BY31" s="215">
        <v>270</v>
      </c>
      <c r="BZ31" s="215">
        <v>270</v>
      </c>
      <c r="CA31" s="215">
        <v>280</v>
      </c>
      <c r="CB31" s="215">
        <v>280</v>
      </c>
    </row>
    <row r="32" spans="1:80">
      <c r="A32" s="213" t="s">
        <v>89</v>
      </c>
      <c r="B32" s="214">
        <v>150</v>
      </c>
      <c r="C32" s="214">
        <v>130</v>
      </c>
      <c r="D32" s="214">
        <v>130</v>
      </c>
      <c r="E32" s="214">
        <v>130</v>
      </c>
      <c r="F32" s="214">
        <v>130</v>
      </c>
      <c r="G32" s="214">
        <v>160</v>
      </c>
      <c r="H32" s="214">
        <v>160</v>
      </c>
      <c r="I32" s="214">
        <v>170</v>
      </c>
      <c r="J32" s="214">
        <v>170</v>
      </c>
      <c r="K32" s="214">
        <v>170</v>
      </c>
      <c r="L32" s="214">
        <v>170</v>
      </c>
      <c r="M32" s="214">
        <v>170</v>
      </c>
      <c r="N32" s="214">
        <v>170</v>
      </c>
      <c r="O32" s="214">
        <v>170</v>
      </c>
      <c r="P32" s="214">
        <v>170</v>
      </c>
      <c r="Q32" s="214">
        <v>170</v>
      </c>
      <c r="R32" s="214">
        <v>170</v>
      </c>
      <c r="S32" s="214">
        <v>170</v>
      </c>
      <c r="T32" s="215">
        <v>170</v>
      </c>
      <c r="U32" s="215">
        <v>270</v>
      </c>
      <c r="V32" s="215">
        <v>270</v>
      </c>
      <c r="W32" s="215">
        <v>280</v>
      </c>
      <c r="X32" s="215">
        <v>280</v>
      </c>
      <c r="Y32" s="215">
        <v>280</v>
      </c>
      <c r="Z32" s="215">
        <v>280</v>
      </c>
      <c r="AB32" s="213" t="s">
        <v>89</v>
      </c>
      <c r="AC32" s="214">
        <v>130</v>
      </c>
      <c r="AD32" s="214">
        <v>110</v>
      </c>
      <c r="AE32" s="214">
        <v>110</v>
      </c>
      <c r="AF32" s="214">
        <v>110</v>
      </c>
      <c r="AG32" s="214">
        <v>110</v>
      </c>
      <c r="AH32" s="214">
        <v>140</v>
      </c>
      <c r="AI32" s="214">
        <v>140</v>
      </c>
      <c r="AJ32" s="214">
        <v>150</v>
      </c>
      <c r="AK32" s="214">
        <v>150</v>
      </c>
      <c r="AL32" s="214">
        <v>150</v>
      </c>
      <c r="AM32" s="214">
        <v>160</v>
      </c>
      <c r="AN32" s="214">
        <v>160</v>
      </c>
      <c r="AO32" s="214">
        <v>160</v>
      </c>
      <c r="AP32" s="214">
        <v>160</v>
      </c>
      <c r="AQ32" s="214">
        <v>160</v>
      </c>
      <c r="AR32" s="214">
        <v>160</v>
      </c>
      <c r="AS32" s="214">
        <v>160</v>
      </c>
      <c r="AT32" s="214">
        <v>160</v>
      </c>
      <c r="AU32" s="215">
        <v>160</v>
      </c>
      <c r="AV32" s="215">
        <v>250</v>
      </c>
      <c r="AW32" s="215">
        <v>250</v>
      </c>
      <c r="AX32" s="215">
        <v>260</v>
      </c>
      <c r="AY32" s="215">
        <v>260</v>
      </c>
      <c r="AZ32" s="215">
        <v>260</v>
      </c>
      <c r="BA32" s="215">
        <v>260</v>
      </c>
      <c r="BC32" s="213" t="s">
        <v>89</v>
      </c>
      <c r="BD32" s="214">
        <v>130</v>
      </c>
      <c r="BE32" s="214">
        <v>110</v>
      </c>
      <c r="BF32" s="214">
        <v>110</v>
      </c>
      <c r="BG32" s="214">
        <v>110</v>
      </c>
      <c r="BH32" s="214">
        <v>110</v>
      </c>
      <c r="BI32" s="214">
        <v>140</v>
      </c>
      <c r="BJ32" s="214">
        <v>140</v>
      </c>
      <c r="BK32" s="214">
        <v>150</v>
      </c>
      <c r="BL32" s="214">
        <v>150</v>
      </c>
      <c r="BM32" s="214">
        <v>150</v>
      </c>
      <c r="BN32" s="214">
        <v>160</v>
      </c>
      <c r="BO32" s="214">
        <v>160</v>
      </c>
      <c r="BP32" s="214">
        <v>160</v>
      </c>
      <c r="BQ32" s="214">
        <v>160</v>
      </c>
      <c r="BR32" s="214">
        <v>160</v>
      </c>
      <c r="BS32" s="214">
        <v>160</v>
      </c>
      <c r="BT32" s="214">
        <v>160</v>
      </c>
      <c r="BU32" s="214">
        <v>160</v>
      </c>
      <c r="BV32" s="215">
        <v>160</v>
      </c>
      <c r="BW32" s="215">
        <v>250</v>
      </c>
      <c r="BX32" s="215">
        <v>250</v>
      </c>
      <c r="BY32" s="215">
        <v>260</v>
      </c>
      <c r="BZ32" s="215">
        <v>260</v>
      </c>
      <c r="CA32" s="215">
        <v>260</v>
      </c>
      <c r="CB32" s="215">
        <v>260</v>
      </c>
    </row>
    <row r="33" spans="1:80">
      <c r="A33" s="213" t="s">
        <v>90</v>
      </c>
      <c r="B33" s="214">
        <v>150</v>
      </c>
      <c r="C33" s="214">
        <v>130</v>
      </c>
      <c r="D33" s="214">
        <v>130</v>
      </c>
      <c r="E33" s="214">
        <v>130</v>
      </c>
      <c r="F33" s="214">
        <v>130</v>
      </c>
      <c r="G33" s="214">
        <v>160</v>
      </c>
      <c r="H33" s="214">
        <v>160</v>
      </c>
      <c r="I33" s="214">
        <v>170</v>
      </c>
      <c r="J33" s="214">
        <v>170</v>
      </c>
      <c r="K33" s="214">
        <v>170</v>
      </c>
      <c r="L33" s="214">
        <v>170</v>
      </c>
      <c r="M33" s="214">
        <v>170</v>
      </c>
      <c r="N33" s="214">
        <v>170</v>
      </c>
      <c r="O33" s="214">
        <v>170</v>
      </c>
      <c r="P33" s="214">
        <v>170</v>
      </c>
      <c r="Q33" s="214">
        <v>170</v>
      </c>
      <c r="R33" s="214">
        <v>170</v>
      </c>
      <c r="S33" s="214">
        <v>170</v>
      </c>
      <c r="T33" s="215">
        <v>170</v>
      </c>
      <c r="U33" s="215">
        <v>270</v>
      </c>
      <c r="V33" s="215">
        <v>270</v>
      </c>
      <c r="W33" s="215">
        <v>280</v>
      </c>
      <c r="X33" s="215">
        <v>280</v>
      </c>
      <c r="Y33" s="215">
        <v>280</v>
      </c>
      <c r="Z33" s="215">
        <v>280</v>
      </c>
      <c r="AB33" s="213" t="s">
        <v>90</v>
      </c>
      <c r="AC33" s="214">
        <v>130</v>
      </c>
      <c r="AD33" s="214">
        <v>110</v>
      </c>
      <c r="AE33" s="214">
        <v>110</v>
      </c>
      <c r="AF33" s="214">
        <v>110</v>
      </c>
      <c r="AG33" s="214">
        <v>110</v>
      </c>
      <c r="AH33" s="214">
        <v>140</v>
      </c>
      <c r="AI33" s="214">
        <v>140</v>
      </c>
      <c r="AJ33" s="214">
        <v>150</v>
      </c>
      <c r="AK33" s="214">
        <v>150</v>
      </c>
      <c r="AL33" s="214">
        <v>150</v>
      </c>
      <c r="AM33" s="214">
        <v>160</v>
      </c>
      <c r="AN33" s="214">
        <v>160</v>
      </c>
      <c r="AO33" s="214">
        <v>160</v>
      </c>
      <c r="AP33" s="214">
        <v>160</v>
      </c>
      <c r="AQ33" s="214">
        <v>160</v>
      </c>
      <c r="AR33" s="214">
        <v>160</v>
      </c>
      <c r="AS33" s="214">
        <v>160</v>
      </c>
      <c r="AT33" s="214">
        <v>160</v>
      </c>
      <c r="AU33" s="215">
        <v>160</v>
      </c>
      <c r="AV33" s="215">
        <v>250</v>
      </c>
      <c r="AW33" s="215">
        <v>250</v>
      </c>
      <c r="AX33" s="215">
        <v>260</v>
      </c>
      <c r="AY33" s="215">
        <v>260</v>
      </c>
      <c r="AZ33" s="215">
        <v>260</v>
      </c>
      <c r="BA33" s="215">
        <v>260</v>
      </c>
      <c r="BC33" s="213" t="s">
        <v>90</v>
      </c>
      <c r="BD33" s="214">
        <v>130</v>
      </c>
      <c r="BE33" s="214">
        <v>110</v>
      </c>
      <c r="BF33" s="214">
        <v>110</v>
      </c>
      <c r="BG33" s="214">
        <v>110</v>
      </c>
      <c r="BH33" s="214">
        <v>110</v>
      </c>
      <c r="BI33" s="214">
        <v>140</v>
      </c>
      <c r="BJ33" s="214">
        <v>140</v>
      </c>
      <c r="BK33" s="214">
        <v>150</v>
      </c>
      <c r="BL33" s="214">
        <v>150</v>
      </c>
      <c r="BM33" s="214">
        <v>150</v>
      </c>
      <c r="BN33" s="214">
        <v>160</v>
      </c>
      <c r="BO33" s="214">
        <v>160</v>
      </c>
      <c r="BP33" s="214">
        <v>160</v>
      </c>
      <c r="BQ33" s="214">
        <v>160</v>
      </c>
      <c r="BR33" s="214">
        <v>160</v>
      </c>
      <c r="BS33" s="214">
        <v>160</v>
      </c>
      <c r="BT33" s="214">
        <v>160</v>
      </c>
      <c r="BU33" s="214">
        <v>160</v>
      </c>
      <c r="BV33" s="215">
        <v>160</v>
      </c>
      <c r="BW33" s="215">
        <v>250</v>
      </c>
      <c r="BX33" s="215">
        <v>250</v>
      </c>
      <c r="BY33" s="215">
        <v>260</v>
      </c>
      <c r="BZ33" s="215">
        <v>260</v>
      </c>
      <c r="CA33" s="215">
        <v>260</v>
      </c>
      <c r="CB33" s="215">
        <v>260</v>
      </c>
    </row>
    <row r="34" spans="1:80">
      <c r="A34" s="213" t="s">
        <v>24</v>
      </c>
      <c r="B34" s="214">
        <v>150</v>
      </c>
      <c r="C34" s="214">
        <v>130</v>
      </c>
      <c r="D34" s="214">
        <v>130</v>
      </c>
      <c r="E34" s="214">
        <v>130</v>
      </c>
      <c r="F34" s="214">
        <v>130</v>
      </c>
      <c r="G34" s="214">
        <v>160</v>
      </c>
      <c r="H34" s="214">
        <v>160</v>
      </c>
      <c r="I34" s="214">
        <v>170</v>
      </c>
      <c r="J34" s="214">
        <v>170</v>
      </c>
      <c r="K34" s="214">
        <v>170</v>
      </c>
      <c r="L34" s="214">
        <v>170</v>
      </c>
      <c r="M34" s="214">
        <v>170</v>
      </c>
      <c r="N34" s="214">
        <v>170</v>
      </c>
      <c r="O34" s="214">
        <v>170</v>
      </c>
      <c r="P34" s="214">
        <v>170</v>
      </c>
      <c r="Q34" s="214">
        <v>170</v>
      </c>
      <c r="R34" s="214">
        <v>170</v>
      </c>
      <c r="S34" s="214">
        <v>170</v>
      </c>
      <c r="T34" s="215">
        <v>170</v>
      </c>
      <c r="U34" s="215">
        <v>270</v>
      </c>
      <c r="V34" s="215">
        <v>270</v>
      </c>
      <c r="W34" s="215">
        <v>280</v>
      </c>
      <c r="X34" s="215">
        <v>280</v>
      </c>
      <c r="Y34" s="215">
        <v>280</v>
      </c>
      <c r="Z34" s="215">
        <v>280</v>
      </c>
      <c r="AB34" s="213" t="s">
        <v>24</v>
      </c>
      <c r="AC34" s="214">
        <v>130</v>
      </c>
      <c r="AD34" s="214">
        <v>110</v>
      </c>
      <c r="AE34" s="214">
        <v>110</v>
      </c>
      <c r="AF34" s="214">
        <v>110</v>
      </c>
      <c r="AG34" s="214">
        <v>110</v>
      </c>
      <c r="AH34" s="214">
        <v>140</v>
      </c>
      <c r="AI34" s="214">
        <v>140</v>
      </c>
      <c r="AJ34" s="214">
        <v>150</v>
      </c>
      <c r="AK34" s="214">
        <v>150</v>
      </c>
      <c r="AL34" s="214">
        <v>150</v>
      </c>
      <c r="AM34" s="214">
        <v>160</v>
      </c>
      <c r="AN34" s="214">
        <v>160</v>
      </c>
      <c r="AO34" s="214">
        <v>160</v>
      </c>
      <c r="AP34" s="214">
        <v>160</v>
      </c>
      <c r="AQ34" s="214">
        <v>160</v>
      </c>
      <c r="AR34" s="214">
        <v>160</v>
      </c>
      <c r="AS34" s="214">
        <v>160</v>
      </c>
      <c r="AT34" s="214">
        <v>160</v>
      </c>
      <c r="AU34" s="215">
        <v>160</v>
      </c>
      <c r="AV34" s="215">
        <v>250</v>
      </c>
      <c r="AW34" s="215">
        <v>250</v>
      </c>
      <c r="AX34" s="215">
        <v>260</v>
      </c>
      <c r="AY34" s="215">
        <v>260</v>
      </c>
      <c r="AZ34" s="215">
        <v>260</v>
      </c>
      <c r="BA34" s="215">
        <v>260</v>
      </c>
      <c r="BC34" s="213" t="s">
        <v>24</v>
      </c>
      <c r="BD34" s="214">
        <v>130</v>
      </c>
      <c r="BE34" s="214">
        <v>110</v>
      </c>
      <c r="BF34" s="214">
        <v>110</v>
      </c>
      <c r="BG34" s="214">
        <v>110</v>
      </c>
      <c r="BH34" s="214">
        <v>110</v>
      </c>
      <c r="BI34" s="214">
        <v>140</v>
      </c>
      <c r="BJ34" s="214">
        <v>140</v>
      </c>
      <c r="BK34" s="214">
        <v>150</v>
      </c>
      <c r="BL34" s="214">
        <v>150</v>
      </c>
      <c r="BM34" s="214">
        <v>150</v>
      </c>
      <c r="BN34" s="214">
        <v>160</v>
      </c>
      <c r="BO34" s="214">
        <v>160</v>
      </c>
      <c r="BP34" s="214">
        <v>160</v>
      </c>
      <c r="BQ34" s="214">
        <v>160</v>
      </c>
      <c r="BR34" s="214">
        <v>160</v>
      </c>
      <c r="BS34" s="214">
        <v>160</v>
      </c>
      <c r="BT34" s="214">
        <v>160</v>
      </c>
      <c r="BU34" s="214">
        <v>160</v>
      </c>
      <c r="BV34" s="215">
        <v>160</v>
      </c>
      <c r="BW34" s="215">
        <v>250</v>
      </c>
      <c r="BX34" s="215">
        <v>250</v>
      </c>
      <c r="BY34" s="215">
        <v>260</v>
      </c>
      <c r="BZ34" s="215">
        <v>260</v>
      </c>
      <c r="CA34" s="215">
        <v>260</v>
      </c>
      <c r="CB34" s="215">
        <v>260</v>
      </c>
    </row>
    <row r="35" spans="1:80">
      <c r="A35" s="213" t="s">
        <v>9</v>
      </c>
      <c r="B35" s="214">
        <v>150</v>
      </c>
      <c r="C35" s="214">
        <v>130</v>
      </c>
      <c r="D35" s="214">
        <v>130</v>
      </c>
      <c r="E35" s="214">
        <v>130</v>
      </c>
      <c r="F35" s="214">
        <v>130</v>
      </c>
      <c r="G35" s="214">
        <v>160</v>
      </c>
      <c r="H35" s="214">
        <v>160</v>
      </c>
      <c r="I35" s="214">
        <v>170</v>
      </c>
      <c r="J35" s="214">
        <v>170</v>
      </c>
      <c r="K35" s="214">
        <v>170</v>
      </c>
      <c r="L35" s="214">
        <v>170</v>
      </c>
      <c r="M35" s="214">
        <v>170</v>
      </c>
      <c r="N35" s="214">
        <v>170</v>
      </c>
      <c r="O35" s="214">
        <v>170</v>
      </c>
      <c r="P35" s="214">
        <v>170</v>
      </c>
      <c r="Q35" s="214">
        <v>170</v>
      </c>
      <c r="R35" s="214">
        <v>170</v>
      </c>
      <c r="S35" s="214">
        <v>170</v>
      </c>
      <c r="T35" s="215">
        <v>170</v>
      </c>
      <c r="U35" s="215">
        <v>270</v>
      </c>
      <c r="V35" s="215">
        <v>270</v>
      </c>
      <c r="W35" s="215">
        <v>280</v>
      </c>
      <c r="X35" s="215">
        <v>280</v>
      </c>
      <c r="Y35" s="215">
        <v>280</v>
      </c>
      <c r="Z35" s="215">
        <v>280</v>
      </c>
      <c r="AB35" s="213" t="s">
        <v>9</v>
      </c>
      <c r="AC35" s="214">
        <v>130</v>
      </c>
      <c r="AD35" s="214">
        <v>110</v>
      </c>
      <c r="AE35" s="214">
        <v>110</v>
      </c>
      <c r="AF35" s="214">
        <v>110</v>
      </c>
      <c r="AG35" s="214">
        <v>110</v>
      </c>
      <c r="AH35" s="214">
        <v>140</v>
      </c>
      <c r="AI35" s="214">
        <v>140</v>
      </c>
      <c r="AJ35" s="214">
        <v>150</v>
      </c>
      <c r="AK35" s="214">
        <v>150</v>
      </c>
      <c r="AL35" s="214">
        <v>150</v>
      </c>
      <c r="AM35" s="214">
        <v>160</v>
      </c>
      <c r="AN35" s="214">
        <v>160</v>
      </c>
      <c r="AO35" s="214">
        <v>160</v>
      </c>
      <c r="AP35" s="214">
        <v>160</v>
      </c>
      <c r="AQ35" s="214">
        <v>160</v>
      </c>
      <c r="AR35" s="214">
        <v>160</v>
      </c>
      <c r="AS35" s="214">
        <v>160</v>
      </c>
      <c r="AT35" s="214">
        <v>160</v>
      </c>
      <c r="AU35" s="215">
        <v>160</v>
      </c>
      <c r="AV35" s="215">
        <v>250</v>
      </c>
      <c r="AW35" s="215">
        <v>250</v>
      </c>
      <c r="AX35" s="215">
        <v>260</v>
      </c>
      <c r="AY35" s="215">
        <v>260</v>
      </c>
      <c r="AZ35" s="215">
        <v>260</v>
      </c>
      <c r="BA35" s="215">
        <v>260</v>
      </c>
      <c r="BC35" s="213" t="s">
        <v>9</v>
      </c>
      <c r="BD35" s="214">
        <v>130</v>
      </c>
      <c r="BE35" s="214">
        <v>110</v>
      </c>
      <c r="BF35" s="214">
        <v>110</v>
      </c>
      <c r="BG35" s="214">
        <v>110</v>
      </c>
      <c r="BH35" s="214">
        <v>110</v>
      </c>
      <c r="BI35" s="214">
        <v>140</v>
      </c>
      <c r="BJ35" s="214">
        <v>140</v>
      </c>
      <c r="BK35" s="214">
        <v>150</v>
      </c>
      <c r="BL35" s="214">
        <v>150</v>
      </c>
      <c r="BM35" s="214">
        <v>150</v>
      </c>
      <c r="BN35" s="214">
        <v>160</v>
      </c>
      <c r="BO35" s="214">
        <v>160</v>
      </c>
      <c r="BP35" s="214">
        <v>160</v>
      </c>
      <c r="BQ35" s="214">
        <v>160</v>
      </c>
      <c r="BR35" s="214">
        <v>160</v>
      </c>
      <c r="BS35" s="214">
        <v>160</v>
      </c>
      <c r="BT35" s="214">
        <v>160</v>
      </c>
      <c r="BU35" s="214">
        <v>160</v>
      </c>
      <c r="BV35" s="215">
        <v>160</v>
      </c>
      <c r="BW35" s="215">
        <v>250</v>
      </c>
      <c r="BX35" s="215">
        <v>250</v>
      </c>
      <c r="BY35" s="215">
        <v>260</v>
      </c>
      <c r="BZ35" s="215">
        <v>260</v>
      </c>
      <c r="CA35" s="215">
        <v>260</v>
      </c>
      <c r="CB35" s="215">
        <v>260</v>
      </c>
    </row>
    <row r="36" spans="1:80">
      <c r="A36" s="213" t="s">
        <v>91</v>
      </c>
      <c r="B36" s="214">
        <v>170</v>
      </c>
      <c r="C36" s="214">
        <v>160</v>
      </c>
      <c r="D36" s="214">
        <v>160</v>
      </c>
      <c r="E36" s="214">
        <v>160</v>
      </c>
      <c r="F36" s="214">
        <v>160</v>
      </c>
      <c r="G36" s="214">
        <v>130</v>
      </c>
      <c r="H36" s="214">
        <v>130</v>
      </c>
      <c r="I36" s="214">
        <v>150</v>
      </c>
      <c r="J36" s="214">
        <v>150</v>
      </c>
      <c r="K36" s="214">
        <v>150</v>
      </c>
      <c r="L36" s="214">
        <v>170</v>
      </c>
      <c r="M36" s="214">
        <v>170</v>
      </c>
      <c r="N36" s="214">
        <v>170</v>
      </c>
      <c r="O36" s="214">
        <v>170</v>
      </c>
      <c r="P36" s="214">
        <v>170</v>
      </c>
      <c r="Q36" s="214">
        <v>170</v>
      </c>
      <c r="R36" s="214">
        <v>170</v>
      </c>
      <c r="S36" s="214">
        <v>170</v>
      </c>
      <c r="T36" s="215">
        <v>170</v>
      </c>
      <c r="U36" s="215">
        <v>260</v>
      </c>
      <c r="V36" s="215">
        <v>260</v>
      </c>
      <c r="W36" s="215">
        <v>260</v>
      </c>
      <c r="X36" s="215">
        <v>260</v>
      </c>
      <c r="Y36" s="215">
        <v>270</v>
      </c>
      <c r="Z36" s="215">
        <v>270</v>
      </c>
      <c r="AB36" s="213" t="s">
        <v>91</v>
      </c>
      <c r="AC36" s="214">
        <v>150</v>
      </c>
      <c r="AD36" s="214">
        <v>140</v>
      </c>
      <c r="AE36" s="214">
        <v>140</v>
      </c>
      <c r="AF36" s="214">
        <v>140</v>
      </c>
      <c r="AG36" s="214">
        <v>140</v>
      </c>
      <c r="AH36" s="214">
        <v>110</v>
      </c>
      <c r="AI36" s="214">
        <v>110</v>
      </c>
      <c r="AJ36" s="214">
        <v>130</v>
      </c>
      <c r="AK36" s="214">
        <v>130</v>
      </c>
      <c r="AL36" s="214">
        <v>130</v>
      </c>
      <c r="AM36" s="214">
        <v>150</v>
      </c>
      <c r="AN36" s="214">
        <v>150</v>
      </c>
      <c r="AO36" s="214">
        <v>150</v>
      </c>
      <c r="AP36" s="214">
        <v>150</v>
      </c>
      <c r="AQ36" s="214">
        <v>150</v>
      </c>
      <c r="AR36" s="214">
        <v>160</v>
      </c>
      <c r="AS36" s="214">
        <v>160</v>
      </c>
      <c r="AT36" s="214">
        <v>160</v>
      </c>
      <c r="AU36" s="215">
        <v>160</v>
      </c>
      <c r="AV36" s="215">
        <v>240</v>
      </c>
      <c r="AW36" s="215">
        <v>240</v>
      </c>
      <c r="AX36" s="215">
        <v>240</v>
      </c>
      <c r="AY36" s="215">
        <v>240</v>
      </c>
      <c r="AZ36" s="215">
        <v>250</v>
      </c>
      <c r="BA36" s="215">
        <v>250</v>
      </c>
      <c r="BC36" s="213" t="s">
        <v>91</v>
      </c>
      <c r="BD36" s="214">
        <v>150</v>
      </c>
      <c r="BE36" s="214">
        <v>140</v>
      </c>
      <c r="BF36" s="214">
        <v>140</v>
      </c>
      <c r="BG36" s="214">
        <v>140</v>
      </c>
      <c r="BH36" s="214">
        <v>140</v>
      </c>
      <c r="BI36" s="214">
        <v>110</v>
      </c>
      <c r="BJ36" s="214">
        <v>110</v>
      </c>
      <c r="BK36" s="214">
        <v>130</v>
      </c>
      <c r="BL36" s="214">
        <v>130</v>
      </c>
      <c r="BM36" s="214">
        <v>130</v>
      </c>
      <c r="BN36" s="214">
        <v>150</v>
      </c>
      <c r="BO36" s="214">
        <v>150</v>
      </c>
      <c r="BP36" s="214">
        <v>150</v>
      </c>
      <c r="BQ36" s="214">
        <v>150</v>
      </c>
      <c r="BR36" s="214">
        <v>150</v>
      </c>
      <c r="BS36" s="214">
        <v>160</v>
      </c>
      <c r="BT36" s="214">
        <v>160</v>
      </c>
      <c r="BU36" s="214">
        <v>160</v>
      </c>
      <c r="BV36" s="215">
        <v>160</v>
      </c>
      <c r="BW36" s="215">
        <v>240</v>
      </c>
      <c r="BX36" s="215">
        <v>240</v>
      </c>
      <c r="BY36" s="215">
        <v>240</v>
      </c>
      <c r="BZ36" s="215">
        <v>240</v>
      </c>
      <c r="CA36" s="215">
        <v>250</v>
      </c>
      <c r="CB36" s="215">
        <v>250</v>
      </c>
    </row>
    <row r="37" spans="1:80">
      <c r="A37" s="213" t="s">
        <v>7</v>
      </c>
      <c r="B37" s="214">
        <v>170</v>
      </c>
      <c r="C37" s="214">
        <v>160</v>
      </c>
      <c r="D37" s="214">
        <v>160</v>
      </c>
      <c r="E37" s="214">
        <v>160</v>
      </c>
      <c r="F37" s="214">
        <v>160</v>
      </c>
      <c r="G37" s="214">
        <v>130</v>
      </c>
      <c r="H37" s="214">
        <v>130</v>
      </c>
      <c r="I37" s="214">
        <v>150</v>
      </c>
      <c r="J37" s="214">
        <v>150</v>
      </c>
      <c r="K37" s="214">
        <v>150</v>
      </c>
      <c r="L37" s="214">
        <v>170</v>
      </c>
      <c r="M37" s="214">
        <v>170</v>
      </c>
      <c r="N37" s="214">
        <v>170</v>
      </c>
      <c r="O37" s="214">
        <v>170</v>
      </c>
      <c r="P37" s="214">
        <v>170</v>
      </c>
      <c r="Q37" s="214">
        <v>170</v>
      </c>
      <c r="R37" s="214">
        <v>170</v>
      </c>
      <c r="S37" s="214">
        <v>170</v>
      </c>
      <c r="T37" s="215">
        <v>170</v>
      </c>
      <c r="U37" s="215">
        <v>260</v>
      </c>
      <c r="V37" s="215">
        <v>260</v>
      </c>
      <c r="W37" s="215">
        <v>260</v>
      </c>
      <c r="X37" s="215">
        <v>260</v>
      </c>
      <c r="Y37" s="215">
        <v>270</v>
      </c>
      <c r="Z37" s="215">
        <v>270</v>
      </c>
      <c r="AB37" s="213" t="s">
        <v>7</v>
      </c>
      <c r="AC37" s="214">
        <v>150</v>
      </c>
      <c r="AD37" s="214">
        <v>140</v>
      </c>
      <c r="AE37" s="214">
        <v>140</v>
      </c>
      <c r="AF37" s="214">
        <v>140</v>
      </c>
      <c r="AG37" s="214">
        <v>140</v>
      </c>
      <c r="AH37" s="214">
        <v>110</v>
      </c>
      <c r="AI37" s="214">
        <v>110</v>
      </c>
      <c r="AJ37" s="214">
        <v>130</v>
      </c>
      <c r="AK37" s="214">
        <v>130</v>
      </c>
      <c r="AL37" s="214">
        <v>130</v>
      </c>
      <c r="AM37" s="214">
        <v>150</v>
      </c>
      <c r="AN37" s="214">
        <v>150</v>
      </c>
      <c r="AO37" s="214">
        <v>150</v>
      </c>
      <c r="AP37" s="214">
        <v>150</v>
      </c>
      <c r="AQ37" s="214">
        <v>150</v>
      </c>
      <c r="AR37" s="214">
        <v>160</v>
      </c>
      <c r="AS37" s="214">
        <v>160</v>
      </c>
      <c r="AT37" s="214">
        <v>160</v>
      </c>
      <c r="AU37" s="215">
        <v>160</v>
      </c>
      <c r="AV37" s="215">
        <v>240</v>
      </c>
      <c r="AW37" s="215">
        <v>240</v>
      </c>
      <c r="AX37" s="215">
        <v>240</v>
      </c>
      <c r="AY37" s="215">
        <v>240</v>
      </c>
      <c r="AZ37" s="215">
        <v>250</v>
      </c>
      <c r="BA37" s="215">
        <v>250</v>
      </c>
      <c r="BC37" s="213" t="s">
        <v>7</v>
      </c>
      <c r="BD37" s="214">
        <v>150</v>
      </c>
      <c r="BE37" s="214">
        <v>140</v>
      </c>
      <c r="BF37" s="214">
        <v>140</v>
      </c>
      <c r="BG37" s="214">
        <v>140</v>
      </c>
      <c r="BH37" s="214">
        <v>140</v>
      </c>
      <c r="BI37" s="214">
        <v>110</v>
      </c>
      <c r="BJ37" s="214">
        <v>110</v>
      </c>
      <c r="BK37" s="214">
        <v>130</v>
      </c>
      <c r="BL37" s="214">
        <v>130</v>
      </c>
      <c r="BM37" s="214">
        <v>130</v>
      </c>
      <c r="BN37" s="214">
        <v>150</v>
      </c>
      <c r="BO37" s="214">
        <v>150</v>
      </c>
      <c r="BP37" s="214">
        <v>150</v>
      </c>
      <c r="BQ37" s="214">
        <v>150</v>
      </c>
      <c r="BR37" s="214">
        <v>150</v>
      </c>
      <c r="BS37" s="214">
        <v>160</v>
      </c>
      <c r="BT37" s="214">
        <v>160</v>
      </c>
      <c r="BU37" s="214">
        <v>160</v>
      </c>
      <c r="BV37" s="215">
        <v>160</v>
      </c>
      <c r="BW37" s="215">
        <v>240</v>
      </c>
      <c r="BX37" s="215">
        <v>240</v>
      </c>
      <c r="BY37" s="215">
        <v>240</v>
      </c>
      <c r="BZ37" s="215">
        <v>240</v>
      </c>
      <c r="CA37" s="215">
        <v>250</v>
      </c>
      <c r="CB37" s="215">
        <v>250</v>
      </c>
    </row>
    <row r="38" spans="1:80">
      <c r="A38" s="213" t="s">
        <v>6</v>
      </c>
      <c r="B38" s="214">
        <v>170</v>
      </c>
      <c r="C38" s="214">
        <v>170</v>
      </c>
      <c r="D38" s="214">
        <v>170</v>
      </c>
      <c r="E38" s="214">
        <v>170</v>
      </c>
      <c r="F38" s="214">
        <v>170</v>
      </c>
      <c r="G38" s="214">
        <v>150</v>
      </c>
      <c r="H38" s="214">
        <v>150</v>
      </c>
      <c r="I38" s="214">
        <v>130</v>
      </c>
      <c r="J38" s="214">
        <v>130</v>
      </c>
      <c r="K38" s="214">
        <v>130</v>
      </c>
      <c r="L38" s="214">
        <v>150</v>
      </c>
      <c r="M38" s="214">
        <v>150</v>
      </c>
      <c r="N38" s="214">
        <v>160</v>
      </c>
      <c r="O38" s="214">
        <v>160</v>
      </c>
      <c r="P38" s="214">
        <v>160</v>
      </c>
      <c r="Q38" s="214">
        <v>170</v>
      </c>
      <c r="R38" s="214">
        <v>170</v>
      </c>
      <c r="S38" s="214">
        <v>170</v>
      </c>
      <c r="T38" s="215">
        <v>170</v>
      </c>
      <c r="U38" s="215">
        <v>260</v>
      </c>
      <c r="V38" s="215">
        <v>260</v>
      </c>
      <c r="W38" s="215">
        <v>270</v>
      </c>
      <c r="X38" s="215">
        <v>270</v>
      </c>
      <c r="Y38" s="215">
        <v>270</v>
      </c>
      <c r="Z38" s="215">
        <v>270</v>
      </c>
      <c r="AB38" s="213" t="s">
        <v>6</v>
      </c>
      <c r="AC38" s="214">
        <v>160</v>
      </c>
      <c r="AD38" s="214">
        <v>150</v>
      </c>
      <c r="AE38" s="214">
        <v>150</v>
      </c>
      <c r="AF38" s="214">
        <v>150</v>
      </c>
      <c r="AG38" s="214">
        <v>150</v>
      </c>
      <c r="AH38" s="214">
        <v>130</v>
      </c>
      <c r="AI38" s="214">
        <v>130</v>
      </c>
      <c r="AJ38" s="214">
        <v>110</v>
      </c>
      <c r="AK38" s="214">
        <v>110</v>
      </c>
      <c r="AL38" s="214">
        <v>110</v>
      </c>
      <c r="AM38" s="214">
        <v>130</v>
      </c>
      <c r="AN38" s="214">
        <v>130</v>
      </c>
      <c r="AO38" s="214">
        <v>150</v>
      </c>
      <c r="AP38" s="214">
        <v>150</v>
      </c>
      <c r="AQ38" s="214">
        <v>150</v>
      </c>
      <c r="AR38" s="214">
        <v>160</v>
      </c>
      <c r="AS38" s="214">
        <v>160</v>
      </c>
      <c r="AT38" s="214">
        <v>160</v>
      </c>
      <c r="AU38" s="215">
        <v>160</v>
      </c>
      <c r="AV38" s="215">
        <v>240</v>
      </c>
      <c r="AW38" s="215">
        <v>240</v>
      </c>
      <c r="AX38" s="215">
        <v>250</v>
      </c>
      <c r="AY38" s="215">
        <v>250</v>
      </c>
      <c r="AZ38" s="215">
        <v>250</v>
      </c>
      <c r="BA38" s="215">
        <v>250</v>
      </c>
      <c r="BC38" s="213" t="s">
        <v>6</v>
      </c>
      <c r="BD38" s="214">
        <v>160</v>
      </c>
      <c r="BE38" s="214">
        <v>150</v>
      </c>
      <c r="BF38" s="214">
        <v>150</v>
      </c>
      <c r="BG38" s="214">
        <v>150</v>
      </c>
      <c r="BH38" s="214">
        <v>150</v>
      </c>
      <c r="BI38" s="214">
        <v>130</v>
      </c>
      <c r="BJ38" s="214">
        <v>130</v>
      </c>
      <c r="BK38" s="214">
        <v>110</v>
      </c>
      <c r="BL38" s="214">
        <v>110</v>
      </c>
      <c r="BM38" s="214">
        <v>110</v>
      </c>
      <c r="BN38" s="214">
        <v>130</v>
      </c>
      <c r="BO38" s="214">
        <v>130</v>
      </c>
      <c r="BP38" s="214">
        <v>150</v>
      </c>
      <c r="BQ38" s="214">
        <v>150</v>
      </c>
      <c r="BR38" s="214">
        <v>150</v>
      </c>
      <c r="BS38" s="214">
        <v>160</v>
      </c>
      <c r="BT38" s="214">
        <v>160</v>
      </c>
      <c r="BU38" s="214">
        <v>160</v>
      </c>
      <c r="BV38" s="215">
        <v>160</v>
      </c>
      <c r="BW38" s="215">
        <v>240</v>
      </c>
      <c r="BX38" s="215">
        <v>240</v>
      </c>
      <c r="BY38" s="215">
        <v>250</v>
      </c>
      <c r="BZ38" s="215">
        <v>250</v>
      </c>
      <c r="CA38" s="215">
        <v>250</v>
      </c>
      <c r="CB38" s="215">
        <v>250</v>
      </c>
    </row>
    <row r="39" spans="1:80">
      <c r="A39" s="213" t="s">
        <v>5</v>
      </c>
      <c r="B39" s="214">
        <v>170</v>
      </c>
      <c r="C39" s="214">
        <v>170</v>
      </c>
      <c r="D39" s="214">
        <v>170</v>
      </c>
      <c r="E39" s="214">
        <v>170</v>
      </c>
      <c r="F39" s="214">
        <v>170</v>
      </c>
      <c r="G39" s="214">
        <v>150</v>
      </c>
      <c r="H39" s="214">
        <v>150</v>
      </c>
      <c r="I39" s="214">
        <v>130</v>
      </c>
      <c r="J39" s="214">
        <v>130</v>
      </c>
      <c r="K39" s="214">
        <v>130</v>
      </c>
      <c r="L39" s="214">
        <v>150</v>
      </c>
      <c r="M39" s="214">
        <v>150</v>
      </c>
      <c r="N39" s="214">
        <v>160</v>
      </c>
      <c r="O39" s="214">
        <v>160</v>
      </c>
      <c r="P39" s="214">
        <v>160</v>
      </c>
      <c r="Q39" s="214">
        <v>170</v>
      </c>
      <c r="R39" s="214">
        <v>170</v>
      </c>
      <c r="S39" s="214">
        <v>170</v>
      </c>
      <c r="T39" s="215">
        <v>170</v>
      </c>
      <c r="U39" s="215">
        <v>260</v>
      </c>
      <c r="V39" s="215">
        <v>260</v>
      </c>
      <c r="W39" s="215">
        <v>270</v>
      </c>
      <c r="X39" s="215">
        <v>270</v>
      </c>
      <c r="Y39" s="215">
        <v>270</v>
      </c>
      <c r="Z39" s="215">
        <v>270</v>
      </c>
      <c r="AB39" s="213" t="s">
        <v>5</v>
      </c>
      <c r="AC39" s="214">
        <v>160</v>
      </c>
      <c r="AD39" s="214">
        <v>150</v>
      </c>
      <c r="AE39" s="214">
        <v>150</v>
      </c>
      <c r="AF39" s="214">
        <v>150</v>
      </c>
      <c r="AG39" s="214">
        <v>150</v>
      </c>
      <c r="AH39" s="214">
        <v>130</v>
      </c>
      <c r="AI39" s="214">
        <v>130</v>
      </c>
      <c r="AJ39" s="214">
        <v>110</v>
      </c>
      <c r="AK39" s="214">
        <v>110</v>
      </c>
      <c r="AL39" s="214">
        <v>110</v>
      </c>
      <c r="AM39" s="214">
        <v>130</v>
      </c>
      <c r="AN39" s="214">
        <v>130</v>
      </c>
      <c r="AO39" s="214">
        <v>150</v>
      </c>
      <c r="AP39" s="214">
        <v>150</v>
      </c>
      <c r="AQ39" s="214">
        <v>150</v>
      </c>
      <c r="AR39" s="214">
        <v>160</v>
      </c>
      <c r="AS39" s="214">
        <v>160</v>
      </c>
      <c r="AT39" s="214">
        <v>160</v>
      </c>
      <c r="AU39" s="215">
        <v>160</v>
      </c>
      <c r="AV39" s="215">
        <v>240</v>
      </c>
      <c r="AW39" s="215">
        <v>240</v>
      </c>
      <c r="AX39" s="215">
        <v>250</v>
      </c>
      <c r="AY39" s="215">
        <v>250</v>
      </c>
      <c r="AZ39" s="215">
        <v>250</v>
      </c>
      <c r="BA39" s="215">
        <v>250</v>
      </c>
      <c r="BC39" s="213" t="s">
        <v>5</v>
      </c>
      <c r="BD39" s="214">
        <v>160</v>
      </c>
      <c r="BE39" s="214">
        <v>150</v>
      </c>
      <c r="BF39" s="214">
        <v>150</v>
      </c>
      <c r="BG39" s="214">
        <v>150</v>
      </c>
      <c r="BH39" s="214">
        <v>150</v>
      </c>
      <c r="BI39" s="214">
        <v>130</v>
      </c>
      <c r="BJ39" s="214">
        <v>130</v>
      </c>
      <c r="BK39" s="214">
        <v>110</v>
      </c>
      <c r="BL39" s="214">
        <v>110</v>
      </c>
      <c r="BM39" s="214">
        <v>110</v>
      </c>
      <c r="BN39" s="214">
        <v>130</v>
      </c>
      <c r="BO39" s="214">
        <v>130</v>
      </c>
      <c r="BP39" s="214">
        <v>150</v>
      </c>
      <c r="BQ39" s="214">
        <v>150</v>
      </c>
      <c r="BR39" s="214">
        <v>150</v>
      </c>
      <c r="BS39" s="214">
        <v>160</v>
      </c>
      <c r="BT39" s="214">
        <v>160</v>
      </c>
      <c r="BU39" s="214">
        <v>160</v>
      </c>
      <c r="BV39" s="215">
        <v>160</v>
      </c>
      <c r="BW39" s="215">
        <v>240</v>
      </c>
      <c r="BX39" s="215">
        <v>240</v>
      </c>
      <c r="BY39" s="215">
        <v>250</v>
      </c>
      <c r="BZ39" s="215">
        <v>250</v>
      </c>
      <c r="CA39" s="215">
        <v>250</v>
      </c>
      <c r="CB39" s="215">
        <v>250</v>
      </c>
    </row>
    <row r="40" spans="1:80">
      <c r="A40" s="213" t="s">
        <v>4</v>
      </c>
      <c r="B40" s="214">
        <v>170</v>
      </c>
      <c r="C40" s="214">
        <v>170</v>
      </c>
      <c r="D40" s="214">
        <v>170</v>
      </c>
      <c r="E40" s="214">
        <v>170</v>
      </c>
      <c r="F40" s="214">
        <v>170</v>
      </c>
      <c r="G40" s="214">
        <v>150</v>
      </c>
      <c r="H40" s="214">
        <v>150</v>
      </c>
      <c r="I40" s="214">
        <v>130</v>
      </c>
      <c r="J40" s="214">
        <v>130</v>
      </c>
      <c r="K40" s="214">
        <v>130</v>
      </c>
      <c r="L40" s="214">
        <v>150</v>
      </c>
      <c r="M40" s="214">
        <v>150</v>
      </c>
      <c r="N40" s="214">
        <v>160</v>
      </c>
      <c r="O40" s="214">
        <v>160</v>
      </c>
      <c r="P40" s="214">
        <v>160</v>
      </c>
      <c r="Q40" s="214">
        <v>170</v>
      </c>
      <c r="R40" s="214">
        <v>170</v>
      </c>
      <c r="S40" s="214">
        <v>170</v>
      </c>
      <c r="T40" s="215">
        <v>170</v>
      </c>
      <c r="U40" s="215">
        <v>260</v>
      </c>
      <c r="V40" s="215">
        <v>260</v>
      </c>
      <c r="W40" s="215">
        <v>270</v>
      </c>
      <c r="X40" s="215">
        <v>270</v>
      </c>
      <c r="Y40" s="215">
        <v>270</v>
      </c>
      <c r="Z40" s="215">
        <v>270</v>
      </c>
      <c r="AB40" s="213" t="s">
        <v>4</v>
      </c>
      <c r="AC40" s="214">
        <v>160</v>
      </c>
      <c r="AD40" s="214">
        <v>150</v>
      </c>
      <c r="AE40" s="214">
        <v>150</v>
      </c>
      <c r="AF40" s="214">
        <v>150</v>
      </c>
      <c r="AG40" s="214">
        <v>150</v>
      </c>
      <c r="AH40" s="214">
        <v>130</v>
      </c>
      <c r="AI40" s="214">
        <v>130</v>
      </c>
      <c r="AJ40" s="214">
        <v>110</v>
      </c>
      <c r="AK40" s="214">
        <v>110</v>
      </c>
      <c r="AL40" s="214">
        <v>110</v>
      </c>
      <c r="AM40" s="214">
        <v>130</v>
      </c>
      <c r="AN40" s="214">
        <v>130</v>
      </c>
      <c r="AO40" s="214">
        <v>150</v>
      </c>
      <c r="AP40" s="214">
        <v>150</v>
      </c>
      <c r="AQ40" s="214">
        <v>150</v>
      </c>
      <c r="AR40" s="214">
        <v>160</v>
      </c>
      <c r="AS40" s="214">
        <v>160</v>
      </c>
      <c r="AT40" s="214">
        <v>160</v>
      </c>
      <c r="AU40" s="215">
        <v>160</v>
      </c>
      <c r="AV40" s="215">
        <v>240</v>
      </c>
      <c r="AW40" s="215">
        <v>240</v>
      </c>
      <c r="AX40" s="215">
        <v>250</v>
      </c>
      <c r="AY40" s="215">
        <v>250</v>
      </c>
      <c r="AZ40" s="215">
        <v>250</v>
      </c>
      <c r="BA40" s="215">
        <v>250</v>
      </c>
      <c r="BC40" s="213" t="s">
        <v>4</v>
      </c>
      <c r="BD40" s="214">
        <v>160</v>
      </c>
      <c r="BE40" s="214">
        <v>150</v>
      </c>
      <c r="BF40" s="214">
        <v>150</v>
      </c>
      <c r="BG40" s="214">
        <v>150</v>
      </c>
      <c r="BH40" s="214">
        <v>150</v>
      </c>
      <c r="BI40" s="214">
        <v>130</v>
      </c>
      <c r="BJ40" s="214">
        <v>130</v>
      </c>
      <c r="BK40" s="214">
        <v>110</v>
      </c>
      <c r="BL40" s="214">
        <v>110</v>
      </c>
      <c r="BM40" s="214">
        <v>110</v>
      </c>
      <c r="BN40" s="214">
        <v>130</v>
      </c>
      <c r="BO40" s="214">
        <v>130</v>
      </c>
      <c r="BP40" s="214">
        <v>150</v>
      </c>
      <c r="BQ40" s="214">
        <v>150</v>
      </c>
      <c r="BR40" s="214">
        <v>150</v>
      </c>
      <c r="BS40" s="214">
        <v>160</v>
      </c>
      <c r="BT40" s="214">
        <v>160</v>
      </c>
      <c r="BU40" s="214">
        <v>160</v>
      </c>
      <c r="BV40" s="215">
        <v>160</v>
      </c>
      <c r="BW40" s="215">
        <v>240</v>
      </c>
      <c r="BX40" s="215">
        <v>240</v>
      </c>
      <c r="BY40" s="215">
        <v>250</v>
      </c>
      <c r="BZ40" s="215">
        <v>250</v>
      </c>
      <c r="CA40" s="215">
        <v>250</v>
      </c>
      <c r="CB40" s="215">
        <v>250</v>
      </c>
    </row>
    <row r="41" spans="1:80">
      <c r="A41" s="213" t="s">
        <v>3</v>
      </c>
      <c r="B41" s="214">
        <v>170</v>
      </c>
      <c r="C41" s="214">
        <v>170</v>
      </c>
      <c r="D41" s="214">
        <v>170</v>
      </c>
      <c r="E41" s="214">
        <v>170</v>
      </c>
      <c r="F41" s="214">
        <v>170</v>
      </c>
      <c r="G41" s="214">
        <v>170</v>
      </c>
      <c r="H41" s="214">
        <v>170</v>
      </c>
      <c r="I41" s="214">
        <v>150</v>
      </c>
      <c r="J41" s="214">
        <v>150</v>
      </c>
      <c r="K41" s="214">
        <v>150</v>
      </c>
      <c r="L41" s="214">
        <v>130</v>
      </c>
      <c r="M41" s="214">
        <v>130</v>
      </c>
      <c r="N41" s="214">
        <v>160</v>
      </c>
      <c r="O41" s="214">
        <v>160</v>
      </c>
      <c r="P41" s="214">
        <v>160</v>
      </c>
      <c r="Q41" s="214">
        <v>170</v>
      </c>
      <c r="R41" s="214">
        <v>170</v>
      </c>
      <c r="S41" s="214">
        <v>170</v>
      </c>
      <c r="T41" s="215">
        <v>170</v>
      </c>
      <c r="U41" s="215">
        <v>270</v>
      </c>
      <c r="V41" s="215">
        <v>270</v>
      </c>
      <c r="W41" s="215">
        <v>270</v>
      </c>
      <c r="X41" s="215">
        <v>270</v>
      </c>
      <c r="Y41" s="215">
        <v>280</v>
      </c>
      <c r="Z41" s="215">
        <v>280</v>
      </c>
      <c r="AB41" s="213" t="s">
        <v>3</v>
      </c>
      <c r="AC41" s="214">
        <v>160</v>
      </c>
      <c r="AD41" s="214">
        <v>160</v>
      </c>
      <c r="AE41" s="214">
        <v>160</v>
      </c>
      <c r="AF41" s="214">
        <v>160</v>
      </c>
      <c r="AG41" s="214">
        <v>160</v>
      </c>
      <c r="AH41" s="214">
        <v>150</v>
      </c>
      <c r="AI41" s="214">
        <v>150</v>
      </c>
      <c r="AJ41" s="214">
        <v>130</v>
      </c>
      <c r="AK41" s="214">
        <v>130</v>
      </c>
      <c r="AL41" s="214">
        <v>130</v>
      </c>
      <c r="AM41" s="214">
        <v>110</v>
      </c>
      <c r="AN41" s="214">
        <v>110</v>
      </c>
      <c r="AO41" s="214">
        <v>150</v>
      </c>
      <c r="AP41" s="214">
        <v>150</v>
      </c>
      <c r="AQ41" s="214">
        <v>150</v>
      </c>
      <c r="AR41" s="214">
        <v>160</v>
      </c>
      <c r="AS41" s="214">
        <v>160</v>
      </c>
      <c r="AT41" s="214">
        <v>160</v>
      </c>
      <c r="AU41" s="215">
        <v>160</v>
      </c>
      <c r="AV41" s="215">
        <v>250</v>
      </c>
      <c r="AW41" s="215">
        <v>250</v>
      </c>
      <c r="AX41" s="215">
        <v>250</v>
      </c>
      <c r="AY41" s="215">
        <v>250</v>
      </c>
      <c r="AZ41" s="215">
        <v>260</v>
      </c>
      <c r="BA41" s="215">
        <v>260</v>
      </c>
      <c r="BC41" s="213" t="s">
        <v>3</v>
      </c>
      <c r="BD41" s="214">
        <v>160</v>
      </c>
      <c r="BE41" s="214">
        <v>160</v>
      </c>
      <c r="BF41" s="214">
        <v>160</v>
      </c>
      <c r="BG41" s="214">
        <v>160</v>
      </c>
      <c r="BH41" s="214">
        <v>160</v>
      </c>
      <c r="BI41" s="214">
        <v>150</v>
      </c>
      <c r="BJ41" s="214">
        <v>150</v>
      </c>
      <c r="BK41" s="214">
        <v>130</v>
      </c>
      <c r="BL41" s="214">
        <v>130</v>
      </c>
      <c r="BM41" s="214">
        <v>130</v>
      </c>
      <c r="BN41" s="214">
        <v>110</v>
      </c>
      <c r="BO41" s="214">
        <v>110</v>
      </c>
      <c r="BP41" s="214">
        <v>150</v>
      </c>
      <c r="BQ41" s="214">
        <v>150</v>
      </c>
      <c r="BR41" s="214">
        <v>150</v>
      </c>
      <c r="BS41" s="214">
        <v>160</v>
      </c>
      <c r="BT41" s="214">
        <v>160</v>
      </c>
      <c r="BU41" s="214">
        <v>160</v>
      </c>
      <c r="BV41" s="215">
        <v>160</v>
      </c>
      <c r="BW41" s="215">
        <v>250</v>
      </c>
      <c r="BX41" s="215">
        <v>250</v>
      </c>
      <c r="BY41" s="215">
        <v>250</v>
      </c>
      <c r="BZ41" s="215">
        <v>250</v>
      </c>
      <c r="CA41" s="215">
        <v>260</v>
      </c>
      <c r="CB41" s="215">
        <v>260</v>
      </c>
    </row>
    <row r="42" spans="1:80">
      <c r="A42" s="213" t="s">
        <v>2</v>
      </c>
      <c r="B42" s="214">
        <v>170</v>
      </c>
      <c r="C42" s="214">
        <v>170</v>
      </c>
      <c r="D42" s="214">
        <v>170</v>
      </c>
      <c r="E42" s="214">
        <v>170</v>
      </c>
      <c r="F42" s="214">
        <v>170</v>
      </c>
      <c r="G42" s="214">
        <v>170</v>
      </c>
      <c r="H42" s="214">
        <v>170</v>
      </c>
      <c r="I42" s="214">
        <v>150</v>
      </c>
      <c r="J42" s="214">
        <v>150</v>
      </c>
      <c r="K42" s="214">
        <v>150</v>
      </c>
      <c r="L42" s="214">
        <v>130</v>
      </c>
      <c r="M42" s="214">
        <v>130</v>
      </c>
      <c r="N42" s="214">
        <v>160</v>
      </c>
      <c r="O42" s="214">
        <v>160</v>
      </c>
      <c r="P42" s="214">
        <v>160</v>
      </c>
      <c r="Q42" s="214">
        <v>170</v>
      </c>
      <c r="R42" s="214">
        <v>170</v>
      </c>
      <c r="S42" s="214">
        <v>170</v>
      </c>
      <c r="T42" s="215">
        <v>170</v>
      </c>
      <c r="U42" s="215">
        <v>270</v>
      </c>
      <c r="V42" s="215">
        <v>270</v>
      </c>
      <c r="W42" s="215">
        <v>270</v>
      </c>
      <c r="X42" s="215">
        <v>270</v>
      </c>
      <c r="Y42" s="215">
        <v>280</v>
      </c>
      <c r="Z42" s="215">
        <v>280</v>
      </c>
      <c r="AB42" s="213" t="s">
        <v>2</v>
      </c>
      <c r="AC42" s="214">
        <v>160</v>
      </c>
      <c r="AD42" s="214">
        <v>160</v>
      </c>
      <c r="AE42" s="214">
        <v>160</v>
      </c>
      <c r="AF42" s="214">
        <v>160</v>
      </c>
      <c r="AG42" s="214">
        <v>160</v>
      </c>
      <c r="AH42" s="214">
        <v>150</v>
      </c>
      <c r="AI42" s="214">
        <v>150</v>
      </c>
      <c r="AJ42" s="214">
        <v>130</v>
      </c>
      <c r="AK42" s="214">
        <v>130</v>
      </c>
      <c r="AL42" s="214">
        <v>130</v>
      </c>
      <c r="AM42" s="214">
        <v>110</v>
      </c>
      <c r="AN42" s="214">
        <v>110</v>
      </c>
      <c r="AO42" s="214">
        <v>150</v>
      </c>
      <c r="AP42" s="214">
        <v>150</v>
      </c>
      <c r="AQ42" s="214">
        <v>150</v>
      </c>
      <c r="AR42" s="214">
        <v>160</v>
      </c>
      <c r="AS42" s="214">
        <v>160</v>
      </c>
      <c r="AT42" s="214">
        <v>160</v>
      </c>
      <c r="AU42" s="215">
        <v>160</v>
      </c>
      <c r="AV42" s="215">
        <v>250</v>
      </c>
      <c r="AW42" s="215">
        <v>250</v>
      </c>
      <c r="AX42" s="215">
        <v>250</v>
      </c>
      <c r="AY42" s="215">
        <v>250</v>
      </c>
      <c r="AZ42" s="215">
        <v>260</v>
      </c>
      <c r="BA42" s="215">
        <v>260</v>
      </c>
      <c r="BC42" s="213" t="s">
        <v>2</v>
      </c>
      <c r="BD42" s="214">
        <v>160</v>
      </c>
      <c r="BE42" s="214">
        <v>160</v>
      </c>
      <c r="BF42" s="214">
        <v>160</v>
      </c>
      <c r="BG42" s="214">
        <v>160</v>
      </c>
      <c r="BH42" s="214">
        <v>160</v>
      </c>
      <c r="BI42" s="214">
        <v>150</v>
      </c>
      <c r="BJ42" s="214">
        <v>150</v>
      </c>
      <c r="BK42" s="214">
        <v>130</v>
      </c>
      <c r="BL42" s="214">
        <v>130</v>
      </c>
      <c r="BM42" s="214">
        <v>130</v>
      </c>
      <c r="BN42" s="214">
        <v>110</v>
      </c>
      <c r="BO42" s="214">
        <v>110</v>
      </c>
      <c r="BP42" s="214">
        <v>150</v>
      </c>
      <c r="BQ42" s="214">
        <v>150</v>
      </c>
      <c r="BR42" s="214">
        <v>150</v>
      </c>
      <c r="BS42" s="214">
        <v>160</v>
      </c>
      <c r="BT42" s="214">
        <v>160</v>
      </c>
      <c r="BU42" s="214">
        <v>160</v>
      </c>
      <c r="BV42" s="215">
        <v>160</v>
      </c>
      <c r="BW42" s="215">
        <v>250</v>
      </c>
      <c r="BX42" s="215">
        <v>250</v>
      </c>
      <c r="BY42" s="215">
        <v>250</v>
      </c>
      <c r="BZ42" s="215">
        <v>250</v>
      </c>
      <c r="CA42" s="215">
        <v>260</v>
      </c>
      <c r="CB42" s="215">
        <v>260</v>
      </c>
    </row>
    <row r="43" spans="1:80">
      <c r="A43" s="213" t="s">
        <v>92</v>
      </c>
      <c r="B43" s="214">
        <v>170</v>
      </c>
      <c r="C43" s="214">
        <v>170</v>
      </c>
      <c r="D43" s="214">
        <v>170</v>
      </c>
      <c r="E43" s="214">
        <v>170</v>
      </c>
      <c r="F43" s="214">
        <v>170</v>
      </c>
      <c r="G43" s="214">
        <v>170</v>
      </c>
      <c r="H43" s="214">
        <v>170</v>
      </c>
      <c r="I43" s="214">
        <v>160</v>
      </c>
      <c r="J43" s="214">
        <v>160</v>
      </c>
      <c r="K43" s="214">
        <v>160</v>
      </c>
      <c r="L43" s="214">
        <v>160</v>
      </c>
      <c r="M43" s="214">
        <v>160</v>
      </c>
      <c r="N43" s="214">
        <v>130</v>
      </c>
      <c r="O43" s="214">
        <v>130</v>
      </c>
      <c r="P43" s="214">
        <v>130</v>
      </c>
      <c r="Q43" s="214">
        <v>160</v>
      </c>
      <c r="R43" s="214">
        <v>160</v>
      </c>
      <c r="S43" s="214">
        <v>160</v>
      </c>
      <c r="T43" s="215">
        <v>160</v>
      </c>
      <c r="U43" s="215">
        <v>190</v>
      </c>
      <c r="V43" s="215">
        <v>190</v>
      </c>
      <c r="W43" s="215">
        <v>200</v>
      </c>
      <c r="X43" s="215">
        <v>200</v>
      </c>
      <c r="Y43" s="215">
        <v>240</v>
      </c>
      <c r="Z43" s="215">
        <v>240</v>
      </c>
      <c r="AB43" s="213" t="s">
        <v>92</v>
      </c>
      <c r="AC43" s="214">
        <v>160</v>
      </c>
      <c r="AD43" s="214">
        <v>160</v>
      </c>
      <c r="AE43" s="214">
        <v>160</v>
      </c>
      <c r="AF43" s="214">
        <v>160</v>
      </c>
      <c r="AG43" s="214">
        <v>160</v>
      </c>
      <c r="AH43" s="214">
        <v>150</v>
      </c>
      <c r="AI43" s="214">
        <v>150</v>
      </c>
      <c r="AJ43" s="214">
        <v>150</v>
      </c>
      <c r="AK43" s="214">
        <v>150</v>
      </c>
      <c r="AL43" s="214">
        <v>150</v>
      </c>
      <c r="AM43" s="214">
        <v>150</v>
      </c>
      <c r="AN43" s="214">
        <v>150</v>
      </c>
      <c r="AO43" s="214">
        <v>110</v>
      </c>
      <c r="AP43" s="214">
        <v>110</v>
      </c>
      <c r="AQ43" s="214">
        <v>110</v>
      </c>
      <c r="AR43" s="214">
        <v>140</v>
      </c>
      <c r="AS43" s="214">
        <v>140</v>
      </c>
      <c r="AT43" s="214">
        <v>140</v>
      </c>
      <c r="AU43" s="215">
        <v>140</v>
      </c>
      <c r="AV43" s="215">
        <v>180</v>
      </c>
      <c r="AW43" s="215">
        <v>180</v>
      </c>
      <c r="AX43" s="215">
        <v>190</v>
      </c>
      <c r="AY43" s="215">
        <v>190</v>
      </c>
      <c r="AZ43" s="215">
        <v>220</v>
      </c>
      <c r="BA43" s="215">
        <v>220</v>
      </c>
      <c r="BC43" s="213" t="s">
        <v>92</v>
      </c>
      <c r="BD43" s="214">
        <v>160</v>
      </c>
      <c r="BE43" s="214">
        <v>160</v>
      </c>
      <c r="BF43" s="214">
        <v>160</v>
      </c>
      <c r="BG43" s="214">
        <v>160</v>
      </c>
      <c r="BH43" s="214">
        <v>160</v>
      </c>
      <c r="BI43" s="214">
        <v>150</v>
      </c>
      <c r="BJ43" s="214">
        <v>150</v>
      </c>
      <c r="BK43" s="214">
        <v>150</v>
      </c>
      <c r="BL43" s="214">
        <v>150</v>
      </c>
      <c r="BM43" s="214">
        <v>150</v>
      </c>
      <c r="BN43" s="214">
        <v>150</v>
      </c>
      <c r="BO43" s="214">
        <v>150</v>
      </c>
      <c r="BP43" s="214">
        <v>110</v>
      </c>
      <c r="BQ43" s="214">
        <v>110</v>
      </c>
      <c r="BR43" s="214">
        <v>110</v>
      </c>
      <c r="BS43" s="214">
        <v>140</v>
      </c>
      <c r="BT43" s="214">
        <v>140</v>
      </c>
      <c r="BU43" s="214">
        <v>140</v>
      </c>
      <c r="BV43" s="215">
        <v>140</v>
      </c>
      <c r="BW43" s="215">
        <v>180</v>
      </c>
      <c r="BX43" s="215">
        <v>180</v>
      </c>
      <c r="BY43" s="215">
        <v>190</v>
      </c>
      <c r="BZ43" s="215">
        <v>190</v>
      </c>
      <c r="CA43" s="215">
        <v>220</v>
      </c>
      <c r="CB43" s="215">
        <v>220</v>
      </c>
    </row>
    <row r="44" spans="1:80">
      <c r="A44" s="213" t="s">
        <v>93</v>
      </c>
      <c r="B44" s="214">
        <v>170</v>
      </c>
      <c r="C44" s="214">
        <v>170</v>
      </c>
      <c r="D44" s="214">
        <v>170</v>
      </c>
      <c r="E44" s="214">
        <v>170</v>
      </c>
      <c r="F44" s="214">
        <v>170</v>
      </c>
      <c r="G44" s="214">
        <v>170</v>
      </c>
      <c r="H44" s="214">
        <v>170</v>
      </c>
      <c r="I44" s="214">
        <v>160</v>
      </c>
      <c r="J44" s="214">
        <v>160</v>
      </c>
      <c r="K44" s="214">
        <v>160</v>
      </c>
      <c r="L44" s="214">
        <v>160</v>
      </c>
      <c r="M44" s="214">
        <v>160</v>
      </c>
      <c r="N44" s="214">
        <v>130</v>
      </c>
      <c r="O44" s="214">
        <v>130</v>
      </c>
      <c r="P44" s="214">
        <v>130</v>
      </c>
      <c r="Q44" s="214">
        <v>160</v>
      </c>
      <c r="R44" s="214">
        <v>160</v>
      </c>
      <c r="S44" s="214">
        <v>160</v>
      </c>
      <c r="T44" s="215">
        <v>160</v>
      </c>
      <c r="U44" s="215">
        <v>190</v>
      </c>
      <c r="V44" s="215">
        <v>190</v>
      </c>
      <c r="W44" s="215">
        <v>200</v>
      </c>
      <c r="X44" s="215">
        <v>200</v>
      </c>
      <c r="Y44" s="215">
        <v>240</v>
      </c>
      <c r="Z44" s="215">
        <v>240</v>
      </c>
      <c r="AB44" s="213" t="s">
        <v>93</v>
      </c>
      <c r="AC44" s="214">
        <v>160</v>
      </c>
      <c r="AD44" s="214">
        <v>160</v>
      </c>
      <c r="AE44" s="214">
        <v>160</v>
      </c>
      <c r="AF44" s="214">
        <v>160</v>
      </c>
      <c r="AG44" s="214">
        <v>160</v>
      </c>
      <c r="AH44" s="214">
        <v>150</v>
      </c>
      <c r="AI44" s="214">
        <v>150</v>
      </c>
      <c r="AJ44" s="214">
        <v>150</v>
      </c>
      <c r="AK44" s="214">
        <v>150</v>
      </c>
      <c r="AL44" s="214">
        <v>150</v>
      </c>
      <c r="AM44" s="214">
        <v>150</v>
      </c>
      <c r="AN44" s="214">
        <v>150</v>
      </c>
      <c r="AO44" s="214">
        <v>110</v>
      </c>
      <c r="AP44" s="214">
        <v>110</v>
      </c>
      <c r="AQ44" s="214">
        <v>110</v>
      </c>
      <c r="AR44" s="214">
        <v>140</v>
      </c>
      <c r="AS44" s="214">
        <v>140</v>
      </c>
      <c r="AT44" s="214">
        <v>140</v>
      </c>
      <c r="AU44" s="215">
        <v>140</v>
      </c>
      <c r="AV44" s="215">
        <v>180</v>
      </c>
      <c r="AW44" s="215">
        <v>180</v>
      </c>
      <c r="AX44" s="215">
        <v>190</v>
      </c>
      <c r="AY44" s="215">
        <v>190</v>
      </c>
      <c r="AZ44" s="215">
        <v>220</v>
      </c>
      <c r="BA44" s="215">
        <v>220</v>
      </c>
      <c r="BC44" s="213" t="s">
        <v>93</v>
      </c>
      <c r="BD44" s="214">
        <v>160</v>
      </c>
      <c r="BE44" s="214">
        <v>160</v>
      </c>
      <c r="BF44" s="214">
        <v>160</v>
      </c>
      <c r="BG44" s="214">
        <v>160</v>
      </c>
      <c r="BH44" s="214">
        <v>160</v>
      </c>
      <c r="BI44" s="214">
        <v>150</v>
      </c>
      <c r="BJ44" s="214">
        <v>150</v>
      </c>
      <c r="BK44" s="214">
        <v>150</v>
      </c>
      <c r="BL44" s="214">
        <v>150</v>
      </c>
      <c r="BM44" s="214">
        <v>150</v>
      </c>
      <c r="BN44" s="214">
        <v>150</v>
      </c>
      <c r="BO44" s="214">
        <v>150</v>
      </c>
      <c r="BP44" s="214">
        <v>110</v>
      </c>
      <c r="BQ44" s="214">
        <v>110</v>
      </c>
      <c r="BR44" s="214">
        <v>110</v>
      </c>
      <c r="BS44" s="214">
        <v>140</v>
      </c>
      <c r="BT44" s="214">
        <v>140</v>
      </c>
      <c r="BU44" s="214">
        <v>140</v>
      </c>
      <c r="BV44" s="215">
        <v>140</v>
      </c>
      <c r="BW44" s="215">
        <v>180</v>
      </c>
      <c r="BX44" s="215">
        <v>180</v>
      </c>
      <c r="BY44" s="215">
        <v>190</v>
      </c>
      <c r="BZ44" s="215">
        <v>190</v>
      </c>
      <c r="CA44" s="215">
        <v>220</v>
      </c>
      <c r="CB44" s="215">
        <v>220</v>
      </c>
    </row>
    <row r="45" spans="1:80">
      <c r="A45" s="213" t="s">
        <v>94</v>
      </c>
      <c r="B45" s="214">
        <v>170</v>
      </c>
      <c r="C45" s="214">
        <v>170</v>
      </c>
      <c r="D45" s="214">
        <v>170</v>
      </c>
      <c r="E45" s="214">
        <v>170</v>
      </c>
      <c r="F45" s="214">
        <v>170</v>
      </c>
      <c r="G45" s="214">
        <v>170</v>
      </c>
      <c r="H45" s="214">
        <v>170</v>
      </c>
      <c r="I45" s="214">
        <v>160</v>
      </c>
      <c r="J45" s="214">
        <v>160</v>
      </c>
      <c r="K45" s="214">
        <v>160</v>
      </c>
      <c r="L45" s="214">
        <v>160</v>
      </c>
      <c r="M45" s="214">
        <v>160</v>
      </c>
      <c r="N45" s="214">
        <v>130</v>
      </c>
      <c r="O45" s="214">
        <v>130</v>
      </c>
      <c r="P45" s="214">
        <v>130</v>
      </c>
      <c r="Q45" s="214">
        <v>160</v>
      </c>
      <c r="R45" s="214">
        <v>160</v>
      </c>
      <c r="S45" s="214">
        <v>160</v>
      </c>
      <c r="T45" s="215">
        <v>160</v>
      </c>
      <c r="U45" s="215">
        <v>190</v>
      </c>
      <c r="V45" s="215">
        <v>190</v>
      </c>
      <c r="W45" s="215">
        <v>200</v>
      </c>
      <c r="X45" s="215">
        <v>200</v>
      </c>
      <c r="Y45" s="215">
        <v>240</v>
      </c>
      <c r="Z45" s="215">
        <v>240</v>
      </c>
      <c r="AB45" s="213" t="s">
        <v>94</v>
      </c>
      <c r="AC45" s="214">
        <v>160</v>
      </c>
      <c r="AD45" s="214">
        <v>160</v>
      </c>
      <c r="AE45" s="214">
        <v>160</v>
      </c>
      <c r="AF45" s="214">
        <v>160</v>
      </c>
      <c r="AG45" s="214">
        <v>160</v>
      </c>
      <c r="AH45" s="214">
        <v>150</v>
      </c>
      <c r="AI45" s="214">
        <v>150</v>
      </c>
      <c r="AJ45" s="214">
        <v>150</v>
      </c>
      <c r="AK45" s="214">
        <v>150</v>
      </c>
      <c r="AL45" s="214">
        <v>150</v>
      </c>
      <c r="AM45" s="214">
        <v>150</v>
      </c>
      <c r="AN45" s="214">
        <v>150</v>
      </c>
      <c r="AO45" s="214">
        <v>110</v>
      </c>
      <c r="AP45" s="214">
        <v>110</v>
      </c>
      <c r="AQ45" s="214">
        <v>110</v>
      </c>
      <c r="AR45" s="214">
        <v>140</v>
      </c>
      <c r="AS45" s="214">
        <v>140</v>
      </c>
      <c r="AT45" s="214">
        <v>140</v>
      </c>
      <c r="AU45" s="215">
        <v>140</v>
      </c>
      <c r="AV45" s="215">
        <v>180</v>
      </c>
      <c r="AW45" s="215">
        <v>180</v>
      </c>
      <c r="AX45" s="215">
        <v>190</v>
      </c>
      <c r="AY45" s="215">
        <v>190</v>
      </c>
      <c r="AZ45" s="215">
        <v>220</v>
      </c>
      <c r="BA45" s="215">
        <v>220</v>
      </c>
      <c r="BC45" s="213" t="s">
        <v>94</v>
      </c>
      <c r="BD45" s="214">
        <v>160</v>
      </c>
      <c r="BE45" s="214">
        <v>160</v>
      </c>
      <c r="BF45" s="214">
        <v>160</v>
      </c>
      <c r="BG45" s="214">
        <v>160</v>
      </c>
      <c r="BH45" s="214">
        <v>160</v>
      </c>
      <c r="BI45" s="214">
        <v>150</v>
      </c>
      <c r="BJ45" s="214">
        <v>150</v>
      </c>
      <c r="BK45" s="214">
        <v>150</v>
      </c>
      <c r="BL45" s="214">
        <v>150</v>
      </c>
      <c r="BM45" s="214">
        <v>150</v>
      </c>
      <c r="BN45" s="214">
        <v>150</v>
      </c>
      <c r="BO45" s="214">
        <v>150</v>
      </c>
      <c r="BP45" s="214">
        <v>110</v>
      </c>
      <c r="BQ45" s="214">
        <v>110</v>
      </c>
      <c r="BR45" s="214">
        <v>110</v>
      </c>
      <c r="BS45" s="214">
        <v>140</v>
      </c>
      <c r="BT45" s="214">
        <v>140</v>
      </c>
      <c r="BU45" s="214">
        <v>140</v>
      </c>
      <c r="BV45" s="215">
        <v>140</v>
      </c>
      <c r="BW45" s="215">
        <v>180</v>
      </c>
      <c r="BX45" s="215">
        <v>180</v>
      </c>
      <c r="BY45" s="215">
        <v>190</v>
      </c>
      <c r="BZ45" s="215">
        <v>190</v>
      </c>
      <c r="CA45" s="215">
        <v>220</v>
      </c>
      <c r="CB45" s="215">
        <v>220</v>
      </c>
    </row>
    <row r="46" spans="1:80">
      <c r="A46" s="213" t="s">
        <v>95</v>
      </c>
      <c r="B46" s="214">
        <v>180</v>
      </c>
      <c r="C46" s="214">
        <v>170</v>
      </c>
      <c r="D46" s="214">
        <v>170</v>
      </c>
      <c r="E46" s="214">
        <v>170</v>
      </c>
      <c r="F46" s="214">
        <v>170</v>
      </c>
      <c r="G46" s="214">
        <v>170</v>
      </c>
      <c r="H46" s="214">
        <v>170</v>
      </c>
      <c r="I46" s="214">
        <v>170</v>
      </c>
      <c r="J46" s="214">
        <v>170</v>
      </c>
      <c r="K46" s="214">
        <v>170</v>
      </c>
      <c r="L46" s="214">
        <v>170</v>
      </c>
      <c r="M46" s="214">
        <v>170</v>
      </c>
      <c r="N46" s="214">
        <v>160</v>
      </c>
      <c r="O46" s="214">
        <v>160</v>
      </c>
      <c r="P46" s="214">
        <v>160</v>
      </c>
      <c r="Q46" s="214">
        <v>130</v>
      </c>
      <c r="R46" s="214">
        <v>130</v>
      </c>
      <c r="S46" s="214">
        <v>130</v>
      </c>
      <c r="T46" s="215">
        <v>130</v>
      </c>
      <c r="U46" s="215">
        <v>180</v>
      </c>
      <c r="V46" s="215">
        <v>180</v>
      </c>
      <c r="W46" s="215">
        <v>180</v>
      </c>
      <c r="X46" s="215">
        <v>180</v>
      </c>
      <c r="Y46" s="215">
        <v>190</v>
      </c>
      <c r="Z46" s="215">
        <v>190</v>
      </c>
      <c r="AB46" s="213" t="s">
        <v>95</v>
      </c>
      <c r="AC46" s="214">
        <v>170</v>
      </c>
      <c r="AD46" s="214">
        <v>160</v>
      </c>
      <c r="AE46" s="214">
        <v>160</v>
      </c>
      <c r="AF46" s="214">
        <v>160</v>
      </c>
      <c r="AG46" s="214">
        <v>160</v>
      </c>
      <c r="AH46" s="214">
        <v>160</v>
      </c>
      <c r="AI46" s="214">
        <v>160</v>
      </c>
      <c r="AJ46" s="214">
        <v>160</v>
      </c>
      <c r="AK46" s="214">
        <v>160</v>
      </c>
      <c r="AL46" s="214">
        <v>160</v>
      </c>
      <c r="AM46" s="214">
        <v>160</v>
      </c>
      <c r="AN46" s="214">
        <v>160</v>
      </c>
      <c r="AO46" s="214">
        <v>140</v>
      </c>
      <c r="AP46" s="214">
        <v>140</v>
      </c>
      <c r="AQ46" s="214">
        <v>140</v>
      </c>
      <c r="AR46" s="214">
        <v>110</v>
      </c>
      <c r="AS46" s="214">
        <v>110</v>
      </c>
      <c r="AT46" s="214">
        <v>110</v>
      </c>
      <c r="AU46" s="215">
        <v>110</v>
      </c>
      <c r="AV46" s="215">
        <v>170</v>
      </c>
      <c r="AW46" s="215">
        <v>170</v>
      </c>
      <c r="AX46" s="215">
        <v>170</v>
      </c>
      <c r="AY46" s="215">
        <v>170</v>
      </c>
      <c r="AZ46" s="215">
        <v>180</v>
      </c>
      <c r="BA46" s="215">
        <v>180</v>
      </c>
      <c r="BC46" s="213" t="s">
        <v>95</v>
      </c>
      <c r="BD46" s="214">
        <v>170</v>
      </c>
      <c r="BE46" s="214">
        <v>160</v>
      </c>
      <c r="BF46" s="214">
        <v>160</v>
      </c>
      <c r="BG46" s="214">
        <v>160</v>
      </c>
      <c r="BH46" s="214">
        <v>160</v>
      </c>
      <c r="BI46" s="214">
        <v>160</v>
      </c>
      <c r="BJ46" s="214">
        <v>160</v>
      </c>
      <c r="BK46" s="214">
        <v>160</v>
      </c>
      <c r="BL46" s="214">
        <v>160</v>
      </c>
      <c r="BM46" s="214">
        <v>160</v>
      </c>
      <c r="BN46" s="214">
        <v>160</v>
      </c>
      <c r="BO46" s="214">
        <v>160</v>
      </c>
      <c r="BP46" s="214">
        <v>140</v>
      </c>
      <c r="BQ46" s="214">
        <v>140</v>
      </c>
      <c r="BR46" s="214">
        <v>140</v>
      </c>
      <c r="BS46" s="214">
        <v>110</v>
      </c>
      <c r="BT46" s="214">
        <v>110</v>
      </c>
      <c r="BU46" s="214">
        <v>110</v>
      </c>
      <c r="BV46" s="215">
        <v>110</v>
      </c>
      <c r="BW46" s="215">
        <v>170</v>
      </c>
      <c r="BX46" s="215">
        <v>170</v>
      </c>
      <c r="BY46" s="215">
        <v>170</v>
      </c>
      <c r="BZ46" s="215">
        <v>170</v>
      </c>
      <c r="CA46" s="215">
        <v>180</v>
      </c>
      <c r="CB46" s="215">
        <v>180</v>
      </c>
    </row>
    <row r="47" spans="1:80">
      <c r="A47" s="213" t="s">
        <v>96</v>
      </c>
      <c r="B47" s="214">
        <v>180</v>
      </c>
      <c r="C47" s="214">
        <v>170</v>
      </c>
      <c r="D47" s="214">
        <v>170</v>
      </c>
      <c r="E47" s="214">
        <v>170</v>
      </c>
      <c r="F47" s="214">
        <v>170</v>
      </c>
      <c r="G47" s="214">
        <v>170</v>
      </c>
      <c r="H47" s="214">
        <v>170</v>
      </c>
      <c r="I47" s="214">
        <v>170</v>
      </c>
      <c r="J47" s="214">
        <v>170</v>
      </c>
      <c r="K47" s="214">
        <v>170</v>
      </c>
      <c r="L47" s="214">
        <v>170</v>
      </c>
      <c r="M47" s="214">
        <v>170</v>
      </c>
      <c r="N47" s="214">
        <v>160</v>
      </c>
      <c r="O47" s="214">
        <v>160</v>
      </c>
      <c r="P47" s="214">
        <v>160</v>
      </c>
      <c r="Q47" s="214">
        <v>130</v>
      </c>
      <c r="R47" s="214">
        <v>130</v>
      </c>
      <c r="S47" s="214">
        <v>130</v>
      </c>
      <c r="T47" s="214">
        <v>130</v>
      </c>
      <c r="U47" s="214">
        <v>180</v>
      </c>
      <c r="V47" s="214">
        <v>180</v>
      </c>
      <c r="W47" s="214">
        <v>180</v>
      </c>
      <c r="X47" s="214">
        <v>180</v>
      </c>
      <c r="Y47" s="214">
        <v>190</v>
      </c>
      <c r="Z47" s="214">
        <v>190</v>
      </c>
      <c r="AB47" s="213" t="s">
        <v>96</v>
      </c>
      <c r="AC47" s="214">
        <v>170</v>
      </c>
      <c r="AD47" s="214">
        <v>160</v>
      </c>
      <c r="AE47" s="214">
        <v>160</v>
      </c>
      <c r="AF47" s="214">
        <v>160</v>
      </c>
      <c r="AG47" s="214">
        <v>160</v>
      </c>
      <c r="AH47" s="214">
        <v>160</v>
      </c>
      <c r="AI47" s="214">
        <v>160</v>
      </c>
      <c r="AJ47" s="214">
        <v>160</v>
      </c>
      <c r="AK47" s="214">
        <v>160</v>
      </c>
      <c r="AL47" s="214">
        <v>160</v>
      </c>
      <c r="AM47" s="214">
        <v>160</v>
      </c>
      <c r="AN47" s="214">
        <v>160</v>
      </c>
      <c r="AO47" s="214">
        <v>140</v>
      </c>
      <c r="AP47" s="214">
        <v>140</v>
      </c>
      <c r="AQ47" s="214">
        <v>140</v>
      </c>
      <c r="AR47" s="214">
        <v>110</v>
      </c>
      <c r="AS47" s="214">
        <v>110</v>
      </c>
      <c r="AT47" s="214">
        <v>110</v>
      </c>
      <c r="AU47" s="214">
        <v>110</v>
      </c>
      <c r="AV47" s="214">
        <v>170</v>
      </c>
      <c r="AW47" s="214">
        <v>170</v>
      </c>
      <c r="AX47" s="214">
        <v>170</v>
      </c>
      <c r="AY47" s="214">
        <v>170</v>
      </c>
      <c r="AZ47" s="214">
        <v>180</v>
      </c>
      <c r="BA47" s="214">
        <v>180</v>
      </c>
      <c r="BC47" s="213" t="s">
        <v>96</v>
      </c>
      <c r="BD47" s="214">
        <v>170</v>
      </c>
      <c r="BE47" s="214">
        <v>160</v>
      </c>
      <c r="BF47" s="214">
        <v>160</v>
      </c>
      <c r="BG47" s="214">
        <v>160</v>
      </c>
      <c r="BH47" s="214">
        <v>160</v>
      </c>
      <c r="BI47" s="214">
        <v>160</v>
      </c>
      <c r="BJ47" s="214">
        <v>160</v>
      </c>
      <c r="BK47" s="214">
        <v>160</v>
      </c>
      <c r="BL47" s="214">
        <v>160</v>
      </c>
      <c r="BM47" s="214">
        <v>160</v>
      </c>
      <c r="BN47" s="214">
        <v>160</v>
      </c>
      <c r="BO47" s="214">
        <v>160</v>
      </c>
      <c r="BP47" s="214">
        <v>140</v>
      </c>
      <c r="BQ47" s="214">
        <v>140</v>
      </c>
      <c r="BR47" s="214">
        <v>140</v>
      </c>
      <c r="BS47" s="214">
        <v>110</v>
      </c>
      <c r="BT47" s="214">
        <v>110</v>
      </c>
      <c r="BU47" s="214">
        <v>110</v>
      </c>
      <c r="BV47" s="214">
        <v>110</v>
      </c>
      <c r="BW47" s="214">
        <v>170</v>
      </c>
      <c r="BX47" s="214">
        <v>170</v>
      </c>
      <c r="BY47" s="214">
        <v>170</v>
      </c>
      <c r="BZ47" s="214">
        <v>170</v>
      </c>
      <c r="CA47" s="214">
        <v>180</v>
      </c>
      <c r="CB47" s="214">
        <v>180</v>
      </c>
    </row>
    <row r="48" spans="1:80">
      <c r="A48" s="213" t="s">
        <v>97</v>
      </c>
      <c r="B48" s="214">
        <v>180</v>
      </c>
      <c r="C48" s="214">
        <v>170</v>
      </c>
      <c r="D48" s="214">
        <v>170</v>
      </c>
      <c r="E48" s="214">
        <v>170</v>
      </c>
      <c r="F48" s="214">
        <v>170</v>
      </c>
      <c r="G48" s="214">
        <v>170</v>
      </c>
      <c r="H48" s="214">
        <v>170</v>
      </c>
      <c r="I48" s="214">
        <v>170</v>
      </c>
      <c r="J48" s="214">
        <v>170</v>
      </c>
      <c r="K48" s="214">
        <v>170</v>
      </c>
      <c r="L48" s="214">
        <v>170</v>
      </c>
      <c r="M48" s="214">
        <v>170</v>
      </c>
      <c r="N48" s="214">
        <v>160</v>
      </c>
      <c r="O48" s="214">
        <v>160</v>
      </c>
      <c r="P48" s="214">
        <v>160</v>
      </c>
      <c r="Q48" s="214">
        <v>130</v>
      </c>
      <c r="R48" s="214">
        <v>130</v>
      </c>
      <c r="S48" s="214">
        <v>130</v>
      </c>
      <c r="T48" s="215">
        <v>130</v>
      </c>
      <c r="U48" s="215">
        <v>180</v>
      </c>
      <c r="V48" s="215">
        <v>180</v>
      </c>
      <c r="W48" s="215">
        <v>180</v>
      </c>
      <c r="X48" s="215">
        <v>180</v>
      </c>
      <c r="Y48" s="215">
        <v>190</v>
      </c>
      <c r="Z48" s="215">
        <v>190</v>
      </c>
      <c r="AB48" s="213" t="s">
        <v>97</v>
      </c>
      <c r="AC48" s="214">
        <v>170</v>
      </c>
      <c r="AD48" s="214">
        <v>160</v>
      </c>
      <c r="AE48" s="214">
        <v>160</v>
      </c>
      <c r="AF48" s="214">
        <v>160</v>
      </c>
      <c r="AG48" s="214">
        <v>160</v>
      </c>
      <c r="AH48" s="214">
        <v>160</v>
      </c>
      <c r="AI48" s="214">
        <v>160</v>
      </c>
      <c r="AJ48" s="214">
        <v>160</v>
      </c>
      <c r="AK48" s="214">
        <v>160</v>
      </c>
      <c r="AL48" s="214">
        <v>160</v>
      </c>
      <c r="AM48" s="214">
        <v>160</v>
      </c>
      <c r="AN48" s="214">
        <v>160</v>
      </c>
      <c r="AO48" s="214">
        <v>140</v>
      </c>
      <c r="AP48" s="214">
        <v>140</v>
      </c>
      <c r="AQ48" s="214">
        <v>140</v>
      </c>
      <c r="AR48" s="214">
        <v>110</v>
      </c>
      <c r="AS48" s="214">
        <v>110</v>
      </c>
      <c r="AT48" s="214">
        <v>110</v>
      </c>
      <c r="AU48" s="215">
        <v>110</v>
      </c>
      <c r="AV48" s="215">
        <v>170</v>
      </c>
      <c r="AW48" s="215">
        <v>170</v>
      </c>
      <c r="AX48" s="215">
        <v>170</v>
      </c>
      <c r="AY48" s="215">
        <v>170</v>
      </c>
      <c r="AZ48" s="215">
        <v>180</v>
      </c>
      <c r="BA48" s="215">
        <v>180</v>
      </c>
      <c r="BC48" s="213" t="s">
        <v>97</v>
      </c>
      <c r="BD48" s="214">
        <v>170</v>
      </c>
      <c r="BE48" s="214">
        <v>160</v>
      </c>
      <c r="BF48" s="214">
        <v>160</v>
      </c>
      <c r="BG48" s="214">
        <v>160</v>
      </c>
      <c r="BH48" s="214">
        <v>160</v>
      </c>
      <c r="BI48" s="214">
        <v>160</v>
      </c>
      <c r="BJ48" s="214">
        <v>160</v>
      </c>
      <c r="BK48" s="214">
        <v>160</v>
      </c>
      <c r="BL48" s="214">
        <v>160</v>
      </c>
      <c r="BM48" s="214">
        <v>160</v>
      </c>
      <c r="BN48" s="214">
        <v>160</v>
      </c>
      <c r="BO48" s="214">
        <v>160</v>
      </c>
      <c r="BP48" s="214">
        <v>140</v>
      </c>
      <c r="BQ48" s="214">
        <v>140</v>
      </c>
      <c r="BR48" s="214">
        <v>140</v>
      </c>
      <c r="BS48" s="214">
        <v>110</v>
      </c>
      <c r="BT48" s="214">
        <v>110</v>
      </c>
      <c r="BU48" s="214">
        <v>110</v>
      </c>
      <c r="BV48" s="215">
        <v>110</v>
      </c>
      <c r="BW48" s="215">
        <v>170</v>
      </c>
      <c r="BX48" s="215">
        <v>170</v>
      </c>
      <c r="BY48" s="215">
        <v>170</v>
      </c>
      <c r="BZ48" s="215">
        <v>170</v>
      </c>
      <c r="CA48" s="215">
        <v>180</v>
      </c>
      <c r="CB48" s="215">
        <v>180</v>
      </c>
    </row>
    <row r="49" spans="1:80">
      <c r="A49" s="213" t="s">
        <v>98</v>
      </c>
      <c r="B49" s="214">
        <v>180</v>
      </c>
      <c r="C49" s="214">
        <v>170</v>
      </c>
      <c r="D49" s="214">
        <v>170</v>
      </c>
      <c r="E49" s="214">
        <v>170</v>
      </c>
      <c r="F49" s="214">
        <v>170</v>
      </c>
      <c r="G49" s="214">
        <v>170</v>
      </c>
      <c r="H49" s="214">
        <v>170</v>
      </c>
      <c r="I49" s="214">
        <v>170</v>
      </c>
      <c r="J49" s="214">
        <v>170</v>
      </c>
      <c r="K49" s="214">
        <v>170</v>
      </c>
      <c r="L49" s="214">
        <v>170</v>
      </c>
      <c r="M49" s="214">
        <v>170</v>
      </c>
      <c r="N49" s="214">
        <v>160</v>
      </c>
      <c r="O49" s="214">
        <v>160</v>
      </c>
      <c r="P49" s="214">
        <v>160</v>
      </c>
      <c r="Q49" s="214">
        <v>130</v>
      </c>
      <c r="R49" s="214">
        <v>130</v>
      </c>
      <c r="S49" s="214">
        <v>130</v>
      </c>
      <c r="T49" s="215">
        <v>130</v>
      </c>
      <c r="U49" s="215">
        <v>180</v>
      </c>
      <c r="V49" s="215">
        <v>180</v>
      </c>
      <c r="W49" s="215">
        <v>180</v>
      </c>
      <c r="X49" s="215">
        <v>180</v>
      </c>
      <c r="Y49" s="215">
        <v>190</v>
      </c>
      <c r="Z49" s="215">
        <v>190</v>
      </c>
      <c r="AB49" s="213" t="s">
        <v>98</v>
      </c>
      <c r="AC49" s="214">
        <v>170</v>
      </c>
      <c r="AD49" s="214">
        <v>160</v>
      </c>
      <c r="AE49" s="214">
        <v>160</v>
      </c>
      <c r="AF49" s="214">
        <v>160</v>
      </c>
      <c r="AG49" s="214">
        <v>160</v>
      </c>
      <c r="AH49" s="214">
        <v>160</v>
      </c>
      <c r="AI49" s="214">
        <v>160</v>
      </c>
      <c r="AJ49" s="214">
        <v>160</v>
      </c>
      <c r="AK49" s="214">
        <v>160</v>
      </c>
      <c r="AL49" s="214">
        <v>160</v>
      </c>
      <c r="AM49" s="214">
        <v>160</v>
      </c>
      <c r="AN49" s="214">
        <v>160</v>
      </c>
      <c r="AO49" s="214">
        <v>140</v>
      </c>
      <c r="AP49" s="214">
        <v>140</v>
      </c>
      <c r="AQ49" s="214">
        <v>140</v>
      </c>
      <c r="AR49" s="214">
        <v>110</v>
      </c>
      <c r="AS49" s="214">
        <v>110</v>
      </c>
      <c r="AT49" s="214">
        <v>110</v>
      </c>
      <c r="AU49" s="215">
        <v>110</v>
      </c>
      <c r="AV49" s="215">
        <v>170</v>
      </c>
      <c r="AW49" s="215">
        <v>170</v>
      </c>
      <c r="AX49" s="215">
        <v>170</v>
      </c>
      <c r="AY49" s="215">
        <v>170</v>
      </c>
      <c r="AZ49" s="215">
        <v>180</v>
      </c>
      <c r="BA49" s="215">
        <v>180</v>
      </c>
      <c r="BC49" s="213" t="s">
        <v>98</v>
      </c>
      <c r="BD49" s="214">
        <v>170</v>
      </c>
      <c r="BE49" s="214">
        <v>160</v>
      </c>
      <c r="BF49" s="214">
        <v>160</v>
      </c>
      <c r="BG49" s="214">
        <v>160</v>
      </c>
      <c r="BH49" s="214">
        <v>160</v>
      </c>
      <c r="BI49" s="214">
        <v>160</v>
      </c>
      <c r="BJ49" s="214">
        <v>160</v>
      </c>
      <c r="BK49" s="214">
        <v>160</v>
      </c>
      <c r="BL49" s="214">
        <v>160</v>
      </c>
      <c r="BM49" s="214">
        <v>160</v>
      </c>
      <c r="BN49" s="214">
        <v>160</v>
      </c>
      <c r="BO49" s="214">
        <v>160</v>
      </c>
      <c r="BP49" s="214">
        <v>140</v>
      </c>
      <c r="BQ49" s="214">
        <v>140</v>
      </c>
      <c r="BR49" s="214">
        <v>140</v>
      </c>
      <c r="BS49" s="214">
        <v>110</v>
      </c>
      <c r="BT49" s="214">
        <v>110</v>
      </c>
      <c r="BU49" s="214">
        <v>110</v>
      </c>
      <c r="BV49" s="215">
        <v>110</v>
      </c>
      <c r="BW49" s="215">
        <v>170</v>
      </c>
      <c r="BX49" s="215">
        <v>170</v>
      </c>
      <c r="BY49" s="215">
        <v>170</v>
      </c>
      <c r="BZ49" s="215">
        <v>170</v>
      </c>
      <c r="CA49" s="215">
        <v>180</v>
      </c>
      <c r="CB49" s="215">
        <v>180</v>
      </c>
    </row>
    <row r="50" spans="1:80">
      <c r="A50" s="213" t="s">
        <v>99</v>
      </c>
      <c r="B50" s="214">
        <v>280</v>
      </c>
      <c r="C50" s="214">
        <v>270</v>
      </c>
      <c r="D50" s="214">
        <v>270</v>
      </c>
      <c r="E50" s="214">
        <v>270</v>
      </c>
      <c r="F50" s="214">
        <v>270</v>
      </c>
      <c r="G50" s="214">
        <v>260</v>
      </c>
      <c r="H50" s="214">
        <v>260</v>
      </c>
      <c r="I50" s="214">
        <v>260</v>
      </c>
      <c r="J50" s="214">
        <v>260</v>
      </c>
      <c r="K50" s="214">
        <v>260</v>
      </c>
      <c r="L50" s="214">
        <v>270</v>
      </c>
      <c r="M50" s="214">
        <v>270</v>
      </c>
      <c r="N50" s="214">
        <v>190</v>
      </c>
      <c r="O50" s="214">
        <v>190</v>
      </c>
      <c r="P50" s="214">
        <v>190</v>
      </c>
      <c r="Q50" s="214">
        <v>180</v>
      </c>
      <c r="R50" s="214">
        <v>180</v>
      </c>
      <c r="S50" s="214">
        <v>180</v>
      </c>
      <c r="T50" s="215">
        <v>180</v>
      </c>
      <c r="U50" s="215">
        <v>130</v>
      </c>
      <c r="V50" s="215">
        <v>130</v>
      </c>
      <c r="W50" s="215">
        <v>130</v>
      </c>
      <c r="X50" s="215">
        <v>130</v>
      </c>
      <c r="Y50" s="215">
        <v>160</v>
      </c>
      <c r="Z50" s="215">
        <v>160</v>
      </c>
      <c r="AB50" s="213" t="s">
        <v>99</v>
      </c>
      <c r="AC50" s="214">
        <v>260</v>
      </c>
      <c r="AD50" s="214">
        <v>250</v>
      </c>
      <c r="AE50" s="214">
        <v>250</v>
      </c>
      <c r="AF50" s="214">
        <v>250</v>
      </c>
      <c r="AG50" s="214">
        <v>250</v>
      </c>
      <c r="AH50" s="214">
        <v>240</v>
      </c>
      <c r="AI50" s="214">
        <v>240</v>
      </c>
      <c r="AJ50" s="214">
        <v>240</v>
      </c>
      <c r="AK50" s="214">
        <v>240</v>
      </c>
      <c r="AL50" s="214">
        <v>240</v>
      </c>
      <c r="AM50" s="214">
        <v>250</v>
      </c>
      <c r="AN50" s="214">
        <v>250</v>
      </c>
      <c r="AO50" s="214">
        <v>180</v>
      </c>
      <c r="AP50" s="214">
        <v>180</v>
      </c>
      <c r="AQ50" s="214">
        <v>180</v>
      </c>
      <c r="AR50" s="214">
        <v>170</v>
      </c>
      <c r="AS50" s="214">
        <v>170</v>
      </c>
      <c r="AT50" s="214">
        <v>170</v>
      </c>
      <c r="AU50" s="215">
        <v>170</v>
      </c>
      <c r="AV50" s="215">
        <v>110</v>
      </c>
      <c r="AW50" s="215">
        <v>110</v>
      </c>
      <c r="AX50" s="215">
        <v>120</v>
      </c>
      <c r="AY50" s="215">
        <v>120</v>
      </c>
      <c r="AZ50" s="215">
        <v>150</v>
      </c>
      <c r="BA50" s="215">
        <v>150</v>
      </c>
      <c r="BC50" s="213" t="s">
        <v>99</v>
      </c>
      <c r="BD50" s="214">
        <v>260</v>
      </c>
      <c r="BE50" s="214">
        <v>250</v>
      </c>
      <c r="BF50" s="214">
        <v>250</v>
      </c>
      <c r="BG50" s="214">
        <v>250</v>
      </c>
      <c r="BH50" s="214">
        <v>250</v>
      </c>
      <c r="BI50" s="214">
        <v>240</v>
      </c>
      <c r="BJ50" s="214">
        <v>240</v>
      </c>
      <c r="BK50" s="214">
        <v>240</v>
      </c>
      <c r="BL50" s="214">
        <v>240</v>
      </c>
      <c r="BM50" s="214">
        <v>240</v>
      </c>
      <c r="BN50" s="214">
        <v>250</v>
      </c>
      <c r="BO50" s="214">
        <v>250</v>
      </c>
      <c r="BP50" s="214">
        <v>180</v>
      </c>
      <c r="BQ50" s="214">
        <v>180</v>
      </c>
      <c r="BR50" s="214">
        <v>180</v>
      </c>
      <c r="BS50" s="214">
        <v>170</v>
      </c>
      <c r="BT50" s="214">
        <v>170</v>
      </c>
      <c r="BU50" s="214">
        <v>170</v>
      </c>
      <c r="BV50" s="215">
        <v>170</v>
      </c>
      <c r="BW50" s="215">
        <v>110</v>
      </c>
      <c r="BX50" s="215">
        <v>110</v>
      </c>
      <c r="BY50" s="215">
        <v>120</v>
      </c>
      <c r="BZ50" s="215">
        <v>120</v>
      </c>
      <c r="CA50" s="215">
        <v>150</v>
      </c>
      <c r="CB50" s="215">
        <v>150</v>
      </c>
    </row>
    <row r="51" spans="1:80">
      <c r="A51" s="213" t="s">
        <v>100</v>
      </c>
      <c r="B51" s="214">
        <v>280</v>
      </c>
      <c r="C51" s="214">
        <v>270</v>
      </c>
      <c r="D51" s="214">
        <v>270</v>
      </c>
      <c r="E51" s="214">
        <v>270</v>
      </c>
      <c r="F51" s="214">
        <v>270</v>
      </c>
      <c r="G51" s="214">
        <v>260</v>
      </c>
      <c r="H51" s="214">
        <v>260</v>
      </c>
      <c r="I51" s="214">
        <v>260</v>
      </c>
      <c r="J51" s="214">
        <v>260</v>
      </c>
      <c r="K51" s="214">
        <v>260</v>
      </c>
      <c r="L51" s="214">
        <v>270</v>
      </c>
      <c r="M51" s="214">
        <v>270</v>
      </c>
      <c r="N51" s="214">
        <v>190</v>
      </c>
      <c r="O51" s="214">
        <v>190</v>
      </c>
      <c r="P51" s="214">
        <v>190</v>
      </c>
      <c r="Q51" s="214">
        <v>180</v>
      </c>
      <c r="R51" s="214">
        <v>180</v>
      </c>
      <c r="S51" s="214">
        <v>180</v>
      </c>
      <c r="T51" s="215">
        <v>180</v>
      </c>
      <c r="U51" s="215">
        <v>130</v>
      </c>
      <c r="V51" s="215">
        <v>130</v>
      </c>
      <c r="W51" s="215">
        <v>130</v>
      </c>
      <c r="X51" s="215">
        <v>130</v>
      </c>
      <c r="Y51" s="215">
        <v>160</v>
      </c>
      <c r="Z51" s="215">
        <v>160</v>
      </c>
      <c r="AB51" s="213" t="s">
        <v>100</v>
      </c>
      <c r="AC51" s="214">
        <v>260</v>
      </c>
      <c r="AD51" s="214">
        <v>250</v>
      </c>
      <c r="AE51" s="214">
        <v>250</v>
      </c>
      <c r="AF51" s="214">
        <v>250</v>
      </c>
      <c r="AG51" s="214">
        <v>250</v>
      </c>
      <c r="AH51" s="214">
        <v>240</v>
      </c>
      <c r="AI51" s="214">
        <v>240</v>
      </c>
      <c r="AJ51" s="214">
        <v>240</v>
      </c>
      <c r="AK51" s="214">
        <v>240</v>
      </c>
      <c r="AL51" s="214">
        <v>240</v>
      </c>
      <c r="AM51" s="214">
        <v>250</v>
      </c>
      <c r="AN51" s="214">
        <v>250</v>
      </c>
      <c r="AO51" s="214">
        <v>180</v>
      </c>
      <c r="AP51" s="214">
        <v>180</v>
      </c>
      <c r="AQ51" s="214">
        <v>180</v>
      </c>
      <c r="AR51" s="214">
        <v>170</v>
      </c>
      <c r="AS51" s="214">
        <v>170</v>
      </c>
      <c r="AT51" s="214">
        <v>170</v>
      </c>
      <c r="AU51" s="215">
        <v>170</v>
      </c>
      <c r="AV51" s="215">
        <v>110</v>
      </c>
      <c r="AW51" s="215">
        <v>110</v>
      </c>
      <c r="AX51" s="215">
        <v>120</v>
      </c>
      <c r="AY51" s="215">
        <v>120</v>
      </c>
      <c r="AZ51" s="215">
        <v>150</v>
      </c>
      <c r="BA51" s="215">
        <v>150</v>
      </c>
      <c r="BC51" s="213" t="s">
        <v>100</v>
      </c>
      <c r="BD51" s="214">
        <v>260</v>
      </c>
      <c r="BE51" s="214">
        <v>250</v>
      </c>
      <c r="BF51" s="214">
        <v>250</v>
      </c>
      <c r="BG51" s="214">
        <v>250</v>
      </c>
      <c r="BH51" s="214">
        <v>250</v>
      </c>
      <c r="BI51" s="214">
        <v>240</v>
      </c>
      <c r="BJ51" s="214">
        <v>240</v>
      </c>
      <c r="BK51" s="214">
        <v>240</v>
      </c>
      <c r="BL51" s="214">
        <v>240</v>
      </c>
      <c r="BM51" s="214">
        <v>240</v>
      </c>
      <c r="BN51" s="214">
        <v>250</v>
      </c>
      <c r="BO51" s="214">
        <v>250</v>
      </c>
      <c r="BP51" s="214">
        <v>180</v>
      </c>
      <c r="BQ51" s="214">
        <v>180</v>
      </c>
      <c r="BR51" s="214">
        <v>180</v>
      </c>
      <c r="BS51" s="214">
        <v>170</v>
      </c>
      <c r="BT51" s="214">
        <v>170</v>
      </c>
      <c r="BU51" s="214">
        <v>170</v>
      </c>
      <c r="BV51" s="215">
        <v>170</v>
      </c>
      <c r="BW51" s="215">
        <v>110</v>
      </c>
      <c r="BX51" s="215">
        <v>110</v>
      </c>
      <c r="BY51" s="215">
        <v>120</v>
      </c>
      <c r="BZ51" s="215">
        <v>120</v>
      </c>
      <c r="CA51" s="215">
        <v>150</v>
      </c>
      <c r="CB51" s="215">
        <v>150</v>
      </c>
    </row>
    <row r="52" spans="1:80">
      <c r="A52" s="213" t="s">
        <v>101</v>
      </c>
      <c r="B52" s="214">
        <v>290</v>
      </c>
      <c r="C52" s="214">
        <v>280</v>
      </c>
      <c r="D52" s="214">
        <v>280</v>
      </c>
      <c r="E52" s="214">
        <v>280</v>
      </c>
      <c r="F52" s="214">
        <v>280</v>
      </c>
      <c r="G52" s="214">
        <v>260</v>
      </c>
      <c r="H52" s="214">
        <v>260</v>
      </c>
      <c r="I52" s="214">
        <v>270</v>
      </c>
      <c r="J52" s="214">
        <v>270</v>
      </c>
      <c r="K52" s="214">
        <v>270</v>
      </c>
      <c r="L52" s="214">
        <v>270</v>
      </c>
      <c r="M52" s="214">
        <v>270</v>
      </c>
      <c r="N52" s="214">
        <v>200</v>
      </c>
      <c r="O52" s="214">
        <v>200</v>
      </c>
      <c r="P52" s="214">
        <v>200</v>
      </c>
      <c r="Q52" s="214">
        <v>180</v>
      </c>
      <c r="R52" s="214">
        <v>180</v>
      </c>
      <c r="S52" s="214">
        <v>180</v>
      </c>
      <c r="T52" s="215">
        <v>180</v>
      </c>
      <c r="U52" s="215">
        <v>130</v>
      </c>
      <c r="V52" s="215">
        <v>130</v>
      </c>
      <c r="W52" s="215">
        <v>130</v>
      </c>
      <c r="X52" s="215">
        <v>130</v>
      </c>
      <c r="Y52" s="215">
        <v>130</v>
      </c>
      <c r="Z52" s="215">
        <v>130</v>
      </c>
      <c r="AB52" s="213" t="s">
        <v>101</v>
      </c>
      <c r="AC52" s="214">
        <v>270</v>
      </c>
      <c r="AD52" s="214">
        <v>260</v>
      </c>
      <c r="AE52" s="214">
        <v>260</v>
      </c>
      <c r="AF52" s="214">
        <v>260</v>
      </c>
      <c r="AG52" s="214">
        <v>260</v>
      </c>
      <c r="AH52" s="214">
        <v>240</v>
      </c>
      <c r="AI52" s="214">
        <v>240</v>
      </c>
      <c r="AJ52" s="214">
        <v>250</v>
      </c>
      <c r="AK52" s="214">
        <v>250</v>
      </c>
      <c r="AL52" s="214">
        <v>250</v>
      </c>
      <c r="AM52" s="214">
        <v>250</v>
      </c>
      <c r="AN52" s="214">
        <v>250</v>
      </c>
      <c r="AO52" s="214">
        <v>190</v>
      </c>
      <c r="AP52" s="214">
        <v>190</v>
      </c>
      <c r="AQ52" s="214">
        <v>190</v>
      </c>
      <c r="AR52" s="214">
        <v>170</v>
      </c>
      <c r="AS52" s="214">
        <v>170</v>
      </c>
      <c r="AT52" s="214">
        <v>170</v>
      </c>
      <c r="AU52" s="215">
        <v>170</v>
      </c>
      <c r="AV52" s="215">
        <v>120</v>
      </c>
      <c r="AW52" s="215">
        <v>120</v>
      </c>
      <c r="AX52" s="215">
        <v>110</v>
      </c>
      <c r="AY52" s="215">
        <v>110</v>
      </c>
      <c r="AZ52" s="215">
        <v>120</v>
      </c>
      <c r="BA52" s="215">
        <v>120</v>
      </c>
      <c r="BC52" s="213" t="s">
        <v>101</v>
      </c>
      <c r="BD52" s="214">
        <v>270</v>
      </c>
      <c r="BE52" s="214">
        <v>260</v>
      </c>
      <c r="BF52" s="214">
        <v>260</v>
      </c>
      <c r="BG52" s="214">
        <v>260</v>
      </c>
      <c r="BH52" s="214">
        <v>260</v>
      </c>
      <c r="BI52" s="214">
        <v>240</v>
      </c>
      <c r="BJ52" s="214">
        <v>240</v>
      </c>
      <c r="BK52" s="214">
        <v>250</v>
      </c>
      <c r="BL52" s="214">
        <v>250</v>
      </c>
      <c r="BM52" s="214">
        <v>250</v>
      </c>
      <c r="BN52" s="214">
        <v>250</v>
      </c>
      <c r="BO52" s="214">
        <v>250</v>
      </c>
      <c r="BP52" s="214">
        <v>190</v>
      </c>
      <c r="BQ52" s="214">
        <v>190</v>
      </c>
      <c r="BR52" s="214">
        <v>190</v>
      </c>
      <c r="BS52" s="214">
        <v>170</v>
      </c>
      <c r="BT52" s="214">
        <v>170</v>
      </c>
      <c r="BU52" s="214">
        <v>170</v>
      </c>
      <c r="BV52" s="215">
        <v>170</v>
      </c>
      <c r="BW52" s="215">
        <v>120</v>
      </c>
      <c r="BX52" s="215">
        <v>120</v>
      </c>
      <c r="BY52" s="215">
        <v>110</v>
      </c>
      <c r="BZ52" s="215">
        <v>110</v>
      </c>
      <c r="CA52" s="215">
        <v>120</v>
      </c>
      <c r="CB52" s="215">
        <v>120</v>
      </c>
    </row>
    <row r="53" spans="1:80">
      <c r="A53" s="213" t="s">
        <v>102</v>
      </c>
      <c r="B53" s="214">
        <v>290</v>
      </c>
      <c r="C53" s="214">
        <v>280</v>
      </c>
      <c r="D53" s="214">
        <v>280</v>
      </c>
      <c r="E53" s="214">
        <v>280</v>
      </c>
      <c r="F53" s="214">
        <v>280</v>
      </c>
      <c r="G53" s="214">
        <v>260</v>
      </c>
      <c r="H53" s="214">
        <v>260</v>
      </c>
      <c r="I53" s="214">
        <v>270</v>
      </c>
      <c r="J53" s="214">
        <v>270</v>
      </c>
      <c r="K53" s="214">
        <v>270</v>
      </c>
      <c r="L53" s="214">
        <v>270</v>
      </c>
      <c r="M53" s="214">
        <v>270</v>
      </c>
      <c r="N53" s="214">
        <v>200</v>
      </c>
      <c r="O53" s="214">
        <v>200</v>
      </c>
      <c r="P53" s="214">
        <v>200</v>
      </c>
      <c r="Q53" s="214">
        <v>180</v>
      </c>
      <c r="R53" s="214">
        <v>180</v>
      </c>
      <c r="S53" s="214">
        <v>180</v>
      </c>
      <c r="T53" s="215">
        <v>180</v>
      </c>
      <c r="U53" s="215">
        <v>130</v>
      </c>
      <c r="V53" s="215">
        <v>130</v>
      </c>
      <c r="W53" s="215">
        <v>130</v>
      </c>
      <c r="X53" s="215">
        <v>130</v>
      </c>
      <c r="Y53" s="215">
        <v>130</v>
      </c>
      <c r="Z53" s="215">
        <v>130</v>
      </c>
      <c r="AB53" s="213" t="s">
        <v>102</v>
      </c>
      <c r="AC53" s="214">
        <v>270</v>
      </c>
      <c r="AD53" s="214">
        <v>260</v>
      </c>
      <c r="AE53" s="214">
        <v>260</v>
      </c>
      <c r="AF53" s="214">
        <v>260</v>
      </c>
      <c r="AG53" s="214">
        <v>260</v>
      </c>
      <c r="AH53" s="214">
        <v>240</v>
      </c>
      <c r="AI53" s="214">
        <v>240</v>
      </c>
      <c r="AJ53" s="214">
        <v>250</v>
      </c>
      <c r="AK53" s="214">
        <v>250</v>
      </c>
      <c r="AL53" s="214">
        <v>250</v>
      </c>
      <c r="AM53" s="214">
        <v>250</v>
      </c>
      <c r="AN53" s="214">
        <v>250</v>
      </c>
      <c r="AO53" s="214">
        <v>190</v>
      </c>
      <c r="AP53" s="214">
        <v>190</v>
      </c>
      <c r="AQ53" s="214">
        <v>190</v>
      </c>
      <c r="AR53" s="214">
        <v>170</v>
      </c>
      <c r="AS53" s="214">
        <v>170</v>
      </c>
      <c r="AT53" s="214">
        <v>170</v>
      </c>
      <c r="AU53" s="215">
        <v>170</v>
      </c>
      <c r="AV53" s="215">
        <v>120</v>
      </c>
      <c r="AW53" s="215">
        <v>120</v>
      </c>
      <c r="AX53" s="215">
        <v>110</v>
      </c>
      <c r="AY53" s="215">
        <v>110</v>
      </c>
      <c r="AZ53" s="215">
        <v>120</v>
      </c>
      <c r="BA53" s="215">
        <v>120</v>
      </c>
      <c r="BC53" s="213" t="s">
        <v>102</v>
      </c>
      <c r="BD53" s="214">
        <v>270</v>
      </c>
      <c r="BE53" s="214">
        <v>260</v>
      </c>
      <c r="BF53" s="214">
        <v>260</v>
      </c>
      <c r="BG53" s="214">
        <v>260</v>
      </c>
      <c r="BH53" s="214">
        <v>260</v>
      </c>
      <c r="BI53" s="214">
        <v>240</v>
      </c>
      <c r="BJ53" s="214">
        <v>240</v>
      </c>
      <c r="BK53" s="214">
        <v>250</v>
      </c>
      <c r="BL53" s="214">
        <v>250</v>
      </c>
      <c r="BM53" s="214">
        <v>250</v>
      </c>
      <c r="BN53" s="214">
        <v>250</v>
      </c>
      <c r="BO53" s="214">
        <v>250</v>
      </c>
      <c r="BP53" s="214">
        <v>190</v>
      </c>
      <c r="BQ53" s="214">
        <v>190</v>
      </c>
      <c r="BR53" s="214">
        <v>190</v>
      </c>
      <c r="BS53" s="214">
        <v>170</v>
      </c>
      <c r="BT53" s="214">
        <v>170</v>
      </c>
      <c r="BU53" s="214">
        <v>170</v>
      </c>
      <c r="BV53" s="215">
        <v>170</v>
      </c>
      <c r="BW53" s="215">
        <v>120</v>
      </c>
      <c r="BX53" s="215">
        <v>120</v>
      </c>
      <c r="BY53" s="215">
        <v>110</v>
      </c>
      <c r="BZ53" s="215">
        <v>110</v>
      </c>
      <c r="CA53" s="215">
        <v>120</v>
      </c>
      <c r="CB53" s="215">
        <v>120</v>
      </c>
    </row>
    <row r="54" spans="1:80">
      <c r="A54" s="213" t="s">
        <v>103</v>
      </c>
      <c r="B54" s="214">
        <v>300</v>
      </c>
      <c r="C54" s="214">
        <v>280</v>
      </c>
      <c r="D54" s="214">
        <v>280</v>
      </c>
      <c r="E54" s="214">
        <v>280</v>
      </c>
      <c r="F54" s="214">
        <v>280</v>
      </c>
      <c r="G54" s="214">
        <v>270</v>
      </c>
      <c r="H54" s="214">
        <v>270</v>
      </c>
      <c r="I54" s="214">
        <v>270</v>
      </c>
      <c r="J54" s="214">
        <v>270</v>
      </c>
      <c r="K54" s="214">
        <v>270</v>
      </c>
      <c r="L54" s="214">
        <v>280</v>
      </c>
      <c r="M54" s="214">
        <v>280</v>
      </c>
      <c r="N54" s="214">
        <v>240</v>
      </c>
      <c r="O54" s="214">
        <v>240</v>
      </c>
      <c r="P54" s="214">
        <v>240</v>
      </c>
      <c r="Q54" s="214">
        <v>190</v>
      </c>
      <c r="R54" s="214">
        <v>190</v>
      </c>
      <c r="S54" s="214">
        <v>190</v>
      </c>
      <c r="T54" s="215">
        <v>190</v>
      </c>
      <c r="U54" s="215">
        <v>160</v>
      </c>
      <c r="V54" s="215">
        <v>160</v>
      </c>
      <c r="W54" s="215">
        <v>130</v>
      </c>
      <c r="X54" s="215">
        <v>130</v>
      </c>
      <c r="Y54" s="215">
        <v>130</v>
      </c>
      <c r="Z54" s="215">
        <v>130</v>
      </c>
      <c r="AB54" s="213" t="s">
        <v>103</v>
      </c>
      <c r="AC54" s="214">
        <v>280</v>
      </c>
      <c r="AD54" s="214">
        <v>260</v>
      </c>
      <c r="AE54" s="214">
        <v>260</v>
      </c>
      <c r="AF54" s="214">
        <v>260</v>
      </c>
      <c r="AG54" s="214">
        <v>260</v>
      </c>
      <c r="AH54" s="214">
        <v>250</v>
      </c>
      <c r="AI54" s="214">
        <v>250</v>
      </c>
      <c r="AJ54" s="214">
        <v>250</v>
      </c>
      <c r="AK54" s="214">
        <v>250</v>
      </c>
      <c r="AL54" s="214">
        <v>250</v>
      </c>
      <c r="AM54" s="214">
        <v>260</v>
      </c>
      <c r="AN54" s="214">
        <v>260</v>
      </c>
      <c r="AO54" s="214">
        <v>220</v>
      </c>
      <c r="AP54" s="214">
        <v>220</v>
      </c>
      <c r="AQ54" s="214">
        <v>220</v>
      </c>
      <c r="AR54" s="214">
        <v>180</v>
      </c>
      <c r="AS54" s="214">
        <v>180</v>
      </c>
      <c r="AT54" s="214">
        <v>180</v>
      </c>
      <c r="AU54" s="215">
        <v>180</v>
      </c>
      <c r="AV54" s="215">
        <v>150</v>
      </c>
      <c r="AW54" s="215">
        <v>150</v>
      </c>
      <c r="AX54" s="215">
        <v>120</v>
      </c>
      <c r="AY54" s="215">
        <v>120</v>
      </c>
      <c r="AZ54" s="215">
        <v>110</v>
      </c>
      <c r="BA54" s="215">
        <v>110</v>
      </c>
      <c r="BC54" s="213" t="s">
        <v>103</v>
      </c>
      <c r="BD54" s="214">
        <v>280</v>
      </c>
      <c r="BE54" s="214">
        <v>260</v>
      </c>
      <c r="BF54" s="214">
        <v>260</v>
      </c>
      <c r="BG54" s="214">
        <v>260</v>
      </c>
      <c r="BH54" s="214">
        <v>260</v>
      </c>
      <c r="BI54" s="214">
        <v>250</v>
      </c>
      <c r="BJ54" s="214">
        <v>250</v>
      </c>
      <c r="BK54" s="214">
        <v>250</v>
      </c>
      <c r="BL54" s="214">
        <v>250</v>
      </c>
      <c r="BM54" s="214">
        <v>250</v>
      </c>
      <c r="BN54" s="214">
        <v>260</v>
      </c>
      <c r="BO54" s="214">
        <v>260</v>
      </c>
      <c r="BP54" s="214">
        <v>220</v>
      </c>
      <c r="BQ54" s="214">
        <v>220</v>
      </c>
      <c r="BR54" s="214">
        <v>220</v>
      </c>
      <c r="BS54" s="214">
        <v>180</v>
      </c>
      <c r="BT54" s="214">
        <v>180</v>
      </c>
      <c r="BU54" s="214">
        <v>180</v>
      </c>
      <c r="BV54" s="215">
        <v>180</v>
      </c>
      <c r="BW54" s="215">
        <v>150</v>
      </c>
      <c r="BX54" s="215">
        <v>150</v>
      </c>
      <c r="BY54" s="215">
        <v>120</v>
      </c>
      <c r="BZ54" s="215">
        <v>120</v>
      </c>
      <c r="CA54" s="215">
        <v>110</v>
      </c>
      <c r="CB54" s="215">
        <v>110</v>
      </c>
    </row>
    <row r="55" spans="1:80">
      <c r="A55" s="213" t="s">
        <v>104</v>
      </c>
      <c r="B55" s="214">
        <v>300</v>
      </c>
      <c r="C55" s="214">
        <v>280</v>
      </c>
      <c r="D55" s="214">
        <v>280</v>
      </c>
      <c r="E55" s="214">
        <v>280</v>
      </c>
      <c r="F55" s="214">
        <v>280</v>
      </c>
      <c r="G55" s="214">
        <v>270</v>
      </c>
      <c r="H55" s="214">
        <v>270</v>
      </c>
      <c r="I55" s="214">
        <v>270</v>
      </c>
      <c r="J55" s="214">
        <v>270</v>
      </c>
      <c r="K55" s="214">
        <v>270</v>
      </c>
      <c r="L55" s="214">
        <v>280</v>
      </c>
      <c r="M55" s="214">
        <v>280</v>
      </c>
      <c r="N55" s="214">
        <v>240</v>
      </c>
      <c r="O55" s="214">
        <v>240</v>
      </c>
      <c r="P55" s="214">
        <v>240</v>
      </c>
      <c r="Q55" s="214">
        <v>190</v>
      </c>
      <c r="R55" s="214">
        <v>190</v>
      </c>
      <c r="S55" s="214">
        <v>190</v>
      </c>
      <c r="T55" s="215">
        <v>190</v>
      </c>
      <c r="U55" s="215">
        <v>160</v>
      </c>
      <c r="V55" s="215">
        <v>160</v>
      </c>
      <c r="W55" s="215">
        <v>130</v>
      </c>
      <c r="X55" s="215">
        <v>130</v>
      </c>
      <c r="Y55" s="215">
        <v>130</v>
      </c>
      <c r="Z55" s="215">
        <v>130</v>
      </c>
      <c r="AB55" s="213" t="s">
        <v>104</v>
      </c>
      <c r="AC55" s="214">
        <v>280</v>
      </c>
      <c r="AD55" s="214">
        <v>260</v>
      </c>
      <c r="AE55" s="214">
        <v>260</v>
      </c>
      <c r="AF55" s="214">
        <v>260</v>
      </c>
      <c r="AG55" s="214">
        <v>260</v>
      </c>
      <c r="AH55" s="214">
        <v>250</v>
      </c>
      <c r="AI55" s="214">
        <v>250</v>
      </c>
      <c r="AJ55" s="214">
        <v>250</v>
      </c>
      <c r="AK55" s="214">
        <v>250</v>
      </c>
      <c r="AL55" s="214">
        <v>250</v>
      </c>
      <c r="AM55" s="214">
        <v>260</v>
      </c>
      <c r="AN55" s="214">
        <v>260</v>
      </c>
      <c r="AO55" s="214">
        <v>220</v>
      </c>
      <c r="AP55" s="214">
        <v>220</v>
      </c>
      <c r="AQ55" s="214">
        <v>220</v>
      </c>
      <c r="AR55" s="214">
        <v>180</v>
      </c>
      <c r="AS55" s="214">
        <v>180</v>
      </c>
      <c r="AT55" s="214">
        <v>180</v>
      </c>
      <c r="AU55" s="215">
        <v>180</v>
      </c>
      <c r="AV55" s="215">
        <v>150</v>
      </c>
      <c r="AW55" s="215">
        <v>150</v>
      </c>
      <c r="AX55" s="215">
        <v>120</v>
      </c>
      <c r="AY55" s="215">
        <v>120</v>
      </c>
      <c r="AZ55" s="215">
        <v>110</v>
      </c>
      <c r="BA55" s="215">
        <v>110</v>
      </c>
      <c r="BC55" s="213" t="s">
        <v>104</v>
      </c>
      <c r="BD55" s="214">
        <v>280</v>
      </c>
      <c r="BE55" s="214">
        <v>260</v>
      </c>
      <c r="BF55" s="214">
        <v>260</v>
      </c>
      <c r="BG55" s="214">
        <v>260</v>
      </c>
      <c r="BH55" s="214">
        <v>260</v>
      </c>
      <c r="BI55" s="214">
        <v>250</v>
      </c>
      <c r="BJ55" s="214">
        <v>250</v>
      </c>
      <c r="BK55" s="214">
        <v>250</v>
      </c>
      <c r="BL55" s="214">
        <v>250</v>
      </c>
      <c r="BM55" s="214">
        <v>250</v>
      </c>
      <c r="BN55" s="214">
        <v>260</v>
      </c>
      <c r="BO55" s="214">
        <v>260</v>
      </c>
      <c r="BP55" s="214">
        <v>220</v>
      </c>
      <c r="BQ55" s="214">
        <v>220</v>
      </c>
      <c r="BR55" s="214">
        <v>220</v>
      </c>
      <c r="BS55" s="214">
        <v>180</v>
      </c>
      <c r="BT55" s="214">
        <v>180</v>
      </c>
      <c r="BU55" s="214">
        <v>180</v>
      </c>
      <c r="BV55" s="215">
        <v>180</v>
      </c>
      <c r="BW55" s="215">
        <v>150</v>
      </c>
      <c r="BX55" s="215">
        <v>150</v>
      </c>
      <c r="BY55" s="215">
        <v>120</v>
      </c>
      <c r="BZ55" s="215">
        <v>120</v>
      </c>
      <c r="CA55" s="215">
        <v>110</v>
      </c>
      <c r="CB55" s="215">
        <v>110</v>
      </c>
    </row>
    <row r="57" spans="1:80">
      <c r="A57" s="135" t="s">
        <v>27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B57" s="135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C57" s="135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  <c r="BX57" s="136"/>
      <c r="BY57" s="136"/>
      <c r="BZ57" s="136"/>
      <c r="CA57" s="136"/>
      <c r="CB57" s="136"/>
    </row>
    <row r="58" spans="1:80" ht="73.5">
      <c r="A58" s="212" t="s">
        <v>32</v>
      </c>
      <c r="B58" s="212" t="s">
        <v>13</v>
      </c>
      <c r="C58" s="212" t="s">
        <v>89</v>
      </c>
      <c r="D58" s="212" t="s">
        <v>90</v>
      </c>
      <c r="E58" s="212" t="s">
        <v>24</v>
      </c>
      <c r="F58" s="212" t="s">
        <v>9</v>
      </c>
      <c r="G58" s="212" t="s">
        <v>91</v>
      </c>
      <c r="H58" s="212" t="s">
        <v>7</v>
      </c>
      <c r="I58" s="212" t="s">
        <v>6</v>
      </c>
      <c r="J58" s="212" t="s">
        <v>5</v>
      </c>
      <c r="K58" s="212" t="s">
        <v>4</v>
      </c>
      <c r="L58" s="212" t="s">
        <v>3</v>
      </c>
      <c r="M58" s="212" t="s">
        <v>2</v>
      </c>
      <c r="N58" s="212" t="s">
        <v>92</v>
      </c>
      <c r="O58" s="212" t="s">
        <v>93</v>
      </c>
      <c r="P58" s="212" t="s">
        <v>94</v>
      </c>
      <c r="Q58" s="212" t="s">
        <v>95</v>
      </c>
      <c r="R58" s="212" t="s">
        <v>96</v>
      </c>
      <c r="S58" s="212" t="s">
        <v>97</v>
      </c>
      <c r="T58" s="212" t="s">
        <v>98</v>
      </c>
      <c r="U58" s="212" t="s">
        <v>99</v>
      </c>
      <c r="V58" s="212" t="s">
        <v>100</v>
      </c>
      <c r="W58" s="212" t="s">
        <v>101</v>
      </c>
      <c r="X58" s="212" t="s">
        <v>102</v>
      </c>
      <c r="Y58" s="212" t="s">
        <v>103</v>
      </c>
      <c r="Z58" s="212" t="s">
        <v>104</v>
      </c>
      <c r="AB58" s="212" t="s">
        <v>32</v>
      </c>
      <c r="AC58" s="212" t="s">
        <v>13</v>
      </c>
      <c r="AD58" s="212" t="s">
        <v>89</v>
      </c>
      <c r="AE58" s="212" t="s">
        <v>90</v>
      </c>
      <c r="AF58" s="212" t="s">
        <v>24</v>
      </c>
      <c r="AG58" s="212" t="s">
        <v>9</v>
      </c>
      <c r="AH58" s="212" t="s">
        <v>91</v>
      </c>
      <c r="AI58" s="212" t="s">
        <v>7</v>
      </c>
      <c r="AJ58" s="212" t="s">
        <v>6</v>
      </c>
      <c r="AK58" s="212" t="s">
        <v>5</v>
      </c>
      <c r="AL58" s="212" t="s">
        <v>4</v>
      </c>
      <c r="AM58" s="212" t="s">
        <v>3</v>
      </c>
      <c r="AN58" s="212" t="s">
        <v>2</v>
      </c>
      <c r="AO58" s="212" t="s">
        <v>92</v>
      </c>
      <c r="AP58" s="212" t="s">
        <v>93</v>
      </c>
      <c r="AQ58" s="212" t="s">
        <v>94</v>
      </c>
      <c r="AR58" s="212" t="s">
        <v>95</v>
      </c>
      <c r="AS58" s="212" t="s">
        <v>96</v>
      </c>
      <c r="AT58" s="212" t="s">
        <v>97</v>
      </c>
      <c r="AU58" s="212" t="s">
        <v>98</v>
      </c>
      <c r="AV58" s="212" t="s">
        <v>99</v>
      </c>
      <c r="AW58" s="212" t="s">
        <v>100</v>
      </c>
      <c r="AX58" s="212" t="s">
        <v>101</v>
      </c>
      <c r="AY58" s="212" t="s">
        <v>102</v>
      </c>
      <c r="AZ58" s="212" t="s">
        <v>103</v>
      </c>
      <c r="BA58" s="212" t="s">
        <v>104</v>
      </c>
      <c r="BC58" s="212" t="s">
        <v>32</v>
      </c>
      <c r="BD58" s="212" t="s">
        <v>13</v>
      </c>
      <c r="BE58" s="212" t="s">
        <v>89</v>
      </c>
      <c r="BF58" s="212" t="s">
        <v>90</v>
      </c>
      <c r="BG58" s="212" t="s">
        <v>24</v>
      </c>
      <c r="BH58" s="212" t="s">
        <v>9</v>
      </c>
      <c r="BI58" s="212" t="s">
        <v>91</v>
      </c>
      <c r="BJ58" s="212" t="s">
        <v>7</v>
      </c>
      <c r="BK58" s="212" t="s">
        <v>6</v>
      </c>
      <c r="BL58" s="212" t="s">
        <v>5</v>
      </c>
      <c r="BM58" s="212" t="s">
        <v>4</v>
      </c>
      <c r="BN58" s="212" t="s">
        <v>3</v>
      </c>
      <c r="BO58" s="212" t="s">
        <v>2</v>
      </c>
      <c r="BP58" s="212" t="s">
        <v>92</v>
      </c>
      <c r="BQ58" s="212" t="s">
        <v>93</v>
      </c>
      <c r="BR58" s="212" t="s">
        <v>94</v>
      </c>
      <c r="BS58" s="212" t="s">
        <v>95</v>
      </c>
      <c r="BT58" s="212" t="s">
        <v>96</v>
      </c>
      <c r="BU58" s="212" t="s">
        <v>97</v>
      </c>
      <c r="BV58" s="212" t="s">
        <v>98</v>
      </c>
      <c r="BW58" s="212" t="s">
        <v>99</v>
      </c>
      <c r="BX58" s="212" t="s">
        <v>100</v>
      </c>
      <c r="BY58" s="212" t="s">
        <v>101</v>
      </c>
      <c r="BZ58" s="212" t="s">
        <v>102</v>
      </c>
      <c r="CA58" s="212" t="s">
        <v>103</v>
      </c>
      <c r="CB58" s="212" t="s">
        <v>104</v>
      </c>
    </row>
    <row r="59" spans="1:80">
      <c r="A59" s="213" t="s">
        <v>13</v>
      </c>
      <c r="B59" s="214">
        <v>190</v>
      </c>
      <c r="C59" s="214">
        <v>230</v>
      </c>
      <c r="D59" s="214">
        <v>230</v>
      </c>
      <c r="E59" s="214">
        <v>230</v>
      </c>
      <c r="F59" s="214">
        <v>230</v>
      </c>
      <c r="G59" s="214">
        <v>250</v>
      </c>
      <c r="H59" s="214">
        <v>250</v>
      </c>
      <c r="I59" s="214">
        <v>260</v>
      </c>
      <c r="J59" s="214">
        <v>260</v>
      </c>
      <c r="K59" s="214">
        <v>260</v>
      </c>
      <c r="L59" s="214">
        <v>270</v>
      </c>
      <c r="M59" s="214">
        <v>270</v>
      </c>
      <c r="N59" s="214">
        <v>270</v>
      </c>
      <c r="O59" s="214">
        <v>270</v>
      </c>
      <c r="P59" s="214">
        <v>270</v>
      </c>
      <c r="Q59" s="214">
        <v>270</v>
      </c>
      <c r="R59" s="214">
        <v>270</v>
      </c>
      <c r="S59" s="214">
        <v>270</v>
      </c>
      <c r="T59" s="215">
        <v>270</v>
      </c>
      <c r="U59" s="215">
        <v>420</v>
      </c>
      <c r="V59" s="215">
        <v>420</v>
      </c>
      <c r="W59" s="215">
        <v>450</v>
      </c>
      <c r="X59" s="215">
        <v>450</v>
      </c>
      <c r="Y59" s="215">
        <v>450</v>
      </c>
      <c r="Z59" s="215">
        <v>450</v>
      </c>
      <c r="AB59" s="213" t="s">
        <v>13</v>
      </c>
      <c r="AC59" s="214">
        <v>170</v>
      </c>
      <c r="AD59" s="214">
        <v>200</v>
      </c>
      <c r="AE59" s="214">
        <v>200</v>
      </c>
      <c r="AF59" s="214">
        <v>200</v>
      </c>
      <c r="AG59" s="214">
        <v>200</v>
      </c>
      <c r="AH59" s="214">
        <v>230</v>
      </c>
      <c r="AI59" s="214">
        <v>230</v>
      </c>
      <c r="AJ59" s="214">
        <v>230</v>
      </c>
      <c r="AK59" s="214">
        <v>230</v>
      </c>
      <c r="AL59" s="214">
        <v>230</v>
      </c>
      <c r="AM59" s="214">
        <v>240</v>
      </c>
      <c r="AN59" s="214">
        <v>240</v>
      </c>
      <c r="AO59" s="214">
        <v>240</v>
      </c>
      <c r="AP59" s="214">
        <v>240</v>
      </c>
      <c r="AQ59" s="214">
        <v>240</v>
      </c>
      <c r="AR59" s="214">
        <v>250</v>
      </c>
      <c r="AS59" s="214">
        <v>250</v>
      </c>
      <c r="AT59" s="214">
        <v>250</v>
      </c>
      <c r="AU59" s="215">
        <v>250</v>
      </c>
      <c r="AV59" s="215">
        <v>390</v>
      </c>
      <c r="AW59" s="215">
        <v>390</v>
      </c>
      <c r="AX59" s="215">
        <v>410</v>
      </c>
      <c r="AY59" s="215">
        <v>410</v>
      </c>
      <c r="AZ59" s="215">
        <v>410</v>
      </c>
      <c r="BA59" s="215">
        <v>410</v>
      </c>
      <c r="BC59" s="213" t="s">
        <v>13</v>
      </c>
      <c r="BD59" s="214">
        <v>170</v>
      </c>
      <c r="BE59" s="214">
        <v>200</v>
      </c>
      <c r="BF59" s="214">
        <v>200</v>
      </c>
      <c r="BG59" s="214">
        <v>200</v>
      </c>
      <c r="BH59" s="214">
        <v>200</v>
      </c>
      <c r="BI59" s="214">
        <v>230</v>
      </c>
      <c r="BJ59" s="214">
        <v>230</v>
      </c>
      <c r="BK59" s="214">
        <v>230</v>
      </c>
      <c r="BL59" s="214">
        <v>230</v>
      </c>
      <c r="BM59" s="214">
        <v>230</v>
      </c>
      <c r="BN59" s="214">
        <v>240</v>
      </c>
      <c r="BO59" s="214">
        <v>240</v>
      </c>
      <c r="BP59" s="214">
        <v>240</v>
      </c>
      <c r="BQ59" s="214">
        <v>240</v>
      </c>
      <c r="BR59" s="214">
        <v>240</v>
      </c>
      <c r="BS59" s="214">
        <v>250</v>
      </c>
      <c r="BT59" s="214">
        <v>250</v>
      </c>
      <c r="BU59" s="214">
        <v>250</v>
      </c>
      <c r="BV59" s="215">
        <v>250</v>
      </c>
      <c r="BW59" s="215">
        <v>390</v>
      </c>
      <c r="BX59" s="215">
        <v>390</v>
      </c>
      <c r="BY59" s="215">
        <v>410</v>
      </c>
      <c r="BZ59" s="215">
        <v>410</v>
      </c>
      <c r="CA59" s="215">
        <v>410</v>
      </c>
      <c r="CB59" s="215">
        <v>410</v>
      </c>
    </row>
    <row r="60" spans="1:80">
      <c r="A60" s="213" t="s">
        <v>89</v>
      </c>
      <c r="B60" s="214">
        <v>230</v>
      </c>
      <c r="C60" s="214">
        <v>190</v>
      </c>
      <c r="D60" s="214">
        <v>190</v>
      </c>
      <c r="E60" s="214">
        <v>190</v>
      </c>
      <c r="F60" s="214">
        <v>190</v>
      </c>
      <c r="G60" s="214">
        <v>240</v>
      </c>
      <c r="H60" s="214">
        <v>240</v>
      </c>
      <c r="I60" s="214">
        <v>250</v>
      </c>
      <c r="J60" s="214">
        <v>250</v>
      </c>
      <c r="K60" s="214">
        <v>250</v>
      </c>
      <c r="L60" s="214">
        <v>260</v>
      </c>
      <c r="M60" s="214">
        <v>260</v>
      </c>
      <c r="N60" s="214">
        <v>260</v>
      </c>
      <c r="O60" s="214">
        <v>260</v>
      </c>
      <c r="P60" s="214">
        <v>260</v>
      </c>
      <c r="Q60" s="214">
        <v>270</v>
      </c>
      <c r="R60" s="214">
        <v>270</v>
      </c>
      <c r="S60" s="214">
        <v>270</v>
      </c>
      <c r="T60" s="215">
        <v>270</v>
      </c>
      <c r="U60" s="215">
        <v>420</v>
      </c>
      <c r="V60" s="215">
        <v>420</v>
      </c>
      <c r="W60" s="215">
        <v>420</v>
      </c>
      <c r="X60" s="215">
        <v>420</v>
      </c>
      <c r="Y60" s="215">
        <v>420</v>
      </c>
      <c r="Z60" s="215">
        <v>420</v>
      </c>
      <c r="AB60" s="213" t="s">
        <v>89</v>
      </c>
      <c r="AC60" s="214">
        <v>200</v>
      </c>
      <c r="AD60" s="214">
        <v>170</v>
      </c>
      <c r="AE60" s="214">
        <v>170</v>
      </c>
      <c r="AF60" s="214">
        <v>170</v>
      </c>
      <c r="AG60" s="214">
        <v>170</v>
      </c>
      <c r="AH60" s="214">
        <v>210</v>
      </c>
      <c r="AI60" s="214">
        <v>210</v>
      </c>
      <c r="AJ60" s="214">
        <v>230</v>
      </c>
      <c r="AK60" s="214">
        <v>230</v>
      </c>
      <c r="AL60" s="214">
        <v>230</v>
      </c>
      <c r="AM60" s="214">
        <v>230</v>
      </c>
      <c r="AN60" s="214">
        <v>230</v>
      </c>
      <c r="AO60" s="214">
        <v>240</v>
      </c>
      <c r="AP60" s="214">
        <v>240</v>
      </c>
      <c r="AQ60" s="214">
        <v>240</v>
      </c>
      <c r="AR60" s="214">
        <v>240</v>
      </c>
      <c r="AS60" s="214">
        <v>240</v>
      </c>
      <c r="AT60" s="214">
        <v>240</v>
      </c>
      <c r="AU60" s="215">
        <v>240</v>
      </c>
      <c r="AV60" s="215">
        <v>380</v>
      </c>
      <c r="AW60" s="215">
        <v>380</v>
      </c>
      <c r="AX60" s="215">
        <v>390</v>
      </c>
      <c r="AY60" s="215">
        <v>390</v>
      </c>
      <c r="AZ60" s="215">
        <v>390</v>
      </c>
      <c r="BA60" s="215">
        <v>390</v>
      </c>
      <c r="BC60" s="213" t="s">
        <v>89</v>
      </c>
      <c r="BD60" s="214">
        <v>200</v>
      </c>
      <c r="BE60" s="214">
        <v>170</v>
      </c>
      <c r="BF60" s="214">
        <v>170</v>
      </c>
      <c r="BG60" s="214">
        <v>170</v>
      </c>
      <c r="BH60" s="214">
        <v>170</v>
      </c>
      <c r="BI60" s="214">
        <v>210</v>
      </c>
      <c r="BJ60" s="214">
        <v>210</v>
      </c>
      <c r="BK60" s="214">
        <v>230</v>
      </c>
      <c r="BL60" s="214">
        <v>230</v>
      </c>
      <c r="BM60" s="214">
        <v>230</v>
      </c>
      <c r="BN60" s="214">
        <v>230</v>
      </c>
      <c r="BO60" s="214">
        <v>230</v>
      </c>
      <c r="BP60" s="214">
        <v>240</v>
      </c>
      <c r="BQ60" s="214">
        <v>240</v>
      </c>
      <c r="BR60" s="214">
        <v>240</v>
      </c>
      <c r="BS60" s="214">
        <v>240</v>
      </c>
      <c r="BT60" s="214">
        <v>240</v>
      </c>
      <c r="BU60" s="214">
        <v>240</v>
      </c>
      <c r="BV60" s="215">
        <v>240</v>
      </c>
      <c r="BW60" s="215">
        <v>380</v>
      </c>
      <c r="BX60" s="215">
        <v>380</v>
      </c>
      <c r="BY60" s="215">
        <v>390</v>
      </c>
      <c r="BZ60" s="215">
        <v>390</v>
      </c>
      <c r="CA60" s="215">
        <v>390</v>
      </c>
      <c r="CB60" s="215">
        <v>390</v>
      </c>
    </row>
    <row r="61" spans="1:80">
      <c r="A61" s="213" t="s">
        <v>90</v>
      </c>
      <c r="B61" s="214">
        <v>230</v>
      </c>
      <c r="C61" s="214">
        <v>190</v>
      </c>
      <c r="D61" s="214">
        <v>190</v>
      </c>
      <c r="E61" s="214">
        <v>190</v>
      </c>
      <c r="F61" s="214">
        <v>190</v>
      </c>
      <c r="G61" s="214">
        <v>240</v>
      </c>
      <c r="H61" s="214">
        <v>240</v>
      </c>
      <c r="I61" s="214">
        <v>250</v>
      </c>
      <c r="J61" s="214">
        <v>250</v>
      </c>
      <c r="K61" s="214">
        <v>250</v>
      </c>
      <c r="L61" s="214">
        <v>260</v>
      </c>
      <c r="M61" s="214">
        <v>260</v>
      </c>
      <c r="N61" s="214">
        <v>260</v>
      </c>
      <c r="O61" s="214">
        <v>260</v>
      </c>
      <c r="P61" s="214">
        <v>260</v>
      </c>
      <c r="Q61" s="214">
        <v>270</v>
      </c>
      <c r="R61" s="214">
        <v>270</v>
      </c>
      <c r="S61" s="214">
        <v>270</v>
      </c>
      <c r="T61" s="215">
        <v>270</v>
      </c>
      <c r="U61" s="215">
        <v>420</v>
      </c>
      <c r="V61" s="215">
        <v>420</v>
      </c>
      <c r="W61" s="215">
        <v>420</v>
      </c>
      <c r="X61" s="215">
        <v>420</v>
      </c>
      <c r="Y61" s="215">
        <v>420</v>
      </c>
      <c r="Z61" s="215">
        <v>420</v>
      </c>
      <c r="AB61" s="213" t="s">
        <v>90</v>
      </c>
      <c r="AC61" s="214">
        <v>200</v>
      </c>
      <c r="AD61" s="214">
        <v>170</v>
      </c>
      <c r="AE61" s="214">
        <v>170</v>
      </c>
      <c r="AF61" s="214">
        <v>170</v>
      </c>
      <c r="AG61" s="214">
        <v>170</v>
      </c>
      <c r="AH61" s="214">
        <v>210</v>
      </c>
      <c r="AI61" s="214">
        <v>210</v>
      </c>
      <c r="AJ61" s="214">
        <v>230</v>
      </c>
      <c r="AK61" s="214">
        <v>230</v>
      </c>
      <c r="AL61" s="214">
        <v>230</v>
      </c>
      <c r="AM61" s="214">
        <v>230</v>
      </c>
      <c r="AN61" s="214">
        <v>230</v>
      </c>
      <c r="AO61" s="214">
        <v>240</v>
      </c>
      <c r="AP61" s="214">
        <v>240</v>
      </c>
      <c r="AQ61" s="214">
        <v>240</v>
      </c>
      <c r="AR61" s="214">
        <v>240</v>
      </c>
      <c r="AS61" s="214">
        <v>240</v>
      </c>
      <c r="AT61" s="214">
        <v>240</v>
      </c>
      <c r="AU61" s="215">
        <v>240</v>
      </c>
      <c r="AV61" s="215">
        <v>380</v>
      </c>
      <c r="AW61" s="215">
        <v>380</v>
      </c>
      <c r="AX61" s="215">
        <v>390</v>
      </c>
      <c r="AY61" s="215">
        <v>390</v>
      </c>
      <c r="AZ61" s="215">
        <v>390</v>
      </c>
      <c r="BA61" s="215">
        <v>390</v>
      </c>
      <c r="BC61" s="213" t="s">
        <v>90</v>
      </c>
      <c r="BD61" s="214">
        <v>200</v>
      </c>
      <c r="BE61" s="214">
        <v>170</v>
      </c>
      <c r="BF61" s="214">
        <v>170</v>
      </c>
      <c r="BG61" s="214">
        <v>170</v>
      </c>
      <c r="BH61" s="214">
        <v>170</v>
      </c>
      <c r="BI61" s="214">
        <v>210</v>
      </c>
      <c r="BJ61" s="214">
        <v>210</v>
      </c>
      <c r="BK61" s="214">
        <v>230</v>
      </c>
      <c r="BL61" s="214">
        <v>230</v>
      </c>
      <c r="BM61" s="214">
        <v>230</v>
      </c>
      <c r="BN61" s="214">
        <v>230</v>
      </c>
      <c r="BO61" s="214">
        <v>230</v>
      </c>
      <c r="BP61" s="214">
        <v>240</v>
      </c>
      <c r="BQ61" s="214">
        <v>240</v>
      </c>
      <c r="BR61" s="214">
        <v>240</v>
      </c>
      <c r="BS61" s="214">
        <v>240</v>
      </c>
      <c r="BT61" s="214">
        <v>240</v>
      </c>
      <c r="BU61" s="214">
        <v>240</v>
      </c>
      <c r="BV61" s="215">
        <v>240</v>
      </c>
      <c r="BW61" s="215">
        <v>380</v>
      </c>
      <c r="BX61" s="215">
        <v>380</v>
      </c>
      <c r="BY61" s="215">
        <v>390</v>
      </c>
      <c r="BZ61" s="215">
        <v>390</v>
      </c>
      <c r="CA61" s="215">
        <v>390</v>
      </c>
      <c r="CB61" s="215">
        <v>390</v>
      </c>
    </row>
    <row r="62" spans="1:80">
      <c r="A62" s="213" t="s">
        <v>24</v>
      </c>
      <c r="B62" s="214">
        <v>230</v>
      </c>
      <c r="C62" s="214">
        <v>190</v>
      </c>
      <c r="D62" s="214">
        <v>190</v>
      </c>
      <c r="E62" s="214">
        <v>190</v>
      </c>
      <c r="F62" s="214">
        <v>190</v>
      </c>
      <c r="G62" s="214">
        <v>240</v>
      </c>
      <c r="H62" s="214">
        <v>240</v>
      </c>
      <c r="I62" s="214">
        <v>250</v>
      </c>
      <c r="J62" s="214">
        <v>250</v>
      </c>
      <c r="K62" s="214">
        <v>250</v>
      </c>
      <c r="L62" s="214">
        <v>260</v>
      </c>
      <c r="M62" s="214">
        <v>260</v>
      </c>
      <c r="N62" s="214">
        <v>260</v>
      </c>
      <c r="O62" s="214">
        <v>260</v>
      </c>
      <c r="P62" s="214">
        <v>260</v>
      </c>
      <c r="Q62" s="214">
        <v>270</v>
      </c>
      <c r="R62" s="214">
        <v>270</v>
      </c>
      <c r="S62" s="214">
        <v>270</v>
      </c>
      <c r="T62" s="215">
        <v>270</v>
      </c>
      <c r="U62" s="215">
        <v>420</v>
      </c>
      <c r="V62" s="215">
        <v>420</v>
      </c>
      <c r="W62" s="215">
        <v>420</v>
      </c>
      <c r="X62" s="215">
        <v>420</v>
      </c>
      <c r="Y62" s="215">
        <v>420</v>
      </c>
      <c r="Z62" s="215">
        <v>420</v>
      </c>
      <c r="AB62" s="213" t="s">
        <v>24</v>
      </c>
      <c r="AC62" s="214">
        <v>200</v>
      </c>
      <c r="AD62" s="214">
        <v>170</v>
      </c>
      <c r="AE62" s="214">
        <v>170</v>
      </c>
      <c r="AF62" s="214">
        <v>170</v>
      </c>
      <c r="AG62" s="214">
        <v>170</v>
      </c>
      <c r="AH62" s="214">
        <v>210</v>
      </c>
      <c r="AI62" s="214">
        <v>210</v>
      </c>
      <c r="AJ62" s="214">
        <v>230</v>
      </c>
      <c r="AK62" s="214">
        <v>230</v>
      </c>
      <c r="AL62" s="214">
        <v>230</v>
      </c>
      <c r="AM62" s="214">
        <v>230</v>
      </c>
      <c r="AN62" s="214">
        <v>230</v>
      </c>
      <c r="AO62" s="214">
        <v>240</v>
      </c>
      <c r="AP62" s="214">
        <v>240</v>
      </c>
      <c r="AQ62" s="214">
        <v>240</v>
      </c>
      <c r="AR62" s="214">
        <v>240</v>
      </c>
      <c r="AS62" s="214">
        <v>240</v>
      </c>
      <c r="AT62" s="214">
        <v>240</v>
      </c>
      <c r="AU62" s="215">
        <v>240</v>
      </c>
      <c r="AV62" s="215">
        <v>380</v>
      </c>
      <c r="AW62" s="215">
        <v>380</v>
      </c>
      <c r="AX62" s="215">
        <v>390</v>
      </c>
      <c r="AY62" s="215">
        <v>390</v>
      </c>
      <c r="AZ62" s="215">
        <v>390</v>
      </c>
      <c r="BA62" s="215">
        <v>390</v>
      </c>
      <c r="BC62" s="213" t="s">
        <v>24</v>
      </c>
      <c r="BD62" s="214">
        <v>200</v>
      </c>
      <c r="BE62" s="214">
        <v>170</v>
      </c>
      <c r="BF62" s="214">
        <v>170</v>
      </c>
      <c r="BG62" s="214">
        <v>170</v>
      </c>
      <c r="BH62" s="214">
        <v>170</v>
      </c>
      <c r="BI62" s="214">
        <v>210</v>
      </c>
      <c r="BJ62" s="214">
        <v>210</v>
      </c>
      <c r="BK62" s="214">
        <v>230</v>
      </c>
      <c r="BL62" s="214">
        <v>230</v>
      </c>
      <c r="BM62" s="214">
        <v>230</v>
      </c>
      <c r="BN62" s="214">
        <v>230</v>
      </c>
      <c r="BO62" s="214">
        <v>230</v>
      </c>
      <c r="BP62" s="214">
        <v>240</v>
      </c>
      <c r="BQ62" s="214">
        <v>240</v>
      </c>
      <c r="BR62" s="214">
        <v>240</v>
      </c>
      <c r="BS62" s="214">
        <v>240</v>
      </c>
      <c r="BT62" s="214">
        <v>240</v>
      </c>
      <c r="BU62" s="214">
        <v>240</v>
      </c>
      <c r="BV62" s="215">
        <v>240</v>
      </c>
      <c r="BW62" s="215">
        <v>380</v>
      </c>
      <c r="BX62" s="215">
        <v>380</v>
      </c>
      <c r="BY62" s="215">
        <v>390</v>
      </c>
      <c r="BZ62" s="215">
        <v>390</v>
      </c>
      <c r="CA62" s="215">
        <v>390</v>
      </c>
      <c r="CB62" s="215">
        <v>390</v>
      </c>
    </row>
    <row r="63" spans="1:80">
      <c r="A63" s="213" t="s">
        <v>9</v>
      </c>
      <c r="B63" s="214">
        <v>230</v>
      </c>
      <c r="C63" s="214">
        <v>190</v>
      </c>
      <c r="D63" s="214">
        <v>190</v>
      </c>
      <c r="E63" s="214">
        <v>190</v>
      </c>
      <c r="F63" s="214">
        <v>190</v>
      </c>
      <c r="G63" s="214">
        <v>240</v>
      </c>
      <c r="H63" s="214">
        <v>240</v>
      </c>
      <c r="I63" s="214">
        <v>250</v>
      </c>
      <c r="J63" s="214">
        <v>250</v>
      </c>
      <c r="K63" s="214">
        <v>250</v>
      </c>
      <c r="L63" s="214">
        <v>260</v>
      </c>
      <c r="M63" s="214">
        <v>260</v>
      </c>
      <c r="N63" s="214">
        <v>260</v>
      </c>
      <c r="O63" s="214">
        <v>260</v>
      </c>
      <c r="P63" s="214">
        <v>260</v>
      </c>
      <c r="Q63" s="214">
        <v>270</v>
      </c>
      <c r="R63" s="214">
        <v>270</v>
      </c>
      <c r="S63" s="214">
        <v>270</v>
      </c>
      <c r="T63" s="215">
        <v>270</v>
      </c>
      <c r="U63" s="215">
        <v>420</v>
      </c>
      <c r="V63" s="215">
        <v>420</v>
      </c>
      <c r="W63" s="215">
        <v>420</v>
      </c>
      <c r="X63" s="215">
        <v>420</v>
      </c>
      <c r="Y63" s="215">
        <v>420</v>
      </c>
      <c r="Z63" s="215">
        <v>420</v>
      </c>
      <c r="AB63" s="213" t="s">
        <v>9</v>
      </c>
      <c r="AC63" s="214">
        <v>200</v>
      </c>
      <c r="AD63" s="214">
        <v>170</v>
      </c>
      <c r="AE63" s="214">
        <v>170</v>
      </c>
      <c r="AF63" s="214">
        <v>170</v>
      </c>
      <c r="AG63" s="214">
        <v>170</v>
      </c>
      <c r="AH63" s="214">
        <v>210</v>
      </c>
      <c r="AI63" s="214">
        <v>210</v>
      </c>
      <c r="AJ63" s="214">
        <v>230</v>
      </c>
      <c r="AK63" s="214">
        <v>230</v>
      </c>
      <c r="AL63" s="214">
        <v>230</v>
      </c>
      <c r="AM63" s="214">
        <v>230</v>
      </c>
      <c r="AN63" s="214">
        <v>230</v>
      </c>
      <c r="AO63" s="214">
        <v>240</v>
      </c>
      <c r="AP63" s="214">
        <v>240</v>
      </c>
      <c r="AQ63" s="214">
        <v>240</v>
      </c>
      <c r="AR63" s="214">
        <v>240</v>
      </c>
      <c r="AS63" s="214">
        <v>240</v>
      </c>
      <c r="AT63" s="214">
        <v>240</v>
      </c>
      <c r="AU63" s="215">
        <v>240</v>
      </c>
      <c r="AV63" s="215">
        <v>380</v>
      </c>
      <c r="AW63" s="215">
        <v>380</v>
      </c>
      <c r="AX63" s="215">
        <v>390</v>
      </c>
      <c r="AY63" s="215">
        <v>390</v>
      </c>
      <c r="AZ63" s="215">
        <v>390</v>
      </c>
      <c r="BA63" s="215">
        <v>390</v>
      </c>
      <c r="BC63" s="213" t="s">
        <v>9</v>
      </c>
      <c r="BD63" s="214">
        <v>200</v>
      </c>
      <c r="BE63" s="214">
        <v>170</v>
      </c>
      <c r="BF63" s="214">
        <v>170</v>
      </c>
      <c r="BG63" s="214">
        <v>170</v>
      </c>
      <c r="BH63" s="214">
        <v>170</v>
      </c>
      <c r="BI63" s="214">
        <v>210</v>
      </c>
      <c r="BJ63" s="214">
        <v>210</v>
      </c>
      <c r="BK63" s="214">
        <v>230</v>
      </c>
      <c r="BL63" s="214">
        <v>230</v>
      </c>
      <c r="BM63" s="214">
        <v>230</v>
      </c>
      <c r="BN63" s="214">
        <v>230</v>
      </c>
      <c r="BO63" s="214">
        <v>230</v>
      </c>
      <c r="BP63" s="214">
        <v>240</v>
      </c>
      <c r="BQ63" s="214">
        <v>240</v>
      </c>
      <c r="BR63" s="214">
        <v>240</v>
      </c>
      <c r="BS63" s="214">
        <v>240</v>
      </c>
      <c r="BT63" s="214">
        <v>240</v>
      </c>
      <c r="BU63" s="214">
        <v>240</v>
      </c>
      <c r="BV63" s="215">
        <v>240</v>
      </c>
      <c r="BW63" s="215">
        <v>380</v>
      </c>
      <c r="BX63" s="215">
        <v>380</v>
      </c>
      <c r="BY63" s="215">
        <v>390</v>
      </c>
      <c r="BZ63" s="215">
        <v>390</v>
      </c>
      <c r="CA63" s="215">
        <v>390</v>
      </c>
      <c r="CB63" s="215">
        <v>390</v>
      </c>
    </row>
    <row r="64" spans="1:80">
      <c r="A64" s="213" t="s">
        <v>91</v>
      </c>
      <c r="B64" s="214">
        <v>250</v>
      </c>
      <c r="C64" s="214">
        <v>240</v>
      </c>
      <c r="D64" s="214">
        <v>240</v>
      </c>
      <c r="E64" s="214">
        <v>240</v>
      </c>
      <c r="F64" s="214">
        <v>240</v>
      </c>
      <c r="G64" s="214">
        <v>190</v>
      </c>
      <c r="H64" s="214">
        <v>190</v>
      </c>
      <c r="I64" s="214">
        <v>230</v>
      </c>
      <c r="J64" s="214">
        <v>230</v>
      </c>
      <c r="K64" s="214">
        <v>230</v>
      </c>
      <c r="L64" s="214">
        <v>250</v>
      </c>
      <c r="M64" s="214">
        <v>250</v>
      </c>
      <c r="N64" s="214">
        <v>250</v>
      </c>
      <c r="O64" s="214">
        <v>250</v>
      </c>
      <c r="P64" s="214">
        <v>250</v>
      </c>
      <c r="Q64" s="214">
        <v>260</v>
      </c>
      <c r="R64" s="214">
        <v>260</v>
      </c>
      <c r="S64" s="214">
        <v>260</v>
      </c>
      <c r="T64" s="215">
        <v>260</v>
      </c>
      <c r="U64" s="215">
        <v>390</v>
      </c>
      <c r="V64" s="215">
        <v>390</v>
      </c>
      <c r="W64" s="215">
        <v>390</v>
      </c>
      <c r="X64" s="215">
        <v>390</v>
      </c>
      <c r="Y64" s="215">
        <v>410</v>
      </c>
      <c r="Z64" s="215">
        <v>410</v>
      </c>
      <c r="AB64" s="213" t="s">
        <v>91</v>
      </c>
      <c r="AC64" s="214">
        <v>230</v>
      </c>
      <c r="AD64" s="214">
        <v>210</v>
      </c>
      <c r="AE64" s="214">
        <v>210</v>
      </c>
      <c r="AF64" s="214">
        <v>210</v>
      </c>
      <c r="AG64" s="214">
        <v>210</v>
      </c>
      <c r="AH64" s="214">
        <v>170</v>
      </c>
      <c r="AI64" s="214">
        <v>170</v>
      </c>
      <c r="AJ64" s="214">
        <v>200</v>
      </c>
      <c r="AK64" s="214">
        <v>200</v>
      </c>
      <c r="AL64" s="214">
        <v>200</v>
      </c>
      <c r="AM64" s="214">
        <v>230</v>
      </c>
      <c r="AN64" s="214">
        <v>230</v>
      </c>
      <c r="AO64" s="214">
        <v>230</v>
      </c>
      <c r="AP64" s="214">
        <v>230</v>
      </c>
      <c r="AQ64" s="214">
        <v>230</v>
      </c>
      <c r="AR64" s="214">
        <v>230</v>
      </c>
      <c r="AS64" s="214">
        <v>230</v>
      </c>
      <c r="AT64" s="214">
        <v>230</v>
      </c>
      <c r="AU64" s="215">
        <v>230</v>
      </c>
      <c r="AV64" s="215">
        <v>360</v>
      </c>
      <c r="AW64" s="215">
        <v>360</v>
      </c>
      <c r="AX64" s="215">
        <v>360</v>
      </c>
      <c r="AY64" s="215">
        <v>360</v>
      </c>
      <c r="AZ64" s="215">
        <v>370</v>
      </c>
      <c r="BA64" s="215">
        <v>370</v>
      </c>
      <c r="BC64" s="213" t="s">
        <v>91</v>
      </c>
      <c r="BD64" s="214">
        <v>230</v>
      </c>
      <c r="BE64" s="214">
        <v>210</v>
      </c>
      <c r="BF64" s="214">
        <v>210</v>
      </c>
      <c r="BG64" s="214">
        <v>210</v>
      </c>
      <c r="BH64" s="214">
        <v>210</v>
      </c>
      <c r="BI64" s="214">
        <v>170</v>
      </c>
      <c r="BJ64" s="214">
        <v>170</v>
      </c>
      <c r="BK64" s="214">
        <v>200</v>
      </c>
      <c r="BL64" s="214">
        <v>200</v>
      </c>
      <c r="BM64" s="214">
        <v>200</v>
      </c>
      <c r="BN64" s="214">
        <v>230</v>
      </c>
      <c r="BO64" s="214">
        <v>230</v>
      </c>
      <c r="BP64" s="214">
        <v>230</v>
      </c>
      <c r="BQ64" s="214">
        <v>230</v>
      </c>
      <c r="BR64" s="214">
        <v>230</v>
      </c>
      <c r="BS64" s="214">
        <v>230</v>
      </c>
      <c r="BT64" s="214">
        <v>230</v>
      </c>
      <c r="BU64" s="214">
        <v>230</v>
      </c>
      <c r="BV64" s="215">
        <v>230</v>
      </c>
      <c r="BW64" s="215">
        <v>360</v>
      </c>
      <c r="BX64" s="215">
        <v>360</v>
      </c>
      <c r="BY64" s="215">
        <v>360</v>
      </c>
      <c r="BZ64" s="215">
        <v>360</v>
      </c>
      <c r="CA64" s="215">
        <v>370</v>
      </c>
      <c r="CB64" s="215">
        <v>370</v>
      </c>
    </row>
    <row r="65" spans="1:80">
      <c r="A65" s="213" t="s">
        <v>7</v>
      </c>
      <c r="B65" s="214">
        <v>250</v>
      </c>
      <c r="C65" s="214">
        <v>240</v>
      </c>
      <c r="D65" s="214">
        <v>240</v>
      </c>
      <c r="E65" s="214">
        <v>240</v>
      </c>
      <c r="F65" s="214">
        <v>240</v>
      </c>
      <c r="G65" s="214">
        <v>190</v>
      </c>
      <c r="H65" s="214">
        <v>190</v>
      </c>
      <c r="I65" s="214">
        <v>230</v>
      </c>
      <c r="J65" s="214">
        <v>230</v>
      </c>
      <c r="K65" s="214">
        <v>230</v>
      </c>
      <c r="L65" s="214">
        <v>250</v>
      </c>
      <c r="M65" s="214">
        <v>250</v>
      </c>
      <c r="N65" s="214">
        <v>250</v>
      </c>
      <c r="O65" s="214">
        <v>250</v>
      </c>
      <c r="P65" s="214">
        <v>250</v>
      </c>
      <c r="Q65" s="214">
        <v>260</v>
      </c>
      <c r="R65" s="214">
        <v>260</v>
      </c>
      <c r="S65" s="214">
        <v>260</v>
      </c>
      <c r="T65" s="215">
        <v>260</v>
      </c>
      <c r="U65" s="215">
        <v>390</v>
      </c>
      <c r="V65" s="215">
        <v>390</v>
      </c>
      <c r="W65" s="215">
        <v>390</v>
      </c>
      <c r="X65" s="215">
        <v>390</v>
      </c>
      <c r="Y65" s="215">
        <v>410</v>
      </c>
      <c r="Z65" s="215">
        <v>410</v>
      </c>
      <c r="AB65" s="213" t="s">
        <v>7</v>
      </c>
      <c r="AC65" s="214">
        <v>230</v>
      </c>
      <c r="AD65" s="214">
        <v>210</v>
      </c>
      <c r="AE65" s="214">
        <v>210</v>
      </c>
      <c r="AF65" s="214">
        <v>210</v>
      </c>
      <c r="AG65" s="214">
        <v>210</v>
      </c>
      <c r="AH65" s="214">
        <v>170</v>
      </c>
      <c r="AI65" s="214">
        <v>170</v>
      </c>
      <c r="AJ65" s="214">
        <v>200</v>
      </c>
      <c r="AK65" s="214">
        <v>200</v>
      </c>
      <c r="AL65" s="214">
        <v>200</v>
      </c>
      <c r="AM65" s="214">
        <v>230</v>
      </c>
      <c r="AN65" s="214">
        <v>230</v>
      </c>
      <c r="AO65" s="214">
        <v>230</v>
      </c>
      <c r="AP65" s="214">
        <v>230</v>
      </c>
      <c r="AQ65" s="214">
        <v>230</v>
      </c>
      <c r="AR65" s="214">
        <v>230</v>
      </c>
      <c r="AS65" s="214">
        <v>230</v>
      </c>
      <c r="AT65" s="214">
        <v>230</v>
      </c>
      <c r="AU65" s="215">
        <v>230</v>
      </c>
      <c r="AV65" s="215">
        <v>360</v>
      </c>
      <c r="AW65" s="215">
        <v>360</v>
      </c>
      <c r="AX65" s="215">
        <v>360</v>
      </c>
      <c r="AY65" s="215">
        <v>360</v>
      </c>
      <c r="AZ65" s="215">
        <v>370</v>
      </c>
      <c r="BA65" s="215">
        <v>370</v>
      </c>
      <c r="BC65" s="213" t="s">
        <v>7</v>
      </c>
      <c r="BD65" s="214">
        <v>230</v>
      </c>
      <c r="BE65" s="214">
        <v>210</v>
      </c>
      <c r="BF65" s="214">
        <v>210</v>
      </c>
      <c r="BG65" s="214">
        <v>210</v>
      </c>
      <c r="BH65" s="214">
        <v>210</v>
      </c>
      <c r="BI65" s="214">
        <v>170</v>
      </c>
      <c r="BJ65" s="214">
        <v>170</v>
      </c>
      <c r="BK65" s="214">
        <v>200</v>
      </c>
      <c r="BL65" s="214">
        <v>200</v>
      </c>
      <c r="BM65" s="214">
        <v>200</v>
      </c>
      <c r="BN65" s="214">
        <v>230</v>
      </c>
      <c r="BO65" s="214">
        <v>230</v>
      </c>
      <c r="BP65" s="214">
        <v>230</v>
      </c>
      <c r="BQ65" s="214">
        <v>230</v>
      </c>
      <c r="BR65" s="214">
        <v>230</v>
      </c>
      <c r="BS65" s="214">
        <v>230</v>
      </c>
      <c r="BT65" s="214">
        <v>230</v>
      </c>
      <c r="BU65" s="214">
        <v>230</v>
      </c>
      <c r="BV65" s="215">
        <v>230</v>
      </c>
      <c r="BW65" s="215">
        <v>360</v>
      </c>
      <c r="BX65" s="215">
        <v>360</v>
      </c>
      <c r="BY65" s="215">
        <v>360</v>
      </c>
      <c r="BZ65" s="215">
        <v>360</v>
      </c>
      <c r="CA65" s="215">
        <v>370</v>
      </c>
      <c r="CB65" s="215">
        <v>370</v>
      </c>
    </row>
    <row r="66" spans="1:80">
      <c r="A66" s="213" t="s">
        <v>6</v>
      </c>
      <c r="B66" s="214">
        <v>260</v>
      </c>
      <c r="C66" s="214">
        <v>250</v>
      </c>
      <c r="D66" s="214">
        <v>250</v>
      </c>
      <c r="E66" s="214">
        <v>250</v>
      </c>
      <c r="F66" s="214">
        <v>250</v>
      </c>
      <c r="G66" s="214">
        <v>230</v>
      </c>
      <c r="H66" s="214">
        <v>230</v>
      </c>
      <c r="I66" s="214">
        <v>190</v>
      </c>
      <c r="J66" s="214">
        <v>190</v>
      </c>
      <c r="K66" s="214">
        <v>190</v>
      </c>
      <c r="L66" s="214">
        <v>230</v>
      </c>
      <c r="M66" s="214">
        <v>230</v>
      </c>
      <c r="N66" s="214">
        <v>250</v>
      </c>
      <c r="O66" s="214">
        <v>250</v>
      </c>
      <c r="P66" s="214">
        <v>250</v>
      </c>
      <c r="Q66" s="214">
        <v>270</v>
      </c>
      <c r="R66" s="214">
        <v>270</v>
      </c>
      <c r="S66" s="214">
        <v>270</v>
      </c>
      <c r="T66" s="215">
        <v>270</v>
      </c>
      <c r="U66" s="215">
        <v>400</v>
      </c>
      <c r="V66" s="215">
        <v>400</v>
      </c>
      <c r="W66" s="215">
        <v>410</v>
      </c>
      <c r="X66" s="215">
        <v>410</v>
      </c>
      <c r="Y66" s="215">
        <v>420</v>
      </c>
      <c r="Z66" s="215">
        <v>420</v>
      </c>
      <c r="AB66" s="213" t="s">
        <v>6</v>
      </c>
      <c r="AC66" s="214">
        <v>230</v>
      </c>
      <c r="AD66" s="214">
        <v>230</v>
      </c>
      <c r="AE66" s="214">
        <v>230</v>
      </c>
      <c r="AF66" s="214">
        <v>230</v>
      </c>
      <c r="AG66" s="214">
        <v>230</v>
      </c>
      <c r="AH66" s="214">
        <v>200</v>
      </c>
      <c r="AI66" s="214">
        <v>200</v>
      </c>
      <c r="AJ66" s="214">
        <v>170</v>
      </c>
      <c r="AK66" s="214">
        <v>170</v>
      </c>
      <c r="AL66" s="214">
        <v>170</v>
      </c>
      <c r="AM66" s="214">
        <v>200</v>
      </c>
      <c r="AN66" s="214">
        <v>200</v>
      </c>
      <c r="AO66" s="214">
        <v>220</v>
      </c>
      <c r="AP66" s="214">
        <v>220</v>
      </c>
      <c r="AQ66" s="214">
        <v>220</v>
      </c>
      <c r="AR66" s="214">
        <v>240</v>
      </c>
      <c r="AS66" s="214">
        <v>240</v>
      </c>
      <c r="AT66" s="214">
        <v>240</v>
      </c>
      <c r="AU66" s="215">
        <v>240</v>
      </c>
      <c r="AV66" s="215">
        <v>370</v>
      </c>
      <c r="AW66" s="215">
        <v>370</v>
      </c>
      <c r="AX66" s="215">
        <v>370</v>
      </c>
      <c r="AY66" s="215">
        <v>370</v>
      </c>
      <c r="AZ66" s="215">
        <v>380</v>
      </c>
      <c r="BA66" s="215">
        <v>380</v>
      </c>
      <c r="BC66" s="213" t="s">
        <v>6</v>
      </c>
      <c r="BD66" s="214">
        <v>230</v>
      </c>
      <c r="BE66" s="214">
        <v>230</v>
      </c>
      <c r="BF66" s="214">
        <v>230</v>
      </c>
      <c r="BG66" s="214">
        <v>230</v>
      </c>
      <c r="BH66" s="214">
        <v>230</v>
      </c>
      <c r="BI66" s="214">
        <v>200</v>
      </c>
      <c r="BJ66" s="214">
        <v>200</v>
      </c>
      <c r="BK66" s="214">
        <v>170</v>
      </c>
      <c r="BL66" s="214">
        <v>170</v>
      </c>
      <c r="BM66" s="214">
        <v>170</v>
      </c>
      <c r="BN66" s="214">
        <v>200</v>
      </c>
      <c r="BO66" s="214">
        <v>200</v>
      </c>
      <c r="BP66" s="214">
        <v>220</v>
      </c>
      <c r="BQ66" s="214">
        <v>220</v>
      </c>
      <c r="BR66" s="214">
        <v>220</v>
      </c>
      <c r="BS66" s="214">
        <v>240</v>
      </c>
      <c r="BT66" s="214">
        <v>240</v>
      </c>
      <c r="BU66" s="214">
        <v>240</v>
      </c>
      <c r="BV66" s="215">
        <v>240</v>
      </c>
      <c r="BW66" s="215">
        <v>370</v>
      </c>
      <c r="BX66" s="215">
        <v>370</v>
      </c>
      <c r="BY66" s="215">
        <v>370</v>
      </c>
      <c r="BZ66" s="215">
        <v>370</v>
      </c>
      <c r="CA66" s="215">
        <v>380</v>
      </c>
      <c r="CB66" s="215">
        <v>380</v>
      </c>
    </row>
    <row r="67" spans="1:80">
      <c r="A67" s="213" t="s">
        <v>5</v>
      </c>
      <c r="B67" s="214">
        <v>260</v>
      </c>
      <c r="C67" s="214">
        <v>250</v>
      </c>
      <c r="D67" s="214">
        <v>250</v>
      </c>
      <c r="E67" s="214">
        <v>250</v>
      </c>
      <c r="F67" s="214">
        <v>250</v>
      </c>
      <c r="G67" s="214">
        <v>230</v>
      </c>
      <c r="H67" s="214">
        <v>230</v>
      </c>
      <c r="I67" s="214">
        <v>190</v>
      </c>
      <c r="J67" s="214">
        <v>190</v>
      </c>
      <c r="K67" s="214">
        <v>190</v>
      </c>
      <c r="L67" s="214">
        <v>230</v>
      </c>
      <c r="M67" s="214">
        <v>230</v>
      </c>
      <c r="N67" s="214">
        <v>250</v>
      </c>
      <c r="O67" s="214">
        <v>250</v>
      </c>
      <c r="P67" s="214">
        <v>250</v>
      </c>
      <c r="Q67" s="214">
        <v>270</v>
      </c>
      <c r="R67" s="214">
        <v>270</v>
      </c>
      <c r="S67" s="214">
        <v>270</v>
      </c>
      <c r="T67" s="215">
        <v>270</v>
      </c>
      <c r="U67" s="215">
        <v>400</v>
      </c>
      <c r="V67" s="215">
        <v>400</v>
      </c>
      <c r="W67" s="215">
        <v>410</v>
      </c>
      <c r="X67" s="215">
        <v>410</v>
      </c>
      <c r="Y67" s="215">
        <v>420</v>
      </c>
      <c r="Z67" s="215">
        <v>420</v>
      </c>
      <c r="AB67" s="213" t="s">
        <v>5</v>
      </c>
      <c r="AC67" s="214">
        <v>230</v>
      </c>
      <c r="AD67" s="214">
        <v>230</v>
      </c>
      <c r="AE67" s="214">
        <v>230</v>
      </c>
      <c r="AF67" s="214">
        <v>230</v>
      </c>
      <c r="AG67" s="214">
        <v>230</v>
      </c>
      <c r="AH67" s="214">
        <v>200</v>
      </c>
      <c r="AI67" s="214">
        <v>200</v>
      </c>
      <c r="AJ67" s="214">
        <v>170</v>
      </c>
      <c r="AK67" s="214">
        <v>170</v>
      </c>
      <c r="AL67" s="214">
        <v>170</v>
      </c>
      <c r="AM67" s="214">
        <v>200</v>
      </c>
      <c r="AN67" s="214">
        <v>200</v>
      </c>
      <c r="AO67" s="214">
        <v>220</v>
      </c>
      <c r="AP67" s="214">
        <v>220</v>
      </c>
      <c r="AQ67" s="214">
        <v>220</v>
      </c>
      <c r="AR67" s="214">
        <v>240</v>
      </c>
      <c r="AS67" s="214">
        <v>240</v>
      </c>
      <c r="AT67" s="214">
        <v>240</v>
      </c>
      <c r="AU67" s="215">
        <v>240</v>
      </c>
      <c r="AV67" s="215">
        <v>370</v>
      </c>
      <c r="AW67" s="215">
        <v>370</v>
      </c>
      <c r="AX67" s="215">
        <v>370</v>
      </c>
      <c r="AY67" s="215">
        <v>370</v>
      </c>
      <c r="AZ67" s="215">
        <v>380</v>
      </c>
      <c r="BA67" s="215">
        <v>380</v>
      </c>
      <c r="BC67" s="213" t="s">
        <v>5</v>
      </c>
      <c r="BD67" s="214">
        <v>230</v>
      </c>
      <c r="BE67" s="214">
        <v>230</v>
      </c>
      <c r="BF67" s="214">
        <v>230</v>
      </c>
      <c r="BG67" s="214">
        <v>230</v>
      </c>
      <c r="BH67" s="214">
        <v>230</v>
      </c>
      <c r="BI67" s="214">
        <v>200</v>
      </c>
      <c r="BJ67" s="214">
        <v>200</v>
      </c>
      <c r="BK67" s="214">
        <v>170</v>
      </c>
      <c r="BL67" s="214">
        <v>170</v>
      </c>
      <c r="BM67" s="214">
        <v>170</v>
      </c>
      <c r="BN67" s="214">
        <v>200</v>
      </c>
      <c r="BO67" s="214">
        <v>200</v>
      </c>
      <c r="BP67" s="214">
        <v>220</v>
      </c>
      <c r="BQ67" s="214">
        <v>220</v>
      </c>
      <c r="BR67" s="214">
        <v>220</v>
      </c>
      <c r="BS67" s="214">
        <v>240</v>
      </c>
      <c r="BT67" s="214">
        <v>240</v>
      </c>
      <c r="BU67" s="214">
        <v>240</v>
      </c>
      <c r="BV67" s="215">
        <v>240</v>
      </c>
      <c r="BW67" s="215">
        <v>370</v>
      </c>
      <c r="BX67" s="215">
        <v>370</v>
      </c>
      <c r="BY67" s="215">
        <v>370</v>
      </c>
      <c r="BZ67" s="215">
        <v>370</v>
      </c>
      <c r="CA67" s="215">
        <v>380</v>
      </c>
      <c r="CB67" s="215">
        <v>380</v>
      </c>
    </row>
    <row r="68" spans="1:80">
      <c r="A68" s="213" t="s">
        <v>4</v>
      </c>
      <c r="B68" s="214">
        <v>260</v>
      </c>
      <c r="C68" s="214">
        <v>250</v>
      </c>
      <c r="D68" s="214">
        <v>250</v>
      </c>
      <c r="E68" s="214">
        <v>250</v>
      </c>
      <c r="F68" s="214">
        <v>250</v>
      </c>
      <c r="G68" s="214">
        <v>230</v>
      </c>
      <c r="H68" s="214">
        <v>230</v>
      </c>
      <c r="I68" s="214">
        <v>190</v>
      </c>
      <c r="J68" s="214">
        <v>190</v>
      </c>
      <c r="K68" s="214">
        <v>190</v>
      </c>
      <c r="L68" s="214">
        <v>230</v>
      </c>
      <c r="M68" s="214">
        <v>230</v>
      </c>
      <c r="N68" s="214">
        <v>250</v>
      </c>
      <c r="O68" s="214">
        <v>250</v>
      </c>
      <c r="P68" s="214">
        <v>250</v>
      </c>
      <c r="Q68" s="214">
        <v>270</v>
      </c>
      <c r="R68" s="214">
        <v>270</v>
      </c>
      <c r="S68" s="214">
        <v>270</v>
      </c>
      <c r="T68" s="215">
        <v>270</v>
      </c>
      <c r="U68" s="215">
        <v>400</v>
      </c>
      <c r="V68" s="215">
        <v>400</v>
      </c>
      <c r="W68" s="215">
        <v>410</v>
      </c>
      <c r="X68" s="215">
        <v>410</v>
      </c>
      <c r="Y68" s="215">
        <v>420</v>
      </c>
      <c r="Z68" s="215">
        <v>420</v>
      </c>
      <c r="AB68" s="213" t="s">
        <v>4</v>
      </c>
      <c r="AC68" s="214">
        <v>230</v>
      </c>
      <c r="AD68" s="214">
        <v>230</v>
      </c>
      <c r="AE68" s="214">
        <v>230</v>
      </c>
      <c r="AF68" s="214">
        <v>230</v>
      </c>
      <c r="AG68" s="214">
        <v>230</v>
      </c>
      <c r="AH68" s="214">
        <v>200</v>
      </c>
      <c r="AI68" s="214">
        <v>200</v>
      </c>
      <c r="AJ68" s="214">
        <v>170</v>
      </c>
      <c r="AK68" s="214">
        <v>170</v>
      </c>
      <c r="AL68" s="214">
        <v>170</v>
      </c>
      <c r="AM68" s="214">
        <v>200</v>
      </c>
      <c r="AN68" s="214">
        <v>200</v>
      </c>
      <c r="AO68" s="214">
        <v>220</v>
      </c>
      <c r="AP68" s="214">
        <v>220</v>
      </c>
      <c r="AQ68" s="214">
        <v>220</v>
      </c>
      <c r="AR68" s="214">
        <v>240</v>
      </c>
      <c r="AS68" s="214">
        <v>240</v>
      </c>
      <c r="AT68" s="214">
        <v>240</v>
      </c>
      <c r="AU68" s="215">
        <v>240</v>
      </c>
      <c r="AV68" s="215">
        <v>370</v>
      </c>
      <c r="AW68" s="215">
        <v>370</v>
      </c>
      <c r="AX68" s="215">
        <v>370</v>
      </c>
      <c r="AY68" s="215">
        <v>370</v>
      </c>
      <c r="AZ68" s="215">
        <v>380</v>
      </c>
      <c r="BA68" s="215">
        <v>380</v>
      </c>
      <c r="BC68" s="213" t="s">
        <v>4</v>
      </c>
      <c r="BD68" s="214">
        <v>230</v>
      </c>
      <c r="BE68" s="214">
        <v>230</v>
      </c>
      <c r="BF68" s="214">
        <v>230</v>
      </c>
      <c r="BG68" s="214">
        <v>230</v>
      </c>
      <c r="BH68" s="214">
        <v>230</v>
      </c>
      <c r="BI68" s="214">
        <v>200</v>
      </c>
      <c r="BJ68" s="214">
        <v>200</v>
      </c>
      <c r="BK68" s="214">
        <v>170</v>
      </c>
      <c r="BL68" s="214">
        <v>170</v>
      </c>
      <c r="BM68" s="214">
        <v>170</v>
      </c>
      <c r="BN68" s="214">
        <v>200</v>
      </c>
      <c r="BO68" s="214">
        <v>200</v>
      </c>
      <c r="BP68" s="214">
        <v>220</v>
      </c>
      <c r="BQ68" s="214">
        <v>220</v>
      </c>
      <c r="BR68" s="214">
        <v>220</v>
      </c>
      <c r="BS68" s="214">
        <v>240</v>
      </c>
      <c r="BT68" s="214">
        <v>240</v>
      </c>
      <c r="BU68" s="214">
        <v>240</v>
      </c>
      <c r="BV68" s="215">
        <v>240</v>
      </c>
      <c r="BW68" s="215">
        <v>370</v>
      </c>
      <c r="BX68" s="215">
        <v>370</v>
      </c>
      <c r="BY68" s="215">
        <v>370</v>
      </c>
      <c r="BZ68" s="215">
        <v>370</v>
      </c>
      <c r="CA68" s="215">
        <v>380</v>
      </c>
      <c r="CB68" s="215">
        <v>380</v>
      </c>
    </row>
    <row r="69" spans="1:80">
      <c r="A69" s="213" t="s">
        <v>3</v>
      </c>
      <c r="B69" s="214">
        <v>270</v>
      </c>
      <c r="C69" s="214">
        <v>260</v>
      </c>
      <c r="D69" s="214">
        <v>260</v>
      </c>
      <c r="E69" s="214">
        <v>260</v>
      </c>
      <c r="F69" s="214">
        <v>260</v>
      </c>
      <c r="G69" s="214">
        <v>250</v>
      </c>
      <c r="H69" s="214">
        <v>250</v>
      </c>
      <c r="I69" s="214">
        <v>230</v>
      </c>
      <c r="J69" s="214">
        <v>230</v>
      </c>
      <c r="K69" s="214">
        <v>230</v>
      </c>
      <c r="L69" s="214">
        <v>190</v>
      </c>
      <c r="M69" s="214">
        <v>190</v>
      </c>
      <c r="N69" s="214">
        <v>250</v>
      </c>
      <c r="O69" s="214">
        <v>250</v>
      </c>
      <c r="P69" s="214">
        <v>250</v>
      </c>
      <c r="Q69" s="214">
        <v>270</v>
      </c>
      <c r="R69" s="214">
        <v>270</v>
      </c>
      <c r="S69" s="214">
        <v>270</v>
      </c>
      <c r="T69" s="215">
        <v>270</v>
      </c>
      <c r="U69" s="215">
        <v>410</v>
      </c>
      <c r="V69" s="215">
        <v>410</v>
      </c>
      <c r="W69" s="215">
        <v>420</v>
      </c>
      <c r="X69" s="215">
        <v>420</v>
      </c>
      <c r="Y69" s="215">
        <v>420</v>
      </c>
      <c r="Z69" s="215">
        <v>420</v>
      </c>
      <c r="AB69" s="213" t="s">
        <v>3</v>
      </c>
      <c r="AC69" s="214">
        <v>240</v>
      </c>
      <c r="AD69" s="214">
        <v>230</v>
      </c>
      <c r="AE69" s="214">
        <v>230</v>
      </c>
      <c r="AF69" s="214">
        <v>230</v>
      </c>
      <c r="AG69" s="214">
        <v>230</v>
      </c>
      <c r="AH69" s="214">
        <v>230</v>
      </c>
      <c r="AI69" s="214">
        <v>230</v>
      </c>
      <c r="AJ69" s="214">
        <v>200</v>
      </c>
      <c r="AK69" s="214">
        <v>200</v>
      </c>
      <c r="AL69" s="214">
        <v>200</v>
      </c>
      <c r="AM69" s="214">
        <v>170</v>
      </c>
      <c r="AN69" s="214">
        <v>170</v>
      </c>
      <c r="AO69" s="214">
        <v>220</v>
      </c>
      <c r="AP69" s="214">
        <v>220</v>
      </c>
      <c r="AQ69" s="214">
        <v>220</v>
      </c>
      <c r="AR69" s="214">
        <v>240</v>
      </c>
      <c r="AS69" s="214">
        <v>240</v>
      </c>
      <c r="AT69" s="214">
        <v>240</v>
      </c>
      <c r="AU69" s="215">
        <v>240</v>
      </c>
      <c r="AV69" s="215">
        <v>370</v>
      </c>
      <c r="AW69" s="215">
        <v>370</v>
      </c>
      <c r="AX69" s="215">
        <v>380</v>
      </c>
      <c r="AY69" s="215">
        <v>380</v>
      </c>
      <c r="AZ69" s="215">
        <v>390</v>
      </c>
      <c r="BA69" s="215">
        <v>390</v>
      </c>
      <c r="BC69" s="213" t="s">
        <v>3</v>
      </c>
      <c r="BD69" s="214">
        <v>240</v>
      </c>
      <c r="BE69" s="214">
        <v>230</v>
      </c>
      <c r="BF69" s="214">
        <v>230</v>
      </c>
      <c r="BG69" s="214">
        <v>230</v>
      </c>
      <c r="BH69" s="214">
        <v>230</v>
      </c>
      <c r="BI69" s="214">
        <v>230</v>
      </c>
      <c r="BJ69" s="214">
        <v>230</v>
      </c>
      <c r="BK69" s="214">
        <v>200</v>
      </c>
      <c r="BL69" s="214">
        <v>200</v>
      </c>
      <c r="BM69" s="214">
        <v>200</v>
      </c>
      <c r="BN69" s="214">
        <v>170</v>
      </c>
      <c r="BO69" s="214">
        <v>170</v>
      </c>
      <c r="BP69" s="214">
        <v>220</v>
      </c>
      <c r="BQ69" s="214">
        <v>220</v>
      </c>
      <c r="BR69" s="214">
        <v>220</v>
      </c>
      <c r="BS69" s="214">
        <v>240</v>
      </c>
      <c r="BT69" s="214">
        <v>240</v>
      </c>
      <c r="BU69" s="214">
        <v>240</v>
      </c>
      <c r="BV69" s="215">
        <v>240</v>
      </c>
      <c r="BW69" s="215">
        <v>370</v>
      </c>
      <c r="BX69" s="215">
        <v>370</v>
      </c>
      <c r="BY69" s="215">
        <v>380</v>
      </c>
      <c r="BZ69" s="215">
        <v>380</v>
      </c>
      <c r="CA69" s="215">
        <v>390</v>
      </c>
      <c r="CB69" s="215">
        <v>390</v>
      </c>
    </row>
    <row r="70" spans="1:80">
      <c r="A70" s="213" t="s">
        <v>2</v>
      </c>
      <c r="B70" s="214">
        <v>270</v>
      </c>
      <c r="C70" s="214">
        <v>260</v>
      </c>
      <c r="D70" s="214">
        <v>260</v>
      </c>
      <c r="E70" s="214">
        <v>260</v>
      </c>
      <c r="F70" s="214">
        <v>260</v>
      </c>
      <c r="G70" s="214">
        <v>250</v>
      </c>
      <c r="H70" s="214">
        <v>250</v>
      </c>
      <c r="I70" s="214">
        <v>230</v>
      </c>
      <c r="J70" s="214">
        <v>230</v>
      </c>
      <c r="K70" s="214">
        <v>230</v>
      </c>
      <c r="L70" s="214">
        <v>190</v>
      </c>
      <c r="M70" s="214">
        <v>190</v>
      </c>
      <c r="N70" s="214">
        <v>250</v>
      </c>
      <c r="O70" s="214">
        <v>250</v>
      </c>
      <c r="P70" s="214">
        <v>250</v>
      </c>
      <c r="Q70" s="214">
        <v>270</v>
      </c>
      <c r="R70" s="214">
        <v>270</v>
      </c>
      <c r="S70" s="214">
        <v>270</v>
      </c>
      <c r="T70" s="215">
        <v>270</v>
      </c>
      <c r="U70" s="215">
        <v>410</v>
      </c>
      <c r="V70" s="215">
        <v>410</v>
      </c>
      <c r="W70" s="215">
        <v>420</v>
      </c>
      <c r="X70" s="215">
        <v>420</v>
      </c>
      <c r="Y70" s="215">
        <v>420</v>
      </c>
      <c r="Z70" s="215">
        <v>420</v>
      </c>
      <c r="AB70" s="213" t="s">
        <v>2</v>
      </c>
      <c r="AC70" s="214">
        <v>240</v>
      </c>
      <c r="AD70" s="214">
        <v>230</v>
      </c>
      <c r="AE70" s="214">
        <v>230</v>
      </c>
      <c r="AF70" s="214">
        <v>230</v>
      </c>
      <c r="AG70" s="214">
        <v>230</v>
      </c>
      <c r="AH70" s="214">
        <v>230</v>
      </c>
      <c r="AI70" s="214">
        <v>230</v>
      </c>
      <c r="AJ70" s="214">
        <v>200</v>
      </c>
      <c r="AK70" s="214">
        <v>200</v>
      </c>
      <c r="AL70" s="214">
        <v>200</v>
      </c>
      <c r="AM70" s="214">
        <v>170</v>
      </c>
      <c r="AN70" s="214">
        <v>170</v>
      </c>
      <c r="AO70" s="214">
        <v>220</v>
      </c>
      <c r="AP70" s="214">
        <v>220</v>
      </c>
      <c r="AQ70" s="214">
        <v>220</v>
      </c>
      <c r="AR70" s="214">
        <v>240</v>
      </c>
      <c r="AS70" s="214">
        <v>240</v>
      </c>
      <c r="AT70" s="214">
        <v>240</v>
      </c>
      <c r="AU70" s="215">
        <v>240</v>
      </c>
      <c r="AV70" s="215">
        <v>370</v>
      </c>
      <c r="AW70" s="215">
        <v>370</v>
      </c>
      <c r="AX70" s="215">
        <v>380</v>
      </c>
      <c r="AY70" s="215">
        <v>380</v>
      </c>
      <c r="AZ70" s="215">
        <v>390</v>
      </c>
      <c r="BA70" s="215">
        <v>390</v>
      </c>
      <c r="BC70" s="213" t="s">
        <v>2</v>
      </c>
      <c r="BD70" s="214">
        <v>240</v>
      </c>
      <c r="BE70" s="214">
        <v>230</v>
      </c>
      <c r="BF70" s="214">
        <v>230</v>
      </c>
      <c r="BG70" s="214">
        <v>230</v>
      </c>
      <c r="BH70" s="214">
        <v>230</v>
      </c>
      <c r="BI70" s="214">
        <v>230</v>
      </c>
      <c r="BJ70" s="214">
        <v>230</v>
      </c>
      <c r="BK70" s="214">
        <v>200</v>
      </c>
      <c r="BL70" s="214">
        <v>200</v>
      </c>
      <c r="BM70" s="214">
        <v>200</v>
      </c>
      <c r="BN70" s="214">
        <v>170</v>
      </c>
      <c r="BO70" s="214">
        <v>170</v>
      </c>
      <c r="BP70" s="214">
        <v>220</v>
      </c>
      <c r="BQ70" s="214">
        <v>220</v>
      </c>
      <c r="BR70" s="214">
        <v>220</v>
      </c>
      <c r="BS70" s="214">
        <v>240</v>
      </c>
      <c r="BT70" s="214">
        <v>240</v>
      </c>
      <c r="BU70" s="214">
        <v>240</v>
      </c>
      <c r="BV70" s="215">
        <v>240</v>
      </c>
      <c r="BW70" s="215">
        <v>370</v>
      </c>
      <c r="BX70" s="215">
        <v>370</v>
      </c>
      <c r="BY70" s="215">
        <v>380</v>
      </c>
      <c r="BZ70" s="215">
        <v>380</v>
      </c>
      <c r="CA70" s="215">
        <v>390</v>
      </c>
      <c r="CB70" s="215">
        <v>390</v>
      </c>
    </row>
    <row r="71" spans="1:80">
      <c r="A71" s="213" t="s">
        <v>92</v>
      </c>
      <c r="B71" s="214">
        <v>270</v>
      </c>
      <c r="C71" s="214">
        <v>260</v>
      </c>
      <c r="D71" s="214">
        <v>260</v>
      </c>
      <c r="E71" s="214">
        <v>260</v>
      </c>
      <c r="F71" s="214">
        <v>260</v>
      </c>
      <c r="G71" s="214">
        <v>250</v>
      </c>
      <c r="H71" s="214">
        <v>250</v>
      </c>
      <c r="I71" s="214">
        <v>250</v>
      </c>
      <c r="J71" s="214">
        <v>250</v>
      </c>
      <c r="K71" s="214">
        <v>250</v>
      </c>
      <c r="L71" s="214">
        <v>250</v>
      </c>
      <c r="M71" s="214">
        <v>250</v>
      </c>
      <c r="N71" s="214">
        <v>190</v>
      </c>
      <c r="O71" s="214">
        <v>190</v>
      </c>
      <c r="P71" s="214">
        <v>190</v>
      </c>
      <c r="Q71" s="214">
        <v>240</v>
      </c>
      <c r="R71" s="214">
        <v>240</v>
      </c>
      <c r="S71" s="214">
        <v>240</v>
      </c>
      <c r="T71" s="215">
        <v>240</v>
      </c>
      <c r="U71" s="215">
        <v>290</v>
      </c>
      <c r="V71" s="215">
        <v>290</v>
      </c>
      <c r="W71" s="215">
        <v>310</v>
      </c>
      <c r="X71" s="215">
        <v>310</v>
      </c>
      <c r="Y71" s="215">
        <v>370</v>
      </c>
      <c r="Z71" s="215">
        <v>370</v>
      </c>
      <c r="AB71" s="213" t="s">
        <v>92</v>
      </c>
      <c r="AC71" s="214">
        <v>240</v>
      </c>
      <c r="AD71" s="214">
        <v>240</v>
      </c>
      <c r="AE71" s="214">
        <v>240</v>
      </c>
      <c r="AF71" s="214">
        <v>240</v>
      </c>
      <c r="AG71" s="214">
        <v>240</v>
      </c>
      <c r="AH71" s="214">
        <v>230</v>
      </c>
      <c r="AI71" s="214">
        <v>230</v>
      </c>
      <c r="AJ71" s="214">
        <v>220</v>
      </c>
      <c r="AK71" s="214">
        <v>220</v>
      </c>
      <c r="AL71" s="214">
        <v>220</v>
      </c>
      <c r="AM71" s="214">
        <v>220</v>
      </c>
      <c r="AN71" s="214">
        <v>220</v>
      </c>
      <c r="AO71" s="214">
        <v>170</v>
      </c>
      <c r="AP71" s="214">
        <v>170</v>
      </c>
      <c r="AQ71" s="214">
        <v>170</v>
      </c>
      <c r="AR71" s="214">
        <v>210</v>
      </c>
      <c r="AS71" s="214">
        <v>210</v>
      </c>
      <c r="AT71" s="214">
        <v>210</v>
      </c>
      <c r="AU71" s="215">
        <v>210</v>
      </c>
      <c r="AV71" s="215">
        <v>270</v>
      </c>
      <c r="AW71" s="215">
        <v>270</v>
      </c>
      <c r="AX71" s="215">
        <v>280</v>
      </c>
      <c r="AY71" s="215">
        <v>280</v>
      </c>
      <c r="AZ71" s="215">
        <v>340</v>
      </c>
      <c r="BA71" s="215">
        <v>340</v>
      </c>
      <c r="BC71" s="213" t="s">
        <v>92</v>
      </c>
      <c r="BD71" s="214">
        <v>240</v>
      </c>
      <c r="BE71" s="214">
        <v>240</v>
      </c>
      <c r="BF71" s="214">
        <v>240</v>
      </c>
      <c r="BG71" s="214">
        <v>240</v>
      </c>
      <c r="BH71" s="214">
        <v>240</v>
      </c>
      <c r="BI71" s="214">
        <v>230</v>
      </c>
      <c r="BJ71" s="214">
        <v>230</v>
      </c>
      <c r="BK71" s="214">
        <v>220</v>
      </c>
      <c r="BL71" s="214">
        <v>220</v>
      </c>
      <c r="BM71" s="214">
        <v>220</v>
      </c>
      <c r="BN71" s="214">
        <v>220</v>
      </c>
      <c r="BO71" s="214">
        <v>220</v>
      </c>
      <c r="BP71" s="214">
        <v>170</v>
      </c>
      <c r="BQ71" s="214">
        <v>170</v>
      </c>
      <c r="BR71" s="214">
        <v>170</v>
      </c>
      <c r="BS71" s="214">
        <v>210</v>
      </c>
      <c r="BT71" s="214">
        <v>210</v>
      </c>
      <c r="BU71" s="214">
        <v>210</v>
      </c>
      <c r="BV71" s="215">
        <v>210</v>
      </c>
      <c r="BW71" s="215">
        <v>270</v>
      </c>
      <c r="BX71" s="215">
        <v>270</v>
      </c>
      <c r="BY71" s="215">
        <v>280</v>
      </c>
      <c r="BZ71" s="215">
        <v>280</v>
      </c>
      <c r="CA71" s="215">
        <v>340</v>
      </c>
      <c r="CB71" s="215">
        <v>340</v>
      </c>
    </row>
    <row r="72" spans="1:80">
      <c r="A72" s="213" t="s">
        <v>93</v>
      </c>
      <c r="B72" s="214">
        <v>270</v>
      </c>
      <c r="C72" s="214">
        <v>260</v>
      </c>
      <c r="D72" s="214">
        <v>260</v>
      </c>
      <c r="E72" s="214">
        <v>260</v>
      </c>
      <c r="F72" s="214">
        <v>260</v>
      </c>
      <c r="G72" s="214">
        <v>250</v>
      </c>
      <c r="H72" s="214">
        <v>250</v>
      </c>
      <c r="I72" s="214">
        <v>250</v>
      </c>
      <c r="J72" s="214">
        <v>250</v>
      </c>
      <c r="K72" s="214">
        <v>250</v>
      </c>
      <c r="L72" s="214">
        <v>250</v>
      </c>
      <c r="M72" s="214">
        <v>250</v>
      </c>
      <c r="N72" s="214">
        <v>190</v>
      </c>
      <c r="O72" s="214">
        <v>190</v>
      </c>
      <c r="P72" s="214">
        <v>190</v>
      </c>
      <c r="Q72" s="214">
        <v>240</v>
      </c>
      <c r="R72" s="214">
        <v>240</v>
      </c>
      <c r="S72" s="214">
        <v>240</v>
      </c>
      <c r="T72" s="215">
        <v>240</v>
      </c>
      <c r="U72" s="215">
        <v>290</v>
      </c>
      <c r="V72" s="215">
        <v>290</v>
      </c>
      <c r="W72" s="215">
        <v>310</v>
      </c>
      <c r="X72" s="215">
        <v>310</v>
      </c>
      <c r="Y72" s="215">
        <v>370</v>
      </c>
      <c r="Z72" s="215">
        <v>370</v>
      </c>
      <c r="AB72" s="213" t="s">
        <v>93</v>
      </c>
      <c r="AC72" s="214">
        <v>240</v>
      </c>
      <c r="AD72" s="214">
        <v>240</v>
      </c>
      <c r="AE72" s="214">
        <v>240</v>
      </c>
      <c r="AF72" s="214">
        <v>240</v>
      </c>
      <c r="AG72" s="214">
        <v>240</v>
      </c>
      <c r="AH72" s="214">
        <v>230</v>
      </c>
      <c r="AI72" s="214">
        <v>230</v>
      </c>
      <c r="AJ72" s="214">
        <v>220</v>
      </c>
      <c r="AK72" s="214">
        <v>220</v>
      </c>
      <c r="AL72" s="214">
        <v>220</v>
      </c>
      <c r="AM72" s="214">
        <v>220</v>
      </c>
      <c r="AN72" s="214">
        <v>220</v>
      </c>
      <c r="AO72" s="214">
        <v>170</v>
      </c>
      <c r="AP72" s="214">
        <v>170</v>
      </c>
      <c r="AQ72" s="214">
        <v>170</v>
      </c>
      <c r="AR72" s="214">
        <v>210</v>
      </c>
      <c r="AS72" s="214">
        <v>210</v>
      </c>
      <c r="AT72" s="214">
        <v>210</v>
      </c>
      <c r="AU72" s="215">
        <v>210</v>
      </c>
      <c r="AV72" s="215">
        <v>270</v>
      </c>
      <c r="AW72" s="215">
        <v>270</v>
      </c>
      <c r="AX72" s="215">
        <v>280</v>
      </c>
      <c r="AY72" s="215">
        <v>280</v>
      </c>
      <c r="AZ72" s="215">
        <v>340</v>
      </c>
      <c r="BA72" s="215">
        <v>340</v>
      </c>
      <c r="BC72" s="213" t="s">
        <v>93</v>
      </c>
      <c r="BD72" s="214">
        <v>240</v>
      </c>
      <c r="BE72" s="214">
        <v>240</v>
      </c>
      <c r="BF72" s="214">
        <v>240</v>
      </c>
      <c r="BG72" s="214">
        <v>240</v>
      </c>
      <c r="BH72" s="214">
        <v>240</v>
      </c>
      <c r="BI72" s="214">
        <v>230</v>
      </c>
      <c r="BJ72" s="214">
        <v>230</v>
      </c>
      <c r="BK72" s="214">
        <v>220</v>
      </c>
      <c r="BL72" s="214">
        <v>220</v>
      </c>
      <c r="BM72" s="214">
        <v>220</v>
      </c>
      <c r="BN72" s="214">
        <v>220</v>
      </c>
      <c r="BO72" s="214">
        <v>220</v>
      </c>
      <c r="BP72" s="214">
        <v>170</v>
      </c>
      <c r="BQ72" s="214">
        <v>170</v>
      </c>
      <c r="BR72" s="214">
        <v>170</v>
      </c>
      <c r="BS72" s="214">
        <v>210</v>
      </c>
      <c r="BT72" s="214">
        <v>210</v>
      </c>
      <c r="BU72" s="214">
        <v>210</v>
      </c>
      <c r="BV72" s="215">
        <v>210</v>
      </c>
      <c r="BW72" s="215">
        <v>270</v>
      </c>
      <c r="BX72" s="215">
        <v>270</v>
      </c>
      <c r="BY72" s="215">
        <v>280</v>
      </c>
      <c r="BZ72" s="215">
        <v>280</v>
      </c>
      <c r="CA72" s="215">
        <v>340</v>
      </c>
      <c r="CB72" s="215">
        <v>340</v>
      </c>
    </row>
    <row r="73" spans="1:80">
      <c r="A73" s="213" t="s">
        <v>94</v>
      </c>
      <c r="B73" s="214">
        <v>270</v>
      </c>
      <c r="C73" s="214">
        <v>260</v>
      </c>
      <c r="D73" s="214">
        <v>260</v>
      </c>
      <c r="E73" s="214">
        <v>260</v>
      </c>
      <c r="F73" s="214">
        <v>260</v>
      </c>
      <c r="G73" s="214">
        <v>250</v>
      </c>
      <c r="H73" s="214">
        <v>250</v>
      </c>
      <c r="I73" s="214">
        <v>250</v>
      </c>
      <c r="J73" s="214">
        <v>250</v>
      </c>
      <c r="K73" s="214">
        <v>250</v>
      </c>
      <c r="L73" s="214">
        <v>250</v>
      </c>
      <c r="M73" s="214">
        <v>250</v>
      </c>
      <c r="N73" s="214">
        <v>190</v>
      </c>
      <c r="O73" s="214">
        <v>190</v>
      </c>
      <c r="P73" s="214">
        <v>190</v>
      </c>
      <c r="Q73" s="214">
        <v>240</v>
      </c>
      <c r="R73" s="214">
        <v>240</v>
      </c>
      <c r="S73" s="214">
        <v>240</v>
      </c>
      <c r="T73" s="215">
        <v>240</v>
      </c>
      <c r="U73" s="215">
        <v>290</v>
      </c>
      <c r="V73" s="215">
        <v>290</v>
      </c>
      <c r="W73" s="215">
        <v>310</v>
      </c>
      <c r="X73" s="215">
        <v>310</v>
      </c>
      <c r="Y73" s="215">
        <v>370</v>
      </c>
      <c r="Z73" s="215">
        <v>370</v>
      </c>
      <c r="AB73" s="213" t="s">
        <v>94</v>
      </c>
      <c r="AC73" s="214">
        <v>240</v>
      </c>
      <c r="AD73" s="214">
        <v>240</v>
      </c>
      <c r="AE73" s="214">
        <v>240</v>
      </c>
      <c r="AF73" s="214">
        <v>240</v>
      </c>
      <c r="AG73" s="214">
        <v>240</v>
      </c>
      <c r="AH73" s="214">
        <v>230</v>
      </c>
      <c r="AI73" s="214">
        <v>230</v>
      </c>
      <c r="AJ73" s="214">
        <v>220</v>
      </c>
      <c r="AK73" s="214">
        <v>220</v>
      </c>
      <c r="AL73" s="214">
        <v>220</v>
      </c>
      <c r="AM73" s="214">
        <v>220</v>
      </c>
      <c r="AN73" s="214">
        <v>220</v>
      </c>
      <c r="AO73" s="214">
        <v>170</v>
      </c>
      <c r="AP73" s="214">
        <v>170</v>
      </c>
      <c r="AQ73" s="214">
        <v>170</v>
      </c>
      <c r="AR73" s="214">
        <v>210</v>
      </c>
      <c r="AS73" s="214">
        <v>210</v>
      </c>
      <c r="AT73" s="214">
        <v>210</v>
      </c>
      <c r="AU73" s="215">
        <v>210</v>
      </c>
      <c r="AV73" s="215">
        <v>270</v>
      </c>
      <c r="AW73" s="215">
        <v>270</v>
      </c>
      <c r="AX73" s="215">
        <v>280</v>
      </c>
      <c r="AY73" s="215">
        <v>280</v>
      </c>
      <c r="AZ73" s="215">
        <v>340</v>
      </c>
      <c r="BA73" s="215">
        <v>340</v>
      </c>
      <c r="BC73" s="213" t="s">
        <v>94</v>
      </c>
      <c r="BD73" s="214">
        <v>240</v>
      </c>
      <c r="BE73" s="214">
        <v>240</v>
      </c>
      <c r="BF73" s="214">
        <v>240</v>
      </c>
      <c r="BG73" s="214">
        <v>240</v>
      </c>
      <c r="BH73" s="214">
        <v>240</v>
      </c>
      <c r="BI73" s="214">
        <v>230</v>
      </c>
      <c r="BJ73" s="214">
        <v>230</v>
      </c>
      <c r="BK73" s="214">
        <v>220</v>
      </c>
      <c r="BL73" s="214">
        <v>220</v>
      </c>
      <c r="BM73" s="214">
        <v>220</v>
      </c>
      <c r="BN73" s="214">
        <v>220</v>
      </c>
      <c r="BO73" s="214">
        <v>220</v>
      </c>
      <c r="BP73" s="214">
        <v>170</v>
      </c>
      <c r="BQ73" s="214">
        <v>170</v>
      </c>
      <c r="BR73" s="214">
        <v>170</v>
      </c>
      <c r="BS73" s="214">
        <v>210</v>
      </c>
      <c r="BT73" s="214">
        <v>210</v>
      </c>
      <c r="BU73" s="214">
        <v>210</v>
      </c>
      <c r="BV73" s="215">
        <v>210</v>
      </c>
      <c r="BW73" s="215">
        <v>270</v>
      </c>
      <c r="BX73" s="215">
        <v>270</v>
      </c>
      <c r="BY73" s="215">
        <v>280</v>
      </c>
      <c r="BZ73" s="215">
        <v>280</v>
      </c>
      <c r="CA73" s="215">
        <v>340</v>
      </c>
      <c r="CB73" s="215">
        <v>340</v>
      </c>
    </row>
    <row r="74" spans="1:80">
      <c r="A74" s="213" t="s">
        <v>95</v>
      </c>
      <c r="B74" s="214">
        <v>270</v>
      </c>
      <c r="C74" s="214">
        <v>270</v>
      </c>
      <c r="D74" s="214">
        <v>270</v>
      </c>
      <c r="E74" s="214">
        <v>270</v>
      </c>
      <c r="F74" s="214">
        <v>270</v>
      </c>
      <c r="G74" s="214">
        <v>260</v>
      </c>
      <c r="H74" s="214">
        <v>260</v>
      </c>
      <c r="I74" s="214">
        <v>270</v>
      </c>
      <c r="J74" s="214">
        <v>270</v>
      </c>
      <c r="K74" s="214">
        <v>270</v>
      </c>
      <c r="L74" s="214">
        <v>270</v>
      </c>
      <c r="M74" s="214">
        <v>270</v>
      </c>
      <c r="N74" s="214">
        <v>240</v>
      </c>
      <c r="O74" s="214">
        <v>240</v>
      </c>
      <c r="P74" s="214">
        <v>240</v>
      </c>
      <c r="Q74" s="214">
        <v>190</v>
      </c>
      <c r="R74" s="214">
        <v>190</v>
      </c>
      <c r="S74" s="214">
        <v>190</v>
      </c>
      <c r="T74" s="215">
        <v>190</v>
      </c>
      <c r="U74" s="215">
        <v>270</v>
      </c>
      <c r="V74" s="215">
        <v>270</v>
      </c>
      <c r="W74" s="215">
        <v>280</v>
      </c>
      <c r="X74" s="215">
        <v>280</v>
      </c>
      <c r="Y74" s="215">
        <v>290</v>
      </c>
      <c r="Z74" s="215">
        <v>290</v>
      </c>
      <c r="AB74" s="213" t="s">
        <v>95</v>
      </c>
      <c r="AC74" s="214">
        <v>250</v>
      </c>
      <c r="AD74" s="214">
        <v>240</v>
      </c>
      <c r="AE74" s="214">
        <v>240</v>
      </c>
      <c r="AF74" s="214">
        <v>240</v>
      </c>
      <c r="AG74" s="214">
        <v>240</v>
      </c>
      <c r="AH74" s="214">
        <v>230</v>
      </c>
      <c r="AI74" s="214">
        <v>230</v>
      </c>
      <c r="AJ74" s="214">
        <v>240</v>
      </c>
      <c r="AK74" s="214">
        <v>240</v>
      </c>
      <c r="AL74" s="214">
        <v>240</v>
      </c>
      <c r="AM74" s="214">
        <v>240</v>
      </c>
      <c r="AN74" s="214">
        <v>240</v>
      </c>
      <c r="AO74" s="214">
        <v>210</v>
      </c>
      <c r="AP74" s="214">
        <v>210</v>
      </c>
      <c r="AQ74" s="214">
        <v>210</v>
      </c>
      <c r="AR74" s="214">
        <v>170</v>
      </c>
      <c r="AS74" s="214">
        <v>170</v>
      </c>
      <c r="AT74" s="214">
        <v>170</v>
      </c>
      <c r="AU74" s="215">
        <v>170</v>
      </c>
      <c r="AV74" s="215">
        <v>250</v>
      </c>
      <c r="AW74" s="215">
        <v>250</v>
      </c>
      <c r="AX74" s="215">
        <v>260</v>
      </c>
      <c r="AY74" s="215">
        <v>260</v>
      </c>
      <c r="AZ74" s="215">
        <v>270</v>
      </c>
      <c r="BA74" s="215">
        <v>270</v>
      </c>
      <c r="BC74" s="213" t="s">
        <v>95</v>
      </c>
      <c r="BD74" s="214">
        <v>250</v>
      </c>
      <c r="BE74" s="214">
        <v>240</v>
      </c>
      <c r="BF74" s="214">
        <v>240</v>
      </c>
      <c r="BG74" s="214">
        <v>240</v>
      </c>
      <c r="BH74" s="214">
        <v>240</v>
      </c>
      <c r="BI74" s="214">
        <v>230</v>
      </c>
      <c r="BJ74" s="214">
        <v>230</v>
      </c>
      <c r="BK74" s="214">
        <v>240</v>
      </c>
      <c r="BL74" s="214">
        <v>240</v>
      </c>
      <c r="BM74" s="214">
        <v>240</v>
      </c>
      <c r="BN74" s="214">
        <v>240</v>
      </c>
      <c r="BO74" s="214">
        <v>240</v>
      </c>
      <c r="BP74" s="214">
        <v>210</v>
      </c>
      <c r="BQ74" s="214">
        <v>210</v>
      </c>
      <c r="BR74" s="214">
        <v>210</v>
      </c>
      <c r="BS74" s="214">
        <v>170</v>
      </c>
      <c r="BT74" s="214">
        <v>170</v>
      </c>
      <c r="BU74" s="214">
        <v>170</v>
      </c>
      <c r="BV74" s="215">
        <v>170</v>
      </c>
      <c r="BW74" s="215">
        <v>250</v>
      </c>
      <c r="BX74" s="215">
        <v>250</v>
      </c>
      <c r="BY74" s="215">
        <v>260</v>
      </c>
      <c r="BZ74" s="215">
        <v>260</v>
      </c>
      <c r="CA74" s="215">
        <v>270</v>
      </c>
      <c r="CB74" s="215">
        <v>270</v>
      </c>
    </row>
    <row r="75" spans="1:80">
      <c r="A75" s="213" t="s">
        <v>96</v>
      </c>
      <c r="B75" s="214">
        <v>270</v>
      </c>
      <c r="C75" s="214">
        <v>270</v>
      </c>
      <c r="D75" s="214">
        <v>270</v>
      </c>
      <c r="E75" s="214">
        <v>270</v>
      </c>
      <c r="F75" s="214">
        <v>270</v>
      </c>
      <c r="G75" s="214">
        <v>260</v>
      </c>
      <c r="H75" s="214">
        <v>260</v>
      </c>
      <c r="I75" s="214">
        <v>270</v>
      </c>
      <c r="J75" s="214">
        <v>270</v>
      </c>
      <c r="K75" s="214">
        <v>270</v>
      </c>
      <c r="L75" s="214">
        <v>270</v>
      </c>
      <c r="M75" s="214">
        <v>270</v>
      </c>
      <c r="N75" s="214">
        <v>240</v>
      </c>
      <c r="O75" s="214">
        <v>240</v>
      </c>
      <c r="P75" s="214">
        <v>240</v>
      </c>
      <c r="Q75" s="214">
        <v>190</v>
      </c>
      <c r="R75" s="214">
        <v>190</v>
      </c>
      <c r="S75" s="214">
        <v>190</v>
      </c>
      <c r="T75" s="214">
        <v>190</v>
      </c>
      <c r="U75" s="214">
        <v>270</v>
      </c>
      <c r="V75" s="214">
        <v>270</v>
      </c>
      <c r="W75" s="214">
        <v>280</v>
      </c>
      <c r="X75" s="214">
        <v>280</v>
      </c>
      <c r="Y75" s="214">
        <v>290</v>
      </c>
      <c r="Z75" s="214">
        <v>290</v>
      </c>
      <c r="AB75" s="213" t="s">
        <v>96</v>
      </c>
      <c r="AC75" s="214">
        <v>250</v>
      </c>
      <c r="AD75" s="214">
        <v>240</v>
      </c>
      <c r="AE75" s="214">
        <v>240</v>
      </c>
      <c r="AF75" s="214">
        <v>240</v>
      </c>
      <c r="AG75" s="214">
        <v>240</v>
      </c>
      <c r="AH75" s="214">
        <v>230</v>
      </c>
      <c r="AI75" s="214">
        <v>230</v>
      </c>
      <c r="AJ75" s="214">
        <v>240</v>
      </c>
      <c r="AK75" s="214">
        <v>240</v>
      </c>
      <c r="AL75" s="214">
        <v>240</v>
      </c>
      <c r="AM75" s="214">
        <v>240</v>
      </c>
      <c r="AN75" s="214">
        <v>240</v>
      </c>
      <c r="AO75" s="214">
        <v>210</v>
      </c>
      <c r="AP75" s="214">
        <v>210</v>
      </c>
      <c r="AQ75" s="214">
        <v>210</v>
      </c>
      <c r="AR75" s="214">
        <v>170</v>
      </c>
      <c r="AS75" s="214">
        <v>170</v>
      </c>
      <c r="AT75" s="214">
        <v>170</v>
      </c>
      <c r="AU75" s="214">
        <v>170</v>
      </c>
      <c r="AV75" s="214">
        <v>250</v>
      </c>
      <c r="AW75" s="214">
        <v>250</v>
      </c>
      <c r="AX75" s="214">
        <v>260</v>
      </c>
      <c r="AY75" s="214">
        <v>260</v>
      </c>
      <c r="AZ75" s="214">
        <v>270</v>
      </c>
      <c r="BA75" s="214">
        <v>270</v>
      </c>
      <c r="BC75" s="213" t="s">
        <v>96</v>
      </c>
      <c r="BD75" s="214">
        <v>250</v>
      </c>
      <c r="BE75" s="214">
        <v>240</v>
      </c>
      <c r="BF75" s="214">
        <v>240</v>
      </c>
      <c r="BG75" s="214">
        <v>240</v>
      </c>
      <c r="BH75" s="214">
        <v>240</v>
      </c>
      <c r="BI75" s="214">
        <v>230</v>
      </c>
      <c r="BJ75" s="214">
        <v>230</v>
      </c>
      <c r="BK75" s="214">
        <v>240</v>
      </c>
      <c r="BL75" s="214">
        <v>240</v>
      </c>
      <c r="BM75" s="214">
        <v>240</v>
      </c>
      <c r="BN75" s="214">
        <v>240</v>
      </c>
      <c r="BO75" s="214">
        <v>240</v>
      </c>
      <c r="BP75" s="214">
        <v>210</v>
      </c>
      <c r="BQ75" s="214">
        <v>210</v>
      </c>
      <c r="BR75" s="214">
        <v>210</v>
      </c>
      <c r="BS75" s="214">
        <v>170</v>
      </c>
      <c r="BT75" s="214">
        <v>170</v>
      </c>
      <c r="BU75" s="214">
        <v>170</v>
      </c>
      <c r="BV75" s="214">
        <v>170</v>
      </c>
      <c r="BW75" s="214">
        <v>250</v>
      </c>
      <c r="BX75" s="214">
        <v>250</v>
      </c>
      <c r="BY75" s="214">
        <v>260</v>
      </c>
      <c r="BZ75" s="214">
        <v>260</v>
      </c>
      <c r="CA75" s="214">
        <v>270</v>
      </c>
      <c r="CB75" s="214">
        <v>270</v>
      </c>
    </row>
    <row r="76" spans="1:80">
      <c r="A76" s="213" t="s">
        <v>97</v>
      </c>
      <c r="B76" s="214">
        <v>270</v>
      </c>
      <c r="C76" s="214">
        <v>270</v>
      </c>
      <c r="D76" s="214">
        <v>270</v>
      </c>
      <c r="E76" s="214">
        <v>270</v>
      </c>
      <c r="F76" s="214">
        <v>270</v>
      </c>
      <c r="G76" s="214">
        <v>260</v>
      </c>
      <c r="H76" s="214">
        <v>260</v>
      </c>
      <c r="I76" s="214">
        <v>270</v>
      </c>
      <c r="J76" s="214">
        <v>270</v>
      </c>
      <c r="K76" s="214">
        <v>270</v>
      </c>
      <c r="L76" s="214">
        <v>270</v>
      </c>
      <c r="M76" s="214">
        <v>270</v>
      </c>
      <c r="N76" s="214">
        <v>240</v>
      </c>
      <c r="O76" s="214">
        <v>240</v>
      </c>
      <c r="P76" s="214">
        <v>240</v>
      </c>
      <c r="Q76" s="214">
        <v>190</v>
      </c>
      <c r="R76" s="214">
        <v>190</v>
      </c>
      <c r="S76" s="214">
        <v>190</v>
      </c>
      <c r="T76" s="215">
        <v>190</v>
      </c>
      <c r="U76" s="215">
        <v>270</v>
      </c>
      <c r="V76" s="215">
        <v>270</v>
      </c>
      <c r="W76" s="215">
        <v>280</v>
      </c>
      <c r="X76" s="215">
        <v>280</v>
      </c>
      <c r="Y76" s="215">
        <v>290</v>
      </c>
      <c r="Z76" s="215">
        <v>290</v>
      </c>
      <c r="AB76" s="213" t="s">
        <v>97</v>
      </c>
      <c r="AC76" s="214">
        <v>250</v>
      </c>
      <c r="AD76" s="214">
        <v>240</v>
      </c>
      <c r="AE76" s="214">
        <v>240</v>
      </c>
      <c r="AF76" s="214">
        <v>240</v>
      </c>
      <c r="AG76" s="214">
        <v>240</v>
      </c>
      <c r="AH76" s="214">
        <v>230</v>
      </c>
      <c r="AI76" s="214">
        <v>230</v>
      </c>
      <c r="AJ76" s="214">
        <v>240</v>
      </c>
      <c r="AK76" s="214">
        <v>240</v>
      </c>
      <c r="AL76" s="214">
        <v>240</v>
      </c>
      <c r="AM76" s="214">
        <v>240</v>
      </c>
      <c r="AN76" s="214">
        <v>240</v>
      </c>
      <c r="AO76" s="214">
        <v>210</v>
      </c>
      <c r="AP76" s="214">
        <v>210</v>
      </c>
      <c r="AQ76" s="214">
        <v>210</v>
      </c>
      <c r="AR76" s="214">
        <v>170</v>
      </c>
      <c r="AS76" s="214">
        <v>170</v>
      </c>
      <c r="AT76" s="214">
        <v>170</v>
      </c>
      <c r="AU76" s="215">
        <v>170</v>
      </c>
      <c r="AV76" s="215">
        <v>250</v>
      </c>
      <c r="AW76" s="215">
        <v>250</v>
      </c>
      <c r="AX76" s="215">
        <v>260</v>
      </c>
      <c r="AY76" s="215">
        <v>260</v>
      </c>
      <c r="AZ76" s="215">
        <v>270</v>
      </c>
      <c r="BA76" s="215">
        <v>270</v>
      </c>
      <c r="BC76" s="213" t="s">
        <v>97</v>
      </c>
      <c r="BD76" s="214">
        <v>250</v>
      </c>
      <c r="BE76" s="214">
        <v>240</v>
      </c>
      <c r="BF76" s="214">
        <v>240</v>
      </c>
      <c r="BG76" s="214">
        <v>240</v>
      </c>
      <c r="BH76" s="214">
        <v>240</v>
      </c>
      <c r="BI76" s="214">
        <v>230</v>
      </c>
      <c r="BJ76" s="214">
        <v>230</v>
      </c>
      <c r="BK76" s="214">
        <v>240</v>
      </c>
      <c r="BL76" s="214">
        <v>240</v>
      </c>
      <c r="BM76" s="214">
        <v>240</v>
      </c>
      <c r="BN76" s="214">
        <v>240</v>
      </c>
      <c r="BO76" s="214">
        <v>240</v>
      </c>
      <c r="BP76" s="214">
        <v>210</v>
      </c>
      <c r="BQ76" s="214">
        <v>210</v>
      </c>
      <c r="BR76" s="214">
        <v>210</v>
      </c>
      <c r="BS76" s="214">
        <v>170</v>
      </c>
      <c r="BT76" s="214">
        <v>170</v>
      </c>
      <c r="BU76" s="214">
        <v>170</v>
      </c>
      <c r="BV76" s="215">
        <v>170</v>
      </c>
      <c r="BW76" s="215">
        <v>250</v>
      </c>
      <c r="BX76" s="215">
        <v>250</v>
      </c>
      <c r="BY76" s="215">
        <v>260</v>
      </c>
      <c r="BZ76" s="215">
        <v>260</v>
      </c>
      <c r="CA76" s="215">
        <v>270</v>
      </c>
      <c r="CB76" s="215">
        <v>270</v>
      </c>
    </row>
    <row r="77" spans="1:80">
      <c r="A77" s="213" t="s">
        <v>98</v>
      </c>
      <c r="B77" s="214">
        <v>270</v>
      </c>
      <c r="C77" s="214">
        <v>270</v>
      </c>
      <c r="D77" s="214">
        <v>270</v>
      </c>
      <c r="E77" s="214">
        <v>270</v>
      </c>
      <c r="F77" s="214">
        <v>270</v>
      </c>
      <c r="G77" s="214">
        <v>260</v>
      </c>
      <c r="H77" s="214">
        <v>260</v>
      </c>
      <c r="I77" s="214">
        <v>270</v>
      </c>
      <c r="J77" s="214">
        <v>270</v>
      </c>
      <c r="K77" s="214">
        <v>270</v>
      </c>
      <c r="L77" s="214">
        <v>270</v>
      </c>
      <c r="M77" s="214">
        <v>270</v>
      </c>
      <c r="N77" s="214">
        <v>240</v>
      </c>
      <c r="O77" s="214">
        <v>240</v>
      </c>
      <c r="P77" s="214">
        <v>240</v>
      </c>
      <c r="Q77" s="214">
        <v>190</v>
      </c>
      <c r="R77" s="214">
        <v>190</v>
      </c>
      <c r="S77" s="214">
        <v>190</v>
      </c>
      <c r="T77" s="215">
        <v>190</v>
      </c>
      <c r="U77" s="215">
        <v>270</v>
      </c>
      <c r="V77" s="215">
        <v>270</v>
      </c>
      <c r="W77" s="215">
        <v>280</v>
      </c>
      <c r="X77" s="215">
        <v>280</v>
      </c>
      <c r="Y77" s="215">
        <v>290</v>
      </c>
      <c r="Z77" s="215">
        <v>290</v>
      </c>
      <c r="AB77" s="213" t="s">
        <v>98</v>
      </c>
      <c r="AC77" s="214">
        <v>250</v>
      </c>
      <c r="AD77" s="214">
        <v>240</v>
      </c>
      <c r="AE77" s="214">
        <v>240</v>
      </c>
      <c r="AF77" s="214">
        <v>240</v>
      </c>
      <c r="AG77" s="214">
        <v>240</v>
      </c>
      <c r="AH77" s="214">
        <v>230</v>
      </c>
      <c r="AI77" s="214">
        <v>230</v>
      </c>
      <c r="AJ77" s="214">
        <v>240</v>
      </c>
      <c r="AK77" s="214">
        <v>240</v>
      </c>
      <c r="AL77" s="214">
        <v>240</v>
      </c>
      <c r="AM77" s="214">
        <v>240</v>
      </c>
      <c r="AN77" s="214">
        <v>240</v>
      </c>
      <c r="AO77" s="214">
        <v>210</v>
      </c>
      <c r="AP77" s="214">
        <v>210</v>
      </c>
      <c r="AQ77" s="214">
        <v>210</v>
      </c>
      <c r="AR77" s="214">
        <v>170</v>
      </c>
      <c r="AS77" s="214">
        <v>170</v>
      </c>
      <c r="AT77" s="214">
        <v>170</v>
      </c>
      <c r="AU77" s="215">
        <v>170</v>
      </c>
      <c r="AV77" s="215">
        <v>250</v>
      </c>
      <c r="AW77" s="215">
        <v>250</v>
      </c>
      <c r="AX77" s="215">
        <v>260</v>
      </c>
      <c r="AY77" s="215">
        <v>260</v>
      </c>
      <c r="AZ77" s="215">
        <v>270</v>
      </c>
      <c r="BA77" s="215">
        <v>270</v>
      </c>
      <c r="BC77" s="213" t="s">
        <v>98</v>
      </c>
      <c r="BD77" s="214">
        <v>250</v>
      </c>
      <c r="BE77" s="214">
        <v>240</v>
      </c>
      <c r="BF77" s="214">
        <v>240</v>
      </c>
      <c r="BG77" s="214">
        <v>240</v>
      </c>
      <c r="BH77" s="214">
        <v>240</v>
      </c>
      <c r="BI77" s="214">
        <v>230</v>
      </c>
      <c r="BJ77" s="214">
        <v>230</v>
      </c>
      <c r="BK77" s="214">
        <v>240</v>
      </c>
      <c r="BL77" s="214">
        <v>240</v>
      </c>
      <c r="BM77" s="214">
        <v>240</v>
      </c>
      <c r="BN77" s="214">
        <v>240</v>
      </c>
      <c r="BO77" s="214">
        <v>240</v>
      </c>
      <c r="BP77" s="214">
        <v>210</v>
      </c>
      <c r="BQ77" s="214">
        <v>210</v>
      </c>
      <c r="BR77" s="214">
        <v>210</v>
      </c>
      <c r="BS77" s="214">
        <v>170</v>
      </c>
      <c r="BT77" s="214">
        <v>170</v>
      </c>
      <c r="BU77" s="214">
        <v>170</v>
      </c>
      <c r="BV77" s="215">
        <v>170</v>
      </c>
      <c r="BW77" s="215">
        <v>250</v>
      </c>
      <c r="BX77" s="215">
        <v>250</v>
      </c>
      <c r="BY77" s="215">
        <v>260</v>
      </c>
      <c r="BZ77" s="215">
        <v>260</v>
      </c>
      <c r="CA77" s="215">
        <v>270</v>
      </c>
      <c r="CB77" s="215">
        <v>270</v>
      </c>
    </row>
    <row r="78" spans="1:80">
      <c r="A78" s="213" t="s">
        <v>99</v>
      </c>
      <c r="B78" s="214">
        <v>420</v>
      </c>
      <c r="C78" s="214">
        <v>420</v>
      </c>
      <c r="D78" s="214">
        <v>420</v>
      </c>
      <c r="E78" s="214">
        <v>420</v>
      </c>
      <c r="F78" s="214">
        <v>420</v>
      </c>
      <c r="G78" s="214">
        <v>390</v>
      </c>
      <c r="H78" s="214">
        <v>390</v>
      </c>
      <c r="I78" s="214">
        <v>400</v>
      </c>
      <c r="J78" s="214">
        <v>400</v>
      </c>
      <c r="K78" s="214">
        <v>400</v>
      </c>
      <c r="L78" s="214">
        <v>410</v>
      </c>
      <c r="M78" s="214">
        <v>410</v>
      </c>
      <c r="N78" s="214">
        <v>290</v>
      </c>
      <c r="O78" s="214">
        <v>290</v>
      </c>
      <c r="P78" s="214">
        <v>290</v>
      </c>
      <c r="Q78" s="214">
        <v>270</v>
      </c>
      <c r="R78" s="214">
        <v>270</v>
      </c>
      <c r="S78" s="214">
        <v>270</v>
      </c>
      <c r="T78" s="215">
        <v>270</v>
      </c>
      <c r="U78" s="215">
        <v>190</v>
      </c>
      <c r="V78" s="215">
        <v>190</v>
      </c>
      <c r="W78" s="215">
        <v>200</v>
      </c>
      <c r="X78" s="215">
        <v>200</v>
      </c>
      <c r="Y78" s="215">
        <v>250</v>
      </c>
      <c r="Z78" s="215">
        <v>250</v>
      </c>
      <c r="AB78" s="213" t="s">
        <v>99</v>
      </c>
      <c r="AC78" s="214">
        <v>390</v>
      </c>
      <c r="AD78" s="214">
        <v>380</v>
      </c>
      <c r="AE78" s="214">
        <v>380</v>
      </c>
      <c r="AF78" s="214">
        <v>380</v>
      </c>
      <c r="AG78" s="214">
        <v>380</v>
      </c>
      <c r="AH78" s="214">
        <v>360</v>
      </c>
      <c r="AI78" s="214">
        <v>360</v>
      </c>
      <c r="AJ78" s="214">
        <v>370</v>
      </c>
      <c r="AK78" s="214">
        <v>370</v>
      </c>
      <c r="AL78" s="214">
        <v>370</v>
      </c>
      <c r="AM78" s="214">
        <v>370</v>
      </c>
      <c r="AN78" s="214">
        <v>370</v>
      </c>
      <c r="AO78" s="214">
        <v>270</v>
      </c>
      <c r="AP78" s="214">
        <v>270</v>
      </c>
      <c r="AQ78" s="214">
        <v>270</v>
      </c>
      <c r="AR78" s="214">
        <v>250</v>
      </c>
      <c r="AS78" s="214">
        <v>250</v>
      </c>
      <c r="AT78" s="214">
        <v>250</v>
      </c>
      <c r="AU78" s="215">
        <v>250</v>
      </c>
      <c r="AV78" s="215">
        <v>170</v>
      </c>
      <c r="AW78" s="215">
        <v>170</v>
      </c>
      <c r="AX78" s="215">
        <v>180</v>
      </c>
      <c r="AY78" s="215">
        <v>180</v>
      </c>
      <c r="AZ78" s="215">
        <v>220</v>
      </c>
      <c r="BA78" s="215">
        <v>220</v>
      </c>
      <c r="BC78" s="213" t="s">
        <v>99</v>
      </c>
      <c r="BD78" s="214">
        <v>390</v>
      </c>
      <c r="BE78" s="214">
        <v>380</v>
      </c>
      <c r="BF78" s="214">
        <v>380</v>
      </c>
      <c r="BG78" s="214">
        <v>380</v>
      </c>
      <c r="BH78" s="214">
        <v>380</v>
      </c>
      <c r="BI78" s="214">
        <v>360</v>
      </c>
      <c r="BJ78" s="214">
        <v>360</v>
      </c>
      <c r="BK78" s="214">
        <v>370</v>
      </c>
      <c r="BL78" s="214">
        <v>370</v>
      </c>
      <c r="BM78" s="214">
        <v>370</v>
      </c>
      <c r="BN78" s="214">
        <v>370</v>
      </c>
      <c r="BO78" s="214">
        <v>370</v>
      </c>
      <c r="BP78" s="214">
        <v>270</v>
      </c>
      <c r="BQ78" s="214">
        <v>270</v>
      </c>
      <c r="BR78" s="214">
        <v>270</v>
      </c>
      <c r="BS78" s="214">
        <v>250</v>
      </c>
      <c r="BT78" s="214">
        <v>250</v>
      </c>
      <c r="BU78" s="214">
        <v>250</v>
      </c>
      <c r="BV78" s="215">
        <v>250</v>
      </c>
      <c r="BW78" s="215">
        <v>170</v>
      </c>
      <c r="BX78" s="215">
        <v>170</v>
      </c>
      <c r="BY78" s="215">
        <v>180</v>
      </c>
      <c r="BZ78" s="215">
        <v>180</v>
      </c>
      <c r="CA78" s="215">
        <v>220</v>
      </c>
      <c r="CB78" s="215">
        <v>220</v>
      </c>
    </row>
    <row r="79" spans="1:80">
      <c r="A79" s="213" t="s">
        <v>100</v>
      </c>
      <c r="B79" s="214">
        <v>420</v>
      </c>
      <c r="C79" s="214">
        <v>420</v>
      </c>
      <c r="D79" s="214">
        <v>420</v>
      </c>
      <c r="E79" s="214">
        <v>420</v>
      </c>
      <c r="F79" s="214">
        <v>420</v>
      </c>
      <c r="G79" s="214">
        <v>390</v>
      </c>
      <c r="H79" s="214">
        <v>390</v>
      </c>
      <c r="I79" s="214">
        <v>400</v>
      </c>
      <c r="J79" s="214">
        <v>400</v>
      </c>
      <c r="K79" s="214">
        <v>400</v>
      </c>
      <c r="L79" s="214">
        <v>410</v>
      </c>
      <c r="M79" s="214">
        <v>410</v>
      </c>
      <c r="N79" s="214">
        <v>290</v>
      </c>
      <c r="O79" s="214">
        <v>290</v>
      </c>
      <c r="P79" s="214">
        <v>290</v>
      </c>
      <c r="Q79" s="214">
        <v>270</v>
      </c>
      <c r="R79" s="214">
        <v>270</v>
      </c>
      <c r="S79" s="214">
        <v>270</v>
      </c>
      <c r="T79" s="215">
        <v>270</v>
      </c>
      <c r="U79" s="215">
        <v>190</v>
      </c>
      <c r="V79" s="215">
        <v>190</v>
      </c>
      <c r="W79" s="215">
        <v>200</v>
      </c>
      <c r="X79" s="215">
        <v>200</v>
      </c>
      <c r="Y79" s="215">
        <v>250</v>
      </c>
      <c r="Z79" s="215">
        <v>250</v>
      </c>
      <c r="AB79" s="213" t="s">
        <v>100</v>
      </c>
      <c r="AC79" s="214">
        <v>390</v>
      </c>
      <c r="AD79" s="214">
        <v>380</v>
      </c>
      <c r="AE79" s="214">
        <v>380</v>
      </c>
      <c r="AF79" s="214">
        <v>380</v>
      </c>
      <c r="AG79" s="214">
        <v>380</v>
      </c>
      <c r="AH79" s="214">
        <v>360</v>
      </c>
      <c r="AI79" s="214">
        <v>360</v>
      </c>
      <c r="AJ79" s="214">
        <v>370</v>
      </c>
      <c r="AK79" s="214">
        <v>370</v>
      </c>
      <c r="AL79" s="214">
        <v>370</v>
      </c>
      <c r="AM79" s="214">
        <v>370</v>
      </c>
      <c r="AN79" s="214">
        <v>370</v>
      </c>
      <c r="AO79" s="214">
        <v>270</v>
      </c>
      <c r="AP79" s="214">
        <v>270</v>
      </c>
      <c r="AQ79" s="214">
        <v>270</v>
      </c>
      <c r="AR79" s="214">
        <v>250</v>
      </c>
      <c r="AS79" s="214">
        <v>250</v>
      </c>
      <c r="AT79" s="214">
        <v>250</v>
      </c>
      <c r="AU79" s="215">
        <v>250</v>
      </c>
      <c r="AV79" s="215">
        <v>170</v>
      </c>
      <c r="AW79" s="215">
        <v>170</v>
      </c>
      <c r="AX79" s="215">
        <v>180</v>
      </c>
      <c r="AY79" s="215">
        <v>180</v>
      </c>
      <c r="AZ79" s="215">
        <v>220</v>
      </c>
      <c r="BA79" s="215">
        <v>220</v>
      </c>
      <c r="BC79" s="213" t="s">
        <v>100</v>
      </c>
      <c r="BD79" s="214">
        <v>390</v>
      </c>
      <c r="BE79" s="214">
        <v>380</v>
      </c>
      <c r="BF79" s="214">
        <v>380</v>
      </c>
      <c r="BG79" s="214">
        <v>380</v>
      </c>
      <c r="BH79" s="214">
        <v>380</v>
      </c>
      <c r="BI79" s="214">
        <v>360</v>
      </c>
      <c r="BJ79" s="214">
        <v>360</v>
      </c>
      <c r="BK79" s="214">
        <v>370</v>
      </c>
      <c r="BL79" s="214">
        <v>370</v>
      </c>
      <c r="BM79" s="214">
        <v>370</v>
      </c>
      <c r="BN79" s="214">
        <v>370</v>
      </c>
      <c r="BO79" s="214">
        <v>370</v>
      </c>
      <c r="BP79" s="214">
        <v>270</v>
      </c>
      <c r="BQ79" s="214">
        <v>270</v>
      </c>
      <c r="BR79" s="214">
        <v>270</v>
      </c>
      <c r="BS79" s="214">
        <v>250</v>
      </c>
      <c r="BT79" s="214">
        <v>250</v>
      </c>
      <c r="BU79" s="214">
        <v>250</v>
      </c>
      <c r="BV79" s="215">
        <v>250</v>
      </c>
      <c r="BW79" s="215">
        <v>170</v>
      </c>
      <c r="BX79" s="215">
        <v>170</v>
      </c>
      <c r="BY79" s="215">
        <v>180</v>
      </c>
      <c r="BZ79" s="215">
        <v>180</v>
      </c>
      <c r="CA79" s="215">
        <v>220</v>
      </c>
      <c r="CB79" s="215">
        <v>220</v>
      </c>
    </row>
    <row r="80" spans="1:80">
      <c r="A80" s="213" t="s">
        <v>101</v>
      </c>
      <c r="B80" s="214">
        <v>450</v>
      </c>
      <c r="C80" s="214">
        <v>420</v>
      </c>
      <c r="D80" s="214">
        <v>420</v>
      </c>
      <c r="E80" s="214">
        <v>420</v>
      </c>
      <c r="F80" s="214">
        <v>420</v>
      </c>
      <c r="G80" s="214">
        <v>390</v>
      </c>
      <c r="H80" s="214">
        <v>390</v>
      </c>
      <c r="I80" s="214">
        <v>410</v>
      </c>
      <c r="J80" s="214">
        <v>410</v>
      </c>
      <c r="K80" s="214">
        <v>410</v>
      </c>
      <c r="L80" s="214">
        <v>420</v>
      </c>
      <c r="M80" s="214">
        <v>420</v>
      </c>
      <c r="N80" s="214">
        <v>310</v>
      </c>
      <c r="O80" s="214">
        <v>310</v>
      </c>
      <c r="P80" s="214">
        <v>310</v>
      </c>
      <c r="Q80" s="214">
        <v>280</v>
      </c>
      <c r="R80" s="214">
        <v>280</v>
      </c>
      <c r="S80" s="214">
        <v>280</v>
      </c>
      <c r="T80" s="215">
        <v>280</v>
      </c>
      <c r="U80" s="215">
        <v>200</v>
      </c>
      <c r="V80" s="215">
        <v>200</v>
      </c>
      <c r="W80" s="215">
        <v>190</v>
      </c>
      <c r="X80" s="215">
        <v>190</v>
      </c>
      <c r="Y80" s="215">
        <v>200</v>
      </c>
      <c r="Z80" s="215">
        <v>200</v>
      </c>
      <c r="AB80" s="213" t="s">
        <v>101</v>
      </c>
      <c r="AC80" s="214">
        <v>410</v>
      </c>
      <c r="AD80" s="214">
        <v>390</v>
      </c>
      <c r="AE80" s="214">
        <v>390</v>
      </c>
      <c r="AF80" s="214">
        <v>390</v>
      </c>
      <c r="AG80" s="214">
        <v>390</v>
      </c>
      <c r="AH80" s="214">
        <v>360</v>
      </c>
      <c r="AI80" s="214">
        <v>360</v>
      </c>
      <c r="AJ80" s="214">
        <v>370</v>
      </c>
      <c r="AK80" s="214">
        <v>370</v>
      </c>
      <c r="AL80" s="214">
        <v>370</v>
      </c>
      <c r="AM80" s="214">
        <v>380</v>
      </c>
      <c r="AN80" s="214">
        <v>380</v>
      </c>
      <c r="AO80" s="214">
        <v>280</v>
      </c>
      <c r="AP80" s="214">
        <v>280</v>
      </c>
      <c r="AQ80" s="214">
        <v>280</v>
      </c>
      <c r="AR80" s="214">
        <v>260</v>
      </c>
      <c r="AS80" s="214">
        <v>260</v>
      </c>
      <c r="AT80" s="214">
        <v>260</v>
      </c>
      <c r="AU80" s="215">
        <v>260</v>
      </c>
      <c r="AV80" s="215">
        <v>180</v>
      </c>
      <c r="AW80" s="215">
        <v>180</v>
      </c>
      <c r="AX80" s="215">
        <v>170</v>
      </c>
      <c r="AY80" s="215">
        <v>170</v>
      </c>
      <c r="AZ80" s="215">
        <v>180</v>
      </c>
      <c r="BA80" s="215">
        <v>180</v>
      </c>
      <c r="BC80" s="213" t="s">
        <v>101</v>
      </c>
      <c r="BD80" s="214">
        <v>410</v>
      </c>
      <c r="BE80" s="214">
        <v>390</v>
      </c>
      <c r="BF80" s="214">
        <v>390</v>
      </c>
      <c r="BG80" s="214">
        <v>390</v>
      </c>
      <c r="BH80" s="214">
        <v>390</v>
      </c>
      <c r="BI80" s="214">
        <v>360</v>
      </c>
      <c r="BJ80" s="214">
        <v>360</v>
      </c>
      <c r="BK80" s="214">
        <v>370</v>
      </c>
      <c r="BL80" s="214">
        <v>370</v>
      </c>
      <c r="BM80" s="214">
        <v>370</v>
      </c>
      <c r="BN80" s="214">
        <v>380</v>
      </c>
      <c r="BO80" s="214">
        <v>380</v>
      </c>
      <c r="BP80" s="214">
        <v>280</v>
      </c>
      <c r="BQ80" s="214">
        <v>280</v>
      </c>
      <c r="BR80" s="214">
        <v>280</v>
      </c>
      <c r="BS80" s="214">
        <v>260</v>
      </c>
      <c r="BT80" s="214">
        <v>260</v>
      </c>
      <c r="BU80" s="214">
        <v>260</v>
      </c>
      <c r="BV80" s="215">
        <v>260</v>
      </c>
      <c r="BW80" s="215">
        <v>180</v>
      </c>
      <c r="BX80" s="215">
        <v>180</v>
      </c>
      <c r="BY80" s="215">
        <v>170</v>
      </c>
      <c r="BZ80" s="215">
        <v>170</v>
      </c>
      <c r="CA80" s="215">
        <v>180</v>
      </c>
      <c r="CB80" s="215">
        <v>180</v>
      </c>
    </row>
    <row r="81" spans="1:80">
      <c r="A81" s="213" t="s">
        <v>102</v>
      </c>
      <c r="B81" s="214">
        <v>450</v>
      </c>
      <c r="C81" s="214">
        <v>420</v>
      </c>
      <c r="D81" s="214">
        <v>420</v>
      </c>
      <c r="E81" s="214">
        <v>420</v>
      </c>
      <c r="F81" s="214">
        <v>420</v>
      </c>
      <c r="G81" s="214">
        <v>390</v>
      </c>
      <c r="H81" s="214">
        <v>390</v>
      </c>
      <c r="I81" s="214">
        <v>410</v>
      </c>
      <c r="J81" s="214">
        <v>410</v>
      </c>
      <c r="K81" s="214">
        <v>410</v>
      </c>
      <c r="L81" s="214">
        <v>420</v>
      </c>
      <c r="M81" s="214">
        <v>420</v>
      </c>
      <c r="N81" s="214">
        <v>310</v>
      </c>
      <c r="O81" s="214">
        <v>310</v>
      </c>
      <c r="P81" s="214">
        <v>310</v>
      </c>
      <c r="Q81" s="214">
        <v>280</v>
      </c>
      <c r="R81" s="214">
        <v>280</v>
      </c>
      <c r="S81" s="214">
        <v>280</v>
      </c>
      <c r="T81" s="215">
        <v>280</v>
      </c>
      <c r="U81" s="215">
        <v>200</v>
      </c>
      <c r="V81" s="215">
        <v>200</v>
      </c>
      <c r="W81" s="215">
        <v>190</v>
      </c>
      <c r="X81" s="215">
        <v>190</v>
      </c>
      <c r="Y81" s="215">
        <v>200</v>
      </c>
      <c r="Z81" s="215">
        <v>200</v>
      </c>
      <c r="AB81" s="213" t="s">
        <v>102</v>
      </c>
      <c r="AC81" s="214">
        <v>410</v>
      </c>
      <c r="AD81" s="214">
        <v>390</v>
      </c>
      <c r="AE81" s="214">
        <v>390</v>
      </c>
      <c r="AF81" s="214">
        <v>390</v>
      </c>
      <c r="AG81" s="214">
        <v>390</v>
      </c>
      <c r="AH81" s="214">
        <v>360</v>
      </c>
      <c r="AI81" s="214">
        <v>360</v>
      </c>
      <c r="AJ81" s="214">
        <v>370</v>
      </c>
      <c r="AK81" s="214">
        <v>370</v>
      </c>
      <c r="AL81" s="214">
        <v>370</v>
      </c>
      <c r="AM81" s="214">
        <v>380</v>
      </c>
      <c r="AN81" s="214">
        <v>380</v>
      </c>
      <c r="AO81" s="214">
        <v>280</v>
      </c>
      <c r="AP81" s="214">
        <v>280</v>
      </c>
      <c r="AQ81" s="214">
        <v>280</v>
      </c>
      <c r="AR81" s="214">
        <v>260</v>
      </c>
      <c r="AS81" s="214">
        <v>260</v>
      </c>
      <c r="AT81" s="214">
        <v>260</v>
      </c>
      <c r="AU81" s="215">
        <v>260</v>
      </c>
      <c r="AV81" s="215">
        <v>180</v>
      </c>
      <c r="AW81" s="215">
        <v>180</v>
      </c>
      <c r="AX81" s="215">
        <v>170</v>
      </c>
      <c r="AY81" s="215">
        <v>170</v>
      </c>
      <c r="AZ81" s="215">
        <v>180</v>
      </c>
      <c r="BA81" s="215">
        <v>180</v>
      </c>
      <c r="BC81" s="213" t="s">
        <v>102</v>
      </c>
      <c r="BD81" s="214">
        <v>410</v>
      </c>
      <c r="BE81" s="214">
        <v>390</v>
      </c>
      <c r="BF81" s="214">
        <v>390</v>
      </c>
      <c r="BG81" s="214">
        <v>390</v>
      </c>
      <c r="BH81" s="214">
        <v>390</v>
      </c>
      <c r="BI81" s="214">
        <v>360</v>
      </c>
      <c r="BJ81" s="214">
        <v>360</v>
      </c>
      <c r="BK81" s="214">
        <v>370</v>
      </c>
      <c r="BL81" s="214">
        <v>370</v>
      </c>
      <c r="BM81" s="214">
        <v>370</v>
      </c>
      <c r="BN81" s="214">
        <v>380</v>
      </c>
      <c r="BO81" s="214">
        <v>380</v>
      </c>
      <c r="BP81" s="214">
        <v>280</v>
      </c>
      <c r="BQ81" s="214">
        <v>280</v>
      </c>
      <c r="BR81" s="214">
        <v>280</v>
      </c>
      <c r="BS81" s="214">
        <v>260</v>
      </c>
      <c r="BT81" s="214">
        <v>260</v>
      </c>
      <c r="BU81" s="214">
        <v>260</v>
      </c>
      <c r="BV81" s="215">
        <v>260</v>
      </c>
      <c r="BW81" s="215">
        <v>180</v>
      </c>
      <c r="BX81" s="215">
        <v>180</v>
      </c>
      <c r="BY81" s="215">
        <v>170</v>
      </c>
      <c r="BZ81" s="215">
        <v>170</v>
      </c>
      <c r="CA81" s="215">
        <v>180</v>
      </c>
      <c r="CB81" s="215">
        <v>180</v>
      </c>
    </row>
    <row r="82" spans="1:80">
      <c r="A82" s="213" t="s">
        <v>103</v>
      </c>
      <c r="B82" s="214">
        <v>450</v>
      </c>
      <c r="C82" s="214">
        <v>420</v>
      </c>
      <c r="D82" s="214">
        <v>420</v>
      </c>
      <c r="E82" s="214">
        <v>420</v>
      </c>
      <c r="F82" s="214">
        <v>420</v>
      </c>
      <c r="G82" s="214">
        <v>410</v>
      </c>
      <c r="H82" s="214">
        <v>410</v>
      </c>
      <c r="I82" s="214">
        <v>420</v>
      </c>
      <c r="J82" s="214">
        <v>420</v>
      </c>
      <c r="K82" s="214">
        <v>420</v>
      </c>
      <c r="L82" s="214">
        <v>420</v>
      </c>
      <c r="M82" s="214">
        <v>420</v>
      </c>
      <c r="N82" s="214">
        <v>370</v>
      </c>
      <c r="O82" s="214">
        <v>370</v>
      </c>
      <c r="P82" s="214">
        <v>370</v>
      </c>
      <c r="Q82" s="214">
        <v>290</v>
      </c>
      <c r="R82" s="214">
        <v>290</v>
      </c>
      <c r="S82" s="214">
        <v>290</v>
      </c>
      <c r="T82" s="215">
        <v>290</v>
      </c>
      <c r="U82" s="215">
        <v>250</v>
      </c>
      <c r="V82" s="215">
        <v>250</v>
      </c>
      <c r="W82" s="215">
        <v>200</v>
      </c>
      <c r="X82" s="215">
        <v>200</v>
      </c>
      <c r="Y82" s="215">
        <v>190</v>
      </c>
      <c r="Z82" s="215">
        <v>190</v>
      </c>
      <c r="AB82" s="213" t="s">
        <v>103</v>
      </c>
      <c r="AC82" s="214">
        <v>410</v>
      </c>
      <c r="AD82" s="214">
        <v>390</v>
      </c>
      <c r="AE82" s="214">
        <v>390</v>
      </c>
      <c r="AF82" s="214">
        <v>390</v>
      </c>
      <c r="AG82" s="214">
        <v>390</v>
      </c>
      <c r="AH82" s="214">
        <v>370</v>
      </c>
      <c r="AI82" s="214">
        <v>370</v>
      </c>
      <c r="AJ82" s="214">
        <v>380</v>
      </c>
      <c r="AK82" s="214">
        <v>380</v>
      </c>
      <c r="AL82" s="214">
        <v>380</v>
      </c>
      <c r="AM82" s="214">
        <v>390</v>
      </c>
      <c r="AN82" s="214">
        <v>390</v>
      </c>
      <c r="AO82" s="214">
        <v>340</v>
      </c>
      <c r="AP82" s="214">
        <v>340</v>
      </c>
      <c r="AQ82" s="214">
        <v>340</v>
      </c>
      <c r="AR82" s="214">
        <v>270</v>
      </c>
      <c r="AS82" s="214">
        <v>270</v>
      </c>
      <c r="AT82" s="214">
        <v>270</v>
      </c>
      <c r="AU82" s="215">
        <v>270</v>
      </c>
      <c r="AV82" s="215">
        <v>220</v>
      </c>
      <c r="AW82" s="215">
        <v>220</v>
      </c>
      <c r="AX82" s="215">
        <v>180</v>
      </c>
      <c r="AY82" s="215">
        <v>180</v>
      </c>
      <c r="AZ82" s="215">
        <v>170</v>
      </c>
      <c r="BA82" s="215">
        <v>170</v>
      </c>
      <c r="BC82" s="213" t="s">
        <v>103</v>
      </c>
      <c r="BD82" s="214">
        <v>410</v>
      </c>
      <c r="BE82" s="214">
        <v>390</v>
      </c>
      <c r="BF82" s="214">
        <v>390</v>
      </c>
      <c r="BG82" s="214">
        <v>390</v>
      </c>
      <c r="BH82" s="214">
        <v>390</v>
      </c>
      <c r="BI82" s="214">
        <v>370</v>
      </c>
      <c r="BJ82" s="214">
        <v>370</v>
      </c>
      <c r="BK82" s="214">
        <v>380</v>
      </c>
      <c r="BL82" s="214">
        <v>380</v>
      </c>
      <c r="BM82" s="214">
        <v>380</v>
      </c>
      <c r="BN82" s="214">
        <v>390</v>
      </c>
      <c r="BO82" s="214">
        <v>390</v>
      </c>
      <c r="BP82" s="214">
        <v>340</v>
      </c>
      <c r="BQ82" s="214">
        <v>340</v>
      </c>
      <c r="BR82" s="214">
        <v>340</v>
      </c>
      <c r="BS82" s="214">
        <v>270</v>
      </c>
      <c r="BT82" s="214">
        <v>270</v>
      </c>
      <c r="BU82" s="214">
        <v>270</v>
      </c>
      <c r="BV82" s="215">
        <v>270</v>
      </c>
      <c r="BW82" s="215">
        <v>220</v>
      </c>
      <c r="BX82" s="215">
        <v>220</v>
      </c>
      <c r="BY82" s="215">
        <v>180</v>
      </c>
      <c r="BZ82" s="215">
        <v>180</v>
      </c>
      <c r="CA82" s="215">
        <v>170</v>
      </c>
      <c r="CB82" s="215">
        <v>170</v>
      </c>
    </row>
    <row r="83" spans="1:80">
      <c r="A83" s="213" t="s">
        <v>104</v>
      </c>
      <c r="B83" s="214">
        <v>450</v>
      </c>
      <c r="C83" s="214">
        <v>420</v>
      </c>
      <c r="D83" s="214">
        <v>420</v>
      </c>
      <c r="E83" s="214">
        <v>420</v>
      </c>
      <c r="F83" s="214">
        <v>420</v>
      </c>
      <c r="G83" s="214">
        <v>410</v>
      </c>
      <c r="H83" s="214">
        <v>410</v>
      </c>
      <c r="I83" s="214">
        <v>420</v>
      </c>
      <c r="J83" s="214">
        <v>420</v>
      </c>
      <c r="K83" s="214">
        <v>420</v>
      </c>
      <c r="L83" s="214">
        <v>420</v>
      </c>
      <c r="M83" s="214">
        <v>420</v>
      </c>
      <c r="N83" s="214">
        <v>370</v>
      </c>
      <c r="O83" s="214">
        <v>370</v>
      </c>
      <c r="P83" s="214">
        <v>370</v>
      </c>
      <c r="Q83" s="214">
        <v>290</v>
      </c>
      <c r="R83" s="214">
        <v>290</v>
      </c>
      <c r="S83" s="214">
        <v>290</v>
      </c>
      <c r="T83" s="215">
        <v>290</v>
      </c>
      <c r="U83" s="215">
        <v>250</v>
      </c>
      <c r="V83" s="215">
        <v>250</v>
      </c>
      <c r="W83" s="215">
        <v>200</v>
      </c>
      <c r="X83" s="215">
        <v>200</v>
      </c>
      <c r="Y83" s="215">
        <v>190</v>
      </c>
      <c r="Z83" s="215">
        <v>190</v>
      </c>
      <c r="AB83" s="213" t="s">
        <v>104</v>
      </c>
      <c r="AC83" s="214">
        <v>410</v>
      </c>
      <c r="AD83" s="214">
        <v>390</v>
      </c>
      <c r="AE83" s="214">
        <v>390</v>
      </c>
      <c r="AF83" s="214">
        <v>390</v>
      </c>
      <c r="AG83" s="214">
        <v>390</v>
      </c>
      <c r="AH83" s="214">
        <v>370</v>
      </c>
      <c r="AI83" s="214">
        <v>370</v>
      </c>
      <c r="AJ83" s="214">
        <v>380</v>
      </c>
      <c r="AK83" s="214">
        <v>380</v>
      </c>
      <c r="AL83" s="214">
        <v>380</v>
      </c>
      <c r="AM83" s="214">
        <v>390</v>
      </c>
      <c r="AN83" s="214">
        <v>390</v>
      </c>
      <c r="AO83" s="214">
        <v>340</v>
      </c>
      <c r="AP83" s="214">
        <v>340</v>
      </c>
      <c r="AQ83" s="214">
        <v>340</v>
      </c>
      <c r="AR83" s="214">
        <v>270</v>
      </c>
      <c r="AS83" s="214">
        <v>270</v>
      </c>
      <c r="AT83" s="214">
        <v>270</v>
      </c>
      <c r="AU83" s="215">
        <v>270</v>
      </c>
      <c r="AV83" s="215">
        <v>220</v>
      </c>
      <c r="AW83" s="215">
        <v>220</v>
      </c>
      <c r="AX83" s="215">
        <v>180</v>
      </c>
      <c r="AY83" s="215">
        <v>180</v>
      </c>
      <c r="AZ83" s="215">
        <v>170</v>
      </c>
      <c r="BA83" s="215">
        <v>170</v>
      </c>
      <c r="BC83" s="213" t="s">
        <v>104</v>
      </c>
      <c r="BD83" s="214">
        <v>410</v>
      </c>
      <c r="BE83" s="214">
        <v>390</v>
      </c>
      <c r="BF83" s="214">
        <v>390</v>
      </c>
      <c r="BG83" s="214">
        <v>390</v>
      </c>
      <c r="BH83" s="214">
        <v>390</v>
      </c>
      <c r="BI83" s="214">
        <v>370</v>
      </c>
      <c r="BJ83" s="214">
        <v>370</v>
      </c>
      <c r="BK83" s="214">
        <v>380</v>
      </c>
      <c r="BL83" s="214">
        <v>380</v>
      </c>
      <c r="BM83" s="214">
        <v>380</v>
      </c>
      <c r="BN83" s="214">
        <v>390</v>
      </c>
      <c r="BO83" s="214">
        <v>390</v>
      </c>
      <c r="BP83" s="214">
        <v>340</v>
      </c>
      <c r="BQ83" s="214">
        <v>340</v>
      </c>
      <c r="BR83" s="214">
        <v>340</v>
      </c>
      <c r="BS83" s="214">
        <v>270</v>
      </c>
      <c r="BT83" s="214">
        <v>270</v>
      </c>
      <c r="BU83" s="214">
        <v>270</v>
      </c>
      <c r="BV83" s="215">
        <v>270</v>
      </c>
      <c r="BW83" s="215">
        <v>220</v>
      </c>
      <c r="BX83" s="215">
        <v>220</v>
      </c>
      <c r="BY83" s="215">
        <v>180</v>
      </c>
      <c r="BZ83" s="215">
        <v>180</v>
      </c>
      <c r="CA83" s="215">
        <v>170</v>
      </c>
      <c r="CB83" s="215">
        <v>170</v>
      </c>
    </row>
  </sheetData>
  <mergeCells count="9">
    <mergeCell ref="BC1:CB1"/>
    <mergeCell ref="BC29:CB29"/>
    <mergeCell ref="BC57:CB57"/>
    <mergeCell ref="A1:Z1"/>
    <mergeCell ref="A29:Z29"/>
    <mergeCell ref="A57:Z57"/>
    <mergeCell ref="AB1:BA1"/>
    <mergeCell ref="AB29:BA29"/>
    <mergeCell ref="AB57:BA5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9783-9674-485B-879B-287C9D3F5385}">
  <dimension ref="A1:AL39"/>
  <sheetViews>
    <sheetView topLeftCell="T1" zoomScale="70" zoomScaleNormal="70" workbookViewId="0">
      <selection activeCell="AC20" sqref="AC20"/>
    </sheetView>
  </sheetViews>
  <sheetFormatPr defaultColWidth="11" defaultRowHeight="15.75"/>
  <cols>
    <col min="1" max="1" width="5.125" bestFit="1" customWidth="1"/>
    <col min="2" max="11" width="5.625" bestFit="1" customWidth="1"/>
    <col min="13" max="13" width="7.375" bestFit="1" customWidth="1"/>
    <col min="14" max="14" width="25.625" bestFit="1" customWidth="1"/>
    <col min="16" max="16" width="3.375" bestFit="1" customWidth="1"/>
    <col min="17" max="26" width="3.75" bestFit="1" customWidth="1"/>
  </cols>
  <sheetData>
    <row r="1" spans="1:38">
      <c r="A1" s="133" t="s">
        <v>51</v>
      </c>
      <c r="B1" s="134" t="s">
        <v>52</v>
      </c>
      <c r="C1" s="206"/>
      <c r="D1" s="206"/>
      <c r="E1" s="206"/>
      <c r="F1" s="206"/>
      <c r="G1" s="206"/>
      <c r="H1" s="206"/>
      <c r="I1" s="206"/>
      <c r="J1" s="206"/>
      <c r="K1" s="207"/>
      <c r="M1" s="16"/>
      <c r="N1" s="16"/>
      <c r="P1" s="137" t="s">
        <v>106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B1" s="137" t="s">
        <v>107</v>
      </c>
      <c r="AC1" s="137"/>
      <c r="AD1" s="137"/>
      <c r="AE1" s="137"/>
      <c r="AF1" s="137"/>
      <c r="AG1" s="137"/>
      <c r="AH1" s="137"/>
      <c r="AI1" s="137"/>
      <c r="AJ1" s="137"/>
      <c r="AK1" s="137"/>
      <c r="AL1" s="137"/>
    </row>
    <row r="2" spans="1:38">
      <c r="A2" s="208"/>
      <c r="B2" s="42">
        <v>1</v>
      </c>
      <c r="C2" s="42">
        <v>2</v>
      </c>
      <c r="D2" s="42">
        <v>3</v>
      </c>
      <c r="E2" s="42">
        <v>4</v>
      </c>
      <c r="F2" s="42">
        <v>5</v>
      </c>
      <c r="G2" s="42">
        <v>6</v>
      </c>
      <c r="H2" s="42">
        <v>7</v>
      </c>
      <c r="I2" s="42">
        <v>8</v>
      </c>
      <c r="J2" s="42">
        <v>9</v>
      </c>
      <c r="K2" s="42">
        <v>10</v>
      </c>
      <c r="M2" s="16"/>
      <c r="N2" s="16"/>
      <c r="P2" s="73"/>
      <c r="Q2" s="74">
        <v>1</v>
      </c>
      <c r="R2" s="74">
        <v>2</v>
      </c>
      <c r="S2" s="74">
        <v>3</v>
      </c>
      <c r="T2" s="74">
        <v>4</v>
      </c>
      <c r="U2" s="74">
        <v>5</v>
      </c>
      <c r="V2" s="74">
        <v>6</v>
      </c>
      <c r="W2" s="74">
        <v>7</v>
      </c>
      <c r="X2" s="74">
        <v>8</v>
      </c>
      <c r="Y2" s="74">
        <v>9</v>
      </c>
      <c r="Z2" s="74">
        <v>10</v>
      </c>
      <c r="AB2" s="73"/>
      <c r="AC2" s="74">
        <v>1</v>
      </c>
      <c r="AD2" s="74">
        <v>2</v>
      </c>
      <c r="AE2" s="74">
        <v>3</v>
      </c>
      <c r="AF2" s="74">
        <v>4</v>
      </c>
      <c r="AG2" s="74">
        <v>5</v>
      </c>
      <c r="AH2" s="74">
        <v>6</v>
      </c>
      <c r="AI2" s="74">
        <v>7</v>
      </c>
      <c r="AJ2" s="74">
        <v>8</v>
      </c>
      <c r="AK2" s="74">
        <v>9</v>
      </c>
      <c r="AL2" s="74">
        <v>10</v>
      </c>
    </row>
    <row r="3" spans="1:38" ht="18">
      <c r="A3" s="43">
        <v>1</v>
      </c>
      <c r="B3" s="216">
        <v>380</v>
      </c>
      <c r="C3" s="216">
        <v>450</v>
      </c>
      <c r="D3" s="216">
        <v>500</v>
      </c>
      <c r="E3" s="216">
        <v>510</v>
      </c>
      <c r="F3" s="216">
        <v>530</v>
      </c>
      <c r="G3" s="216">
        <v>530</v>
      </c>
      <c r="H3" s="216">
        <v>540</v>
      </c>
      <c r="I3" s="216">
        <v>840</v>
      </c>
      <c r="J3" s="216">
        <v>890</v>
      </c>
      <c r="K3" s="216">
        <v>900</v>
      </c>
      <c r="M3" s="209" t="s">
        <v>53</v>
      </c>
      <c r="N3" s="210" t="s">
        <v>54</v>
      </c>
      <c r="P3" s="74">
        <v>1</v>
      </c>
      <c r="Q3" s="75">
        <v>50</v>
      </c>
      <c r="R3" s="75">
        <v>50</v>
      </c>
      <c r="S3" s="75">
        <v>50</v>
      </c>
      <c r="T3" s="75">
        <v>50</v>
      </c>
      <c r="U3" s="75">
        <v>50</v>
      </c>
      <c r="V3" s="75">
        <v>70</v>
      </c>
      <c r="W3" s="75">
        <v>60</v>
      </c>
      <c r="X3" s="75">
        <v>70</v>
      </c>
      <c r="Y3" s="75">
        <v>70</v>
      </c>
      <c r="Z3" s="75">
        <v>70</v>
      </c>
      <c r="AB3" s="74">
        <v>1</v>
      </c>
      <c r="AC3" s="75">
        <f>B3+Q3</f>
        <v>430</v>
      </c>
      <c r="AD3" s="75">
        <f t="shared" ref="AD3:AL12" si="0">C3+R3</f>
        <v>500</v>
      </c>
      <c r="AE3" s="75">
        <f t="shared" si="0"/>
        <v>550</v>
      </c>
      <c r="AF3" s="75">
        <f t="shared" si="0"/>
        <v>560</v>
      </c>
      <c r="AG3" s="75">
        <f t="shared" si="0"/>
        <v>580</v>
      </c>
      <c r="AH3" s="75">
        <f t="shared" si="0"/>
        <v>600</v>
      </c>
      <c r="AI3" s="75">
        <f t="shared" si="0"/>
        <v>600</v>
      </c>
      <c r="AJ3" s="75">
        <f t="shared" si="0"/>
        <v>910</v>
      </c>
      <c r="AK3" s="75">
        <f t="shared" si="0"/>
        <v>960</v>
      </c>
      <c r="AL3" s="75">
        <f t="shared" si="0"/>
        <v>970</v>
      </c>
    </row>
    <row r="4" spans="1:38" ht="18">
      <c r="A4" s="43">
        <v>2</v>
      </c>
      <c r="B4" s="216">
        <v>450</v>
      </c>
      <c r="C4" s="216">
        <v>380</v>
      </c>
      <c r="D4" s="216">
        <v>470</v>
      </c>
      <c r="E4" s="216">
        <v>500</v>
      </c>
      <c r="F4" s="216">
        <v>510</v>
      </c>
      <c r="G4" s="216">
        <v>520</v>
      </c>
      <c r="H4" s="216">
        <v>530</v>
      </c>
      <c r="I4" s="216">
        <v>830</v>
      </c>
      <c r="J4" s="216">
        <v>840</v>
      </c>
      <c r="K4" s="216">
        <v>840</v>
      </c>
      <c r="M4" s="44"/>
      <c r="N4" s="16"/>
      <c r="P4" s="74">
        <v>2</v>
      </c>
      <c r="Q4" s="75">
        <v>50</v>
      </c>
      <c r="R4" s="75">
        <v>40</v>
      </c>
      <c r="S4" s="75">
        <v>40</v>
      </c>
      <c r="T4" s="75">
        <v>40</v>
      </c>
      <c r="U4" s="75">
        <v>40</v>
      </c>
      <c r="V4" s="75">
        <v>70</v>
      </c>
      <c r="W4" s="75">
        <v>60</v>
      </c>
      <c r="X4" s="75">
        <v>70</v>
      </c>
      <c r="Y4" s="75">
        <v>70</v>
      </c>
      <c r="Z4" s="75">
        <v>70</v>
      </c>
      <c r="AB4" s="74">
        <v>2</v>
      </c>
      <c r="AC4" s="75">
        <f t="shared" ref="AC4:AC12" si="1">B4+Q4</f>
        <v>500</v>
      </c>
      <c r="AD4" s="75">
        <f t="shared" si="0"/>
        <v>420</v>
      </c>
      <c r="AE4" s="75">
        <f t="shared" si="0"/>
        <v>510</v>
      </c>
      <c r="AF4" s="75">
        <f t="shared" si="0"/>
        <v>540</v>
      </c>
      <c r="AG4" s="75">
        <f t="shared" si="0"/>
        <v>550</v>
      </c>
      <c r="AH4" s="75">
        <f t="shared" si="0"/>
        <v>590</v>
      </c>
      <c r="AI4" s="75">
        <f t="shared" si="0"/>
        <v>590</v>
      </c>
      <c r="AJ4" s="75">
        <f t="shared" si="0"/>
        <v>900</v>
      </c>
      <c r="AK4" s="75">
        <f t="shared" si="0"/>
        <v>910</v>
      </c>
      <c r="AL4" s="75">
        <f t="shared" si="0"/>
        <v>910</v>
      </c>
    </row>
    <row r="5" spans="1:38" ht="18">
      <c r="A5" s="43">
        <v>3</v>
      </c>
      <c r="B5" s="216">
        <v>500</v>
      </c>
      <c r="C5" s="216">
        <v>470</v>
      </c>
      <c r="D5" s="216">
        <v>380</v>
      </c>
      <c r="E5" s="216">
        <v>450</v>
      </c>
      <c r="F5" s="216">
        <v>500</v>
      </c>
      <c r="G5" s="216">
        <v>500</v>
      </c>
      <c r="H5" s="216">
        <v>510</v>
      </c>
      <c r="I5" s="216">
        <v>780</v>
      </c>
      <c r="J5" s="216">
        <v>780</v>
      </c>
      <c r="K5" s="216">
        <v>810</v>
      </c>
      <c r="M5" s="209" t="s">
        <v>55</v>
      </c>
      <c r="N5" s="210" t="s">
        <v>56</v>
      </c>
      <c r="P5" s="74">
        <v>3</v>
      </c>
      <c r="Q5" s="75">
        <v>50</v>
      </c>
      <c r="R5" s="75">
        <v>40</v>
      </c>
      <c r="S5" s="75">
        <v>40</v>
      </c>
      <c r="T5" s="75">
        <v>50</v>
      </c>
      <c r="U5" s="75">
        <v>40</v>
      </c>
      <c r="V5" s="75">
        <v>70</v>
      </c>
      <c r="W5" s="75">
        <v>60</v>
      </c>
      <c r="X5" s="75">
        <v>70</v>
      </c>
      <c r="Y5" s="75">
        <v>70</v>
      </c>
      <c r="Z5" s="75">
        <v>70</v>
      </c>
      <c r="AB5" s="74">
        <v>3</v>
      </c>
      <c r="AC5" s="75">
        <f t="shared" si="1"/>
        <v>550</v>
      </c>
      <c r="AD5" s="75">
        <f t="shared" si="0"/>
        <v>510</v>
      </c>
      <c r="AE5" s="75">
        <f t="shared" si="0"/>
        <v>420</v>
      </c>
      <c r="AF5" s="75">
        <f t="shared" si="0"/>
        <v>500</v>
      </c>
      <c r="AG5" s="75">
        <f t="shared" si="0"/>
        <v>540</v>
      </c>
      <c r="AH5" s="75">
        <f t="shared" si="0"/>
        <v>570</v>
      </c>
      <c r="AI5" s="75">
        <f t="shared" si="0"/>
        <v>570</v>
      </c>
      <c r="AJ5" s="75">
        <f t="shared" si="0"/>
        <v>850</v>
      </c>
      <c r="AK5" s="75">
        <f t="shared" si="0"/>
        <v>850</v>
      </c>
      <c r="AL5" s="75">
        <f t="shared" si="0"/>
        <v>880</v>
      </c>
    </row>
    <row r="6" spans="1:38" ht="18">
      <c r="A6" s="43">
        <v>4</v>
      </c>
      <c r="B6" s="216">
        <v>510</v>
      </c>
      <c r="C6" s="216">
        <v>500</v>
      </c>
      <c r="D6" s="216">
        <v>450</v>
      </c>
      <c r="E6" s="216">
        <v>380</v>
      </c>
      <c r="F6" s="216">
        <v>450</v>
      </c>
      <c r="G6" s="216">
        <v>490</v>
      </c>
      <c r="H6" s="216">
        <v>530</v>
      </c>
      <c r="I6" s="216">
        <v>800</v>
      </c>
      <c r="J6" s="216">
        <v>810</v>
      </c>
      <c r="K6" s="216">
        <v>830</v>
      </c>
      <c r="M6" s="44"/>
      <c r="N6" s="210" t="s">
        <v>57</v>
      </c>
      <c r="P6" s="74">
        <v>4</v>
      </c>
      <c r="Q6" s="75">
        <v>50</v>
      </c>
      <c r="R6" s="75">
        <v>40</v>
      </c>
      <c r="S6" s="75">
        <v>50</v>
      </c>
      <c r="T6" s="75">
        <v>40</v>
      </c>
      <c r="U6" s="75">
        <v>40</v>
      </c>
      <c r="V6" s="75">
        <v>70</v>
      </c>
      <c r="W6" s="75">
        <v>60</v>
      </c>
      <c r="X6" s="75">
        <v>70</v>
      </c>
      <c r="Y6" s="75">
        <v>70</v>
      </c>
      <c r="Z6" s="75">
        <v>70</v>
      </c>
      <c r="AB6" s="74">
        <v>4</v>
      </c>
      <c r="AC6" s="75">
        <f t="shared" si="1"/>
        <v>560</v>
      </c>
      <c r="AD6" s="75">
        <f t="shared" si="0"/>
        <v>540</v>
      </c>
      <c r="AE6" s="75">
        <f t="shared" si="0"/>
        <v>500</v>
      </c>
      <c r="AF6" s="75">
        <f t="shared" si="0"/>
        <v>420</v>
      </c>
      <c r="AG6" s="75">
        <f t="shared" si="0"/>
        <v>490</v>
      </c>
      <c r="AH6" s="75">
        <f t="shared" si="0"/>
        <v>560</v>
      </c>
      <c r="AI6" s="75">
        <f t="shared" si="0"/>
        <v>590</v>
      </c>
      <c r="AJ6" s="75">
        <f t="shared" si="0"/>
        <v>870</v>
      </c>
      <c r="AK6" s="75">
        <f t="shared" si="0"/>
        <v>880</v>
      </c>
      <c r="AL6" s="75">
        <f t="shared" si="0"/>
        <v>900</v>
      </c>
    </row>
    <row r="7" spans="1:38" ht="18">
      <c r="A7" s="43">
        <v>5</v>
      </c>
      <c r="B7" s="216">
        <v>530</v>
      </c>
      <c r="C7" s="216">
        <v>510</v>
      </c>
      <c r="D7" s="216">
        <v>500</v>
      </c>
      <c r="E7" s="216">
        <v>450</v>
      </c>
      <c r="F7" s="216">
        <v>380</v>
      </c>
      <c r="G7" s="216">
        <v>490</v>
      </c>
      <c r="H7" s="216">
        <v>530</v>
      </c>
      <c r="I7" s="216">
        <v>810</v>
      </c>
      <c r="J7" s="216">
        <v>830</v>
      </c>
      <c r="K7" s="216">
        <v>840</v>
      </c>
      <c r="M7" s="44"/>
      <c r="N7" s="210" t="s">
        <v>58</v>
      </c>
      <c r="P7" s="74">
        <v>5</v>
      </c>
      <c r="Q7" s="75">
        <v>50</v>
      </c>
      <c r="R7" s="75">
        <v>40</v>
      </c>
      <c r="S7" s="75">
        <v>40</v>
      </c>
      <c r="T7" s="75">
        <v>40</v>
      </c>
      <c r="U7" s="75">
        <v>40</v>
      </c>
      <c r="V7" s="75">
        <v>70</v>
      </c>
      <c r="W7" s="75">
        <v>60</v>
      </c>
      <c r="X7" s="75">
        <v>70</v>
      </c>
      <c r="Y7" s="75">
        <v>70</v>
      </c>
      <c r="Z7" s="75">
        <v>70</v>
      </c>
      <c r="AB7" s="74">
        <v>5</v>
      </c>
      <c r="AC7" s="75">
        <f t="shared" si="1"/>
        <v>580</v>
      </c>
      <c r="AD7" s="75">
        <f t="shared" si="0"/>
        <v>550</v>
      </c>
      <c r="AE7" s="75">
        <f t="shared" si="0"/>
        <v>540</v>
      </c>
      <c r="AF7" s="75">
        <f t="shared" si="0"/>
        <v>490</v>
      </c>
      <c r="AG7" s="75">
        <f t="shared" si="0"/>
        <v>420</v>
      </c>
      <c r="AH7" s="75">
        <f t="shared" si="0"/>
        <v>560</v>
      </c>
      <c r="AI7" s="75">
        <f t="shared" si="0"/>
        <v>590</v>
      </c>
      <c r="AJ7" s="75">
        <f t="shared" si="0"/>
        <v>880</v>
      </c>
      <c r="AK7" s="75">
        <f t="shared" si="0"/>
        <v>900</v>
      </c>
      <c r="AL7" s="75">
        <f t="shared" si="0"/>
        <v>910</v>
      </c>
    </row>
    <row r="8" spans="1:38" ht="18">
      <c r="A8" s="43">
        <v>6</v>
      </c>
      <c r="B8" s="216">
        <v>530</v>
      </c>
      <c r="C8" s="216">
        <v>520</v>
      </c>
      <c r="D8" s="216">
        <v>500</v>
      </c>
      <c r="E8" s="216">
        <v>490</v>
      </c>
      <c r="F8" s="216">
        <v>490</v>
      </c>
      <c r="G8" s="216">
        <v>380</v>
      </c>
      <c r="H8" s="216">
        <v>470</v>
      </c>
      <c r="I8" s="216">
        <v>580</v>
      </c>
      <c r="J8" s="216">
        <v>610</v>
      </c>
      <c r="K8" s="216">
        <v>730</v>
      </c>
      <c r="M8" s="44"/>
      <c r="N8" s="210" t="s">
        <v>59</v>
      </c>
      <c r="P8" s="74">
        <v>6</v>
      </c>
      <c r="Q8" s="75">
        <v>70</v>
      </c>
      <c r="R8" s="75">
        <v>70</v>
      </c>
      <c r="S8" s="75">
        <v>70</v>
      </c>
      <c r="T8" s="75">
        <v>70</v>
      </c>
      <c r="U8" s="75">
        <v>70</v>
      </c>
      <c r="V8" s="75">
        <v>60</v>
      </c>
      <c r="W8" s="75">
        <v>40</v>
      </c>
      <c r="X8" s="75">
        <v>70</v>
      </c>
      <c r="Y8" s="75">
        <v>70</v>
      </c>
      <c r="Z8" s="75">
        <v>60</v>
      </c>
      <c r="AB8" s="74">
        <v>6</v>
      </c>
      <c r="AC8" s="75">
        <f t="shared" si="1"/>
        <v>600</v>
      </c>
      <c r="AD8" s="75">
        <f t="shared" si="0"/>
        <v>590</v>
      </c>
      <c r="AE8" s="75">
        <f t="shared" si="0"/>
        <v>570</v>
      </c>
      <c r="AF8" s="75">
        <f t="shared" si="0"/>
        <v>560</v>
      </c>
      <c r="AG8" s="75">
        <f t="shared" si="0"/>
        <v>560</v>
      </c>
      <c r="AH8" s="75">
        <f t="shared" si="0"/>
        <v>440</v>
      </c>
      <c r="AI8" s="75">
        <f t="shared" si="0"/>
        <v>510</v>
      </c>
      <c r="AJ8" s="75">
        <f t="shared" si="0"/>
        <v>650</v>
      </c>
      <c r="AK8" s="75">
        <f t="shared" si="0"/>
        <v>680</v>
      </c>
      <c r="AL8" s="75">
        <f t="shared" si="0"/>
        <v>790</v>
      </c>
    </row>
    <row r="9" spans="1:38" ht="18">
      <c r="A9" s="43">
        <v>7</v>
      </c>
      <c r="B9" s="216">
        <v>540</v>
      </c>
      <c r="C9" s="216">
        <v>530</v>
      </c>
      <c r="D9" s="216">
        <v>510</v>
      </c>
      <c r="E9" s="216">
        <v>530</v>
      </c>
      <c r="F9" s="216">
        <v>530</v>
      </c>
      <c r="G9" s="216">
        <v>470</v>
      </c>
      <c r="H9" s="216">
        <v>380</v>
      </c>
      <c r="I9" s="216">
        <v>540</v>
      </c>
      <c r="J9" s="216">
        <v>560</v>
      </c>
      <c r="K9" s="216">
        <v>580</v>
      </c>
      <c r="M9" s="44"/>
      <c r="N9" s="16"/>
      <c r="P9" s="74">
        <v>7</v>
      </c>
      <c r="Q9" s="75">
        <v>60</v>
      </c>
      <c r="R9" s="75">
        <v>60</v>
      </c>
      <c r="S9" s="75">
        <v>60</v>
      </c>
      <c r="T9" s="75">
        <v>60</v>
      </c>
      <c r="U9" s="75">
        <v>60</v>
      </c>
      <c r="V9" s="75">
        <v>40</v>
      </c>
      <c r="W9" s="75">
        <v>50</v>
      </c>
      <c r="X9" s="75">
        <v>70</v>
      </c>
      <c r="Y9" s="75">
        <v>70</v>
      </c>
      <c r="Z9" s="75">
        <v>70</v>
      </c>
      <c r="AB9" s="74">
        <v>7</v>
      </c>
      <c r="AC9" s="75">
        <f t="shared" si="1"/>
        <v>600</v>
      </c>
      <c r="AD9" s="75">
        <f t="shared" si="0"/>
        <v>590</v>
      </c>
      <c r="AE9" s="75">
        <f t="shared" si="0"/>
        <v>570</v>
      </c>
      <c r="AF9" s="75">
        <f t="shared" si="0"/>
        <v>590</v>
      </c>
      <c r="AG9" s="75">
        <f t="shared" si="0"/>
        <v>590</v>
      </c>
      <c r="AH9" s="75">
        <f t="shared" si="0"/>
        <v>510</v>
      </c>
      <c r="AI9" s="75">
        <f t="shared" si="0"/>
        <v>430</v>
      </c>
      <c r="AJ9" s="75">
        <f t="shared" si="0"/>
        <v>610</v>
      </c>
      <c r="AK9" s="75">
        <f t="shared" si="0"/>
        <v>630</v>
      </c>
      <c r="AL9" s="75">
        <f t="shared" si="0"/>
        <v>650</v>
      </c>
    </row>
    <row r="10" spans="1:38" ht="18">
      <c r="A10" s="43">
        <v>8</v>
      </c>
      <c r="B10" s="216">
        <v>840</v>
      </c>
      <c r="C10" s="216">
        <v>830</v>
      </c>
      <c r="D10" s="216">
        <v>780</v>
      </c>
      <c r="E10" s="216">
        <v>800</v>
      </c>
      <c r="F10" s="216">
        <v>810</v>
      </c>
      <c r="G10" s="216">
        <v>580</v>
      </c>
      <c r="H10" s="216">
        <v>540</v>
      </c>
      <c r="I10" s="216">
        <v>380</v>
      </c>
      <c r="J10" s="216">
        <v>400</v>
      </c>
      <c r="K10" s="216">
        <v>490</v>
      </c>
      <c r="M10" s="209" t="s">
        <v>60</v>
      </c>
      <c r="N10" s="210" t="s">
        <v>61</v>
      </c>
      <c r="P10" s="74">
        <v>8</v>
      </c>
      <c r="Q10" s="75">
        <v>70</v>
      </c>
      <c r="R10" s="75">
        <v>70</v>
      </c>
      <c r="S10" s="75">
        <v>70</v>
      </c>
      <c r="T10" s="75">
        <v>70</v>
      </c>
      <c r="U10" s="75">
        <v>70</v>
      </c>
      <c r="V10" s="75">
        <v>70</v>
      </c>
      <c r="W10" s="75">
        <v>70</v>
      </c>
      <c r="X10" s="75">
        <v>60</v>
      </c>
      <c r="Y10" s="75">
        <v>60</v>
      </c>
      <c r="Z10" s="75">
        <v>40</v>
      </c>
      <c r="AB10" s="74">
        <v>8</v>
      </c>
      <c r="AC10" s="75">
        <f t="shared" si="1"/>
        <v>910</v>
      </c>
      <c r="AD10" s="75">
        <f t="shared" si="0"/>
        <v>900</v>
      </c>
      <c r="AE10" s="75">
        <f t="shared" si="0"/>
        <v>850</v>
      </c>
      <c r="AF10" s="75">
        <f t="shared" si="0"/>
        <v>870</v>
      </c>
      <c r="AG10" s="75">
        <f t="shared" si="0"/>
        <v>880</v>
      </c>
      <c r="AH10" s="75">
        <f t="shared" si="0"/>
        <v>650</v>
      </c>
      <c r="AI10" s="75">
        <f t="shared" si="0"/>
        <v>610</v>
      </c>
      <c r="AJ10" s="75">
        <f t="shared" si="0"/>
        <v>440</v>
      </c>
      <c r="AK10" s="75">
        <f t="shared" si="0"/>
        <v>460</v>
      </c>
      <c r="AL10" s="75">
        <f t="shared" si="0"/>
        <v>530</v>
      </c>
    </row>
    <row r="11" spans="1:38" ht="18">
      <c r="A11" s="43">
        <v>9</v>
      </c>
      <c r="B11" s="216">
        <v>890</v>
      </c>
      <c r="C11" s="216">
        <v>840</v>
      </c>
      <c r="D11" s="216">
        <v>780</v>
      </c>
      <c r="E11" s="216">
        <v>810</v>
      </c>
      <c r="F11" s="216">
        <v>830</v>
      </c>
      <c r="G11" s="216">
        <v>610</v>
      </c>
      <c r="H11" s="216">
        <v>560</v>
      </c>
      <c r="I11" s="216">
        <v>400</v>
      </c>
      <c r="J11" s="216">
        <v>380</v>
      </c>
      <c r="K11" s="216">
        <v>390</v>
      </c>
      <c r="M11" s="44"/>
      <c r="N11" s="210" t="s">
        <v>62</v>
      </c>
      <c r="P11" s="74">
        <v>9</v>
      </c>
      <c r="Q11" s="75">
        <v>70</v>
      </c>
      <c r="R11" s="75">
        <v>70</v>
      </c>
      <c r="S11" s="75">
        <v>70</v>
      </c>
      <c r="T11" s="75">
        <v>70</v>
      </c>
      <c r="U11" s="75">
        <v>70</v>
      </c>
      <c r="V11" s="75">
        <v>70</v>
      </c>
      <c r="W11" s="75">
        <v>70</v>
      </c>
      <c r="X11" s="75">
        <v>60</v>
      </c>
      <c r="Y11" s="75">
        <v>60</v>
      </c>
      <c r="Z11" s="75">
        <v>60</v>
      </c>
      <c r="AB11" s="74">
        <v>9</v>
      </c>
      <c r="AC11" s="75">
        <f t="shared" si="1"/>
        <v>960</v>
      </c>
      <c r="AD11" s="75">
        <f t="shared" si="0"/>
        <v>910</v>
      </c>
      <c r="AE11" s="75">
        <f t="shared" si="0"/>
        <v>850</v>
      </c>
      <c r="AF11" s="75">
        <f t="shared" si="0"/>
        <v>880</v>
      </c>
      <c r="AG11" s="75">
        <f t="shared" si="0"/>
        <v>900</v>
      </c>
      <c r="AH11" s="75">
        <f t="shared" si="0"/>
        <v>680</v>
      </c>
      <c r="AI11" s="75">
        <f t="shared" si="0"/>
        <v>630</v>
      </c>
      <c r="AJ11" s="75">
        <f t="shared" si="0"/>
        <v>460</v>
      </c>
      <c r="AK11" s="75">
        <f t="shared" si="0"/>
        <v>440</v>
      </c>
      <c r="AL11" s="75">
        <f t="shared" si="0"/>
        <v>450</v>
      </c>
    </row>
    <row r="12" spans="1:38" ht="18">
      <c r="A12" s="43">
        <v>10</v>
      </c>
      <c r="B12" s="216">
        <v>900</v>
      </c>
      <c r="C12" s="216">
        <v>840</v>
      </c>
      <c r="D12" s="216">
        <v>810</v>
      </c>
      <c r="E12" s="216">
        <v>830</v>
      </c>
      <c r="F12" s="216">
        <v>840</v>
      </c>
      <c r="G12" s="216">
        <v>730</v>
      </c>
      <c r="H12" s="216">
        <v>580</v>
      </c>
      <c r="I12" s="216">
        <v>490</v>
      </c>
      <c r="J12" s="216">
        <v>390</v>
      </c>
      <c r="K12" s="216">
        <v>380</v>
      </c>
      <c r="M12" s="44"/>
      <c r="N12" s="16"/>
      <c r="P12" s="74">
        <v>10</v>
      </c>
      <c r="Q12" s="75">
        <v>70</v>
      </c>
      <c r="R12" s="75">
        <v>70</v>
      </c>
      <c r="S12" s="75">
        <v>70</v>
      </c>
      <c r="T12" s="75">
        <v>70</v>
      </c>
      <c r="U12" s="75">
        <v>70</v>
      </c>
      <c r="V12" s="75">
        <v>60</v>
      </c>
      <c r="W12" s="75">
        <v>70</v>
      </c>
      <c r="X12" s="75">
        <v>40</v>
      </c>
      <c r="Y12" s="75">
        <v>60</v>
      </c>
      <c r="Z12" s="75">
        <v>60</v>
      </c>
      <c r="AB12" s="74">
        <v>10</v>
      </c>
      <c r="AC12" s="75">
        <f t="shared" si="1"/>
        <v>970</v>
      </c>
      <c r="AD12" s="75">
        <f t="shared" si="0"/>
        <v>910</v>
      </c>
      <c r="AE12" s="75">
        <f t="shared" si="0"/>
        <v>880</v>
      </c>
      <c r="AF12" s="75">
        <f t="shared" si="0"/>
        <v>900</v>
      </c>
      <c r="AG12" s="75">
        <f t="shared" si="0"/>
        <v>910</v>
      </c>
      <c r="AH12" s="75">
        <f t="shared" si="0"/>
        <v>790</v>
      </c>
      <c r="AI12" s="75">
        <f t="shared" si="0"/>
        <v>650</v>
      </c>
      <c r="AJ12" s="75">
        <f t="shared" si="0"/>
        <v>530</v>
      </c>
      <c r="AK12" s="75">
        <f t="shared" si="0"/>
        <v>450</v>
      </c>
      <c r="AL12" s="75">
        <f t="shared" si="0"/>
        <v>440</v>
      </c>
    </row>
    <row r="13" spans="1:38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M13" s="209" t="s">
        <v>63</v>
      </c>
      <c r="N13" s="210" t="s">
        <v>6</v>
      </c>
    </row>
    <row r="14" spans="1:38">
      <c r="A14" s="133" t="s">
        <v>51</v>
      </c>
      <c r="B14" s="134" t="s">
        <v>65</v>
      </c>
      <c r="C14" s="206"/>
      <c r="D14" s="206"/>
      <c r="E14" s="206"/>
      <c r="F14" s="206"/>
      <c r="G14" s="206"/>
      <c r="H14" s="206"/>
      <c r="I14" s="206"/>
      <c r="J14" s="206"/>
      <c r="K14" s="207"/>
      <c r="M14" s="16"/>
      <c r="N14" s="210" t="s">
        <v>64</v>
      </c>
      <c r="P14" s="137" t="s">
        <v>108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B14" s="137" t="s">
        <v>109</v>
      </c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</row>
    <row r="15" spans="1:38">
      <c r="A15" s="208"/>
      <c r="B15" s="42">
        <v>1</v>
      </c>
      <c r="C15" s="42">
        <v>2</v>
      </c>
      <c r="D15" s="42">
        <v>3</v>
      </c>
      <c r="E15" s="42">
        <v>4</v>
      </c>
      <c r="F15" s="42">
        <v>5</v>
      </c>
      <c r="G15" s="42">
        <v>6</v>
      </c>
      <c r="H15" s="42">
        <v>7</v>
      </c>
      <c r="I15" s="42">
        <v>8</v>
      </c>
      <c r="J15" s="42">
        <v>9</v>
      </c>
      <c r="K15" s="42">
        <v>10</v>
      </c>
      <c r="M15" s="44"/>
      <c r="N15" s="210" t="s">
        <v>66</v>
      </c>
      <c r="P15" s="73"/>
      <c r="Q15" s="74">
        <v>1</v>
      </c>
      <c r="R15" s="74">
        <v>2</v>
      </c>
      <c r="S15" s="74">
        <v>3</v>
      </c>
      <c r="T15" s="74">
        <v>4</v>
      </c>
      <c r="U15" s="74">
        <v>5</v>
      </c>
      <c r="V15" s="74">
        <v>6</v>
      </c>
      <c r="W15" s="74">
        <v>7</v>
      </c>
      <c r="X15" s="74">
        <v>8</v>
      </c>
      <c r="Y15" s="74">
        <v>9</v>
      </c>
      <c r="Z15" s="74">
        <v>10</v>
      </c>
      <c r="AB15" s="73"/>
      <c r="AC15" s="74">
        <v>1</v>
      </c>
      <c r="AD15" s="74">
        <v>2</v>
      </c>
      <c r="AE15" s="74">
        <v>3</v>
      </c>
      <c r="AF15" s="74">
        <v>4</v>
      </c>
      <c r="AG15" s="74">
        <v>5</v>
      </c>
      <c r="AH15" s="74">
        <v>6</v>
      </c>
      <c r="AI15" s="74">
        <v>7</v>
      </c>
      <c r="AJ15" s="74">
        <v>8</v>
      </c>
      <c r="AK15" s="74">
        <v>9</v>
      </c>
      <c r="AL15" s="74">
        <v>10</v>
      </c>
    </row>
    <row r="16" spans="1:38" ht="18">
      <c r="A16" s="43">
        <v>1</v>
      </c>
      <c r="B16" s="216">
        <v>130</v>
      </c>
      <c r="C16" s="216">
        <v>150</v>
      </c>
      <c r="D16" s="216">
        <v>170</v>
      </c>
      <c r="E16" s="216">
        <v>170</v>
      </c>
      <c r="F16" s="216">
        <v>170</v>
      </c>
      <c r="G16" s="216">
        <v>170</v>
      </c>
      <c r="H16" s="216">
        <v>180</v>
      </c>
      <c r="I16" s="216">
        <v>280</v>
      </c>
      <c r="J16" s="216">
        <v>290</v>
      </c>
      <c r="K16" s="216">
        <v>300</v>
      </c>
      <c r="M16" s="44"/>
      <c r="N16" s="16"/>
      <c r="P16" s="74">
        <v>1</v>
      </c>
      <c r="Q16" s="75">
        <v>10</v>
      </c>
      <c r="R16" s="75">
        <v>20</v>
      </c>
      <c r="S16" s="75">
        <v>10</v>
      </c>
      <c r="T16" s="75">
        <v>20</v>
      </c>
      <c r="U16" s="75">
        <v>20</v>
      </c>
      <c r="V16" s="75">
        <v>30</v>
      </c>
      <c r="W16" s="75">
        <v>20</v>
      </c>
      <c r="X16" s="75">
        <v>20</v>
      </c>
      <c r="Y16" s="75">
        <v>30</v>
      </c>
      <c r="Z16" s="75">
        <v>20</v>
      </c>
      <c r="AB16" s="74">
        <v>1</v>
      </c>
      <c r="AC16" s="75">
        <f>B16+Q16</f>
        <v>140</v>
      </c>
      <c r="AD16" s="75">
        <f t="shared" ref="AD16:AD25" si="2">C16+R16</f>
        <v>170</v>
      </c>
      <c r="AE16" s="75">
        <f t="shared" ref="AE16:AE25" si="3">D16+S16</f>
        <v>180</v>
      </c>
      <c r="AF16" s="75">
        <f t="shared" ref="AF16:AF25" si="4">E16+T16</f>
        <v>190</v>
      </c>
      <c r="AG16" s="75">
        <f t="shared" ref="AG16:AG25" si="5">F16+U16</f>
        <v>190</v>
      </c>
      <c r="AH16" s="75">
        <f t="shared" ref="AH16:AH25" si="6">G16+V16</f>
        <v>200</v>
      </c>
      <c r="AI16" s="75">
        <f t="shared" ref="AI16:AI25" si="7">H16+W16</f>
        <v>200</v>
      </c>
      <c r="AJ16" s="75">
        <f t="shared" ref="AJ16:AJ25" si="8">I16+X16</f>
        <v>300</v>
      </c>
      <c r="AK16" s="75">
        <f t="shared" ref="AK16:AK25" si="9">J16+Y16</f>
        <v>320</v>
      </c>
      <c r="AL16" s="75">
        <f t="shared" ref="AL16:AL25" si="10">K16+Z16</f>
        <v>320</v>
      </c>
    </row>
    <row r="17" spans="1:38" ht="18">
      <c r="A17" s="43">
        <v>2</v>
      </c>
      <c r="B17" s="216">
        <v>150</v>
      </c>
      <c r="C17" s="216">
        <v>130</v>
      </c>
      <c r="D17" s="216">
        <v>160</v>
      </c>
      <c r="E17" s="216">
        <v>170</v>
      </c>
      <c r="F17" s="216">
        <v>170</v>
      </c>
      <c r="G17" s="216">
        <v>170</v>
      </c>
      <c r="H17" s="216">
        <v>170</v>
      </c>
      <c r="I17" s="216">
        <v>270</v>
      </c>
      <c r="J17" s="216">
        <v>280</v>
      </c>
      <c r="K17" s="216">
        <v>280</v>
      </c>
      <c r="M17" s="209" t="s">
        <v>67</v>
      </c>
      <c r="N17" s="210" t="s">
        <v>68</v>
      </c>
      <c r="P17" s="74">
        <v>2</v>
      </c>
      <c r="Q17" s="75">
        <v>20</v>
      </c>
      <c r="R17" s="75">
        <v>10</v>
      </c>
      <c r="S17" s="75">
        <v>10</v>
      </c>
      <c r="T17" s="75">
        <v>10</v>
      </c>
      <c r="U17" s="75">
        <v>10</v>
      </c>
      <c r="V17" s="75">
        <v>30</v>
      </c>
      <c r="W17" s="75">
        <v>30</v>
      </c>
      <c r="X17" s="75">
        <v>30</v>
      </c>
      <c r="Y17" s="75">
        <v>20</v>
      </c>
      <c r="Z17" s="75">
        <v>20</v>
      </c>
      <c r="AB17" s="74">
        <v>2</v>
      </c>
      <c r="AC17" s="75">
        <f t="shared" ref="AC17:AC25" si="11">B17+Q17</f>
        <v>170</v>
      </c>
      <c r="AD17" s="75">
        <f t="shared" si="2"/>
        <v>140</v>
      </c>
      <c r="AE17" s="75">
        <f t="shared" si="3"/>
        <v>170</v>
      </c>
      <c r="AF17" s="75">
        <f t="shared" si="4"/>
        <v>180</v>
      </c>
      <c r="AG17" s="75">
        <f t="shared" si="5"/>
        <v>180</v>
      </c>
      <c r="AH17" s="75">
        <f t="shared" si="6"/>
        <v>200</v>
      </c>
      <c r="AI17" s="75">
        <f t="shared" si="7"/>
        <v>200</v>
      </c>
      <c r="AJ17" s="75">
        <f t="shared" si="8"/>
        <v>300</v>
      </c>
      <c r="AK17" s="75">
        <f t="shared" si="9"/>
        <v>300</v>
      </c>
      <c r="AL17" s="75">
        <f t="shared" si="10"/>
        <v>300</v>
      </c>
    </row>
    <row r="18" spans="1:38" ht="18">
      <c r="A18" s="43">
        <v>3</v>
      </c>
      <c r="B18" s="216">
        <v>170</v>
      </c>
      <c r="C18" s="216">
        <v>160</v>
      </c>
      <c r="D18" s="216">
        <v>130</v>
      </c>
      <c r="E18" s="216">
        <v>150</v>
      </c>
      <c r="F18" s="216">
        <v>170</v>
      </c>
      <c r="G18" s="216">
        <v>170</v>
      </c>
      <c r="H18" s="216">
        <v>170</v>
      </c>
      <c r="I18" s="216">
        <v>260</v>
      </c>
      <c r="J18" s="216">
        <v>260</v>
      </c>
      <c r="K18" s="216">
        <v>270</v>
      </c>
      <c r="M18" s="44"/>
      <c r="N18" s="210" t="s">
        <v>69</v>
      </c>
      <c r="P18" s="74">
        <v>3</v>
      </c>
      <c r="Q18" s="75">
        <v>10</v>
      </c>
      <c r="R18" s="75">
        <v>10</v>
      </c>
      <c r="S18" s="75">
        <v>10</v>
      </c>
      <c r="T18" s="75">
        <v>20</v>
      </c>
      <c r="U18" s="75">
        <v>10</v>
      </c>
      <c r="V18" s="75">
        <v>20</v>
      </c>
      <c r="W18" s="75">
        <v>20</v>
      </c>
      <c r="X18" s="75">
        <v>20</v>
      </c>
      <c r="Y18" s="75">
        <v>20</v>
      </c>
      <c r="Z18" s="75">
        <v>20</v>
      </c>
      <c r="AB18" s="74">
        <v>3</v>
      </c>
      <c r="AC18" s="75">
        <f t="shared" si="11"/>
        <v>180</v>
      </c>
      <c r="AD18" s="75">
        <f t="shared" si="2"/>
        <v>170</v>
      </c>
      <c r="AE18" s="75">
        <f t="shared" si="3"/>
        <v>140</v>
      </c>
      <c r="AF18" s="75">
        <f t="shared" si="4"/>
        <v>170</v>
      </c>
      <c r="AG18" s="75">
        <f t="shared" si="5"/>
        <v>180</v>
      </c>
      <c r="AH18" s="75">
        <f t="shared" si="6"/>
        <v>190</v>
      </c>
      <c r="AI18" s="75">
        <f t="shared" si="7"/>
        <v>190</v>
      </c>
      <c r="AJ18" s="75">
        <f t="shared" si="8"/>
        <v>280</v>
      </c>
      <c r="AK18" s="75">
        <f t="shared" si="9"/>
        <v>280</v>
      </c>
      <c r="AL18" s="75">
        <f t="shared" si="10"/>
        <v>290</v>
      </c>
    </row>
    <row r="19" spans="1:38" ht="18">
      <c r="A19" s="43">
        <v>4</v>
      </c>
      <c r="B19" s="216">
        <v>170</v>
      </c>
      <c r="C19" s="216">
        <v>170</v>
      </c>
      <c r="D19" s="216">
        <v>150</v>
      </c>
      <c r="E19" s="216">
        <v>130</v>
      </c>
      <c r="F19" s="216">
        <v>150</v>
      </c>
      <c r="G19" s="216">
        <v>160</v>
      </c>
      <c r="H19" s="216">
        <v>170</v>
      </c>
      <c r="I19" s="216">
        <v>260</v>
      </c>
      <c r="J19" s="216">
        <v>270</v>
      </c>
      <c r="K19" s="216">
        <v>270</v>
      </c>
      <c r="M19" s="44"/>
      <c r="N19" s="16"/>
      <c r="P19" s="74">
        <v>4</v>
      </c>
      <c r="Q19" s="75">
        <v>20</v>
      </c>
      <c r="R19" s="75">
        <v>10</v>
      </c>
      <c r="S19" s="75">
        <v>20</v>
      </c>
      <c r="T19" s="75">
        <v>10</v>
      </c>
      <c r="U19" s="75">
        <v>10</v>
      </c>
      <c r="V19" s="75">
        <v>30</v>
      </c>
      <c r="W19" s="75">
        <v>30</v>
      </c>
      <c r="X19" s="75">
        <v>30</v>
      </c>
      <c r="Y19" s="75">
        <v>20</v>
      </c>
      <c r="Z19" s="75">
        <v>30</v>
      </c>
      <c r="AB19" s="74">
        <v>4</v>
      </c>
      <c r="AC19" s="75">
        <f t="shared" si="11"/>
        <v>190</v>
      </c>
      <c r="AD19" s="75">
        <f t="shared" si="2"/>
        <v>180</v>
      </c>
      <c r="AE19" s="75">
        <f t="shared" si="3"/>
        <v>170</v>
      </c>
      <c r="AF19" s="75">
        <f t="shared" si="4"/>
        <v>140</v>
      </c>
      <c r="AG19" s="75">
        <f t="shared" si="5"/>
        <v>160</v>
      </c>
      <c r="AH19" s="75">
        <f t="shared" si="6"/>
        <v>190</v>
      </c>
      <c r="AI19" s="75">
        <f t="shared" si="7"/>
        <v>200</v>
      </c>
      <c r="AJ19" s="75">
        <f t="shared" si="8"/>
        <v>290</v>
      </c>
      <c r="AK19" s="75">
        <f t="shared" si="9"/>
        <v>290</v>
      </c>
      <c r="AL19" s="75">
        <f t="shared" si="10"/>
        <v>300</v>
      </c>
    </row>
    <row r="20" spans="1:38" ht="18">
      <c r="A20" s="43">
        <v>5</v>
      </c>
      <c r="B20" s="216">
        <v>170</v>
      </c>
      <c r="C20" s="216">
        <v>170</v>
      </c>
      <c r="D20" s="216">
        <v>170</v>
      </c>
      <c r="E20" s="216">
        <v>150</v>
      </c>
      <c r="F20" s="216">
        <v>130</v>
      </c>
      <c r="G20" s="216">
        <v>160</v>
      </c>
      <c r="H20" s="216">
        <v>170</v>
      </c>
      <c r="I20" s="216">
        <v>270</v>
      </c>
      <c r="J20" s="216">
        <v>270</v>
      </c>
      <c r="K20" s="216">
        <v>280</v>
      </c>
      <c r="M20" s="209" t="s">
        <v>70</v>
      </c>
      <c r="N20" s="210" t="s">
        <v>71</v>
      </c>
      <c r="P20" s="74">
        <v>5</v>
      </c>
      <c r="Q20" s="75">
        <v>20</v>
      </c>
      <c r="R20" s="75">
        <v>10</v>
      </c>
      <c r="S20" s="75">
        <v>10</v>
      </c>
      <c r="T20" s="75">
        <v>10</v>
      </c>
      <c r="U20" s="75">
        <v>10</v>
      </c>
      <c r="V20" s="75">
        <v>30</v>
      </c>
      <c r="W20" s="75">
        <v>30</v>
      </c>
      <c r="X20" s="75">
        <v>20</v>
      </c>
      <c r="Y20" s="75">
        <v>30</v>
      </c>
      <c r="Z20" s="75">
        <v>20</v>
      </c>
      <c r="AB20" s="74">
        <v>5</v>
      </c>
      <c r="AC20" s="75">
        <f t="shared" si="11"/>
        <v>190</v>
      </c>
      <c r="AD20" s="75">
        <f t="shared" si="2"/>
        <v>180</v>
      </c>
      <c r="AE20" s="75">
        <f t="shared" si="3"/>
        <v>180</v>
      </c>
      <c r="AF20" s="75">
        <f t="shared" si="4"/>
        <v>160</v>
      </c>
      <c r="AG20" s="75">
        <f t="shared" si="5"/>
        <v>140</v>
      </c>
      <c r="AH20" s="75">
        <f t="shared" si="6"/>
        <v>190</v>
      </c>
      <c r="AI20" s="75">
        <f t="shared" si="7"/>
        <v>200</v>
      </c>
      <c r="AJ20" s="75">
        <f t="shared" si="8"/>
        <v>290</v>
      </c>
      <c r="AK20" s="75">
        <f t="shared" si="9"/>
        <v>300</v>
      </c>
      <c r="AL20" s="75">
        <f t="shared" si="10"/>
        <v>300</v>
      </c>
    </row>
    <row r="21" spans="1:38" ht="18">
      <c r="A21" s="43">
        <v>6</v>
      </c>
      <c r="B21" s="216">
        <v>170</v>
      </c>
      <c r="C21" s="216">
        <v>170</v>
      </c>
      <c r="D21" s="216">
        <v>170</v>
      </c>
      <c r="E21" s="216">
        <v>160</v>
      </c>
      <c r="F21" s="216">
        <v>160</v>
      </c>
      <c r="G21" s="216">
        <v>130</v>
      </c>
      <c r="H21" s="216">
        <v>160</v>
      </c>
      <c r="I21" s="216">
        <v>190</v>
      </c>
      <c r="J21" s="216">
        <v>200</v>
      </c>
      <c r="K21" s="216">
        <v>240</v>
      </c>
      <c r="M21" s="44"/>
      <c r="N21" s="210" t="s">
        <v>72</v>
      </c>
      <c r="P21" s="74">
        <v>6</v>
      </c>
      <c r="Q21" s="75">
        <v>30</v>
      </c>
      <c r="R21" s="75">
        <v>30</v>
      </c>
      <c r="S21" s="75">
        <v>20</v>
      </c>
      <c r="T21" s="75">
        <v>30</v>
      </c>
      <c r="U21" s="75">
        <v>30</v>
      </c>
      <c r="V21" s="75">
        <v>20</v>
      </c>
      <c r="W21" s="75">
        <v>10</v>
      </c>
      <c r="X21" s="75">
        <v>30</v>
      </c>
      <c r="Y21" s="75">
        <v>30</v>
      </c>
      <c r="Z21" s="75">
        <v>20</v>
      </c>
      <c r="AB21" s="74">
        <v>6</v>
      </c>
      <c r="AC21" s="75">
        <f t="shared" si="11"/>
        <v>200</v>
      </c>
      <c r="AD21" s="75">
        <f t="shared" si="2"/>
        <v>200</v>
      </c>
      <c r="AE21" s="75">
        <f t="shared" si="3"/>
        <v>190</v>
      </c>
      <c r="AF21" s="75">
        <f t="shared" si="4"/>
        <v>190</v>
      </c>
      <c r="AG21" s="75">
        <f t="shared" si="5"/>
        <v>190</v>
      </c>
      <c r="AH21" s="75">
        <f t="shared" si="6"/>
        <v>150</v>
      </c>
      <c r="AI21" s="75">
        <f t="shared" si="7"/>
        <v>170</v>
      </c>
      <c r="AJ21" s="75">
        <f t="shared" si="8"/>
        <v>220</v>
      </c>
      <c r="AK21" s="75">
        <f t="shared" si="9"/>
        <v>230</v>
      </c>
      <c r="AL21" s="75">
        <f t="shared" si="10"/>
        <v>260</v>
      </c>
    </row>
    <row r="22" spans="1:38" ht="18">
      <c r="A22" s="43">
        <v>7</v>
      </c>
      <c r="B22" s="216">
        <v>180</v>
      </c>
      <c r="C22" s="216">
        <v>170</v>
      </c>
      <c r="D22" s="216">
        <v>170</v>
      </c>
      <c r="E22" s="216">
        <v>170</v>
      </c>
      <c r="F22" s="216">
        <v>170</v>
      </c>
      <c r="G22" s="216">
        <v>160</v>
      </c>
      <c r="H22" s="216">
        <v>130</v>
      </c>
      <c r="I22" s="216">
        <v>180</v>
      </c>
      <c r="J22" s="216">
        <v>180</v>
      </c>
      <c r="K22" s="216">
        <v>190</v>
      </c>
      <c r="M22" s="44"/>
      <c r="N22" s="210" t="s">
        <v>73</v>
      </c>
      <c r="P22" s="74">
        <v>7</v>
      </c>
      <c r="Q22" s="75">
        <v>20</v>
      </c>
      <c r="R22" s="75">
        <v>30</v>
      </c>
      <c r="S22" s="75">
        <v>20</v>
      </c>
      <c r="T22" s="75">
        <v>30</v>
      </c>
      <c r="U22" s="75">
        <v>30</v>
      </c>
      <c r="V22" s="75">
        <v>10</v>
      </c>
      <c r="W22" s="75">
        <v>10</v>
      </c>
      <c r="X22" s="75">
        <v>20</v>
      </c>
      <c r="Y22" s="75">
        <v>30</v>
      </c>
      <c r="Z22" s="75">
        <v>30</v>
      </c>
      <c r="AB22" s="74">
        <v>7</v>
      </c>
      <c r="AC22" s="75">
        <f t="shared" si="11"/>
        <v>200</v>
      </c>
      <c r="AD22" s="75">
        <f t="shared" si="2"/>
        <v>200</v>
      </c>
      <c r="AE22" s="75">
        <f t="shared" si="3"/>
        <v>190</v>
      </c>
      <c r="AF22" s="75">
        <f t="shared" si="4"/>
        <v>200</v>
      </c>
      <c r="AG22" s="75">
        <f t="shared" si="5"/>
        <v>200</v>
      </c>
      <c r="AH22" s="75">
        <f t="shared" si="6"/>
        <v>170</v>
      </c>
      <c r="AI22" s="75">
        <f t="shared" si="7"/>
        <v>140</v>
      </c>
      <c r="AJ22" s="75">
        <f t="shared" si="8"/>
        <v>200</v>
      </c>
      <c r="AK22" s="75">
        <f t="shared" si="9"/>
        <v>210</v>
      </c>
      <c r="AL22" s="75">
        <f t="shared" si="10"/>
        <v>220</v>
      </c>
    </row>
    <row r="23" spans="1:38" ht="18">
      <c r="A23" s="43">
        <v>8</v>
      </c>
      <c r="B23" s="216">
        <v>280</v>
      </c>
      <c r="C23" s="216">
        <v>270</v>
      </c>
      <c r="D23" s="216">
        <v>260</v>
      </c>
      <c r="E23" s="216">
        <v>260</v>
      </c>
      <c r="F23" s="216">
        <v>270</v>
      </c>
      <c r="G23" s="216">
        <v>190</v>
      </c>
      <c r="H23" s="216">
        <v>180</v>
      </c>
      <c r="I23" s="216">
        <v>130</v>
      </c>
      <c r="J23" s="216">
        <v>130</v>
      </c>
      <c r="K23" s="216">
        <v>160</v>
      </c>
      <c r="M23" s="44"/>
      <c r="N23" s="16"/>
      <c r="P23" s="74">
        <v>8</v>
      </c>
      <c r="Q23" s="75">
        <v>20</v>
      </c>
      <c r="R23" s="75">
        <v>30</v>
      </c>
      <c r="S23" s="75">
        <v>20</v>
      </c>
      <c r="T23" s="75">
        <v>30</v>
      </c>
      <c r="U23" s="75">
        <v>20</v>
      </c>
      <c r="V23" s="75">
        <v>30</v>
      </c>
      <c r="W23" s="75">
        <v>20</v>
      </c>
      <c r="X23" s="75">
        <v>20</v>
      </c>
      <c r="Y23" s="75">
        <v>20</v>
      </c>
      <c r="Z23" s="75">
        <v>20</v>
      </c>
      <c r="AB23" s="74">
        <v>8</v>
      </c>
      <c r="AC23" s="75">
        <f t="shared" si="11"/>
        <v>300</v>
      </c>
      <c r="AD23" s="75">
        <f t="shared" si="2"/>
        <v>300</v>
      </c>
      <c r="AE23" s="75">
        <f t="shared" si="3"/>
        <v>280</v>
      </c>
      <c r="AF23" s="75">
        <f t="shared" si="4"/>
        <v>290</v>
      </c>
      <c r="AG23" s="75">
        <f t="shared" si="5"/>
        <v>290</v>
      </c>
      <c r="AH23" s="75">
        <f t="shared" si="6"/>
        <v>220</v>
      </c>
      <c r="AI23" s="75">
        <f t="shared" si="7"/>
        <v>200</v>
      </c>
      <c r="AJ23" s="75">
        <f t="shared" si="8"/>
        <v>150</v>
      </c>
      <c r="AK23" s="75">
        <f t="shared" si="9"/>
        <v>150</v>
      </c>
      <c r="AL23" s="75">
        <f t="shared" si="10"/>
        <v>180</v>
      </c>
    </row>
    <row r="24" spans="1:38" ht="18">
      <c r="A24" s="43">
        <v>9</v>
      </c>
      <c r="B24" s="216">
        <v>290</v>
      </c>
      <c r="C24" s="216">
        <v>280</v>
      </c>
      <c r="D24" s="216">
        <v>260</v>
      </c>
      <c r="E24" s="216">
        <v>270</v>
      </c>
      <c r="F24" s="216">
        <v>270</v>
      </c>
      <c r="G24" s="216">
        <v>200</v>
      </c>
      <c r="H24" s="216">
        <v>180</v>
      </c>
      <c r="I24" s="216">
        <v>130</v>
      </c>
      <c r="J24" s="216">
        <v>130</v>
      </c>
      <c r="K24" s="216">
        <v>130</v>
      </c>
      <c r="M24" s="209" t="s">
        <v>74</v>
      </c>
      <c r="N24" s="210" t="s">
        <v>75</v>
      </c>
      <c r="P24" s="74">
        <v>9</v>
      </c>
      <c r="Q24" s="75">
        <v>30</v>
      </c>
      <c r="R24" s="75">
        <v>20</v>
      </c>
      <c r="S24" s="75">
        <v>20</v>
      </c>
      <c r="T24" s="75">
        <v>20</v>
      </c>
      <c r="U24" s="75">
        <v>30</v>
      </c>
      <c r="V24" s="75">
        <v>30</v>
      </c>
      <c r="W24" s="75">
        <v>30</v>
      </c>
      <c r="X24" s="75">
        <v>20</v>
      </c>
      <c r="Y24" s="75">
        <v>20</v>
      </c>
      <c r="Z24" s="75">
        <v>20</v>
      </c>
      <c r="AB24" s="74">
        <v>9</v>
      </c>
      <c r="AC24" s="75">
        <f t="shared" si="11"/>
        <v>320</v>
      </c>
      <c r="AD24" s="75">
        <f t="shared" si="2"/>
        <v>300</v>
      </c>
      <c r="AE24" s="75">
        <f t="shared" si="3"/>
        <v>280</v>
      </c>
      <c r="AF24" s="75">
        <f t="shared" si="4"/>
        <v>290</v>
      </c>
      <c r="AG24" s="75">
        <f t="shared" si="5"/>
        <v>300</v>
      </c>
      <c r="AH24" s="75">
        <f t="shared" si="6"/>
        <v>230</v>
      </c>
      <c r="AI24" s="75">
        <f t="shared" si="7"/>
        <v>210</v>
      </c>
      <c r="AJ24" s="75">
        <f t="shared" si="8"/>
        <v>150</v>
      </c>
      <c r="AK24" s="75">
        <f t="shared" si="9"/>
        <v>150</v>
      </c>
      <c r="AL24" s="75">
        <f t="shared" si="10"/>
        <v>150</v>
      </c>
    </row>
    <row r="25" spans="1:38" ht="18">
      <c r="A25" s="43">
        <v>10</v>
      </c>
      <c r="B25" s="216">
        <v>300</v>
      </c>
      <c r="C25" s="216">
        <v>280</v>
      </c>
      <c r="D25" s="216">
        <v>270</v>
      </c>
      <c r="E25" s="216">
        <v>270</v>
      </c>
      <c r="F25" s="216">
        <v>280</v>
      </c>
      <c r="G25" s="216">
        <v>240</v>
      </c>
      <c r="H25" s="216">
        <v>190</v>
      </c>
      <c r="I25" s="216">
        <v>160</v>
      </c>
      <c r="J25" s="216">
        <v>130</v>
      </c>
      <c r="K25" s="216">
        <v>130</v>
      </c>
      <c r="M25" s="44"/>
      <c r="N25" s="210" t="s">
        <v>76</v>
      </c>
      <c r="P25" s="74">
        <v>10</v>
      </c>
      <c r="Q25" s="75">
        <v>20</v>
      </c>
      <c r="R25" s="75">
        <v>20</v>
      </c>
      <c r="S25" s="75">
        <v>20</v>
      </c>
      <c r="T25" s="75">
        <v>30</v>
      </c>
      <c r="U25" s="75">
        <v>20</v>
      </c>
      <c r="V25" s="75">
        <v>20</v>
      </c>
      <c r="W25" s="75">
        <v>30</v>
      </c>
      <c r="X25" s="75">
        <v>20</v>
      </c>
      <c r="Y25" s="75">
        <v>20</v>
      </c>
      <c r="Z25" s="75">
        <v>20</v>
      </c>
      <c r="AB25" s="74">
        <v>10</v>
      </c>
      <c r="AC25" s="75">
        <f t="shared" si="11"/>
        <v>320</v>
      </c>
      <c r="AD25" s="75">
        <f t="shared" si="2"/>
        <v>300</v>
      </c>
      <c r="AE25" s="75">
        <f t="shared" si="3"/>
        <v>290</v>
      </c>
      <c r="AF25" s="75">
        <f t="shared" si="4"/>
        <v>300</v>
      </c>
      <c r="AG25" s="75">
        <f t="shared" si="5"/>
        <v>300</v>
      </c>
      <c r="AH25" s="75">
        <f t="shared" si="6"/>
        <v>260</v>
      </c>
      <c r="AI25" s="75">
        <f t="shared" si="7"/>
        <v>220</v>
      </c>
      <c r="AJ25" s="75">
        <f t="shared" si="8"/>
        <v>180</v>
      </c>
      <c r="AK25" s="75">
        <f t="shared" si="9"/>
        <v>150</v>
      </c>
      <c r="AL25" s="75">
        <f t="shared" si="10"/>
        <v>150</v>
      </c>
    </row>
    <row r="26" spans="1:38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M26" s="44"/>
      <c r="N26" s="210" t="s">
        <v>77</v>
      </c>
    </row>
    <row r="27" spans="1:38">
      <c r="A27" s="133" t="s">
        <v>51</v>
      </c>
      <c r="B27" s="134" t="s">
        <v>79</v>
      </c>
      <c r="C27" s="206"/>
      <c r="D27" s="206"/>
      <c r="E27" s="206"/>
      <c r="F27" s="206"/>
      <c r="G27" s="206"/>
      <c r="H27" s="206"/>
      <c r="I27" s="206"/>
      <c r="J27" s="206"/>
      <c r="K27" s="207"/>
      <c r="M27" s="44"/>
      <c r="N27" s="210" t="s">
        <v>78</v>
      </c>
      <c r="P27" s="137" t="s">
        <v>110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B27" s="137" t="s">
        <v>111</v>
      </c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</row>
    <row r="28" spans="1:38">
      <c r="A28" s="208"/>
      <c r="B28" s="42">
        <v>1</v>
      </c>
      <c r="C28" s="42">
        <v>2</v>
      </c>
      <c r="D28" s="42">
        <v>3</v>
      </c>
      <c r="E28" s="42">
        <v>4</v>
      </c>
      <c r="F28" s="42">
        <v>5</v>
      </c>
      <c r="G28" s="42">
        <v>6</v>
      </c>
      <c r="H28" s="42">
        <v>7</v>
      </c>
      <c r="I28" s="42">
        <v>8</v>
      </c>
      <c r="J28" s="42">
        <v>9</v>
      </c>
      <c r="K28" s="42">
        <v>10</v>
      </c>
      <c r="M28" s="44"/>
      <c r="N28" s="16"/>
      <c r="P28" s="73"/>
      <c r="Q28" s="74">
        <v>1</v>
      </c>
      <c r="R28" s="74">
        <v>2</v>
      </c>
      <c r="S28" s="74">
        <v>3</v>
      </c>
      <c r="T28" s="74">
        <v>4</v>
      </c>
      <c r="U28" s="74">
        <v>5</v>
      </c>
      <c r="V28" s="74">
        <v>6</v>
      </c>
      <c r="W28" s="74">
        <v>7</v>
      </c>
      <c r="X28" s="74">
        <v>8</v>
      </c>
      <c r="Y28" s="74">
        <v>9</v>
      </c>
      <c r="Z28" s="74">
        <v>10</v>
      </c>
      <c r="AB28" s="73"/>
      <c r="AC28" s="74">
        <v>1</v>
      </c>
      <c r="AD28" s="74">
        <v>2</v>
      </c>
      <c r="AE28" s="74">
        <v>3</v>
      </c>
      <c r="AF28" s="74">
        <v>4</v>
      </c>
      <c r="AG28" s="74">
        <v>5</v>
      </c>
      <c r="AH28" s="74">
        <v>6</v>
      </c>
      <c r="AI28" s="74">
        <v>7</v>
      </c>
      <c r="AJ28" s="74">
        <v>8</v>
      </c>
      <c r="AK28" s="74">
        <v>9</v>
      </c>
      <c r="AL28" s="74">
        <v>10</v>
      </c>
    </row>
    <row r="29" spans="1:38" ht="18">
      <c r="A29" s="43">
        <v>1</v>
      </c>
      <c r="B29" s="216">
        <v>190</v>
      </c>
      <c r="C29" s="216">
        <v>230</v>
      </c>
      <c r="D29" s="216">
        <v>250</v>
      </c>
      <c r="E29" s="216">
        <v>260</v>
      </c>
      <c r="F29" s="216">
        <v>270</v>
      </c>
      <c r="G29" s="216">
        <v>270</v>
      </c>
      <c r="H29" s="216">
        <v>270</v>
      </c>
      <c r="I29" s="216">
        <v>420</v>
      </c>
      <c r="J29" s="216">
        <v>450</v>
      </c>
      <c r="K29" s="216">
        <v>450</v>
      </c>
      <c r="M29" s="209" t="s">
        <v>80</v>
      </c>
      <c r="N29" s="210" t="s">
        <v>81</v>
      </c>
      <c r="P29" s="74">
        <v>1</v>
      </c>
      <c r="Q29" s="75">
        <v>30</v>
      </c>
      <c r="R29" s="75">
        <v>20</v>
      </c>
      <c r="S29" s="75">
        <v>30</v>
      </c>
      <c r="T29" s="75">
        <v>20</v>
      </c>
      <c r="U29" s="75">
        <v>20</v>
      </c>
      <c r="V29" s="75">
        <v>30</v>
      </c>
      <c r="W29" s="75">
        <v>30</v>
      </c>
      <c r="X29" s="75">
        <v>40</v>
      </c>
      <c r="Y29" s="75">
        <v>30</v>
      </c>
      <c r="Z29" s="75">
        <v>40</v>
      </c>
      <c r="AB29" s="74">
        <v>1</v>
      </c>
      <c r="AC29" s="75">
        <f>B29+Q29</f>
        <v>220</v>
      </c>
      <c r="AD29" s="75">
        <f t="shared" ref="AD29:AD38" si="12">C29+R29</f>
        <v>250</v>
      </c>
      <c r="AE29" s="75">
        <f t="shared" ref="AE29:AE38" si="13">D29+S29</f>
        <v>280</v>
      </c>
      <c r="AF29" s="75">
        <f t="shared" ref="AF29:AF38" si="14">E29+T29</f>
        <v>280</v>
      </c>
      <c r="AG29" s="75">
        <f t="shared" ref="AG29:AG38" si="15">F29+U29</f>
        <v>290</v>
      </c>
      <c r="AH29" s="75">
        <f t="shared" ref="AH29:AH38" si="16">G29+V29</f>
        <v>300</v>
      </c>
      <c r="AI29" s="75">
        <f t="shared" ref="AI29:AI38" si="17">H29+W29</f>
        <v>300</v>
      </c>
      <c r="AJ29" s="75">
        <f t="shared" ref="AJ29:AJ38" si="18">I29+X29</f>
        <v>460</v>
      </c>
      <c r="AK29" s="75">
        <f t="shared" ref="AK29:AK38" si="19">J29+Y29</f>
        <v>480</v>
      </c>
      <c r="AL29" s="75">
        <f t="shared" ref="AL29:AL38" si="20">K29+Z29</f>
        <v>490</v>
      </c>
    </row>
    <row r="30" spans="1:38" ht="18">
      <c r="A30" s="43">
        <v>2</v>
      </c>
      <c r="B30" s="216">
        <v>230</v>
      </c>
      <c r="C30" s="216">
        <v>190</v>
      </c>
      <c r="D30" s="216">
        <v>240</v>
      </c>
      <c r="E30" s="216">
        <v>250</v>
      </c>
      <c r="F30" s="216">
        <v>260</v>
      </c>
      <c r="G30" s="216">
        <v>260</v>
      </c>
      <c r="H30" s="216">
        <v>270</v>
      </c>
      <c r="I30" s="216">
        <v>420</v>
      </c>
      <c r="J30" s="216">
        <v>420</v>
      </c>
      <c r="K30" s="216">
        <v>420</v>
      </c>
      <c r="M30" s="44"/>
      <c r="N30" s="210" t="s">
        <v>82</v>
      </c>
      <c r="P30" s="74">
        <v>2</v>
      </c>
      <c r="Q30" s="75">
        <v>20</v>
      </c>
      <c r="R30" s="75">
        <v>20</v>
      </c>
      <c r="S30" s="75">
        <v>20</v>
      </c>
      <c r="T30" s="75">
        <v>20</v>
      </c>
      <c r="U30" s="75">
        <v>20</v>
      </c>
      <c r="V30" s="75">
        <v>40</v>
      </c>
      <c r="W30" s="75">
        <v>30</v>
      </c>
      <c r="X30" s="75">
        <v>30</v>
      </c>
      <c r="Y30" s="75">
        <v>40</v>
      </c>
      <c r="Z30" s="75">
        <v>40</v>
      </c>
      <c r="AB30" s="74">
        <v>2</v>
      </c>
      <c r="AC30" s="75">
        <f t="shared" ref="AC30:AC38" si="21">B30+Q30</f>
        <v>250</v>
      </c>
      <c r="AD30" s="75">
        <f t="shared" si="12"/>
        <v>210</v>
      </c>
      <c r="AE30" s="75">
        <f t="shared" si="13"/>
        <v>260</v>
      </c>
      <c r="AF30" s="75">
        <f t="shared" si="14"/>
        <v>270</v>
      </c>
      <c r="AG30" s="75">
        <f t="shared" si="15"/>
        <v>280</v>
      </c>
      <c r="AH30" s="75">
        <f t="shared" si="16"/>
        <v>300</v>
      </c>
      <c r="AI30" s="75">
        <f t="shared" si="17"/>
        <v>300</v>
      </c>
      <c r="AJ30" s="75">
        <f t="shared" si="18"/>
        <v>450</v>
      </c>
      <c r="AK30" s="75">
        <f t="shared" si="19"/>
        <v>460</v>
      </c>
      <c r="AL30" s="75">
        <f t="shared" si="20"/>
        <v>460</v>
      </c>
    </row>
    <row r="31" spans="1:38" ht="18">
      <c r="A31" s="43">
        <v>3</v>
      </c>
      <c r="B31" s="216">
        <v>250</v>
      </c>
      <c r="C31" s="216">
        <v>240</v>
      </c>
      <c r="D31" s="216">
        <v>190</v>
      </c>
      <c r="E31" s="216">
        <v>230</v>
      </c>
      <c r="F31" s="216">
        <v>250</v>
      </c>
      <c r="G31" s="216">
        <v>250</v>
      </c>
      <c r="H31" s="216">
        <v>260</v>
      </c>
      <c r="I31" s="216">
        <v>390</v>
      </c>
      <c r="J31" s="216">
        <v>390</v>
      </c>
      <c r="K31" s="216">
        <v>410</v>
      </c>
      <c r="M31" s="44"/>
      <c r="N31" s="16"/>
      <c r="P31" s="74">
        <v>3</v>
      </c>
      <c r="Q31" s="75">
        <v>30</v>
      </c>
      <c r="R31" s="75">
        <v>20</v>
      </c>
      <c r="S31" s="75">
        <v>20</v>
      </c>
      <c r="T31" s="75">
        <v>20</v>
      </c>
      <c r="U31" s="75">
        <v>20</v>
      </c>
      <c r="V31" s="75">
        <v>40</v>
      </c>
      <c r="W31" s="75">
        <v>30</v>
      </c>
      <c r="X31" s="75">
        <v>40</v>
      </c>
      <c r="Y31" s="75">
        <v>40</v>
      </c>
      <c r="Z31" s="75">
        <v>30</v>
      </c>
      <c r="AB31" s="74">
        <v>3</v>
      </c>
      <c r="AC31" s="75">
        <f t="shared" si="21"/>
        <v>280</v>
      </c>
      <c r="AD31" s="75">
        <f t="shared" si="12"/>
        <v>260</v>
      </c>
      <c r="AE31" s="75">
        <f t="shared" si="13"/>
        <v>210</v>
      </c>
      <c r="AF31" s="75">
        <f t="shared" si="14"/>
        <v>250</v>
      </c>
      <c r="AG31" s="75">
        <f t="shared" si="15"/>
        <v>270</v>
      </c>
      <c r="AH31" s="75">
        <f t="shared" si="16"/>
        <v>290</v>
      </c>
      <c r="AI31" s="75">
        <f t="shared" si="17"/>
        <v>290</v>
      </c>
      <c r="AJ31" s="75">
        <f t="shared" si="18"/>
        <v>430</v>
      </c>
      <c r="AK31" s="75">
        <f t="shared" si="19"/>
        <v>430</v>
      </c>
      <c r="AL31" s="75">
        <f t="shared" si="20"/>
        <v>440</v>
      </c>
    </row>
    <row r="32" spans="1:38" ht="18">
      <c r="A32" s="43">
        <v>4</v>
      </c>
      <c r="B32" s="216">
        <v>260</v>
      </c>
      <c r="C32" s="216">
        <v>250</v>
      </c>
      <c r="D32" s="216">
        <v>230</v>
      </c>
      <c r="E32" s="216">
        <v>190</v>
      </c>
      <c r="F32" s="216">
        <v>230</v>
      </c>
      <c r="G32" s="216">
        <v>250</v>
      </c>
      <c r="H32" s="216">
        <v>270</v>
      </c>
      <c r="I32" s="216">
        <v>400</v>
      </c>
      <c r="J32" s="216">
        <v>410</v>
      </c>
      <c r="K32" s="216">
        <v>420</v>
      </c>
      <c r="M32" s="209" t="s">
        <v>83</v>
      </c>
      <c r="N32" s="210" t="s">
        <v>84</v>
      </c>
      <c r="P32" s="74">
        <v>4</v>
      </c>
      <c r="Q32" s="75">
        <v>20</v>
      </c>
      <c r="R32" s="75">
        <v>20</v>
      </c>
      <c r="S32" s="75">
        <v>20</v>
      </c>
      <c r="T32" s="75">
        <v>20</v>
      </c>
      <c r="U32" s="75">
        <v>20</v>
      </c>
      <c r="V32" s="75">
        <v>30</v>
      </c>
      <c r="W32" s="75">
        <v>30</v>
      </c>
      <c r="X32" s="75">
        <v>40</v>
      </c>
      <c r="Y32" s="75">
        <v>30</v>
      </c>
      <c r="Z32" s="75">
        <v>30</v>
      </c>
      <c r="AB32" s="74">
        <v>4</v>
      </c>
      <c r="AC32" s="75">
        <f t="shared" si="21"/>
        <v>280</v>
      </c>
      <c r="AD32" s="75">
        <f t="shared" si="12"/>
        <v>270</v>
      </c>
      <c r="AE32" s="75">
        <f t="shared" si="13"/>
        <v>250</v>
      </c>
      <c r="AF32" s="75">
        <f t="shared" si="14"/>
        <v>210</v>
      </c>
      <c r="AG32" s="75">
        <f t="shared" si="15"/>
        <v>250</v>
      </c>
      <c r="AH32" s="75">
        <f t="shared" si="16"/>
        <v>280</v>
      </c>
      <c r="AI32" s="75">
        <f t="shared" si="17"/>
        <v>300</v>
      </c>
      <c r="AJ32" s="75">
        <f t="shared" si="18"/>
        <v>440</v>
      </c>
      <c r="AK32" s="75">
        <f t="shared" si="19"/>
        <v>440</v>
      </c>
      <c r="AL32" s="75">
        <f t="shared" si="20"/>
        <v>450</v>
      </c>
    </row>
    <row r="33" spans="1:38" ht="18">
      <c r="A33" s="43">
        <v>5</v>
      </c>
      <c r="B33" s="216">
        <v>270</v>
      </c>
      <c r="C33" s="216">
        <v>260</v>
      </c>
      <c r="D33" s="216">
        <v>250</v>
      </c>
      <c r="E33" s="216">
        <v>230</v>
      </c>
      <c r="F33" s="216">
        <v>190</v>
      </c>
      <c r="G33" s="216">
        <v>250</v>
      </c>
      <c r="H33" s="216">
        <v>270</v>
      </c>
      <c r="I33" s="216">
        <v>410</v>
      </c>
      <c r="J33" s="216">
        <v>420</v>
      </c>
      <c r="K33" s="216">
        <v>420</v>
      </c>
      <c r="M33" s="44"/>
      <c r="N33" s="210" t="s">
        <v>85</v>
      </c>
      <c r="P33" s="74">
        <v>5</v>
      </c>
      <c r="Q33" s="75">
        <v>20</v>
      </c>
      <c r="R33" s="75">
        <v>20</v>
      </c>
      <c r="S33" s="75">
        <v>20</v>
      </c>
      <c r="T33" s="75">
        <v>20</v>
      </c>
      <c r="U33" s="75">
        <v>20</v>
      </c>
      <c r="V33" s="75">
        <v>30</v>
      </c>
      <c r="W33" s="75">
        <v>30</v>
      </c>
      <c r="X33" s="75">
        <v>30</v>
      </c>
      <c r="Y33" s="75">
        <v>30</v>
      </c>
      <c r="Z33" s="75">
        <v>40</v>
      </c>
      <c r="AB33" s="74">
        <v>5</v>
      </c>
      <c r="AC33" s="75">
        <f t="shared" si="21"/>
        <v>290</v>
      </c>
      <c r="AD33" s="75">
        <f t="shared" si="12"/>
        <v>280</v>
      </c>
      <c r="AE33" s="75">
        <f t="shared" si="13"/>
        <v>270</v>
      </c>
      <c r="AF33" s="75">
        <f t="shared" si="14"/>
        <v>250</v>
      </c>
      <c r="AG33" s="75">
        <f t="shared" si="15"/>
        <v>210</v>
      </c>
      <c r="AH33" s="75">
        <f t="shared" si="16"/>
        <v>280</v>
      </c>
      <c r="AI33" s="75">
        <f t="shared" si="17"/>
        <v>300</v>
      </c>
      <c r="AJ33" s="75">
        <f t="shared" si="18"/>
        <v>440</v>
      </c>
      <c r="AK33" s="75">
        <f t="shared" si="19"/>
        <v>450</v>
      </c>
      <c r="AL33" s="75">
        <f t="shared" si="20"/>
        <v>460</v>
      </c>
    </row>
    <row r="34" spans="1:38" ht="18">
      <c r="A34" s="43">
        <v>6</v>
      </c>
      <c r="B34" s="216">
        <v>270</v>
      </c>
      <c r="C34" s="216">
        <v>260</v>
      </c>
      <c r="D34" s="216">
        <v>250</v>
      </c>
      <c r="E34" s="216">
        <v>250</v>
      </c>
      <c r="F34" s="216">
        <v>250</v>
      </c>
      <c r="G34" s="216">
        <v>190</v>
      </c>
      <c r="H34" s="216">
        <v>240</v>
      </c>
      <c r="I34" s="216">
        <v>290</v>
      </c>
      <c r="J34" s="216">
        <v>310</v>
      </c>
      <c r="K34" s="216">
        <v>370</v>
      </c>
      <c r="M34" s="44"/>
      <c r="N34" s="16"/>
      <c r="P34" s="74">
        <v>6</v>
      </c>
      <c r="Q34" s="75">
        <v>30</v>
      </c>
      <c r="R34" s="75">
        <v>40</v>
      </c>
      <c r="S34" s="75">
        <v>40</v>
      </c>
      <c r="T34" s="75">
        <v>30</v>
      </c>
      <c r="U34" s="75">
        <v>30</v>
      </c>
      <c r="V34" s="75">
        <v>30</v>
      </c>
      <c r="W34" s="75">
        <v>20</v>
      </c>
      <c r="X34" s="75">
        <v>40</v>
      </c>
      <c r="Y34" s="75">
        <v>30</v>
      </c>
      <c r="Z34" s="75">
        <v>30</v>
      </c>
      <c r="AB34" s="74">
        <v>6</v>
      </c>
      <c r="AC34" s="75">
        <f t="shared" si="21"/>
        <v>300</v>
      </c>
      <c r="AD34" s="75">
        <f t="shared" si="12"/>
        <v>300</v>
      </c>
      <c r="AE34" s="75">
        <f t="shared" si="13"/>
        <v>290</v>
      </c>
      <c r="AF34" s="75">
        <f t="shared" si="14"/>
        <v>280</v>
      </c>
      <c r="AG34" s="75">
        <f t="shared" si="15"/>
        <v>280</v>
      </c>
      <c r="AH34" s="75">
        <f t="shared" si="16"/>
        <v>220</v>
      </c>
      <c r="AI34" s="75">
        <f t="shared" si="17"/>
        <v>260</v>
      </c>
      <c r="AJ34" s="75">
        <f t="shared" si="18"/>
        <v>330</v>
      </c>
      <c r="AK34" s="75">
        <f t="shared" si="19"/>
        <v>340</v>
      </c>
      <c r="AL34" s="75">
        <f t="shared" si="20"/>
        <v>400</v>
      </c>
    </row>
    <row r="35" spans="1:38" ht="18">
      <c r="A35" s="43">
        <v>7</v>
      </c>
      <c r="B35" s="216">
        <v>270</v>
      </c>
      <c r="C35" s="216">
        <v>270</v>
      </c>
      <c r="D35" s="216">
        <v>260</v>
      </c>
      <c r="E35" s="216">
        <v>270</v>
      </c>
      <c r="F35" s="216">
        <v>270</v>
      </c>
      <c r="G35" s="216">
        <v>240</v>
      </c>
      <c r="H35" s="216">
        <v>190</v>
      </c>
      <c r="I35" s="216">
        <v>270</v>
      </c>
      <c r="J35" s="216">
        <v>280</v>
      </c>
      <c r="K35" s="216">
        <v>290</v>
      </c>
      <c r="M35" s="209" t="s">
        <v>86</v>
      </c>
      <c r="N35" s="210" t="s">
        <v>87</v>
      </c>
      <c r="P35" s="74">
        <v>7</v>
      </c>
      <c r="Q35" s="75">
        <v>30</v>
      </c>
      <c r="R35" s="75">
        <v>30</v>
      </c>
      <c r="S35" s="75">
        <v>30</v>
      </c>
      <c r="T35" s="75">
        <v>30</v>
      </c>
      <c r="U35" s="75">
        <v>30</v>
      </c>
      <c r="V35" s="75">
        <v>20</v>
      </c>
      <c r="W35" s="75">
        <v>30</v>
      </c>
      <c r="X35" s="75">
        <v>40</v>
      </c>
      <c r="Y35" s="75">
        <v>40</v>
      </c>
      <c r="Z35" s="75">
        <v>40</v>
      </c>
      <c r="AB35" s="74">
        <v>7</v>
      </c>
      <c r="AC35" s="75">
        <f t="shared" si="21"/>
        <v>300</v>
      </c>
      <c r="AD35" s="75">
        <f t="shared" si="12"/>
        <v>300</v>
      </c>
      <c r="AE35" s="75">
        <f t="shared" si="13"/>
        <v>290</v>
      </c>
      <c r="AF35" s="75">
        <f t="shared" si="14"/>
        <v>300</v>
      </c>
      <c r="AG35" s="75">
        <f t="shared" si="15"/>
        <v>300</v>
      </c>
      <c r="AH35" s="75">
        <f t="shared" si="16"/>
        <v>260</v>
      </c>
      <c r="AI35" s="75">
        <f t="shared" si="17"/>
        <v>220</v>
      </c>
      <c r="AJ35" s="75">
        <f t="shared" si="18"/>
        <v>310</v>
      </c>
      <c r="AK35" s="75">
        <f t="shared" si="19"/>
        <v>320</v>
      </c>
      <c r="AL35" s="75">
        <f t="shared" si="20"/>
        <v>330</v>
      </c>
    </row>
    <row r="36" spans="1:38" ht="18">
      <c r="A36" s="43">
        <v>8</v>
      </c>
      <c r="B36" s="216">
        <v>420</v>
      </c>
      <c r="C36" s="216">
        <v>420</v>
      </c>
      <c r="D36" s="216">
        <v>390</v>
      </c>
      <c r="E36" s="216">
        <v>400</v>
      </c>
      <c r="F36" s="216">
        <v>410</v>
      </c>
      <c r="G36" s="216">
        <v>290</v>
      </c>
      <c r="H36" s="216">
        <v>270</v>
      </c>
      <c r="I36" s="216">
        <v>190</v>
      </c>
      <c r="J36" s="216">
        <v>200</v>
      </c>
      <c r="K36" s="216">
        <v>250</v>
      </c>
      <c r="M36" s="16"/>
      <c r="N36" s="210" t="s">
        <v>88</v>
      </c>
      <c r="P36" s="74">
        <v>8</v>
      </c>
      <c r="Q36" s="75">
        <v>40</v>
      </c>
      <c r="R36" s="75">
        <v>30</v>
      </c>
      <c r="S36" s="75">
        <v>40</v>
      </c>
      <c r="T36" s="75">
        <v>40</v>
      </c>
      <c r="U36" s="75">
        <v>30</v>
      </c>
      <c r="V36" s="75">
        <v>40</v>
      </c>
      <c r="W36" s="75">
        <v>40</v>
      </c>
      <c r="X36" s="75">
        <v>30</v>
      </c>
      <c r="Y36" s="75">
        <v>30</v>
      </c>
      <c r="Z36" s="75">
        <v>20</v>
      </c>
      <c r="AB36" s="74">
        <v>8</v>
      </c>
      <c r="AC36" s="75">
        <f t="shared" si="21"/>
        <v>460</v>
      </c>
      <c r="AD36" s="75">
        <f t="shared" si="12"/>
        <v>450</v>
      </c>
      <c r="AE36" s="75">
        <f t="shared" si="13"/>
        <v>430</v>
      </c>
      <c r="AF36" s="75">
        <f t="shared" si="14"/>
        <v>440</v>
      </c>
      <c r="AG36" s="75">
        <f t="shared" si="15"/>
        <v>440</v>
      </c>
      <c r="AH36" s="75">
        <f t="shared" si="16"/>
        <v>330</v>
      </c>
      <c r="AI36" s="75">
        <f t="shared" si="17"/>
        <v>310</v>
      </c>
      <c r="AJ36" s="75">
        <f t="shared" si="18"/>
        <v>220</v>
      </c>
      <c r="AK36" s="75">
        <f t="shared" si="19"/>
        <v>230</v>
      </c>
      <c r="AL36" s="75">
        <f t="shared" si="20"/>
        <v>270</v>
      </c>
    </row>
    <row r="37" spans="1:38" ht="18">
      <c r="A37" s="43">
        <v>9</v>
      </c>
      <c r="B37" s="216">
        <v>450</v>
      </c>
      <c r="C37" s="216">
        <v>420</v>
      </c>
      <c r="D37" s="216">
        <v>390</v>
      </c>
      <c r="E37" s="216">
        <v>410</v>
      </c>
      <c r="F37" s="216">
        <v>420</v>
      </c>
      <c r="G37" s="216">
        <v>310</v>
      </c>
      <c r="H37" s="216">
        <v>280</v>
      </c>
      <c r="I37" s="216">
        <v>200</v>
      </c>
      <c r="J37" s="216">
        <v>190</v>
      </c>
      <c r="K37" s="216">
        <v>200</v>
      </c>
      <c r="M37" s="16"/>
      <c r="N37" s="16"/>
      <c r="P37" s="74">
        <v>9</v>
      </c>
      <c r="Q37" s="75">
        <v>30</v>
      </c>
      <c r="R37" s="75">
        <v>40</v>
      </c>
      <c r="S37" s="75">
        <v>40</v>
      </c>
      <c r="T37" s="75">
        <v>30</v>
      </c>
      <c r="U37" s="75">
        <v>30</v>
      </c>
      <c r="V37" s="75">
        <v>30</v>
      </c>
      <c r="W37" s="75">
        <v>40</v>
      </c>
      <c r="X37" s="75">
        <v>30</v>
      </c>
      <c r="Y37" s="75">
        <v>30</v>
      </c>
      <c r="Z37" s="75">
        <v>30</v>
      </c>
      <c r="AB37" s="74">
        <v>9</v>
      </c>
      <c r="AC37" s="75">
        <f t="shared" si="21"/>
        <v>480</v>
      </c>
      <c r="AD37" s="75">
        <f t="shared" si="12"/>
        <v>460</v>
      </c>
      <c r="AE37" s="75">
        <f t="shared" si="13"/>
        <v>430</v>
      </c>
      <c r="AF37" s="75">
        <f t="shared" si="14"/>
        <v>440</v>
      </c>
      <c r="AG37" s="75">
        <f t="shared" si="15"/>
        <v>450</v>
      </c>
      <c r="AH37" s="75">
        <f t="shared" si="16"/>
        <v>340</v>
      </c>
      <c r="AI37" s="75">
        <f t="shared" si="17"/>
        <v>320</v>
      </c>
      <c r="AJ37" s="75">
        <f t="shared" si="18"/>
        <v>230</v>
      </c>
      <c r="AK37" s="75">
        <f t="shared" si="19"/>
        <v>220</v>
      </c>
      <c r="AL37" s="75">
        <f t="shared" si="20"/>
        <v>230</v>
      </c>
    </row>
    <row r="38" spans="1:38" ht="18">
      <c r="A38" s="43">
        <v>10</v>
      </c>
      <c r="B38" s="216">
        <v>450</v>
      </c>
      <c r="C38" s="216">
        <v>420</v>
      </c>
      <c r="D38" s="216">
        <v>410</v>
      </c>
      <c r="E38" s="216">
        <v>420</v>
      </c>
      <c r="F38" s="216">
        <v>420</v>
      </c>
      <c r="G38" s="216">
        <v>370</v>
      </c>
      <c r="H38" s="216">
        <v>290</v>
      </c>
      <c r="I38" s="216">
        <v>250</v>
      </c>
      <c r="J38" s="216">
        <v>200</v>
      </c>
      <c r="K38" s="216">
        <v>190</v>
      </c>
      <c r="M38" s="16"/>
      <c r="N38" s="16"/>
      <c r="P38" s="74">
        <v>10</v>
      </c>
      <c r="Q38" s="75">
        <v>40</v>
      </c>
      <c r="R38" s="75">
        <v>40</v>
      </c>
      <c r="S38" s="75">
        <v>30</v>
      </c>
      <c r="T38" s="75">
        <v>30</v>
      </c>
      <c r="U38" s="75">
        <v>40</v>
      </c>
      <c r="V38" s="75">
        <v>30</v>
      </c>
      <c r="W38" s="75">
        <v>40</v>
      </c>
      <c r="X38" s="75">
        <v>20</v>
      </c>
      <c r="Y38" s="75">
        <v>30</v>
      </c>
      <c r="Z38" s="75">
        <v>30</v>
      </c>
      <c r="AB38" s="74">
        <v>10</v>
      </c>
      <c r="AC38" s="75">
        <f t="shared" si="21"/>
        <v>490</v>
      </c>
      <c r="AD38" s="75">
        <f t="shared" si="12"/>
        <v>460</v>
      </c>
      <c r="AE38" s="75">
        <f t="shared" si="13"/>
        <v>440</v>
      </c>
      <c r="AF38" s="75">
        <f t="shared" si="14"/>
        <v>450</v>
      </c>
      <c r="AG38" s="75">
        <f t="shared" si="15"/>
        <v>460</v>
      </c>
      <c r="AH38" s="75">
        <f t="shared" si="16"/>
        <v>400</v>
      </c>
      <c r="AI38" s="75">
        <f t="shared" si="17"/>
        <v>330</v>
      </c>
      <c r="AJ38" s="75">
        <f t="shared" si="18"/>
        <v>270</v>
      </c>
      <c r="AK38" s="75">
        <f t="shared" si="19"/>
        <v>230</v>
      </c>
      <c r="AL38" s="75">
        <f t="shared" si="20"/>
        <v>220</v>
      </c>
    </row>
    <row r="39" spans="1:38">
      <c r="M39" s="16"/>
      <c r="N39" s="16"/>
    </row>
  </sheetData>
  <mergeCells count="12">
    <mergeCell ref="P1:Z1"/>
    <mergeCell ref="P14:Z14"/>
    <mergeCell ref="P27:Z27"/>
    <mergeCell ref="AB1:AL1"/>
    <mergeCell ref="AB14:AL14"/>
    <mergeCell ref="AB27:AL27"/>
    <mergeCell ref="A14:A15"/>
    <mergeCell ref="B14:K14"/>
    <mergeCell ref="A27:A28"/>
    <mergeCell ref="B27:K27"/>
    <mergeCell ref="A1:A2"/>
    <mergeCell ref="B1:K1"/>
  </mergeCells>
  <conditionalFormatting sqref="Q3:Z12">
    <cfRule type="cellIs" dxfId="23" priority="15" operator="equal">
      <formula>80</formula>
    </cfRule>
    <cfRule type="cellIs" dxfId="22" priority="16" operator="lessThan">
      <formula>0</formula>
    </cfRule>
  </conditionalFormatting>
  <conditionalFormatting sqref="Q16:Z25">
    <cfRule type="cellIs" dxfId="21" priority="13" operator="equal">
      <formula>80</formula>
    </cfRule>
    <cfRule type="cellIs" dxfId="20" priority="14" operator="lessThan">
      <formula>0</formula>
    </cfRule>
  </conditionalFormatting>
  <conditionalFormatting sqref="Q29:Z38">
    <cfRule type="cellIs" dxfId="19" priority="11" operator="equal">
      <formula>80</formula>
    </cfRule>
    <cfRule type="cellIs" dxfId="18" priority="12" operator="lessThan">
      <formula>0</formula>
    </cfRule>
  </conditionalFormatting>
  <conditionalFormatting sqref="AC3:AL12">
    <cfRule type="cellIs" dxfId="17" priority="9" operator="equal">
      <formula>80</formula>
    </cfRule>
    <cfRule type="cellIs" dxfId="16" priority="10" operator="lessThan">
      <formula>0</formula>
    </cfRule>
  </conditionalFormatting>
  <conditionalFormatting sqref="AC16:AL25">
    <cfRule type="cellIs" dxfId="15" priority="3" operator="equal">
      <formula>80</formula>
    </cfRule>
    <cfRule type="cellIs" dxfId="14" priority="4" operator="lessThan">
      <formula>0</formula>
    </cfRule>
  </conditionalFormatting>
  <conditionalFormatting sqref="AC29:AL38">
    <cfRule type="cellIs" dxfId="13" priority="1" operator="equal">
      <formula>80</formula>
    </cfRule>
    <cfRule type="cellIs" dxfId="12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202D-89A5-48AA-A27E-BF15FD87C6F9}">
  <dimension ref="A1:F20"/>
  <sheetViews>
    <sheetView workbookViewId="0">
      <selection activeCell="C27" sqref="C27"/>
    </sheetView>
  </sheetViews>
  <sheetFormatPr defaultColWidth="10" defaultRowHeight="15"/>
  <cols>
    <col min="1" max="1" width="22.375" style="51" bestFit="1" customWidth="1"/>
    <col min="2" max="2" width="8.75" style="51" bestFit="1" customWidth="1"/>
    <col min="3" max="3" width="6.5" style="51" bestFit="1" customWidth="1"/>
    <col min="4" max="4" width="10.875" style="51" bestFit="1" customWidth="1"/>
    <col min="5" max="5" width="9.625" style="51" bestFit="1" customWidth="1"/>
    <col min="6" max="16384" width="10" style="51"/>
  </cols>
  <sheetData>
    <row r="1" spans="1:6">
      <c r="A1" s="138" t="s">
        <v>112</v>
      </c>
      <c r="B1" s="138"/>
      <c r="C1" s="138"/>
      <c r="D1" s="138"/>
      <c r="E1" s="138"/>
      <c r="F1" s="50"/>
    </row>
    <row r="2" spans="1:6">
      <c r="A2" s="217" t="s">
        <v>113</v>
      </c>
      <c r="B2" s="218" t="s">
        <v>114</v>
      </c>
      <c r="C2" s="218" t="s">
        <v>115</v>
      </c>
      <c r="D2" s="218" t="s">
        <v>116</v>
      </c>
      <c r="E2" s="218" t="s">
        <v>117</v>
      </c>
    </row>
    <row r="3" spans="1:6">
      <c r="A3" s="218" t="s">
        <v>114</v>
      </c>
      <c r="B3" s="219">
        <v>0</v>
      </c>
      <c r="C3" s="220">
        <v>900</v>
      </c>
      <c r="D3" s="220">
        <v>1200</v>
      </c>
      <c r="E3" s="220">
        <v>1500</v>
      </c>
    </row>
    <row r="4" spans="1:6">
      <c r="A4" s="218" t="s">
        <v>115</v>
      </c>
      <c r="B4" s="220">
        <v>900</v>
      </c>
      <c r="C4" s="219">
        <v>0</v>
      </c>
      <c r="D4" s="220">
        <v>1000</v>
      </c>
      <c r="E4" s="220">
        <v>1200</v>
      </c>
    </row>
    <row r="5" spans="1:6">
      <c r="A5" s="218" t="s">
        <v>116</v>
      </c>
      <c r="B5" s="220">
        <v>1200</v>
      </c>
      <c r="C5" s="220">
        <v>1000</v>
      </c>
      <c r="D5" s="219">
        <v>0</v>
      </c>
      <c r="E5" s="220">
        <v>600</v>
      </c>
    </row>
    <row r="6" spans="1:6">
      <c r="A6" s="218" t="s">
        <v>117</v>
      </c>
      <c r="B6" s="220">
        <v>1500</v>
      </c>
      <c r="C6" s="220">
        <v>1200</v>
      </c>
      <c r="D6" s="220">
        <v>600</v>
      </c>
      <c r="E6" s="219">
        <v>0</v>
      </c>
    </row>
    <row r="8" spans="1:6">
      <c r="A8" s="139" t="s">
        <v>118</v>
      </c>
      <c r="B8" s="139"/>
      <c r="C8" s="139"/>
      <c r="D8" s="139"/>
      <c r="E8" s="139"/>
      <c r="F8" s="52"/>
    </row>
    <row r="9" spans="1:6">
      <c r="A9" s="217" t="s">
        <v>119</v>
      </c>
      <c r="B9" s="221" t="s">
        <v>114</v>
      </c>
      <c r="C9" s="221" t="s">
        <v>115</v>
      </c>
      <c r="D9" s="221" t="s">
        <v>116</v>
      </c>
      <c r="E9" s="221" t="s">
        <v>117</v>
      </c>
    </row>
    <row r="10" spans="1:6">
      <c r="A10" s="221" t="s">
        <v>114</v>
      </c>
      <c r="B10" s="222">
        <v>0</v>
      </c>
      <c r="C10" s="223">
        <v>450</v>
      </c>
      <c r="D10" s="223">
        <v>600</v>
      </c>
      <c r="E10" s="223">
        <v>750</v>
      </c>
      <c r="F10" s="53"/>
    </row>
    <row r="11" spans="1:6">
      <c r="A11" s="221" t="s">
        <v>115</v>
      </c>
      <c r="B11" s="223">
        <v>450</v>
      </c>
      <c r="C11" s="222">
        <v>0</v>
      </c>
      <c r="D11" s="223">
        <v>500</v>
      </c>
      <c r="E11" s="223">
        <v>600</v>
      </c>
    </row>
    <row r="12" spans="1:6">
      <c r="A12" s="221" t="s">
        <v>116</v>
      </c>
      <c r="B12" s="223">
        <v>600</v>
      </c>
      <c r="C12" s="223">
        <v>500</v>
      </c>
      <c r="D12" s="222">
        <v>0</v>
      </c>
      <c r="E12" s="223">
        <v>300</v>
      </c>
    </row>
    <row r="13" spans="1:6">
      <c r="A13" s="221" t="s">
        <v>117</v>
      </c>
      <c r="B13" s="223">
        <v>750</v>
      </c>
      <c r="C13" s="223">
        <v>600</v>
      </c>
      <c r="D13" s="223">
        <v>300</v>
      </c>
      <c r="E13" s="222">
        <v>0</v>
      </c>
    </row>
    <row r="15" spans="1:6">
      <c r="A15" s="140" t="s">
        <v>120</v>
      </c>
      <c r="B15" s="140"/>
      <c r="C15" s="140"/>
      <c r="D15" s="140"/>
      <c r="E15" s="140"/>
      <c r="F15" s="52"/>
    </row>
    <row r="16" spans="1:6">
      <c r="A16" s="54" t="s">
        <v>121</v>
      </c>
      <c r="B16" s="55" t="s">
        <v>114</v>
      </c>
      <c r="C16" s="55" t="s">
        <v>115</v>
      </c>
      <c r="D16" s="55" t="s">
        <v>116</v>
      </c>
      <c r="E16" s="55" t="s">
        <v>117</v>
      </c>
    </row>
    <row r="17" spans="1:5">
      <c r="A17" s="224" t="s">
        <v>114</v>
      </c>
      <c r="B17" s="222">
        <v>0</v>
      </c>
      <c r="C17" s="223">
        <v>300</v>
      </c>
      <c r="D17" s="223">
        <v>400</v>
      </c>
      <c r="E17" s="223">
        <v>500</v>
      </c>
    </row>
    <row r="18" spans="1:5">
      <c r="A18" s="224" t="s">
        <v>115</v>
      </c>
      <c r="B18" s="223">
        <v>300</v>
      </c>
      <c r="C18" s="222">
        <v>0</v>
      </c>
      <c r="D18" s="223">
        <v>330</v>
      </c>
      <c r="E18" s="223">
        <v>400</v>
      </c>
    </row>
    <row r="19" spans="1:5">
      <c r="A19" s="221" t="s">
        <v>116</v>
      </c>
      <c r="B19" s="223">
        <v>400</v>
      </c>
      <c r="C19" s="223">
        <v>330</v>
      </c>
      <c r="D19" s="222">
        <v>0</v>
      </c>
      <c r="E19" s="223">
        <v>200</v>
      </c>
    </row>
    <row r="20" spans="1:5">
      <c r="A20" s="221" t="s">
        <v>117</v>
      </c>
      <c r="B20" s="223">
        <v>500</v>
      </c>
      <c r="C20" s="223">
        <v>400</v>
      </c>
      <c r="D20" s="223">
        <v>200</v>
      </c>
      <c r="E20" s="222">
        <v>0</v>
      </c>
    </row>
  </sheetData>
  <mergeCells count="3">
    <mergeCell ref="A1:E1"/>
    <mergeCell ref="A8:E8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B0AD-0429-40AB-882B-8915519F7A84}">
  <dimension ref="A1:AU68"/>
  <sheetViews>
    <sheetView zoomScale="80" zoomScaleNormal="80" workbookViewId="0">
      <selection activeCell="A2" sqref="A2"/>
    </sheetView>
  </sheetViews>
  <sheetFormatPr defaultColWidth="10" defaultRowHeight="15"/>
  <cols>
    <col min="1" max="1" width="13.5" style="78" bestFit="1" customWidth="1"/>
    <col min="2" max="15" width="8" style="78" bestFit="1" customWidth="1"/>
    <col min="16" max="16" width="10" style="78"/>
    <col min="17" max="17" width="10.5" style="78" hidden="1" customWidth="1"/>
    <col min="18" max="33" width="0" style="78" hidden="1" customWidth="1"/>
    <col min="34" max="47" width="12.25" style="78" hidden="1" customWidth="1"/>
    <col min="48" max="16384" width="10" style="78"/>
  </cols>
  <sheetData>
    <row r="1" spans="1:47" ht="15.75" thickBo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76"/>
      <c r="Q1" s="147" t="s">
        <v>31</v>
      </c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9"/>
      <c r="AG1" s="147" t="s">
        <v>31</v>
      </c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9"/>
    </row>
    <row r="2" spans="1:47" ht="64.5">
      <c r="A2" s="79" t="s">
        <v>32</v>
      </c>
      <c r="B2" s="80" t="s">
        <v>33</v>
      </c>
      <c r="C2" s="80" t="s">
        <v>34</v>
      </c>
      <c r="D2" s="80" t="s">
        <v>35</v>
      </c>
      <c r="E2" s="80" t="s">
        <v>36</v>
      </c>
      <c r="F2" s="80" t="s">
        <v>37</v>
      </c>
      <c r="G2" s="80" t="s">
        <v>38</v>
      </c>
      <c r="H2" s="80" t="s">
        <v>39</v>
      </c>
      <c r="I2" s="80" t="s">
        <v>40</v>
      </c>
      <c r="J2" s="80" t="s">
        <v>41</v>
      </c>
      <c r="K2" s="81" t="s">
        <v>42</v>
      </c>
      <c r="L2" s="82" t="s">
        <v>43</v>
      </c>
      <c r="M2" s="80" t="s">
        <v>44</v>
      </c>
      <c r="N2" s="80" t="s">
        <v>45</v>
      </c>
      <c r="O2" s="81" t="s">
        <v>46</v>
      </c>
      <c r="P2" s="76"/>
      <c r="Q2" s="83" t="s">
        <v>32</v>
      </c>
      <c r="R2" s="84" t="s">
        <v>33</v>
      </c>
      <c r="S2" s="84" t="s">
        <v>34</v>
      </c>
      <c r="T2" s="84" t="s">
        <v>35</v>
      </c>
      <c r="U2" s="84" t="s">
        <v>36</v>
      </c>
      <c r="V2" s="84" t="s">
        <v>37</v>
      </c>
      <c r="W2" s="84" t="s">
        <v>38</v>
      </c>
      <c r="X2" s="84" t="s">
        <v>39</v>
      </c>
      <c r="Y2" s="84" t="s">
        <v>40</v>
      </c>
      <c r="Z2" s="84" t="s">
        <v>41</v>
      </c>
      <c r="AA2" s="85" t="s">
        <v>42</v>
      </c>
      <c r="AB2" s="86" t="s">
        <v>43</v>
      </c>
      <c r="AC2" s="84" t="s">
        <v>44</v>
      </c>
      <c r="AD2" s="84" t="s">
        <v>45</v>
      </c>
      <c r="AE2" s="85" t="s">
        <v>46</v>
      </c>
      <c r="AG2" s="83" t="s">
        <v>32</v>
      </c>
      <c r="AH2" s="84" t="s">
        <v>33</v>
      </c>
      <c r="AI2" s="84" t="s">
        <v>34</v>
      </c>
      <c r="AJ2" s="84" t="s">
        <v>35</v>
      </c>
      <c r="AK2" s="84" t="s">
        <v>36</v>
      </c>
      <c r="AL2" s="84" t="s">
        <v>37</v>
      </c>
      <c r="AM2" s="84" t="s">
        <v>38</v>
      </c>
      <c r="AN2" s="84" t="s">
        <v>39</v>
      </c>
      <c r="AO2" s="84" t="s">
        <v>40</v>
      </c>
      <c r="AP2" s="84" t="s">
        <v>41</v>
      </c>
      <c r="AQ2" s="85" t="s">
        <v>42</v>
      </c>
      <c r="AR2" s="86" t="s">
        <v>43</v>
      </c>
      <c r="AS2" s="84" t="s">
        <v>44</v>
      </c>
      <c r="AT2" s="84" t="s">
        <v>45</v>
      </c>
      <c r="AU2" s="85" t="s">
        <v>46</v>
      </c>
    </row>
    <row r="3" spans="1:47">
      <c r="A3" s="225" t="s">
        <v>33</v>
      </c>
      <c r="B3" s="226">
        <v>0</v>
      </c>
      <c r="C3" s="226">
        <v>1100</v>
      </c>
      <c r="D3" s="226">
        <v>1300</v>
      </c>
      <c r="E3" s="226">
        <v>1300</v>
      </c>
      <c r="F3" s="226">
        <v>1400</v>
      </c>
      <c r="G3" s="226">
        <v>1400</v>
      </c>
      <c r="H3" s="226">
        <v>1500</v>
      </c>
      <c r="I3" s="226">
        <v>0</v>
      </c>
      <c r="J3" s="226">
        <v>900</v>
      </c>
      <c r="K3" s="227">
        <v>1800</v>
      </c>
      <c r="L3" s="228">
        <v>1900</v>
      </c>
      <c r="M3" s="226">
        <v>2000</v>
      </c>
      <c r="N3" s="226">
        <v>2550</v>
      </c>
      <c r="O3" s="227">
        <v>2650</v>
      </c>
      <c r="P3" s="76"/>
      <c r="Q3" s="87" t="s">
        <v>33</v>
      </c>
      <c r="R3" s="88">
        <v>0</v>
      </c>
      <c r="S3" s="88">
        <v>950</v>
      </c>
      <c r="T3" s="88">
        <v>1200</v>
      </c>
      <c r="U3" s="88">
        <v>1200</v>
      </c>
      <c r="V3" s="88">
        <v>1200</v>
      </c>
      <c r="W3" s="88">
        <v>1200</v>
      </c>
      <c r="X3" s="88">
        <v>1200</v>
      </c>
      <c r="Y3" s="88">
        <v>0</v>
      </c>
      <c r="Z3" s="88">
        <v>900</v>
      </c>
      <c r="AA3" s="89">
        <v>1500</v>
      </c>
      <c r="AB3" s="90">
        <v>1900</v>
      </c>
      <c r="AC3" s="88">
        <v>2000</v>
      </c>
      <c r="AD3" s="88">
        <v>2550</v>
      </c>
      <c r="AE3" s="89">
        <v>2650</v>
      </c>
      <c r="AG3" s="87" t="s">
        <v>33</v>
      </c>
      <c r="AH3" s="88" t="b">
        <f>B3=R3</f>
        <v>1</v>
      </c>
      <c r="AI3" s="88" t="b">
        <f t="shared" ref="AI3:AU16" si="0">C3=S3</f>
        <v>0</v>
      </c>
      <c r="AJ3" s="88" t="b">
        <f t="shared" si="0"/>
        <v>0</v>
      </c>
      <c r="AK3" s="88" t="b">
        <f t="shared" si="0"/>
        <v>0</v>
      </c>
      <c r="AL3" s="88" t="b">
        <f t="shared" si="0"/>
        <v>0</v>
      </c>
      <c r="AM3" s="88" t="b">
        <f t="shared" si="0"/>
        <v>0</v>
      </c>
      <c r="AN3" s="88" t="b">
        <f t="shared" si="0"/>
        <v>0</v>
      </c>
      <c r="AO3" s="88" t="b">
        <f t="shared" si="0"/>
        <v>1</v>
      </c>
      <c r="AP3" s="88" t="b">
        <f t="shared" si="0"/>
        <v>1</v>
      </c>
      <c r="AQ3" s="88" t="b">
        <f t="shared" si="0"/>
        <v>0</v>
      </c>
      <c r="AR3" s="88" t="b">
        <f t="shared" si="0"/>
        <v>1</v>
      </c>
      <c r="AS3" s="88" t="b">
        <f t="shared" si="0"/>
        <v>1</v>
      </c>
      <c r="AT3" s="88" t="b">
        <f t="shared" si="0"/>
        <v>1</v>
      </c>
      <c r="AU3" s="88" t="b">
        <f t="shared" si="0"/>
        <v>1</v>
      </c>
    </row>
    <row r="4" spans="1:47">
      <c r="A4" s="225" t="s">
        <v>34</v>
      </c>
      <c r="B4" s="226">
        <v>1100</v>
      </c>
      <c r="C4" s="226">
        <v>0</v>
      </c>
      <c r="D4" s="226">
        <v>1200</v>
      </c>
      <c r="E4" s="226">
        <v>1200</v>
      </c>
      <c r="F4" s="226">
        <v>1300</v>
      </c>
      <c r="G4" s="226">
        <v>1300</v>
      </c>
      <c r="H4" s="226">
        <v>1400</v>
      </c>
      <c r="I4" s="226">
        <v>0</v>
      </c>
      <c r="J4" s="226">
        <v>800</v>
      </c>
      <c r="K4" s="227">
        <v>1500</v>
      </c>
      <c r="L4" s="228">
        <v>1650</v>
      </c>
      <c r="M4" s="226">
        <v>1750</v>
      </c>
      <c r="N4" s="226">
        <v>2300</v>
      </c>
      <c r="O4" s="227">
        <v>2400</v>
      </c>
      <c r="P4" s="76"/>
      <c r="Q4" s="87" t="s">
        <v>34</v>
      </c>
      <c r="R4" s="88">
        <v>950</v>
      </c>
      <c r="S4" s="88">
        <v>0</v>
      </c>
      <c r="T4" s="88">
        <v>950</v>
      </c>
      <c r="U4" s="88">
        <v>950</v>
      </c>
      <c r="V4" s="88">
        <v>950</v>
      </c>
      <c r="W4" s="88">
        <v>950</v>
      </c>
      <c r="X4" s="88">
        <v>1200</v>
      </c>
      <c r="Y4" s="88">
        <v>0</v>
      </c>
      <c r="Z4" s="88">
        <v>800</v>
      </c>
      <c r="AA4" s="89">
        <v>1200</v>
      </c>
      <c r="AB4" s="90">
        <v>1650</v>
      </c>
      <c r="AC4" s="88">
        <v>1750</v>
      </c>
      <c r="AD4" s="88">
        <v>2300</v>
      </c>
      <c r="AE4" s="89">
        <v>2400</v>
      </c>
      <c r="AG4" s="87" t="s">
        <v>34</v>
      </c>
      <c r="AH4" s="88" t="b">
        <f t="shared" ref="AH4:AH16" si="1">B4=R4</f>
        <v>0</v>
      </c>
      <c r="AI4" s="88" t="b">
        <f t="shared" si="0"/>
        <v>1</v>
      </c>
      <c r="AJ4" s="88" t="b">
        <f t="shared" si="0"/>
        <v>0</v>
      </c>
      <c r="AK4" s="88" t="b">
        <f t="shared" si="0"/>
        <v>0</v>
      </c>
      <c r="AL4" s="88" t="b">
        <f t="shared" si="0"/>
        <v>0</v>
      </c>
      <c r="AM4" s="88" t="b">
        <f t="shared" si="0"/>
        <v>0</v>
      </c>
      <c r="AN4" s="88" t="b">
        <f t="shared" si="0"/>
        <v>0</v>
      </c>
      <c r="AO4" s="88" t="b">
        <f t="shared" si="0"/>
        <v>1</v>
      </c>
      <c r="AP4" s="88" t="b">
        <f t="shared" si="0"/>
        <v>1</v>
      </c>
      <c r="AQ4" s="88" t="b">
        <f t="shared" si="0"/>
        <v>0</v>
      </c>
      <c r="AR4" s="88" t="b">
        <f t="shared" si="0"/>
        <v>1</v>
      </c>
      <c r="AS4" s="88" t="b">
        <f t="shared" si="0"/>
        <v>1</v>
      </c>
      <c r="AT4" s="88" t="b">
        <f t="shared" si="0"/>
        <v>1</v>
      </c>
      <c r="AU4" s="88" t="b">
        <f t="shared" si="0"/>
        <v>1</v>
      </c>
    </row>
    <row r="5" spans="1:47">
      <c r="A5" s="225" t="s">
        <v>35</v>
      </c>
      <c r="B5" s="226">
        <v>1300</v>
      </c>
      <c r="C5" s="226">
        <v>1200</v>
      </c>
      <c r="D5" s="226">
        <v>0</v>
      </c>
      <c r="E5" s="226">
        <v>1100</v>
      </c>
      <c r="F5" s="226">
        <v>1100</v>
      </c>
      <c r="G5" s="226">
        <v>1100</v>
      </c>
      <c r="H5" s="226">
        <v>1300</v>
      </c>
      <c r="I5" s="226">
        <v>0</v>
      </c>
      <c r="J5" s="226">
        <v>800</v>
      </c>
      <c r="K5" s="227">
        <v>1400</v>
      </c>
      <c r="L5" s="228">
        <v>1650</v>
      </c>
      <c r="M5" s="226">
        <v>1750</v>
      </c>
      <c r="N5" s="226">
        <v>2300</v>
      </c>
      <c r="O5" s="227">
        <v>2400</v>
      </c>
      <c r="P5" s="76"/>
      <c r="Q5" s="87" t="s">
        <v>35</v>
      </c>
      <c r="R5" s="88">
        <v>1200</v>
      </c>
      <c r="S5" s="88">
        <v>950</v>
      </c>
      <c r="T5" s="88">
        <v>0</v>
      </c>
      <c r="U5" s="88">
        <v>950</v>
      </c>
      <c r="V5" s="88">
        <v>950</v>
      </c>
      <c r="W5" s="88">
        <v>950</v>
      </c>
      <c r="X5" s="88">
        <v>1200</v>
      </c>
      <c r="Y5" s="88">
        <v>0</v>
      </c>
      <c r="Z5" s="88">
        <v>800</v>
      </c>
      <c r="AA5" s="89">
        <v>1200</v>
      </c>
      <c r="AB5" s="90">
        <v>1650</v>
      </c>
      <c r="AC5" s="88">
        <v>1750</v>
      </c>
      <c r="AD5" s="88">
        <v>2300</v>
      </c>
      <c r="AE5" s="89">
        <v>2400</v>
      </c>
      <c r="AG5" s="87" t="s">
        <v>35</v>
      </c>
      <c r="AH5" s="88" t="b">
        <f t="shared" si="1"/>
        <v>0</v>
      </c>
      <c r="AI5" s="88" t="b">
        <f t="shared" si="0"/>
        <v>0</v>
      </c>
      <c r="AJ5" s="88" t="b">
        <f t="shared" si="0"/>
        <v>1</v>
      </c>
      <c r="AK5" s="88" t="b">
        <f t="shared" si="0"/>
        <v>0</v>
      </c>
      <c r="AL5" s="88" t="b">
        <f t="shared" si="0"/>
        <v>0</v>
      </c>
      <c r="AM5" s="88" t="b">
        <f t="shared" si="0"/>
        <v>0</v>
      </c>
      <c r="AN5" s="88" t="b">
        <f t="shared" si="0"/>
        <v>0</v>
      </c>
      <c r="AO5" s="88" t="b">
        <f t="shared" si="0"/>
        <v>1</v>
      </c>
      <c r="AP5" s="88" t="b">
        <f t="shared" si="0"/>
        <v>1</v>
      </c>
      <c r="AQ5" s="88" t="b">
        <f t="shared" si="0"/>
        <v>0</v>
      </c>
      <c r="AR5" s="88" t="b">
        <f t="shared" si="0"/>
        <v>1</v>
      </c>
      <c r="AS5" s="88" t="b">
        <f t="shared" si="0"/>
        <v>1</v>
      </c>
      <c r="AT5" s="88" t="b">
        <f t="shared" si="0"/>
        <v>1</v>
      </c>
      <c r="AU5" s="88" t="b">
        <f t="shared" si="0"/>
        <v>1</v>
      </c>
    </row>
    <row r="6" spans="1:47">
      <c r="A6" s="225" t="s">
        <v>36</v>
      </c>
      <c r="B6" s="226">
        <v>1300</v>
      </c>
      <c r="C6" s="226">
        <v>1200</v>
      </c>
      <c r="D6" s="226">
        <v>1100</v>
      </c>
      <c r="E6" s="226">
        <v>0</v>
      </c>
      <c r="F6" s="226">
        <v>1100</v>
      </c>
      <c r="G6" s="226">
        <v>1100</v>
      </c>
      <c r="H6" s="226">
        <v>1300</v>
      </c>
      <c r="I6" s="226">
        <v>0</v>
      </c>
      <c r="J6" s="226">
        <v>700</v>
      </c>
      <c r="K6" s="227">
        <v>1400</v>
      </c>
      <c r="L6" s="228">
        <v>1650</v>
      </c>
      <c r="M6" s="226">
        <v>1750</v>
      </c>
      <c r="N6" s="226">
        <v>2300</v>
      </c>
      <c r="O6" s="227">
        <v>2400</v>
      </c>
      <c r="P6" s="76"/>
      <c r="Q6" s="87" t="s">
        <v>36</v>
      </c>
      <c r="R6" s="88">
        <v>1200</v>
      </c>
      <c r="S6" s="88">
        <v>950</v>
      </c>
      <c r="T6" s="88">
        <v>950</v>
      </c>
      <c r="U6" s="88">
        <v>0</v>
      </c>
      <c r="V6" s="88">
        <v>950</v>
      </c>
      <c r="W6" s="88">
        <v>950</v>
      </c>
      <c r="X6" s="88">
        <v>950</v>
      </c>
      <c r="Y6" s="88">
        <v>0</v>
      </c>
      <c r="Z6" s="88">
        <v>700</v>
      </c>
      <c r="AA6" s="89">
        <v>1200</v>
      </c>
      <c r="AB6" s="90">
        <v>1650</v>
      </c>
      <c r="AC6" s="88">
        <v>1750</v>
      </c>
      <c r="AD6" s="88">
        <v>2300</v>
      </c>
      <c r="AE6" s="89">
        <v>2400</v>
      </c>
      <c r="AG6" s="87" t="s">
        <v>36</v>
      </c>
      <c r="AH6" s="88" t="b">
        <f t="shared" si="1"/>
        <v>0</v>
      </c>
      <c r="AI6" s="88" t="b">
        <f t="shared" si="0"/>
        <v>0</v>
      </c>
      <c r="AJ6" s="88" t="b">
        <f t="shared" si="0"/>
        <v>0</v>
      </c>
      <c r="AK6" s="88" t="b">
        <f t="shared" si="0"/>
        <v>1</v>
      </c>
      <c r="AL6" s="88" t="b">
        <f t="shared" si="0"/>
        <v>0</v>
      </c>
      <c r="AM6" s="88" t="b">
        <f t="shared" si="0"/>
        <v>0</v>
      </c>
      <c r="AN6" s="88" t="b">
        <f t="shared" si="0"/>
        <v>0</v>
      </c>
      <c r="AO6" s="88" t="b">
        <f t="shared" si="0"/>
        <v>1</v>
      </c>
      <c r="AP6" s="88" t="b">
        <f t="shared" si="0"/>
        <v>1</v>
      </c>
      <c r="AQ6" s="88" t="b">
        <f t="shared" si="0"/>
        <v>0</v>
      </c>
      <c r="AR6" s="88" t="b">
        <f t="shared" si="0"/>
        <v>1</v>
      </c>
      <c r="AS6" s="88" t="b">
        <f t="shared" si="0"/>
        <v>1</v>
      </c>
      <c r="AT6" s="88" t="b">
        <f t="shared" si="0"/>
        <v>1</v>
      </c>
      <c r="AU6" s="88" t="b">
        <f t="shared" si="0"/>
        <v>1</v>
      </c>
    </row>
    <row r="7" spans="1:47">
      <c r="A7" s="225" t="s">
        <v>37</v>
      </c>
      <c r="B7" s="226">
        <v>1400</v>
      </c>
      <c r="C7" s="226">
        <v>1300</v>
      </c>
      <c r="D7" s="226">
        <v>1100</v>
      </c>
      <c r="E7" s="226">
        <v>1100</v>
      </c>
      <c r="F7" s="226">
        <v>0</v>
      </c>
      <c r="G7" s="226">
        <v>1100</v>
      </c>
      <c r="H7" s="226">
        <v>1100</v>
      </c>
      <c r="I7" s="226">
        <v>0</v>
      </c>
      <c r="J7" s="226">
        <v>600</v>
      </c>
      <c r="K7" s="227">
        <v>1300</v>
      </c>
      <c r="L7" s="228">
        <v>1550</v>
      </c>
      <c r="M7" s="226">
        <v>1650</v>
      </c>
      <c r="N7" s="226">
        <v>2200</v>
      </c>
      <c r="O7" s="227">
        <v>2300</v>
      </c>
      <c r="P7" s="76"/>
      <c r="Q7" s="87" t="s">
        <v>37</v>
      </c>
      <c r="R7" s="88">
        <v>1200</v>
      </c>
      <c r="S7" s="88">
        <v>950</v>
      </c>
      <c r="T7" s="88">
        <v>950</v>
      </c>
      <c r="U7" s="88">
        <v>950</v>
      </c>
      <c r="V7" s="88">
        <v>0</v>
      </c>
      <c r="W7" s="88">
        <v>950</v>
      </c>
      <c r="X7" s="88">
        <v>950</v>
      </c>
      <c r="Y7" s="88">
        <v>0</v>
      </c>
      <c r="Z7" s="88">
        <v>600</v>
      </c>
      <c r="AA7" s="89">
        <v>1050</v>
      </c>
      <c r="AB7" s="90">
        <v>1550</v>
      </c>
      <c r="AC7" s="88">
        <v>1650</v>
      </c>
      <c r="AD7" s="88">
        <v>2200</v>
      </c>
      <c r="AE7" s="89">
        <v>2300</v>
      </c>
      <c r="AG7" s="87" t="s">
        <v>37</v>
      </c>
      <c r="AH7" s="88" t="b">
        <f t="shared" si="1"/>
        <v>0</v>
      </c>
      <c r="AI7" s="88" t="b">
        <f t="shared" si="0"/>
        <v>0</v>
      </c>
      <c r="AJ7" s="88" t="b">
        <f t="shared" si="0"/>
        <v>0</v>
      </c>
      <c r="AK7" s="88" t="b">
        <f t="shared" si="0"/>
        <v>0</v>
      </c>
      <c r="AL7" s="88" t="b">
        <f t="shared" si="0"/>
        <v>1</v>
      </c>
      <c r="AM7" s="88" t="b">
        <f t="shared" si="0"/>
        <v>0</v>
      </c>
      <c r="AN7" s="88" t="b">
        <f t="shared" si="0"/>
        <v>0</v>
      </c>
      <c r="AO7" s="88" t="b">
        <f t="shared" si="0"/>
        <v>1</v>
      </c>
      <c r="AP7" s="88" t="b">
        <f t="shared" si="0"/>
        <v>1</v>
      </c>
      <c r="AQ7" s="88" t="b">
        <f t="shared" si="0"/>
        <v>0</v>
      </c>
      <c r="AR7" s="88" t="b">
        <f t="shared" si="0"/>
        <v>1</v>
      </c>
      <c r="AS7" s="88" t="b">
        <f t="shared" si="0"/>
        <v>1</v>
      </c>
      <c r="AT7" s="88" t="b">
        <f t="shared" si="0"/>
        <v>1</v>
      </c>
      <c r="AU7" s="88" t="b">
        <f t="shared" si="0"/>
        <v>1</v>
      </c>
    </row>
    <row r="8" spans="1:47">
      <c r="A8" s="225" t="s">
        <v>38</v>
      </c>
      <c r="B8" s="226">
        <v>1400</v>
      </c>
      <c r="C8" s="226">
        <v>1300</v>
      </c>
      <c r="D8" s="226">
        <v>1100</v>
      </c>
      <c r="E8" s="226">
        <v>1100</v>
      </c>
      <c r="F8" s="226">
        <v>1100</v>
      </c>
      <c r="G8" s="226">
        <v>0</v>
      </c>
      <c r="H8" s="226">
        <v>1100</v>
      </c>
      <c r="I8" s="226">
        <v>0</v>
      </c>
      <c r="J8" s="226">
        <v>600</v>
      </c>
      <c r="K8" s="227">
        <v>1300</v>
      </c>
      <c r="L8" s="228">
        <v>1550</v>
      </c>
      <c r="M8" s="226">
        <v>1650</v>
      </c>
      <c r="N8" s="226">
        <v>2200</v>
      </c>
      <c r="O8" s="227">
        <v>2300</v>
      </c>
      <c r="P8" s="76"/>
      <c r="Q8" s="87" t="s">
        <v>38</v>
      </c>
      <c r="R8" s="88">
        <v>1200</v>
      </c>
      <c r="S8" s="88">
        <v>950</v>
      </c>
      <c r="T8" s="88">
        <v>950</v>
      </c>
      <c r="U8" s="88">
        <v>950</v>
      </c>
      <c r="V8" s="88">
        <v>950</v>
      </c>
      <c r="W8" s="88">
        <v>0</v>
      </c>
      <c r="X8" s="88">
        <v>950</v>
      </c>
      <c r="Y8" s="88">
        <v>0</v>
      </c>
      <c r="Z8" s="88">
        <v>600</v>
      </c>
      <c r="AA8" s="89">
        <v>1050</v>
      </c>
      <c r="AB8" s="90">
        <v>1550</v>
      </c>
      <c r="AC8" s="88">
        <v>1650</v>
      </c>
      <c r="AD8" s="88">
        <v>2200</v>
      </c>
      <c r="AE8" s="89">
        <v>2300</v>
      </c>
      <c r="AG8" s="87" t="s">
        <v>38</v>
      </c>
      <c r="AH8" s="88" t="b">
        <f t="shared" si="1"/>
        <v>0</v>
      </c>
      <c r="AI8" s="88" t="b">
        <f t="shared" si="0"/>
        <v>0</v>
      </c>
      <c r="AJ8" s="88" t="b">
        <f t="shared" si="0"/>
        <v>0</v>
      </c>
      <c r="AK8" s="88" t="b">
        <f t="shared" si="0"/>
        <v>0</v>
      </c>
      <c r="AL8" s="88" t="b">
        <f t="shared" si="0"/>
        <v>0</v>
      </c>
      <c r="AM8" s="88" t="b">
        <f t="shared" si="0"/>
        <v>1</v>
      </c>
      <c r="AN8" s="88" t="b">
        <f t="shared" si="0"/>
        <v>0</v>
      </c>
      <c r="AO8" s="88" t="b">
        <f t="shared" si="0"/>
        <v>1</v>
      </c>
      <c r="AP8" s="88" t="b">
        <f t="shared" si="0"/>
        <v>1</v>
      </c>
      <c r="AQ8" s="88" t="b">
        <f t="shared" si="0"/>
        <v>0</v>
      </c>
      <c r="AR8" s="88" t="b">
        <f t="shared" si="0"/>
        <v>1</v>
      </c>
      <c r="AS8" s="88" t="b">
        <f t="shared" si="0"/>
        <v>1</v>
      </c>
      <c r="AT8" s="88" t="b">
        <f t="shared" si="0"/>
        <v>1</v>
      </c>
      <c r="AU8" s="88" t="b">
        <f t="shared" si="0"/>
        <v>1</v>
      </c>
    </row>
    <row r="9" spans="1:47">
      <c r="A9" s="225" t="s">
        <v>39</v>
      </c>
      <c r="B9" s="226">
        <v>1500</v>
      </c>
      <c r="C9" s="226">
        <v>1400</v>
      </c>
      <c r="D9" s="226">
        <v>1300</v>
      </c>
      <c r="E9" s="226">
        <v>1300</v>
      </c>
      <c r="F9" s="226">
        <v>1100</v>
      </c>
      <c r="G9" s="226">
        <v>1100</v>
      </c>
      <c r="H9" s="226">
        <v>0</v>
      </c>
      <c r="I9" s="226">
        <v>0</v>
      </c>
      <c r="J9" s="226">
        <v>600</v>
      </c>
      <c r="K9" s="227">
        <v>1200</v>
      </c>
      <c r="L9" s="228">
        <v>1450</v>
      </c>
      <c r="M9" s="226">
        <v>1550</v>
      </c>
      <c r="N9" s="226">
        <v>2100</v>
      </c>
      <c r="O9" s="227">
        <v>2200</v>
      </c>
      <c r="P9" s="76"/>
      <c r="Q9" s="87" t="s">
        <v>39</v>
      </c>
      <c r="R9" s="88">
        <v>1200</v>
      </c>
      <c r="S9" s="88">
        <v>1200</v>
      </c>
      <c r="T9" s="88">
        <v>1200</v>
      </c>
      <c r="U9" s="88">
        <v>950</v>
      </c>
      <c r="V9" s="88">
        <v>950</v>
      </c>
      <c r="W9" s="88">
        <v>950</v>
      </c>
      <c r="X9" s="88">
        <v>0</v>
      </c>
      <c r="Y9" s="88">
        <v>0</v>
      </c>
      <c r="Z9" s="88">
        <v>600</v>
      </c>
      <c r="AA9" s="89">
        <v>950</v>
      </c>
      <c r="AB9" s="90">
        <v>1450</v>
      </c>
      <c r="AC9" s="88">
        <v>1550</v>
      </c>
      <c r="AD9" s="88">
        <v>2100</v>
      </c>
      <c r="AE9" s="89">
        <v>2200</v>
      </c>
      <c r="AG9" s="87" t="s">
        <v>39</v>
      </c>
      <c r="AH9" s="88" t="b">
        <f t="shared" si="1"/>
        <v>0</v>
      </c>
      <c r="AI9" s="88" t="b">
        <f t="shared" si="0"/>
        <v>0</v>
      </c>
      <c r="AJ9" s="88" t="b">
        <f t="shared" si="0"/>
        <v>0</v>
      </c>
      <c r="AK9" s="88" t="b">
        <f t="shared" si="0"/>
        <v>0</v>
      </c>
      <c r="AL9" s="88" t="b">
        <f t="shared" si="0"/>
        <v>0</v>
      </c>
      <c r="AM9" s="88" t="b">
        <f t="shared" si="0"/>
        <v>0</v>
      </c>
      <c r="AN9" s="88" t="b">
        <f t="shared" si="0"/>
        <v>1</v>
      </c>
      <c r="AO9" s="88" t="b">
        <f t="shared" si="0"/>
        <v>1</v>
      </c>
      <c r="AP9" s="88" t="b">
        <f t="shared" si="0"/>
        <v>1</v>
      </c>
      <c r="AQ9" s="88" t="b">
        <f t="shared" si="0"/>
        <v>0</v>
      </c>
      <c r="AR9" s="88" t="b">
        <f t="shared" si="0"/>
        <v>1</v>
      </c>
      <c r="AS9" s="88" t="b">
        <f t="shared" si="0"/>
        <v>1</v>
      </c>
      <c r="AT9" s="88" t="b">
        <f t="shared" si="0"/>
        <v>1</v>
      </c>
      <c r="AU9" s="88" t="b">
        <f t="shared" si="0"/>
        <v>1</v>
      </c>
    </row>
    <row r="10" spans="1:47">
      <c r="A10" s="225" t="s">
        <v>40</v>
      </c>
      <c r="B10" s="226">
        <v>0</v>
      </c>
      <c r="C10" s="226">
        <v>0</v>
      </c>
      <c r="D10" s="226">
        <v>0</v>
      </c>
      <c r="E10" s="226">
        <v>0</v>
      </c>
      <c r="F10" s="226">
        <v>0</v>
      </c>
      <c r="G10" s="226">
        <v>0</v>
      </c>
      <c r="H10" s="226">
        <v>0</v>
      </c>
      <c r="I10" s="226">
        <v>0</v>
      </c>
      <c r="J10" s="226">
        <v>0</v>
      </c>
      <c r="K10" s="227">
        <v>1000</v>
      </c>
      <c r="L10" s="228">
        <v>0</v>
      </c>
      <c r="M10" s="226">
        <v>0</v>
      </c>
      <c r="N10" s="226">
        <v>0</v>
      </c>
      <c r="O10" s="227">
        <v>0</v>
      </c>
      <c r="P10" s="76"/>
      <c r="Q10" s="87" t="s">
        <v>40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9">
        <v>1000</v>
      </c>
      <c r="AB10" s="90">
        <v>0</v>
      </c>
      <c r="AC10" s="88">
        <v>0</v>
      </c>
      <c r="AD10" s="88">
        <v>0</v>
      </c>
      <c r="AE10" s="89">
        <v>0</v>
      </c>
      <c r="AG10" s="87" t="s">
        <v>40</v>
      </c>
      <c r="AH10" s="88" t="b">
        <f t="shared" si="1"/>
        <v>1</v>
      </c>
      <c r="AI10" s="88" t="b">
        <f t="shared" si="0"/>
        <v>1</v>
      </c>
      <c r="AJ10" s="88" t="b">
        <f t="shared" si="0"/>
        <v>1</v>
      </c>
      <c r="AK10" s="88" t="b">
        <f t="shared" si="0"/>
        <v>1</v>
      </c>
      <c r="AL10" s="88" t="b">
        <f t="shared" si="0"/>
        <v>1</v>
      </c>
      <c r="AM10" s="88" t="b">
        <f t="shared" si="0"/>
        <v>1</v>
      </c>
      <c r="AN10" s="88" t="b">
        <f t="shared" si="0"/>
        <v>1</v>
      </c>
      <c r="AO10" s="88" t="b">
        <f t="shared" si="0"/>
        <v>1</v>
      </c>
      <c r="AP10" s="88" t="b">
        <f t="shared" si="0"/>
        <v>1</v>
      </c>
      <c r="AQ10" s="88" t="b">
        <f t="shared" si="0"/>
        <v>1</v>
      </c>
      <c r="AR10" s="88" t="b">
        <f t="shared" si="0"/>
        <v>1</v>
      </c>
      <c r="AS10" s="88" t="b">
        <f t="shared" si="0"/>
        <v>1</v>
      </c>
      <c r="AT10" s="88" t="b">
        <f t="shared" si="0"/>
        <v>1</v>
      </c>
      <c r="AU10" s="88" t="b">
        <f t="shared" si="0"/>
        <v>1</v>
      </c>
    </row>
    <row r="11" spans="1:47">
      <c r="A11" s="225" t="s">
        <v>41</v>
      </c>
      <c r="B11" s="226">
        <v>900</v>
      </c>
      <c r="C11" s="226">
        <v>800</v>
      </c>
      <c r="D11" s="226">
        <v>800</v>
      </c>
      <c r="E11" s="226">
        <v>700</v>
      </c>
      <c r="F11" s="226">
        <v>600</v>
      </c>
      <c r="G11" s="226">
        <v>600</v>
      </c>
      <c r="H11" s="226">
        <v>600</v>
      </c>
      <c r="I11" s="226">
        <v>0</v>
      </c>
      <c r="J11" s="226">
        <v>0</v>
      </c>
      <c r="K11" s="227">
        <v>600</v>
      </c>
      <c r="L11" s="228">
        <v>1300</v>
      </c>
      <c r="M11" s="226">
        <v>1400</v>
      </c>
      <c r="N11" s="226">
        <v>1950</v>
      </c>
      <c r="O11" s="227">
        <v>2050</v>
      </c>
      <c r="P11" s="76"/>
      <c r="Q11" s="87" t="s">
        <v>41</v>
      </c>
      <c r="R11" s="88">
        <v>900</v>
      </c>
      <c r="S11" s="88">
        <v>800</v>
      </c>
      <c r="T11" s="88">
        <v>800</v>
      </c>
      <c r="U11" s="88">
        <v>700</v>
      </c>
      <c r="V11" s="88">
        <v>600</v>
      </c>
      <c r="W11" s="88">
        <v>600</v>
      </c>
      <c r="X11" s="88">
        <v>600</v>
      </c>
      <c r="Y11" s="88">
        <v>0</v>
      </c>
      <c r="Z11" s="88">
        <v>0</v>
      </c>
      <c r="AA11" s="89">
        <v>600</v>
      </c>
      <c r="AB11" s="90">
        <v>1300</v>
      </c>
      <c r="AC11" s="88">
        <v>1400</v>
      </c>
      <c r="AD11" s="88">
        <v>1950</v>
      </c>
      <c r="AE11" s="89">
        <v>2050</v>
      </c>
      <c r="AG11" s="87" t="s">
        <v>41</v>
      </c>
      <c r="AH11" s="88" t="b">
        <f t="shared" si="1"/>
        <v>1</v>
      </c>
      <c r="AI11" s="88" t="b">
        <f t="shared" si="0"/>
        <v>1</v>
      </c>
      <c r="AJ11" s="88" t="b">
        <f t="shared" si="0"/>
        <v>1</v>
      </c>
      <c r="AK11" s="88" t="b">
        <f t="shared" si="0"/>
        <v>1</v>
      </c>
      <c r="AL11" s="88" t="b">
        <f t="shared" si="0"/>
        <v>1</v>
      </c>
      <c r="AM11" s="88" t="b">
        <f t="shared" si="0"/>
        <v>1</v>
      </c>
      <c r="AN11" s="88" t="b">
        <f t="shared" si="0"/>
        <v>1</v>
      </c>
      <c r="AO11" s="88" t="b">
        <f t="shared" si="0"/>
        <v>1</v>
      </c>
      <c r="AP11" s="88" t="b">
        <f t="shared" si="0"/>
        <v>1</v>
      </c>
      <c r="AQ11" s="88" t="b">
        <f t="shared" si="0"/>
        <v>1</v>
      </c>
      <c r="AR11" s="88" t="b">
        <f t="shared" si="0"/>
        <v>1</v>
      </c>
      <c r="AS11" s="88" t="b">
        <f t="shared" si="0"/>
        <v>1</v>
      </c>
      <c r="AT11" s="88" t="b">
        <f t="shared" si="0"/>
        <v>1</v>
      </c>
      <c r="AU11" s="88" t="b">
        <f t="shared" si="0"/>
        <v>1</v>
      </c>
    </row>
    <row r="12" spans="1:47" ht="15.75" thickBot="1">
      <c r="A12" s="229" t="s">
        <v>42</v>
      </c>
      <c r="B12" s="91">
        <v>1800</v>
      </c>
      <c r="C12" s="91">
        <v>1500</v>
      </c>
      <c r="D12" s="91">
        <v>1400</v>
      </c>
      <c r="E12" s="91">
        <v>1400</v>
      </c>
      <c r="F12" s="91">
        <v>1300</v>
      </c>
      <c r="G12" s="91">
        <v>1300</v>
      </c>
      <c r="H12" s="91">
        <v>1200</v>
      </c>
      <c r="I12" s="91">
        <v>1000</v>
      </c>
      <c r="J12" s="91">
        <v>600</v>
      </c>
      <c r="K12" s="230">
        <v>0</v>
      </c>
      <c r="L12" s="228">
        <v>700</v>
      </c>
      <c r="M12" s="226">
        <v>800</v>
      </c>
      <c r="N12" s="226">
        <v>1350</v>
      </c>
      <c r="O12" s="227">
        <v>1450</v>
      </c>
      <c r="P12" s="76"/>
      <c r="Q12" s="92" t="s">
        <v>42</v>
      </c>
      <c r="R12" s="231">
        <v>1500</v>
      </c>
      <c r="S12" s="231">
        <v>1200</v>
      </c>
      <c r="T12" s="231">
        <v>1200</v>
      </c>
      <c r="U12" s="231">
        <v>1200</v>
      </c>
      <c r="V12" s="231">
        <v>1050</v>
      </c>
      <c r="W12" s="231">
        <v>1050</v>
      </c>
      <c r="X12" s="231">
        <v>950</v>
      </c>
      <c r="Y12" s="231">
        <v>1000</v>
      </c>
      <c r="Z12" s="231">
        <v>600</v>
      </c>
      <c r="AA12" s="93">
        <v>0</v>
      </c>
      <c r="AB12" s="90">
        <v>700</v>
      </c>
      <c r="AC12" s="88">
        <v>800</v>
      </c>
      <c r="AD12" s="88">
        <v>1350</v>
      </c>
      <c r="AE12" s="89">
        <v>1450</v>
      </c>
      <c r="AG12" s="92" t="s">
        <v>42</v>
      </c>
      <c r="AH12" s="88" t="b">
        <f t="shared" si="1"/>
        <v>0</v>
      </c>
      <c r="AI12" s="88" t="b">
        <f t="shared" si="0"/>
        <v>0</v>
      </c>
      <c r="AJ12" s="88" t="b">
        <f t="shared" si="0"/>
        <v>0</v>
      </c>
      <c r="AK12" s="88" t="b">
        <f t="shared" si="0"/>
        <v>0</v>
      </c>
      <c r="AL12" s="88" t="b">
        <f t="shared" si="0"/>
        <v>0</v>
      </c>
      <c r="AM12" s="88" t="b">
        <f t="shared" si="0"/>
        <v>0</v>
      </c>
      <c r="AN12" s="88" t="b">
        <f t="shared" si="0"/>
        <v>0</v>
      </c>
      <c r="AO12" s="88" t="b">
        <f t="shared" si="0"/>
        <v>1</v>
      </c>
      <c r="AP12" s="88" t="b">
        <f t="shared" si="0"/>
        <v>1</v>
      </c>
      <c r="AQ12" s="88" t="b">
        <f t="shared" si="0"/>
        <v>1</v>
      </c>
      <c r="AR12" s="88" t="b">
        <f t="shared" si="0"/>
        <v>1</v>
      </c>
      <c r="AS12" s="88" t="b">
        <f t="shared" si="0"/>
        <v>1</v>
      </c>
      <c r="AT12" s="88" t="b">
        <f t="shared" si="0"/>
        <v>1</v>
      </c>
      <c r="AU12" s="88" t="b">
        <f t="shared" si="0"/>
        <v>1</v>
      </c>
    </row>
    <row r="13" spans="1:47">
      <c r="A13" s="94" t="s">
        <v>43</v>
      </c>
      <c r="B13" s="232">
        <v>1900</v>
      </c>
      <c r="C13" s="232">
        <v>1650</v>
      </c>
      <c r="D13" s="232">
        <v>1650</v>
      </c>
      <c r="E13" s="232">
        <v>1650</v>
      </c>
      <c r="F13" s="232">
        <v>1550</v>
      </c>
      <c r="G13" s="232">
        <v>1550</v>
      </c>
      <c r="H13" s="232">
        <v>1450</v>
      </c>
      <c r="I13" s="232">
        <v>0</v>
      </c>
      <c r="J13" s="232">
        <v>1300</v>
      </c>
      <c r="K13" s="232">
        <v>700</v>
      </c>
      <c r="L13" s="226">
        <v>0</v>
      </c>
      <c r="M13" s="226">
        <v>600</v>
      </c>
      <c r="N13" s="226">
        <v>1300</v>
      </c>
      <c r="O13" s="227">
        <v>1400</v>
      </c>
      <c r="P13" s="76"/>
      <c r="Q13" s="95" t="s">
        <v>43</v>
      </c>
      <c r="R13" s="96">
        <v>1900</v>
      </c>
      <c r="S13" s="96">
        <v>1650</v>
      </c>
      <c r="T13" s="96">
        <v>1650</v>
      </c>
      <c r="U13" s="96">
        <v>1650</v>
      </c>
      <c r="V13" s="96">
        <v>1550</v>
      </c>
      <c r="W13" s="96">
        <v>1550</v>
      </c>
      <c r="X13" s="96">
        <v>1450</v>
      </c>
      <c r="Y13" s="96">
        <v>0</v>
      </c>
      <c r="Z13" s="96">
        <v>1300</v>
      </c>
      <c r="AA13" s="96">
        <v>700</v>
      </c>
      <c r="AB13" s="88">
        <v>0</v>
      </c>
      <c r="AC13" s="88">
        <v>600</v>
      </c>
      <c r="AD13" s="88">
        <v>1300</v>
      </c>
      <c r="AE13" s="89">
        <v>1400</v>
      </c>
      <c r="AG13" s="95" t="s">
        <v>43</v>
      </c>
      <c r="AH13" s="88" t="b">
        <f t="shared" si="1"/>
        <v>1</v>
      </c>
      <c r="AI13" s="88" t="b">
        <f t="shared" si="0"/>
        <v>1</v>
      </c>
      <c r="AJ13" s="88" t="b">
        <f t="shared" si="0"/>
        <v>1</v>
      </c>
      <c r="AK13" s="88" t="b">
        <f t="shared" si="0"/>
        <v>1</v>
      </c>
      <c r="AL13" s="88" t="b">
        <f t="shared" si="0"/>
        <v>1</v>
      </c>
      <c r="AM13" s="88" t="b">
        <f t="shared" si="0"/>
        <v>1</v>
      </c>
      <c r="AN13" s="88" t="b">
        <f t="shared" si="0"/>
        <v>1</v>
      </c>
      <c r="AO13" s="88" t="b">
        <f t="shared" si="0"/>
        <v>1</v>
      </c>
      <c r="AP13" s="88" t="b">
        <f t="shared" si="0"/>
        <v>1</v>
      </c>
      <c r="AQ13" s="88" t="b">
        <f t="shared" si="0"/>
        <v>1</v>
      </c>
      <c r="AR13" s="88" t="b">
        <f t="shared" si="0"/>
        <v>1</v>
      </c>
      <c r="AS13" s="88" t="b">
        <f t="shared" si="0"/>
        <v>1</v>
      </c>
      <c r="AT13" s="88" t="b">
        <f t="shared" si="0"/>
        <v>1</v>
      </c>
      <c r="AU13" s="88" t="b">
        <f t="shared" si="0"/>
        <v>1</v>
      </c>
    </row>
    <row r="14" spans="1:47">
      <c r="A14" s="225" t="s">
        <v>44</v>
      </c>
      <c r="B14" s="233">
        <v>2000</v>
      </c>
      <c r="C14" s="233">
        <v>1750</v>
      </c>
      <c r="D14" s="233">
        <v>1750</v>
      </c>
      <c r="E14" s="233">
        <v>1750</v>
      </c>
      <c r="F14" s="233">
        <v>1650</v>
      </c>
      <c r="G14" s="233">
        <v>1650</v>
      </c>
      <c r="H14" s="233">
        <v>1550</v>
      </c>
      <c r="I14" s="233">
        <v>0</v>
      </c>
      <c r="J14" s="233">
        <v>1400</v>
      </c>
      <c r="K14" s="233">
        <v>800</v>
      </c>
      <c r="L14" s="233">
        <v>600</v>
      </c>
      <c r="M14" s="233">
        <v>0</v>
      </c>
      <c r="N14" s="234">
        <v>550</v>
      </c>
      <c r="O14" s="235">
        <v>650</v>
      </c>
      <c r="P14" s="76"/>
      <c r="Q14" s="87" t="s">
        <v>44</v>
      </c>
      <c r="R14" s="97">
        <v>2000</v>
      </c>
      <c r="S14" s="97">
        <v>1750</v>
      </c>
      <c r="T14" s="97">
        <v>1750</v>
      </c>
      <c r="U14" s="97">
        <v>1750</v>
      </c>
      <c r="V14" s="97">
        <v>1650</v>
      </c>
      <c r="W14" s="97">
        <v>1650</v>
      </c>
      <c r="X14" s="97">
        <v>1550</v>
      </c>
      <c r="Y14" s="97">
        <v>0</v>
      </c>
      <c r="Z14" s="97">
        <v>1400</v>
      </c>
      <c r="AA14" s="97">
        <v>800</v>
      </c>
      <c r="AB14" s="97">
        <v>600</v>
      </c>
      <c r="AC14" s="97">
        <v>0</v>
      </c>
      <c r="AD14" s="97">
        <v>550</v>
      </c>
      <c r="AE14" s="98">
        <v>650</v>
      </c>
      <c r="AG14" s="87" t="s">
        <v>44</v>
      </c>
      <c r="AH14" s="88" t="b">
        <f t="shared" si="1"/>
        <v>1</v>
      </c>
      <c r="AI14" s="88" t="b">
        <f t="shared" si="0"/>
        <v>1</v>
      </c>
      <c r="AJ14" s="88" t="b">
        <f t="shared" si="0"/>
        <v>1</v>
      </c>
      <c r="AK14" s="88" t="b">
        <f t="shared" si="0"/>
        <v>1</v>
      </c>
      <c r="AL14" s="88" t="b">
        <f t="shared" si="0"/>
        <v>1</v>
      </c>
      <c r="AM14" s="88" t="b">
        <f t="shared" si="0"/>
        <v>1</v>
      </c>
      <c r="AN14" s="88" t="b">
        <f t="shared" si="0"/>
        <v>1</v>
      </c>
      <c r="AO14" s="88" t="b">
        <f t="shared" si="0"/>
        <v>1</v>
      </c>
      <c r="AP14" s="88" t="b">
        <f t="shared" si="0"/>
        <v>1</v>
      </c>
      <c r="AQ14" s="88" t="b">
        <f t="shared" si="0"/>
        <v>1</v>
      </c>
      <c r="AR14" s="88" t="b">
        <f t="shared" si="0"/>
        <v>1</v>
      </c>
      <c r="AS14" s="88" t="b">
        <f t="shared" si="0"/>
        <v>1</v>
      </c>
      <c r="AT14" s="88" t="b">
        <f t="shared" si="0"/>
        <v>1</v>
      </c>
      <c r="AU14" s="88" t="b">
        <f t="shared" si="0"/>
        <v>1</v>
      </c>
    </row>
    <row r="15" spans="1:47">
      <c r="A15" s="225" t="s">
        <v>45</v>
      </c>
      <c r="B15" s="226">
        <v>2550</v>
      </c>
      <c r="C15" s="226">
        <v>2300</v>
      </c>
      <c r="D15" s="226">
        <v>2300</v>
      </c>
      <c r="E15" s="226">
        <v>2300</v>
      </c>
      <c r="F15" s="226">
        <v>2200</v>
      </c>
      <c r="G15" s="226">
        <v>2200</v>
      </c>
      <c r="H15" s="226">
        <v>2100</v>
      </c>
      <c r="I15" s="226">
        <v>0</v>
      </c>
      <c r="J15" s="226">
        <v>1950</v>
      </c>
      <c r="K15" s="226">
        <v>1350</v>
      </c>
      <c r="L15" s="226">
        <v>1300</v>
      </c>
      <c r="M15" s="236">
        <v>550</v>
      </c>
      <c r="N15" s="226">
        <v>0</v>
      </c>
      <c r="O15" s="227">
        <v>600</v>
      </c>
      <c r="P15" s="76"/>
      <c r="Q15" s="87" t="s">
        <v>45</v>
      </c>
      <c r="R15" s="88">
        <v>2550</v>
      </c>
      <c r="S15" s="88">
        <v>2300</v>
      </c>
      <c r="T15" s="88">
        <v>2300</v>
      </c>
      <c r="U15" s="88">
        <v>2300</v>
      </c>
      <c r="V15" s="88">
        <v>2200</v>
      </c>
      <c r="W15" s="88">
        <v>2200</v>
      </c>
      <c r="X15" s="88">
        <v>2100</v>
      </c>
      <c r="Y15" s="88">
        <v>0</v>
      </c>
      <c r="Z15" s="88">
        <v>1950</v>
      </c>
      <c r="AA15" s="88">
        <v>1350</v>
      </c>
      <c r="AB15" s="88">
        <v>1300</v>
      </c>
      <c r="AC15" s="88">
        <v>550</v>
      </c>
      <c r="AD15" s="88">
        <v>0</v>
      </c>
      <c r="AE15" s="89">
        <v>600</v>
      </c>
      <c r="AG15" s="87" t="s">
        <v>45</v>
      </c>
      <c r="AH15" s="88" t="b">
        <f t="shared" si="1"/>
        <v>1</v>
      </c>
      <c r="AI15" s="88" t="b">
        <f t="shared" si="0"/>
        <v>1</v>
      </c>
      <c r="AJ15" s="88" t="b">
        <f t="shared" si="0"/>
        <v>1</v>
      </c>
      <c r="AK15" s="88" t="b">
        <f t="shared" si="0"/>
        <v>1</v>
      </c>
      <c r="AL15" s="88" t="b">
        <f t="shared" si="0"/>
        <v>1</v>
      </c>
      <c r="AM15" s="88" t="b">
        <f t="shared" si="0"/>
        <v>1</v>
      </c>
      <c r="AN15" s="88" t="b">
        <f t="shared" si="0"/>
        <v>1</v>
      </c>
      <c r="AO15" s="88" t="b">
        <f t="shared" si="0"/>
        <v>1</v>
      </c>
      <c r="AP15" s="88" t="b">
        <f t="shared" si="0"/>
        <v>1</v>
      </c>
      <c r="AQ15" s="88" t="b">
        <f t="shared" si="0"/>
        <v>1</v>
      </c>
      <c r="AR15" s="88" t="b">
        <f t="shared" si="0"/>
        <v>1</v>
      </c>
      <c r="AS15" s="88" t="b">
        <f t="shared" si="0"/>
        <v>1</v>
      </c>
      <c r="AT15" s="88" t="b">
        <f t="shared" si="0"/>
        <v>1</v>
      </c>
      <c r="AU15" s="88" t="b">
        <f t="shared" si="0"/>
        <v>1</v>
      </c>
    </row>
    <row r="16" spans="1:47" ht="15.75" thickBot="1">
      <c r="A16" s="229" t="s">
        <v>46</v>
      </c>
      <c r="B16" s="91">
        <v>2650</v>
      </c>
      <c r="C16" s="91">
        <v>2400</v>
      </c>
      <c r="D16" s="91">
        <v>2400</v>
      </c>
      <c r="E16" s="91">
        <v>2400</v>
      </c>
      <c r="F16" s="91">
        <v>2300</v>
      </c>
      <c r="G16" s="91">
        <v>2300</v>
      </c>
      <c r="H16" s="91">
        <v>2200</v>
      </c>
      <c r="I16" s="91">
        <v>0</v>
      </c>
      <c r="J16" s="91">
        <v>2050</v>
      </c>
      <c r="K16" s="91">
        <v>1450</v>
      </c>
      <c r="L16" s="91">
        <v>1400</v>
      </c>
      <c r="M16" s="99">
        <v>650</v>
      </c>
      <c r="N16" s="91">
        <v>600</v>
      </c>
      <c r="O16" s="230">
        <v>0</v>
      </c>
      <c r="P16" s="77"/>
      <c r="Q16" s="92" t="s">
        <v>46</v>
      </c>
      <c r="R16" s="231">
        <v>2650</v>
      </c>
      <c r="S16" s="231">
        <v>2400</v>
      </c>
      <c r="T16" s="231">
        <v>2400</v>
      </c>
      <c r="U16" s="231">
        <v>2400</v>
      </c>
      <c r="V16" s="231">
        <v>2300</v>
      </c>
      <c r="W16" s="231">
        <v>2300</v>
      </c>
      <c r="X16" s="231">
        <v>2200</v>
      </c>
      <c r="Y16" s="231">
        <v>0</v>
      </c>
      <c r="Z16" s="231">
        <v>2050</v>
      </c>
      <c r="AA16" s="231">
        <v>1450</v>
      </c>
      <c r="AB16" s="231">
        <v>1400</v>
      </c>
      <c r="AC16" s="231">
        <v>650</v>
      </c>
      <c r="AD16" s="231">
        <v>600</v>
      </c>
      <c r="AE16" s="93">
        <v>0</v>
      </c>
      <c r="AG16" s="92" t="s">
        <v>46</v>
      </c>
      <c r="AH16" s="88" t="b">
        <f t="shared" si="1"/>
        <v>1</v>
      </c>
      <c r="AI16" s="88" t="b">
        <f t="shared" si="0"/>
        <v>1</v>
      </c>
      <c r="AJ16" s="88" t="b">
        <f t="shared" si="0"/>
        <v>1</v>
      </c>
      <c r="AK16" s="88" t="b">
        <f t="shared" si="0"/>
        <v>1</v>
      </c>
      <c r="AL16" s="88" t="b">
        <f t="shared" si="0"/>
        <v>1</v>
      </c>
      <c r="AM16" s="88" t="b">
        <f t="shared" si="0"/>
        <v>1</v>
      </c>
      <c r="AN16" s="88" t="b">
        <f t="shared" si="0"/>
        <v>1</v>
      </c>
      <c r="AO16" s="88" t="b">
        <f t="shared" si="0"/>
        <v>1</v>
      </c>
      <c r="AP16" s="88" t="b">
        <f t="shared" si="0"/>
        <v>1</v>
      </c>
      <c r="AQ16" s="88" t="b">
        <f t="shared" si="0"/>
        <v>1</v>
      </c>
      <c r="AR16" s="88" t="b">
        <f t="shared" si="0"/>
        <v>1</v>
      </c>
      <c r="AS16" s="88" t="b">
        <f t="shared" si="0"/>
        <v>1</v>
      </c>
      <c r="AT16" s="88" t="b">
        <f t="shared" si="0"/>
        <v>1</v>
      </c>
      <c r="AU16" s="88" t="b">
        <f t="shared" si="0"/>
        <v>1</v>
      </c>
    </row>
    <row r="17" spans="1:47" ht="15.75" thickBo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100" cm="1">
        <f t="array" ref="O17">SUMPRODUCT(ABS((B3:O16)-(TRANSPOSE(B3:O16))))</f>
        <v>0</v>
      </c>
      <c r="P17" s="76"/>
      <c r="Q17" s="101">
        <v>0.33</v>
      </c>
      <c r="AG17" s="101">
        <v>0.33</v>
      </c>
    </row>
    <row r="18" spans="1:47" ht="15.75" thickBot="1">
      <c r="A18" s="144" t="s">
        <v>47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/>
      <c r="P18" s="76"/>
      <c r="Q18" s="150" t="s">
        <v>48</v>
      </c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2"/>
      <c r="AG18" s="150" t="s">
        <v>48</v>
      </c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2"/>
    </row>
    <row r="19" spans="1:47" ht="64.5">
      <c r="A19" s="79" t="s">
        <v>32</v>
      </c>
      <c r="B19" s="80" t="s">
        <v>33</v>
      </c>
      <c r="C19" s="80" t="s">
        <v>34</v>
      </c>
      <c r="D19" s="80" t="s">
        <v>35</v>
      </c>
      <c r="E19" s="80" t="s">
        <v>36</v>
      </c>
      <c r="F19" s="80" t="s">
        <v>37</v>
      </c>
      <c r="G19" s="80" t="s">
        <v>38</v>
      </c>
      <c r="H19" s="80" t="s">
        <v>39</v>
      </c>
      <c r="I19" s="80" t="s">
        <v>40</v>
      </c>
      <c r="J19" s="80" t="s">
        <v>41</v>
      </c>
      <c r="K19" s="81" t="s">
        <v>42</v>
      </c>
      <c r="L19" s="82" t="s">
        <v>43</v>
      </c>
      <c r="M19" s="80" t="s">
        <v>44</v>
      </c>
      <c r="N19" s="80" t="s">
        <v>45</v>
      </c>
      <c r="O19" s="81" t="s">
        <v>46</v>
      </c>
      <c r="P19" s="76"/>
      <c r="Q19" s="83" t="s">
        <v>32</v>
      </c>
      <c r="R19" s="84" t="s">
        <v>33</v>
      </c>
      <c r="S19" s="84" t="s">
        <v>34</v>
      </c>
      <c r="T19" s="84" t="s">
        <v>35</v>
      </c>
      <c r="U19" s="84" t="s">
        <v>36</v>
      </c>
      <c r="V19" s="84" t="s">
        <v>37</v>
      </c>
      <c r="W19" s="84" t="s">
        <v>38</v>
      </c>
      <c r="X19" s="84" t="s">
        <v>39</v>
      </c>
      <c r="Y19" s="84" t="s">
        <v>40</v>
      </c>
      <c r="Z19" s="84" t="s">
        <v>41</v>
      </c>
      <c r="AA19" s="85" t="s">
        <v>42</v>
      </c>
      <c r="AB19" s="86" t="s">
        <v>43</v>
      </c>
      <c r="AC19" s="84" t="s">
        <v>44</v>
      </c>
      <c r="AD19" s="84" t="s">
        <v>45</v>
      </c>
      <c r="AE19" s="85" t="s">
        <v>46</v>
      </c>
      <c r="AG19" s="83" t="s">
        <v>32</v>
      </c>
      <c r="AH19" s="84" t="s">
        <v>33</v>
      </c>
      <c r="AI19" s="84" t="s">
        <v>34</v>
      </c>
      <c r="AJ19" s="84" t="s">
        <v>35</v>
      </c>
      <c r="AK19" s="84" t="s">
        <v>36</v>
      </c>
      <c r="AL19" s="84" t="s">
        <v>37</v>
      </c>
      <c r="AM19" s="84" t="s">
        <v>38</v>
      </c>
      <c r="AN19" s="84" t="s">
        <v>39</v>
      </c>
      <c r="AO19" s="84" t="s">
        <v>40</v>
      </c>
      <c r="AP19" s="84" t="s">
        <v>41</v>
      </c>
      <c r="AQ19" s="85" t="s">
        <v>42</v>
      </c>
      <c r="AR19" s="86" t="s">
        <v>43</v>
      </c>
      <c r="AS19" s="84" t="s">
        <v>44</v>
      </c>
      <c r="AT19" s="84" t="s">
        <v>45</v>
      </c>
      <c r="AU19" s="85" t="s">
        <v>46</v>
      </c>
    </row>
    <row r="20" spans="1:47">
      <c r="A20" s="225" t="s">
        <v>33</v>
      </c>
      <c r="B20" s="226">
        <v>0</v>
      </c>
      <c r="C20" s="226">
        <v>350</v>
      </c>
      <c r="D20" s="226">
        <v>450</v>
      </c>
      <c r="E20" s="226">
        <v>450</v>
      </c>
      <c r="F20" s="226">
        <v>450</v>
      </c>
      <c r="G20" s="226">
        <v>450</v>
      </c>
      <c r="H20" s="226">
        <v>500</v>
      </c>
      <c r="I20" s="226">
        <v>0</v>
      </c>
      <c r="J20" s="226">
        <v>300</v>
      </c>
      <c r="K20" s="227">
        <v>600</v>
      </c>
      <c r="L20" s="228">
        <v>650</v>
      </c>
      <c r="M20" s="226">
        <v>650</v>
      </c>
      <c r="N20" s="226">
        <v>850</v>
      </c>
      <c r="O20" s="227">
        <v>850</v>
      </c>
      <c r="P20" s="76"/>
      <c r="Q20" s="87" t="s">
        <v>33</v>
      </c>
      <c r="R20" s="88">
        <v>0</v>
      </c>
      <c r="S20" s="88">
        <v>310</v>
      </c>
      <c r="T20" s="88">
        <v>400</v>
      </c>
      <c r="U20" s="88">
        <v>400</v>
      </c>
      <c r="V20" s="88">
        <v>400</v>
      </c>
      <c r="W20" s="88">
        <v>400</v>
      </c>
      <c r="X20" s="88">
        <v>400</v>
      </c>
      <c r="Y20" s="88">
        <v>0</v>
      </c>
      <c r="Z20" s="88">
        <v>300</v>
      </c>
      <c r="AA20" s="89">
        <v>500</v>
      </c>
      <c r="AB20" s="90">
        <v>650</v>
      </c>
      <c r="AC20" s="90">
        <v>650</v>
      </c>
      <c r="AD20" s="90">
        <v>850</v>
      </c>
      <c r="AE20" s="90">
        <v>850</v>
      </c>
      <c r="AG20" s="87" t="s">
        <v>33</v>
      </c>
      <c r="AH20" s="88" t="b">
        <f>B20=R20</f>
        <v>1</v>
      </c>
      <c r="AI20" s="88" t="b">
        <f t="shared" ref="AI20:AU33" si="2">C20=S20</f>
        <v>0</v>
      </c>
      <c r="AJ20" s="88" t="b">
        <f t="shared" si="2"/>
        <v>0</v>
      </c>
      <c r="AK20" s="88" t="b">
        <f t="shared" si="2"/>
        <v>0</v>
      </c>
      <c r="AL20" s="88" t="b">
        <f t="shared" si="2"/>
        <v>0</v>
      </c>
      <c r="AM20" s="88" t="b">
        <f t="shared" si="2"/>
        <v>0</v>
      </c>
      <c r="AN20" s="88" t="b">
        <f t="shared" si="2"/>
        <v>0</v>
      </c>
      <c r="AO20" s="88" t="b">
        <f t="shared" si="2"/>
        <v>1</v>
      </c>
      <c r="AP20" s="88" t="b">
        <f t="shared" si="2"/>
        <v>1</v>
      </c>
      <c r="AQ20" s="88" t="b">
        <f t="shared" si="2"/>
        <v>0</v>
      </c>
      <c r="AR20" s="88" t="b">
        <f t="shared" si="2"/>
        <v>1</v>
      </c>
      <c r="AS20" s="88" t="b">
        <f t="shared" si="2"/>
        <v>1</v>
      </c>
      <c r="AT20" s="88" t="b">
        <f t="shared" si="2"/>
        <v>1</v>
      </c>
      <c r="AU20" s="88" t="b">
        <f t="shared" si="2"/>
        <v>1</v>
      </c>
    </row>
    <row r="21" spans="1:47">
      <c r="A21" s="225" t="s">
        <v>34</v>
      </c>
      <c r="B21" s="226">
        <v>350</v>
      </c>
      <c r="C21" s="226">
        <v>0</v>
      </c>
      <c r="D21" s="226">
        <v>400</v>
      </c>
      <c r="E21" s="226">
        <v>400</v>
      </c>
      <c r="F21" s="226">
        <v>450</v>
      </c>
      <c r="G21" s="226">
        <v>450</v>
      </c>
      <c r="H21" s="226">
        <v>450</v>
      </c>
      <c r="I21" s="226">
        <v>0</v>
      </c>
      <c r="J21" s="226">
        <v>250</v>
      </c>
      <c r="K21" s="227">
        <v>500</v>
      </c>
      <c r="L21" s="228">
        <v>550</v>
      </c>
      <c r="M21" s="226">
        <v>600</v>
      </c>
      <c r="N21" s="226">
        <v>750</v>
      </c>
      <c r="O21" s="227">
        <v>800</v>
      </c>
      <c r="P21" s="76"/>
      <c r="Q21" s="87" t="s">
        <v>34</v>
      </c>
      <c r="R21" s="88">
        <v>310</v>
      </c>
      <c r="S21" s="88">
        <v>0</v>
      </c>
      <c r="T21" s="88">
        <v>310</v>
      </c>
      <c r="U21" s="88">
        <v>310</v>
      </c>
      <c r="V21" s="88">
        <v>310</v>
      </c>
      <c r="W21" s="88">
        <v>310</v>
      </c>
      <c r="X21" s="88">
        <v>400</v>
      </c>
      <c r="Y21" s="88">
        <v>0</v>
      </c>
      <c r="Z21" s="88">
        <v>250</v>
      </c>
      <c r="AA21" s="89">
        <v>400</v>
      </c>
      <c r="AB21" s="90">
        <v>550</v>
      </c>
      <c r="AC21" s="90">
        <v>600</v>
      </c>
      <c r="AD21" s="90">
        <v>750</v>
      </c>
      <c r="AE21" s="90">
        <v>800</v>
      </c>
      <c r="AG21" s="87" t="s">
        <v>34</v>
      </c>
      <c r="AH21" s="88" t="b">
        <f t="shared" ref="AH21:AH33" si="3">B21=R21</f>
        <v>0</v>
      </c>
      <c r="AI21" s="88" t="b">
        <f t="shared" si="2"/>
        <v>1</v>
      </c>
      <c r="AJ21" s="88" t="b">
        <f t="shared" si="2"/>
        <v>0</v>
      </c>
      <c r="AK21" s="88" t="b">
        <f t="shared" si="2"/>
        <v>0</v>
      </c>
      <c r="AL21" s="88" t="b">
        <f t="shared" si="2"/>
        <v>0</v>
      </c>
      <c r="AM21" s="88" t="b">
        <f t="shared" si="2"/>
        <v>0</v>
      </c>
      <c r="AN21" s="88" t="b">
        <f t="shared" si="2"/>
        <v>0</v>
      </c>
      <c r="AO21" s="88" t="b">
        <f t="shared" si="2"/>
        <v>1</v>
      </c>
      <c r="AP21" s="88" t="b">
        <f t="shared" si="2"/>
        <v>1</v>
      </c>
      <c r="AQ21" s="88" t="b">
        <f t="shared" si="2"/>
        <v>0</v>
      </c>
      <c r="AR21" s="88" t="b">
        <f t="shared" si="2"/>
        <v>1</v>
      </c>
      <c r="AS21" s="88" t="b">
        <f t="shared" si="2"/>
        <v>1</v>
      </c>
      <c r="AT21" s="88" t="b">
        <f t="shared" si="2"/>
        <v>1</v>
      </c>
      <c r="AU21" s="88" t="b">
        <f t="shared" si="2"/>
        <v>1</v>
      </c>
    </row>
    <row r="22" spans="1:47">
      <c r="A22" s="225" t="s">
        <v>35</v>
      </c>
      <c r="B22" s="226">
        <v>450</v>
      </c>
      <c r="C22" s="226">
        <v>400</v>
      </c>
      <c r="D22" s="226">
        <v>0</v>
      </c>
      <c r="E22" s="226">
        <v>350</v>
      </c>
      <c r="F22" s="226">
        <v>350</v>
      </c>
      <c r="G22" s="226">
        <v>350</v>
      </c>
      <c r="H22" s="226">
        <v>450</v>
      </c>
      <c r="I22" s="226">
        <v>0</v>
      </c>
      <c r="J22" s="226">
        <v>250</v>
      </c>
      <c r="K22" s="227">
        <v>450</v>
      </c>
      <c r="L22" s="228">
        <v>550</v>
      </c>
      <c r="M22" s="226">
        <v>600</v>
      </c>
      <c r="N22" s="226">
        <v>750</v>
      </c>
      <c r="O22" s="227">
        <v>800</v>
      </c>
      <c r="P22" s="76"/>
      <c r="Q22" s="87" t="s">
        <v>35</v>
      </c>
      <c r="R22" s="88">
        <v>400</v>
      </c>
      <c r="S22" s="88">
        <v>310</v>
      </c>
      <c r="T22" s="88">
        <v>0</v>
      </c>
      <c r="U22" s="88">
        <v>310</v>
      </c>
      <c r="V22" s="88">
        <v>310</v>
      </c>
      <c r="W22" s="88">
        <v>310</v>
      </c>
      <c r="X22" s="88">
        <v>400</v>
      </c>
      <c r="Y22" s="88">
        <v>0</v>
      </c>
      <c r="Z22" s="88">
        <v>250</v>
      </c>
      <c r="AA22" s="89">
        <v>400</v>
      </c>
      <c r="AB22" s="90">
        <v>550</v>
      </c>
      <c r="AC22" s="90">
        <v>600</v>
      </c>
      <c r="AD22" s="90">
        <v>750</v>
      </c>
      <c r="AE22" s="90">
        <v>800</v>
      </c>
      <c r="AG22" s="87" t="s">
        <v>35</v>
      </c>
      <c r="AH22" s="88" t="b">
        <f t="shared" si="3"/>
        <v>0</v>
      </c>
      <c r="AI22" s="88" t="b">
        <f t="shared" si="2"/>
        <v>0</v>
      </c>
      <c r="AJ22" s="88" t="b">
        <f t="shared" si="2"/>
        <v>1</v>
      </c>
      <c r="AK22" s="88" t="b">
        <f t="shared" si="2"/>
        <v>0</v>
      </c>
      <c r="AL22" s="88" t="b">
        <f t="shared" si="2"/>
        <v>0</v>
      </c>
      <c r="AM22" s="88" t="b">
        <f t="shared" si="2"/>
        <v>0</v>
      </c>
      <c r="AN22" s="88" t="b">
        <f t="shared" si="2"/>
        <v>0</v>
      </c>
      <c r="AO22" s="88" t="b">
        <f t="shared" si="2"/>
        <v>1</v>
      </c>
      <c r="AP22" s="88" t="b">
        <f t="shared" si="2"/>
        <v>1</v>
      </c>
      <c r="AQ22" s="88" t="b">
        <f t="shared" si="2"/>
        <v>0</v>
      </c>
      <c r="AR22" s="88" t="b">
        <f t="shared" si="2"/>
        <v>1</v>
      </c>
      <c r="AS22" s="88" t="b">
        <f t="shared" si="2"/>
        <v>1</v>
      </c>
      <c r="AT22" s="88" t="b">
        <f t="shared" si="2"/>
        <v>1</v>
      </c>
      <c r="AU22" s="88" t="b">
        <f t="shared" si="2"/>
        <v>1</v>
      </c>
    </row>
    <row r="23" spans="1:47">
      <c r="A23" s="225" t="s">
        <v>36</v>
      </c>
      <c r="B23" s="226">
        <v>450</v>
      </c>
      <c r="C23" s="226">
        <v>400</v>
      </c>
      <c r="D23" s="226">
        <v>350</v>
      </c>
      <c r="E23" s="226">
        <v>0</v>
      </c>
      <c r="F23" s="226">
        <v>350</v>
      </c>
      <c r="G23" s="226">
        <v>350</v>
      </c>
      <c r="H23" s="226">
        <v>450</v>
      </c>
      <c r="I23" s="226">
        <v>0</v>
      </c>
      <c r="J23" s="226">
        <v>250</v>
      </c>
      <c r="K23" s="227">
        <v>450</v>
      </c>
      <c r="L23" s="228">
        <v>550</v>
      </c>
      <c r="M23" s="226">
        <v>600</v>
      </c>
      <c r="N23" s="226">
        <v>750</v>
      </c>
      <c r="O23" s="227">
        <v>800</v>
      </c>
      <c r="P23" s="76"/>
      <c r="Q23" s="87" t="s">
        <v>36</v>
      </c>
      <c r="R23" s="88">
        <v>400</v>
      </c>
      <c r="S23" s="88">
        <v>310</v>
      </c>
      <c r="T23" s="88">
        <v>310</v>
      </c>
      <c r="U23" s="88">
        <v>0</v>
      </c>
      <c r="V23" s="88">
        <v>310</v>
      </c>
      <c r="W23" s="88">
        <v>310</v>
      </c>
      <c r="X23" s="88">
        <v>310</v>
      </c>
      <c r="Y23" s="88">
        <v>0</v>
      </c>
      <c r="Z23" s="88">
        <v>250</v>
      </c>
      <c r="AA23" s="89">
        <v>400</v>
      </c>
      <c r="AB23" s="90">
        <v>550</v>
      </c>
      <c r="AC23" s="90">
        <v>600</v>
      </c>
      <c r="AD23" s="90">
        <v>750</v>
      </c>
      <c r="AE23" s="90">
        <v>800</v>
      </c>
      <c r="AG23" s="87" t="s">
        <v>36</v>
      </c>
      <c r="AH23" s="88" t="b">
        <f t="shared" si="3"/>
        <v>0</v>
      </c>
      <c r="AI23" s="88" t="b">
        <f t="shared" si="2"/>
        <v>0</v>
      </c>
      <c r="AJ23" s="88" t="b">
        <f t="shared" si="2"/>
        <v>0</v>
      </c>
      <c r="AK23" s="88" t="b">
        <f t="shared" si="2"/>
        <v>1</v>
      </c>
      <c r="AL23" s="88" t="b">
        <f t="shared" si="2"/>
        <v>0</v>
      </c>
      <c r="AM23" s="88" t="b">
        <f t="shared" si="2"/>
        <v>0</v>
      </c>
      <c r="AN23" s="88" t="b">
        <f t="shared" si="2"/>
        <v>0</v>
      </c>
      <c r="AO23" s="88" t="b">
        <f t="shared" si="2"/>
        <v>1</v>
      </c>
      <c r="AP23" s="88" t="b">
        <f t="shared" si="2"/>
        <v>1</v>
      </c>
      <c r="AQ23" s="88" t="b">
        <f t="shared" si="2"/>
        <v>0</v>
      </c>
      <c r="AR23" s="88" t="b">
        <f t="shared" si="2"/>
        <v>1</v>
      </c>
      <c r="AS23" s="88" t="b">
        <f t="shared" si="2"/>
        <v>1</v>
      </c>
      <c r="AT23" s="88" t="b">
        <f t="shared" si="2"/>
        <v>1</v>
      </c>
      <c r="AU23" s="88" t="b">
        <f t="shared" si="2"/>
        <v>1</v>
      </c>
    </row>
    <row r="24" spans="1:47">
      <c r="A24" s="225" t="s">
        <v>37</v>
      </c>
      <c r="B24" s="226">
        <v>450</v>
      </c>
      <c r="C24" s="226">
        <v>450</v>
      </c>
      <c r="D24" s="226">
        <v>350</v>
      </c>
      <c r="E24" s="226">
        <v>350</v>
      </c>
      <c r="F24" s="226">
        <v>0</v>
      </c>
      <c r="G24" s="226">
        <v>350</v>
      </c>
      <c r="H24" s="226">
        <v>350</v>
      </c>
      <c r="I24" s="226">
        <v>0</v>
      </c>
      <c r="J24" s="226">
        <v>200</v>
      </c>
      <c r="K24" s="227">
        <v>450</v>
      </c>
      <c r="L24" s="228">
        <v>500</v>
      </c>
      <c r="M24" s="226">
        <v>550</v>
      </c>
      <c r="N24" s="226">
        <v>750</v>
      </c>
      <c r="O24" s="227">
        <v>750</v>
      </c>
      <c r="P24" s="76"/>
      <c r="Q24" s="87" t="s">
        <v>37</v>
      </c>
      <c r="R24" s="88">
        <v>400</v>
      </c>
      <c r="S24" s="88">
        <v>310</v>
      </c>
      <c r="T24" s="88">
        <v>310</v>
      </c>
      <c r="U24" s="88">
        <v>310</v>
      </c>
      <c r="V24" s="88">
        <v>0</v>
      </c>
      <c r="W24" s="88">
        <v>310</v>
      </c>
      <c r="X24" s="88">
        <v>310</v>
      </c>
      <c r="Y24" s="88">
        <v>0</v>
      </c>
      <c r="Z24" s="88">
        <v>200</v>
      </c>
      <c r="AA24" s="89">
        <v>350</v>
      </c>
      <c r="AB24" s="90">
        <v>500</v>
      </c>
      <c r="AC24" s="90">
        <v>550</v>
      </c>
      <c r="AD24" s="90">
        <v>750</v>
      </c>
      <c r="AE24" s="90">
        <v>750</v>
      </c>
      <c r="AG24" s="87" t="s">
        <v>37</v>
      </c>
      <c r="AH24" s="88" t="b">
        <f t="shared" si="3"/>
        <v>0</v>
      </c>
      <c r="AI24" s="88" t="b">
        <f t="shared" si="2"/>
        <v>0</v>
      </c>
      <c r="AJ24" s="88" t="b">
        <f t="shared" si="2"/>
        <v>0</v>
      </c>
      <c r="AK24" s="88" t="b">
        <f t="shared" si="2"/>
        <v>0</v>
      </c>
      <c r="AL24" s="88" t="b">
        <f t="shared" si="2"/>
        <v>1</v>
      </c>
      <c r="AM24" s="88" t="b">
        <f t="shared" si="2"/>
        <v>0</v>
      </c>
      <c r="AN24" s="88" t="b">
        <f t="shared" si="2"/>
        <v>0</v>
      </c>
      <c r="AO24" s="88" t="b">
        <f t="shared" si="2"/>
        <v>1</v>
      </c>
      <c r="AP24" s="88" t="b">
        <f t="shared" si="2"/>
        <v>1</v>
      </c>
      <c r="AQ24" s="88" t="b">
        <f t="shared" si="2"/>
        <v>0</v>
      </c>
      <c r="AR24" s="88" t="b">
        <f t="shared" si="2"/>
        <v>1</v>
      </c>
      <c r="AS24" s="88" t="b">
        <f t="shared" si="2"/>
        <v>1</v>
      </c>
      <c r="AT24" s="88" t="b">
        <f t="shared" si="2"/>
        <v>1</v>
      </c>
      <c r="AU24" s="88" t="b">
        <f t="shared" si="2"/>
        <v>1</v>
      </c>
    </row>
    <row r="25" spans="1:47">
      <c r="A25" s="225" t="s">
        <v>38</v>
      </c>
      <c r="B25" s="226">
        <v>450</v>
      </c>
      <c r="C25" s="226">
        <v>450</v>
      </c>
      <c r="D25" s="226">
        <v>350</v>
      </c>
      <c r="E25" s="226">
        <v>350</v>
      </c>
      <c r="F25" s="226">
        <v>350</v>
      </c>
      <c r="G25" s="226">
        <v>0</v>
      </c>
      <c r="H25" s="226">
        <v>350</v>
      </c>
      <c r="I25" s="226">
        <v>0</v>
      </c>
      <c r="J25" s="226">
        <v>200</v>
      </c>
      <c r="K25" s="227">
        <v>450</v>
      </c>
      <c r="L25" s="228">
        <v>500</v>
      </c>
      <c r="M25" s="226">
        <v>550</v>
      </c>
      <c r="N25" s="226">
        <v>750</v>
      </c>
      <c r="O25" s="227">
        <v>750</v>
      </c>
      <c r="P25" s="76"/>
      <c r="Q25" s="87" t="s">
        <v>38</v>
      </c>
      <c r="R25" s="88">
        <v>400</v>
      </c>
      <c r="S25" s="88">
        <v>310</v>
      </c>
      <c r="T25" s="88">
        <v>310</v>
      </c>
      <c r="U25" s="88">
        <v>310</v>
      </c>
      <c r="V25" s="88">
        <v>310</v>
      </c>
      <c r="W25" s="88">
        <v>0</v>
      </c>
      <c r="X25" s="88">
        <v>310</v>
      </c>
      <c r="Y25" s="88">
        <v>0</v>
      </c>
      <c r="Z25" s="88">
        <v>200</v>
      </c>
      <c r="AA25" s="89">
        <v>350</v>
      </c>
      <c r="AB25" s="90">
        <v>500</v>
      </c>
      <c r="AC25" s="90">
        <v>550</v>
      </c>
      <c r="AD25" s="90">
        <v>750</v>
      </c>
      <c r="AE25" s="90">
        <v>750</v>
      </c>
      <c r="AG25" s="87" t="s">
        <v>38</v>
      </c>
      <c r="AH25" s="88" t="b">
        <f t="shared" si="3"/>
        <v>0</v>
      </c>
      <c r="AI25" s="88" t="b">
        <f t="shared" si="2"/>
        <v>0</v>
      </c>
      <c r="AJ25" s="88" t="b">
        <f t="shared" si="2"/>
        <v>0</v>
      </c>
      <c r="AK25" s="88" t="b">
        <f t="shared" si="2"/>
        <v>0</v>
      </c>
      <c r="AL25" s="88" t="b">
        <f t="shared" si="2"/>
        <v>0</v>
      </c>
      <c r="AM25" s="88" t="b">
        <f t="shared" si="2"/>
        <v>1</v>
      </c>
      <c r="AN25" s="88" t="b">
        <f t="shared" si="2"/>
        <v>0</v>
      </c>
      <c r="AO25" s="88" t="b">
        <f t="shared" si="2"/>
        <v>1</v>
      </c>
      <c r="AP25" s="88" t="b">
        <f t="shared" si="2"/>
        <v>1</v>
      </c>
      <c r="AQ25" s="88" t="b">
        <f t="shared" si="2"/>
        <v>0</v>
      </c>
      <c r="AR25" s="88" t="b">
        <f t="shared" si="2"/>
        <v>1</v>
      </c>
      <c r="AS25" s="88" t="b">
        <f t="shared" si="2"/>
        <v>1</v>
      </c>
      <c r="AT25" s="88" t="b">
        <f t="shared" si="2"/>
        <v>1</v>
      </c>
      <c r="AU25" s="88" t="b">
        <f t="shared" si="2"/>
        <v>1</v>
      </c>
    </row>
    <row r="26" spans="1:47">
      <c r="A26" s="225" t="s">
        <v>39</v>
      </c>
      <c r="B26" s="226">
        <v>500</v>
      </c>
      <c r="C26" s="226">
        <v>450</v>
      </c>
      <c r="D26" s="226">
        <v>450</v>
      </c>
      <c r="E26" s="226">
        <v>450</v>
      </c>
      <c r="F26" s="226">
        <v>350</v>
      </c>
      <c r="G26" s="226">
        <v>350</v>
      </c>
      <c r="H26" s="226">
        <v>0</v>
      </c>
      <c r="I26" s="226">
        <v>0</v>
      </c>
      <c r="J26" s="226">
        <v>200</v>
      </c>
      <c r="K26" s="227">
        <v>400</v>
      </c>
      <c r="L26" s="228">
        <v>500</v>
      </c>
      <c r="M26" s="226">
        <v>500</v>
      </c>
      <c r="N26" s="226">
        <v>700</v>
      </c>
      <c r="O26" s="227">
        <v>750</v>
      </c>
      <c r="P26" s="76"/>
      <c r="Q26" s="87" t="s">
        <v>39</v>
      </c>
      <c r="R26" s="88">
        <v>400</v>
      </c>
      <c r="S26" s="88">
        <v>400</v>
      </c>
      <c r="T26" s="88">
        <v>400</v>
      </c>
      <c r="U26" s="88">
        <v>310</v>
      </c>
      <c r="V26" s="88">
        <v>310</v>
      </c>
      <c r="W26" s="88">
        <v>310</v>
      </c>
      <c r="X26" s="88">
        <v>0</v>
      </c>
      <c r="Y26" s="88">
        <v>0</v>
      </c>
      <c r="Z26" s="88">
        <v>200</v>
      </c>
      <c r="AA26" s="89">
        <v>310</v>
      </c>
      <c r="AB26" s="90">
        <v>500</v>
      </c>
      <c r="AC26" s="90">
        <v>500</v>
      </c>
      <c r="AD26" s="90">
        <v>700</v>
      </c>
      <c r="AE26" s="90">
        <v>750</v>
      </c>
      <c r="AG26" s="87" t="s">
        <v>39</v>
      </c>
      <c r="AH26" s="88" t="b">
        <f t="shared" si="3"/>
        <v>0</v>
      </c>
      <c r="AI26" s="88" t="b">
        <f t="shared" si="2"/>
        <v>0</v>
      </c>
      <c r="AJ26" s="88" t="b">
        <f t="shared" si="2"/>
        <v>0</v>
      </c>
      <c r="AK26" s="88" t="b">
        <f t="shared" si="2"/>
        <v>0</v>
      </c>
      <c r="AL26" s="88" t="b">
        <f t="shared" si="2"/>
        <v>0</v>
      </c>
      <c r="AM26" s="88" t="b">
        <f t="shared" si="2"/>
        <v>0</v>
      </c>
      <c r="AN26" s="88" t="b">
        <f t="shared" si="2"/>
        <v>1</v>
      </c>
      <c r="AO26" s="88" t="b">
        <f t="shared" si="2"/>
        <v>1</v>
      </c>
      <c r="AP26" s="88" t="b">
        <f t="shared" si="2"/>
        <v>1</v>
      </c>
      <c r="AQ26" s="88" t="b">
        <f t="shared" si="2"/>
        <v>0</v>
      </c>
      <c r="AR26" s="88" t="b">
        <f t="shared" si="2"/>
        <v>1</v>
      </c>
      <c r="AS26" s="88" t="b">
        <f t="shared" si="2"/>
        <v>1</v>
      </c>
      <c r="AT26" s="88" t="b">
        <f t="shared" si="2"/>
        <v>1</v>
      </c>
      <c r="AU26" s="88" t="b">
        <f t="shared" si="2"/>
        <v>1</v>
      </c>
    </row>
    <row r="27" spans="1:47">
      <c r="A27" s="225" t="s">
        <v>40</v>
      </c>
      <c r="B27" s="226">
        <v>0</v>
      </c>
      <c r="C27" s="226">
        <v>0</v>
      </c>
      <c r="D27" s="226">
        <v>0</v>
      </c>
      <c r="E27" s="226">
        <v>0</v>
      </c>
      <c r="F27" s="226">
        <v>0</v>
      </c>
      <c r="G27" s="226">
        <v>0</v>
      </c>
      <c r="H27" s="226">
        <v>0</v>
      </c>
      <c r="I27" s="226">
        <v>0</v>
      </c>
      <c r="J27" s="226">
        <v>0</v>
      </c>
      <c r="K27" s="227">
        <v>350</v>
      </c>
      <c r="L27" s="228">
        <v>0</v>
      </c>
      <c r="M27" s="226">
        <v>0</v>
      </c>
      <c r="N27" s="226">
        <v>0</v>
      </c>
      <c r="O27" s="227">
        <v>0</v>
      </c>
      <c r="P27" s="76"/>
      <c r="Q27" s="87" t="s">
        <v>40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9">
        <v>330</v>
      </c>
      <c r="AB27" s="90">
        <v>0</v>
      </c>
      <c r="AC27" s="90">
        <v>0</v>
      </c>
      <c r="AD27" s="90">
        <v>0</v>
      </c>
      <c r="AE27" s="90">
        <v>0</v>
      </c>
      <c r="AG27" s="87" t="s">
        <v>40</v>
      </c>
      <c r="AH27" s="88" t="b">
        <f t="shared" si="3"/>
        <v>1</v>
      </c>
      <c r="AI27" s="88" t="b">
        <f t="shared" si="2"/>
        <v>1</v>
      </c>
      <c r="AJ27" s="88" t="b">
        <f t="shared" si="2"/>
        <v>1</v>
      </c>
      <c r="AK27" s="88" t="b">
        <f t="shared" si="2"/>
        <v>1</v>
      </c>
      <c r="AL27" s="88" t="b">
        <f t="shared" si="2"/>
        <v>1</v>
      </c>
      <c r="AM27" s="88" t="b">
        <f t="shared" si="2"/>
        <v>1</v>
      </c>
      <c r="AN27" s="88" t="b">
        <f t="shared" si="2"/>
        <v>1</v>
      </c>
      <c r="AO27" s="88" t="b">
        <f t="shared" si="2"/>
        <v>1</v>
      </c>
      <c r="AP27" s="88" t="b">
        <f t="shared" si="2"/>
        <v>1</v>
      </c>
      <c r="AQ27" s="88" t="b">
        <f t="shared" si="2"/>
        <v>0</v>
      </c>
      <c r="AR27" s="88" t="b">
        <f t="shared" si="2"/>
        <v>1</v>
      </c>
      <c r="AS27" s="88" t="b">
        <f t="shared" si="2"/>
        <v>1</v>
      </c>
      <c r="AT27" s="88" t="b">
        <f t="shared" si="2"/>
        <v>1</v>
      </c>
      <c r="AU27" s="88" t="b">
        <f t="shared" si="2"/>
        <v>1</v>
      </c>
    </row>
    <row r="28" spans="1:47">
      <c r="A28" s="225" t="s">
        <v>41</v>
      </c>
      <c r="B28" s="226">
        <v>300</v>
      </c>
      <c r="C28" s="226">
        <v>250</v>
      </c>
      <c r="D28" s="226">
        <v>250</v>
      </c>
      <c r="E28" s="226">
        <v>250</v>
      </c>
      <c r="F28" s="226">
        <v>200</v>
      </c>
      <c r="G28" s="226">
        <v>200</v>
      </c>
      <c r="H28" s="226">
        <v>200</v>
      </c>
      <c r="I28" s="226">
        <v>0</v>
      </c>
      <c r="J28" s="226">
        <v>0</v>
      </c>
      <c r="K28" s="227">
        <v>200</v>
      </c>
      <c r="L28" s="228">
        <v>450</v>
      </c>
      <c r="M28" s="226">
        <v>450</v>
      </c>
      <c r="N28" s="226">
        <v>650</v>
      </c>
      <c r="O28" s="227">
        <v>700</v>
      </c>
      <c r="P28" s="76"/>
      <c r="Q28" s="87" t="s">
        <v>41</v>
      </c>
      <c r="R28" s="88">
        <v>300</v>
      </c>
      <c r="S28" s="88">
        <v>250</v>
      </c>
      <c r="T28" s="88">
        <v>250</v>
      </c>
      <c r="U28" s="88">
        <v>250</v>
      </c>
      <c r="V28" s="88">
        <v>200</v>
      </c>
      <c r="W28" s="88">
        <v>200</v>
      </c>
      <c r="X28" s="88">
        <v>200</v>
      </c>
      <c r="Y28" s="88">
        <v>0</v>
      </c>
      <c r="Z28" s="88">
        <v>0</v>
      </c>
      <c r="AA28" s="89">
        <v>200</v>
      </c>
      <c r="AB28" s="90">
        <v>450</v>
      </c>
      <c r="AC28" s="90">
        <v>450</v>
      </c>
      <c r="AD28" s="90">
        <v>650</v>
      </c>
      <c r="AE28" s="90">
        <v>700</v>
      </c>
      <c r="AG28" s="87" t="s">
        <v>41</v>
      </c>
      <c r="AH28" s="88" t="b">
        <f t="shared" si="3"/>
        <v>1</v>
      </c>
      <c r="AI28" s="88" t="b">
        <f t="shared" si="2"/>
        <v>1</v>
      </c>
      <c r="AJ28" s="88" t="b">
        <f t="shared" si="2"/>
        <v>1</v>
      </c>
      <c r="AK28" s="88" t="b">
        <f t="shared" si="2"/>
        <v>1</v>
      </c>
      <c r="AL28" s="88" t="b">
        <f t="shared" si="2"/>
        <v>1</v>
      </c>
      <c r="AM28" s="88" t="b">
        <f t="shared" si="2"/>
        <v>1</v>
      </c>
      <c r="AN28" s="88" t="b">
        <f t="shared" si="2"/>
        <v>1</v>
      </c>
      <c r="AO28" s="88" t="b">
        <f t="shared" si="2"/>
        <v>1</v>
      </c>
      <c r="AP28" s="88" t="b">
        <f t="shared" si="2"/>
        <v>1</v>
      </c>
      <c r="AQ28" s="88" t="b">
        <f t="shared" si="2"/>
        <v>1</v>
      </c>
      <c r="AR28" s="88" t="b">
        <f t="shared" si="2"/>
        <v>1</v>
      </c>
      <c r="AS28" s="88" t="b">
        <f t="shared" si="2"/>
        <v>1</v>
      </c>
      <c r="AT28" s="88" t="b">
        <f t="shared" si="2"/>
        <v>1</v>
      </c>
      <c r="AU28" s="88" t="b">
        <f t="shared" si="2"/>
        <v>1</v>
      </c>
    </row>
    <row r="29" spans="1:47" ht="15.75" thickBot="1">
      <c r="A29" s="229" t="s">
        <v>42</v>
      </c>
      <c r="B29" s="91">
        <v>600</v>
      </c>
      <c r="C29" s="91">
        <v>500</v>
      </c>
      <c r="D29" s="91">
        <v>450</v>
      </c>
      <c r="E29" s="91">
        <v>450</v>
      </c>
      <c r="F29" s="91">
        <v>450</v>
      </c>
      <c r="G29" s="91">
        <v>450</v>
      </c>
      <c r="H29" s="91">
        <v>400</v>
      </c>
      <c r="I29" s="91">
        <v>350</v>
      </c>
      <c r="J29" s="91">
        <v>200</v>
      </c>
      <c r="K29" s="230">
        <v>0</v>
      </c>
      <c r="L29" s="228">
        <v>250</v>
      </c>
      <c r="M29" s="226">
        <v>250</v>
      </c>
      <c r="N29" s="226">
        <v>450</v>
      </c>
      <c r="O29" s="227">
        <v>500</v>
      </c>
      <c r="P29" s="76"/>
      <c r="Q29" s="92" t="s">
        <v>42</v>
      </c>
      <c r="R29" s="231">
        <v>500</v>
      </c>
      <c r="S29" s="231">
        <v>400</v>
      </c>
      <c r="T29" s="231">
        <v>400</v>
      </c>
      <c r="U29" s="231">
        <v>400</v>
      </c>
      <c r="V29" s="231">
        <v>350</v>
      </c>
      <c r="W29" s="231">
        <v>350</v>
      </c>
      <c r="X29" s="231">
        <v>310</v>
      </c>
      <c r="Y29" s="231">
        <v>330</v>
      </c>
      <c r="Z29" s="231">
        <v>200</v>
      </c>
      <c r="AA29" s="93">
        <v>0</v>
      </c>
      <c r="AB29" s="90">
        <v>250</v>
      </c>
      <c r="AC29" s="90">
        <v>250</v>
      </c>
      <c r="AD29" s="90">
        <v>450</v>
      </c>
      <c r="AE29" s="90">
        <v>500</v>
      </c>
      <c r="AG29" s="92" t="s">
        <v>42</v>
      </c>
      <c r="AH29" s="88" t="b">
        <f t="shared" si="3"/>
        <v>0</v>
      </c>
      <c r="AI29" s="88" t="b">
        <f t="shared" si="2"/>
        <v>0</v>
      </c>
      <c r="AJ29" s="88" t="b">
        <f t="shared" si="2"/>
        <v>0</v>
      </c>
      <c r="AK29" s="88" t="b">
        <f t="shared" si="2"/>
        <v>0</v>
      </c>
      <c r="AL29" s="88" t="b">
        <f t="shared" si="2"/>
        <v>0</v>
      </c>
      <c r="AM29" s="88" t="b">
        <f t="shared" si="2"/>
        <v>0</v>
      </c>
      <c r="AN29" s="88" t="b">
        <f t="shared" si="2"/>
        <v>0</v>
      </c>
      <c r="AO29" s="88" t="b">
        <f t="shared" si="2"/>
        <v>0</v>
      </c>
      <c r="AP29" s="88" t="b">
        <f t="shared" si="2"/>
        <v>1</v>
      </c>
      <c r="AQ29" s="88" t="b">
        <f t="shared" si="2"/>
        <v>1</v>
      </c>
      <c r="AR29" s="88" t="b">
        <f t="shared" si="2"/>
        <v>1</v>
      </c>
      <c r="AS29" s="88" t="b">
        <f t="shared" si="2"/>
        <v>1</v>
      </c>
      <c r="AT29" s="88" t="b">
        <f t="shared" si="2"/>
        <v>1</v>
      </c>
      <c r="AU29" s="88" t="b">
        <f t="shared" si="2"/>
        <v>1</v>
      </c>
    </row>
    <row r="30" spans="1:47" ht="18" customHeight="1">
      <c r="A30" s="94" t="s">
        <v>43</v>
      </c>
      <c r="B30" s="232">
        <v>650</v>
      </c>
      <c r="C30" s="232">
        <v>550</v>
      </c>
      <c r="D30" s="232">
        <v>550</v>
      </c>
      <c r="E30" s="232">
        <v>550</v>
      </c>
      <c r="F30" s="232">
        <v>500</v>
      </c>
      <c r="G30" s="232">
        <v>500</v>
      </c>
      <c r="H30" s="232">
        <v>500</v>
      </c>
      <c r="I30" s="232">
        <v>0</v>
      </c>
      <c r="J30" s="232">
        <v>450</v>
      </c>
      <c r="K30" s="232">
        <v>250</v>
      </c>
      <c r="L30" s="226">
        <v>0</v>
      </c>
      <c r="M30" s="226">
        <v>200</v>
      </c>
      <c r="N30" s="226">
        <v>450</v>
      </c>
      <c r="O30" s="227">
        <v>450</v>
      </c>
      <c r="P30" s="76"/>
      <c r="Q30" s="95" t="s">
        <v>43</v>
      </c>
      <c r="R30" s="96">
        <v>650</v>
      </c>
      <c r="S30" s="96">
        <v>550</v>
      </c>
      <c r="T30" s="96">
        <v>550</v>
      </c>
      <c r="U30" s="96">
        <v>550</v>
      </c>
      <c r="V30" s="96">
        <v>500</v>
      </c>
      <c r="W30" s="96">
        <v>500</v>
      </c>
      <c r="X30" s="96">
        <v>500</v>
      </c>
      <c r="Y30" s="96">
        <v>0</v>
      </c>
      <c r="Z30" s="96">
        <v>450</v>
      </c>
      <c r="AA30" s="96">
        <v>250</v>
      </c>
      <c r="AB30" s="90">
        <v>0</v>
      </c>
      <c r="AC30" s="90">
        <v>200</v>
      </c>
      <c r="AD30" s="90">
        <v>450</v>
      </c>
      <c r="AE30" s="90">
        <v>450</v>
      </c>
      <c r="AG30" s="95" t="s">
        <v>43</v>
      </c>
      <c r="AH30" s="88" t="b">
        <f t="shared" si="3"/>
        <v>1</v>
      </c>
      <c r="AI30" s="88" t="b">
        <f t="shared" si="2"/>
        <v>1</v>
      </c>
      <c r="AJ30" s="88" t="b">
        <f t="shared" si="2"/>
        <v>1</v>
      </c>
      <c r="AK30" s="88" t="b">
        <f t="shared" si="2"/>
        <v>1</v>
      </c>
      <c r="AL30" s="88" t="b">
        <f t="shared" si="2"/>
        <v>1</v>
      </c>
      <c r="AM30" s="88" t="b">
        <f t="shared" si="2"/>
        <v>1</v>
      </c>
      <c r="AN30" s="88" t="b">
        <f t="shared" si="2"/>
        <v>1</v>
      </c>
      <c r="AO30" s="88" t="b">
        <f t="shared" si="2"/>
        <v>1</v>
      </c>
      <c r="AP30" s="88" t="b">
        <f t="shared" si="2"/>
        <v>1</v>
      </c>
      <c r="AQ30" s="88" t="b">
        <f t="shared" si="2"/>
        <v>1</v>
      </c>
      <c r="AR30" s="88" t="b">
        <f t="shared" si="2"/>
        <v>1</v>
      </c>
      <c r="AS30" s="88" t="b">
        <f t="shared" si="2"/>
        <v>1</v>
      </c>
      <c r="AT30" s="88" t="b">
        <f t="shared" si="2"/>
        <v>1</v>
      </c>
      <c r="AU30" s="88" t="b">
        <f t="shared" si="2"/>
        <v>1</v>
      </c>
    </row>
    <row r="31" spans="1:47">
      <c r="A31" s="225" t="s">
        <v>44</v>
      </c>
      <c r="B31" s="237">
        <v>650</v>
      </c>
      <c r="C31" s="237">
        <v>600</v>
      </c>
      <c r="D31" s="237">
        <v>600</v>
      </c>
      <c r="E31" s="237">
        <v>600</v>
      </c>
      <c r="F31" s="237">
        <v>550</v>
      </c>
      <c r="G31" s="237">
        <v>550</v>
      </c>
      <c r="H31" s="237">
        <v>500</v>
      </c>
      <c r="I31" s="237">
        <v>0</v>
      </c>
      <c r="J31" s="237">
        <v>450</v>
      </c>
      <c r="K31" s="237">
        <v>250</v>
      </c>
      <c r="L31" s="237">
        <v>200</v>
      </c>
      <c r="M31" s="237">
        <v>0</v>
      </c>
      <c r="N31" s="238">
        <v>200</v>
      </c>
      <c r="O31" s="239">
        <v>200</v>
      </c>
      <c r="P31" s="76"/>
      <c r="Q31" s="87" t="s">
        <v>44</v>
      </c>
      <c r="R31" s="96">
        <v>650</v>
      </c>
      <c r="S31" s="96">
        <v>600</v>
      </c>
      <c r="T31" s="96">
        <v>600</v>
      </c>
      <c r="U31" s="96">
        <v>600</v>
      </c>
      <c r="V31" s="96">
        <v>550</v>
      </c>
      <c r="W31" s="96">
        <v>550</v>
      </c>
      <c r="X31" s="96">
        <v>500</v>
      </c>
      <c r="Y31" s="96">
        <v>0</v>
      </c>
      <c r="Z31" s="96">
        <v>450</v>
      </c>
      <c r="AA31" s="96">
        <v>250</v>
      </c>
      <c r="AB31" s="90">
        <v>200</v>
      </c>
      <c r="AC31" s="90">
        <v>0</v>
      </c>
      <c r="AD31" s="90">
        <v>200</v>
      </c>
      <c r="AE31" s="90">
        <v>200</v>
      </c>
      <c r="AG31" s="87" t="s">
        <v>44</v>
      </c>
      <c r="AH31" s="88" t="b">
        <f t="shared" si="3"/>
        <v>1</v>
      </c>
      <c r="AI31" s="88" t="b">
        <f t="shared" si="2"/>
        <v>1</v>
      </c>
      <c r="AJ31" s="88" t="b">
        <f t="shared" si="2"/>
        <v>1</v>
      </c>
      <c r="AK31" s="88" t="b">
        <f t="shared" si="2"/>
        <v>1</v>
      </c>
      <c r="AL31" s="88" t="b">
        <f t="shared" si="2"/>
        <v>1</v>
      </c>
      <c r="AM31" s="88" t="b">
        <f t="shared" si="2"/>
        <v>1</v>
      </c>
      <c r="AN31" s="88" t="b">
        <f t="shared" si="2"/>
        <v>1</v>
      </c>
      <c r="AO31" s="88" t="b">
        <f t="shared" si="2"/>
        <v>1</v>
      </c>
      <c r="AP31" s="88" t="b">
        <f t="shared" si="2"/>
        <v>1</v>
      </c>
      <c r="AQ31" s="88" t="b">
        <f t="shared" si="2"/>
        <v>1</v>
      </c>
      <c r="AR31" s="88" t="b">
        <f t="shared" si="2"/>
        <v>1</v>
      </c>
      <c r="AS31" s="88" t="b">
        <f t="shared" si="2"/>
        <v>1</v>
      </c>
      <c r="AT31" s="88" t="b">
        <f t="shared" si="2"/>
        <v>1</v>
      </c>
      <c r="AU31" s="88" t="b">
        <f t="shared" si="2"/>
        <v>1</v>
      </c>
    </row>
    <row r="32" spans="1:47">
      <c r="A32" s="225" t="s">
        <v>45</v>
      </c>
      <c r="B32" s="226">
        <v>850</v>
      </c>
      <c r="C32" s="226">
        <v>750</v>
      </c>
      <c r="D32" s="226">
        <v>750</v>
      </c>
      <c r="E32" s="226">
        <v>750</v>
      </c>
      <c r="F32" s="226">
        <v>750</v>
      </c>
      <c r="G32" s="226">
        <v>750</v>
      </c>
      <c r="H32" s="226">
        <v>700</v>
      </c>
      <c r="I32" s="226">
        <v>0</v>
      </c>
      <c r="J32" s="226">
        <v>650</v>
      </c>
      <c r="K32" s="226">
        <v>450</v>
      </c>
      <c r="L32" s="226">
        <v>450</v>
      </c>
      <c r="M32" s="236">
        <v>200</v>
      </c>
      <c r="N32" s="226">
        <v>0</v>
      </c>
      <c r="O32" s="227">
        <v>200</v>
      </c>
      <c r="P32" s="76"/>
      <c r="Q32" s="87" t="s">
        <v>45</v>
      </c>
      <c r="R32" s="96">
        <v>850</v>
      </c>
      <c r="S32" s="96">
        <v>750</v>
      </c>
      <c r="T32" s="96">
        <v>750</v>
      </c>
      <c r="U32" s="96">
        <v>750</v>
      </c>
      <c r="V32" s="96">
        <v>750</v>
      </c>
      <c r="W32" s="96">
        <v>750</v>
      </c>
      <c r="X32" s="96">
        <v>700</v>
      </c>
      <c r="Y32" s="96">
        <v>0</v>
      </c>
      <c r="Z32" s="96">
        <v>650</v>
      </c>
      <c r="AA32" s="96">
        <v>450</v>
      </c>
      <c r="AB32" s="90">
        <v>450</v>
      </c>
      <c r="AC32" s="90">
        <v>200</v>
      </c>
      <c r="AD32" s="90">
        <v>0</v>
      </c>
      <c r="AE32" s="90">
        <v>200</v>
      </c>
      <c r="AG32" s="87" t="s">
        <v>45</v>
      </c>
      <c r="AH32" s="88" t="b">
        <f t="shared" si="3"/>
        <v>1</v>
      </c>
      <c r="AI32" s="88" t="b">
        <f t="shared" si="2"/>
        <v>1</v>
      </c>
      <c r="AJ32" s="88" t="b">
        <f t="shared" si="2"/>
        <v>1</v>
      </c>
      <c r="AK32" s="88" t="b">
        <f t="shared" si="2"/>
        <v>1</v>
      </c>
      <c r="AL32" s="88" t="b">
        <f t="shared" si="2"/>
        <v>1</v>
      </c>
      <c r="AM32" s="88" t="b">
        <f t="shared" si="2"/>
        <v>1</v>
      </c>
      <c r="AN32" s="88" t="b">
        <f t="shared" si="2"/>
        <v>1</v>
      </c>
      <c r="AO32" s="88" t="b">
        <f t="shared" si="2"/>
        <v>1</v>
      </c>
      <c r="AP32" s="88" t="b">
        <f t="shared" si="2"/>
        <v>1</v>
      </c>
      <c r="AQ32" s="88" t="b">
        <f t="shared" si="2"/>
        <v>1</v>
      </c>
      <c r="AR32" s="88" t="b">
        <f t="shared" si="2"/>
        <v>1</v>
      </c>
      <c r="AS32" s="88" t="b">
        <f t="shared" si="2"/>
        <v>1</v>
      </c>
      <c r="AT32" s="88" t="b">
        <f t="shared" si="2"/>
        <v>1</v>
      </c>
      <c r="AU32" s="88" t="b">
        <f t="shared" si="2"/>
        <v>1</v>
      </c>
    </row>
    <row r="33" spans="1:47" ht="15.75" thickBot="1">
      <c r="A33" s="229" t="s">
        <v>46</v>
      </c>
      <c r="B33" s="91">
        <v>850</v>
      </c>
      <c r="C33" s="91">
        <v>800</v>
      </c>
      <c r="D33" s="91">
        <v>800</v>
      </c>
      <c r="E33" s="91">
        <v>800</v>
      </c>
      <c r="F33" s="91">
        <v>750</v>
      </c>
      <c r="G33" s="91">
        <v>750</v>
      </c>
      <c r="H33" s="91">
        <v>750</v>
      </c>
      <c r="I33" s="91">
        <v>0</v>
      </c>
      <c r="J33" s="91">
        <v>700</v>
      </c>
      <c r="K33" s="91">
        <v>500</v>
      </c>
      <c r="L33" s="91">
        <v>450</v>
      </c>
      <c r="M33" s="99">
        <v>200</v>
      </c>
      <c r="N33" s="91">
        <v>200</v>
      </c>
      <c r="O33" s="230">
        <v>0</v>
      </c>
      <c r="P33" s="76"/>
      <c r="Q33" s="92" t="s">
        <v>46</v>
      </c>
      <c r="R33" s="96">
        <v>850</v>
      </c>
      <c r="S33" s="96">
        <v>800</v>
      </c>
      <c r="T33" s="96">
        <v>800</v>
      </c>
      <c r="U33" s="96">
        <v>800</v>
      </c>
      <c r="V33" s="96">
        <v>750</v>
      </c>
      <c r="W33" s="96">
        <v>750</v>
      </c>
      <c r="X33" s="96">
        <v>750</v>
      </c>
      <c r="Y33" s="96">
        <v>0</v>
      </c>
      <c r="Z33" s="96">
        <v>700</v>
      </c>
      <c r="AA33" s="96">
        <v>500</v>
      </c>
      <c r="AB33" s="90">
        <v>450</v>
      </c>
      <c r="AC33" s="90">
        <v>200</v>
      </c>
      <c r="AD33" s="90">
        <v>200</v>
      </c>
      <c r="AE33" s="90">
        <v>0</v>
      </c>
      <c r="AG33" s="92" t="s">
        <v>46</v>
      </c>
      <c r="AH33" s="88" t="b">
        <f t="shared" si="3"/>
        <v>1</v>
      </c>
      <c r="AI33" s="88" t="b">
        <f t="shared" si="2"/>
        <v>1</v>
      </c>
      <c r="AJ33" s="88" t="b">
        <f t="shared" si="2"/>
        <v>1</v>
      </c>
      <c r="AK33" s="88" t="b">
        <f t="shared" si="2"/>
        <v>1</v>
      </c>
      <c r="AL33" s="88" t="b">
        <f t="shared" si="2"/>
        <v>1</v>
      </c>
      <c r="AM33" s="88" t="b">
        <f t="shared" si="2"/>
        <v>1</v>
      </c>
      <c r="AN33" s="88" t="b">
        <f t="shared" si="2"/>
        <v>1</v>
      </c>
      <c r="AO33" s="88" t="b">
        <f t="shared" si="2"/>
        <v>1</v>
      </c>
      <c r="AP33" s="88" t="b">
        <f t="shared" si="2"/>
        <v>1</v>
      </c>
      <c r="AQ33" s="88" t="b">
        <f t="shared" si="2"/>
        <v>1</v>
      </c>
      <c r="AR33" s="88" t="b">
        <f t="shared" si="2"/>
        <v>1</v>
      </c>
      <c r="AS33" s="88" t="b">
        <f t="shared" si="2"/>
        <v>1</v>
      </c>
      <c r="AT33" s="88" t="b">
        <f t="shared" si="2"/>
        <v>1</v>
      </c>
      <c r="AU33" s="88" t="b">
        <f t="shared" si="2"/>
        <v>1</v>
      </c>
    </row>
    <row r="34" spans="1:47" ht="15.75" thickBot="1">
      <c r="O34" s="100" cm="1">
        <f t="array" ref="O34">SUMPRODUCT(ABS((B20:O33)-(TRANSPOSE(B20:O33))))</f>
        <v>0</v>
      </c>
      <c r="P34" s="76"/>
      <c r="Q34" s="101">
        <v>0.5</v>
      </c>
      <c r="AG34" s="101">
        <v>0.5</v>
      </c>
    </row>
    <row r="35" spans="1:47" ht="19.5" customHeight="1" thickBot="1">
      <c r="A35" s="102" t="s">
        <v>27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4"/>
      <c r="P35" s="76"/>
      <c r="Q35" s="141" t="s">
        <v>49</v>
      </c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3"/>
      <c r="AG35" s="141" t="s">
        <v>49</v>
      </c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3"/>
    </row>
    <row r="36" spans="1:47" ht="64.5">
      <c r="A36" s="79" t="s">
        <v>32</v>
      </c>
      <c r="B36" s="80" t="s">
        <v>33</v>
      </c>
      <c r="C36" s="80" t="s">
        <v>34</v>
      </c>
      <c r="D36" s="80" t="s">
        <v>35</v>
      </c>
      <c r="E36" s="80" t="s">
        <v>36</v>
      </c>
      <c r="F36" s="80" t="s">
        <v>37</v>
      </c>
      <c r="G36" s="80" t="s">
        <v>38</v>
      </c>
      <c r="H36" s="80" t="s">
        <v>39</v>
      </c>
      <c r="I36" s="80" t="s">
        <v>40</v>
      </c>
      <c r="J36" s="80" t="s">
        <v>41</v>
      </c>
      <c r="K36" s="81" t="s">
        <v>42</v>
      </c>
      <c r="L36" s="82" t="s">
        <v>43</v>
      </c>
      <c r="M36" s="80" t="s">
        <v>44</v>
      </c>
      <c r="N36" s="80" t="s">
        <v>45</v>
      </c>
      <c r="O36" s="81" t="s">
        <v>46</v>
      </c>
      <c r="P36" s="76"/>
      <c r="Q36" s="83" t="s">
        <v>32</v>
      </c>
      <c r="R36" s="84" t="s">
        <v>33</v>
      </c>
      <c r="S36" s="84" t="s">
        <v>34</v>
      </c>
      <c r="T36" s="84" t="s">
        <v>35</v>
      </c>
      <c r="U36" s="84" t="s">
        <v>36</v>
      </c>
      <c r="V36" s="84" t="s">
        <v>37</v>
      </c>
      <c r="W36" s="84" t="s">
        <v>38</v>
      </c>
      <c r="X36" s="84" t="s">
        <v>39</v>
      </c>
      <c r="Y36" s="84" t="s">
        <v>40</v>
      </c>
      <c r="Z36" s="84" t="s">
        <v>41</v>
      </c>
      <c r="AA36" s="85" t="s">
        <v>42</v>
      </c>
      <c r="AB36" s="86" t="s">
        <v>43</v>
      </c>
      <c r="AC36" s="84" t="s">
        <v>44</v>
      </c>
      <c r="AD36" s="84" t="s">
        <v>45</v>
      </c>
      <c r="AE36" s="85" t="s">
        <v>46</v>
      </c>
      <c r="AG36" s="83" t="s">
        <v>32</v>
      </c>
      <c r="AH36" s="84" t="s">
        <v>33</v>
      </c>
      <c r="AI36" s="84" t="s">
        <v>34</v>
      </c>
      <c r="AJ36" s="84" t="s">
        <v>35</v>
      </c>
      <c r="AK36" s="84" t="s">
        <v>36</v>
      </c>
      <c r="AL36" s="84" t="s">
        <v>37</v>
      </c>
      <c r="AM36" s="84" t="s">
        <v>38</v>
      </c>
      <c r="AN36" s="84" t="s">
        <v>39</v>
      </c>
      <c r="AO36" s="84" t="s">
        <v>40</v>
      </c>
      <c r="AP36" s="84" t="s">
        <v>41</v>
      </c>
      <c r="AQ36" s="85" t="s">
        <v>42</v>
      </c>
      <c r="AR36" s="86" t="s">
        <v>43</v>
      </c>
      <c r="AS36" s="84" t="s">
        <v>44</v>
      </c>
      <c r="AT36" s="84" t="s">
        <v>45</v>
      </c>
      <c r="AU36" s="85" t="s">
        <v>46</v>
      </c>
    </row>
    <row r="37" spans="1:47">
      <c r="A37" s="225" t="s">
        <v>33</v>
      </c>
      <c r="B37" s="226">
        <v>0</v>
      </c>
      <c r="C37" s="226">
        <v>550</v>
      </c>
      <c r="D37" s="226">
        <v>650</v>
      </c>
      <c r="E37" s="226">
        <v>650</v>
      </c>
      <c r="F37" s="226">
        <v>700</v>
      </c>
      <c r="G37" s="226">
        <v>700</v>
      </c>
      <c r="H37" s="226">
        <v>750</v>
      </c>
      <c r="I37" s="226">
        <v>0</v>
      </c>
      <c r="J37" s="226">
        <v>450</v>
      </c>
      <c r="K37" s="227">
        <v>900</v>
      </c>
      <c r="L37" s="228">
        <v>950</v>
      </c>
      <c r="M37" s="226">
        <v>1000</v>
      </c>
      <c r="N37" s="226">
        <v>1300</v>
      </c>
      <c r="O37" s="227">
        <v>1350</v>
      </c>
      <c r="P37" s="76"/>
      <c r="Q37" s="87" t="s">
        <v>33</v>
      </c>
      <c r="R37" s="88">
        <v>0</v>
      </c>
      <c r="S37" s="88">
        <v>480</v>
      </c>
      <c r="T37" s="88">
        <v>600</v>
      </c>
      <c r="U37" s="88">
        <v>600</v>
      </c>
      <c r="V37" s="88">
        <v>600</v>
      </c>
      <c r="W37" s="88">
        <v>600</v>
      </c>
      <c r="X37" s="88">
        <v>600</v>
      </c>
      <c r="Y37" s="88">
        <v>0</v>
      </c>
      <c r="Z37" s="88">
        <v>450</v>
      </c>
      <c r="AA37" s="89">
        <v>750</v>
      </c>
      <c r="AB37" s="90">
        <v>950</v>
      </c>
      <c r="AC37" s="90">
        <v>1000</v>
      </c>
      <c r="AD37" s="90">
        <v>1300</v>
      </c>
      <c r="AE37" s="90">
        <v>1350</v>
      </c>
      <c r="AG37" s="87" t="s">
        <v>33</v>
      </c>
      <c r="AH37" s="88" t="b">
        <f>B37=R37</f>
        <v>1</v>
      </c>
      <c r="AI37" s="88" t="b">
        <f t="shared" ref="AI37:AU50" si="4">C37=S37</f>
        <v>0</v>
      </c>
      <c r="AJ37" s="88" t="b">
        <f t="shared" si="4"/>
        <v>0</v>
      </c>
      <c r="AK37" s="88" t="b">
        <f t="shared" si="4"/>
        <v>0</v>
      </c>
      <c r="AL37" s="88" t="b">
        <f t="shared" si="4"/>
        <v>0</v>
      </c>
      <c r="AM37" s="88" t="b">
        <f t="shared" si="4"/>
        <v>0</v>
      </c>
      <c r="AN37" s="88" t="b">
        <f t="shared" si="4"/>
        <v>0</v>
      </c>
      <c r="AO37" s="88" t="b">
        <f t="shared" si="4"/>
        <v>1</v>
      </c>
      <c r="AP37" s="88" t="b">
        <f t="shared" si="4"/>
        <v>1</v>
      </c>
      <c r="AQ37" s="88" t="b">
        <f t="shared" si="4"/>
        <v>0</v>
      </c>
      <c r="AR37" s="88" t="b">
        <f t="shared" si="4"/>
        <v>1</v>
      </c>
      <c r="AS37" s="88" t="b">
        <f t="shared" si="4"/>
        <v>1</v>
      </c>
      <c r="AT37" s="88" t="b">
        <f t="shared" si="4"/>
        <v>1</v>
      </c>
      <c r="AU37" s="88" t="b">
        <f t="shared" si="4"/>
        <v>1</v>
      </c>
    </row>
    <row r="38" spans="1:47">
      <c r="A38" s="225" t="s">
        <v>34</v>
      </c>
      <c r="B38" s="226">
        <v>550</v>
      </c>
      <c r="C38" s="226">
        <v>0</v>
      </c>
      <c r="D38" s="226">
        <v>600</v>
      </c>
      <c r="E38" s="226">
        <v>600</v>
      </c>
      <c r="F38" s="226">
        <v>650</v>
      </c>
      <c r="G38" s="226">
        <v>650</v>
      </c>
      <c r="H38" s="226">
        <v>700</v>
      </c>
      <c r="I38" s="226">
        <v>0</v>
      </c>
      <c r="J38" s="226">
        <v>400</v>
      </c>
      <c r="K38" s="227">
        <v>750</v>
      </c>
      <c r="L38" s="228">
        <v>850</v>
      </c>
      <c r="M38" s="226">
        <v>900</v>
      </c>
      <c r="N38" s="226">
        <v>1150</v>
      </c>
      <c r="O38" s="227">
        <v>1200</v>
      </c>
      <c r="P38" s="76"/>
      <c r="Q38" s="87" t="s">
        <v>34</v>
      </c>
      <c r="R38" s="88">
        <v>480</v>
      </c>
      <c r="S38" s="88">
        <v>0</v>
      </c>
      <c r="T38" s="88">
        <v>480</v>
      </c>
      <c r="U38" s="88">
        <v>480</v>
      </c>
      <c r="V38" s="88">
        <v>480</v>
      </c>
      <c r="W38" s="88">
        <v>480</v>
      </c>
      <c r="X38" s="88">
        <v>600</v>
      </c>
      <c r="Y38" s="88">
        <v>0</v>
      </c>
      <c r="Z38" s="88">
        <v>400</v>
      </c>
      <c r="AA38" s="89">
        <v>600</v>
      </c>
      <c r="AB38" s="90">
        <v>850</v>
      </c>
      <c r="AC38" s="90">
        <v>900</v>
      </c>
      <c r="AD38" s="90">
        <v>1150</v>
      </c>
      <c r="AE38" s="90">
        <v>1200</v>
      </c>
      <c r="AG38" s="87" t="s">
        <v>34</v>
      </c>
      <c r="AH38" s="88" t="b">
        <f t="shared" ref="AH38:AH50" si="5">B38=R38</f>
        <v>0</v>
      </c>
      <c r="AI38" s="88" t="b">
        <f t="shared" si="4"/>
        <v>1</v>
      </c>
      <c r="AJ38" s="88" t="b">
        <f t="shared" si="4"/>
        <v>0</v>
      </c>
      <c r="AK38" s="88" t="b">
        <f t="shared" si="4"/>
        <v>0</v>
      </c>
      <c r="AL38" s="88" t="b">
        <f t="shared" si="4"/>
        <v>0</v>
      </c>
      <c r="AM38" s="88" t="b">
        <f t="shared" si="4"/>
        <v>0</v>
      </c>
      <c r="AN38" s="88" t="b">
        <f t="shared" si="4"/>
        <v>0</v>
      </c>
      <c r="AO38" s="88" t="b">
        <f t="shared" si="4"/>
        <v>1</v>
      </c>
      <c r="AP38" s="88" t="b">
        <f t="shared" si="4"/>
        <v>1</v>
      </c>
      <c r="AQ38" s="88" t="b">
        <f t="shared" si="4"/>
        <v>0</v>
      </c>
      <c r="AR38" s="88" t="b">
        <f t="shared" si="4"/>
        <v>1</v>
      </c>
      <c r="AS38" s="88" t="b">
        <f t="shared" si="4"/>
        <v>1</v>
      </c>
      <c r="AT38" s="88" t="b">
        <f t="shared" si="4"/>
        <v>1</v>
      </c>
      <c r="AU38" s="88" t="b">
        <f t="shared" si="4"/>
        <v>1</v>
      </c>
    </row>
    <row r="39" spans="1:47">
      <c r="A39" s="225" t="s">
        <v>35</v>
      </c>
      <c r="B39" s="226">
        <v>650</v>
      </c>
      <c r="C39" s="226">
        <v>600</v>
      </c>
      <c r="D39" s="226">
        <v>0</v>
      </c>
      <c r="E39" s="226">
        <v>550</v>
      </c>
      <c r="F39" s="226">
        <v>550</v>
      </c>
      <c r="G39" s="226">
        <v>550</v>
      </c>
      <c r="H39" s="226">
        <v>650</v>
      </c>
      <c r="I39" s="226">
        <v>0</v>
      </c>
      <c r="J39" s="226">
        <v>400</v>
      </c>
      <c r="K39" s="227">
        <v>700</v>
      </c>
      <c r="L39" s="228">
        <v>850</v>
      </c>
      <c r="M39" s="226">
        <v>900</v>
      </c>
      <c r="N39" s="226">
        <v>1150</v>
      </c>
      <c r="O39" s="227">
        <v>1200</v>
      </c>
      <c r="P39" s="76"/>
      <c r="Q39" s="87" t="s">
        <v>35</v>
      </c>
      <c r="R39" s="88">
        <v>600</v>
      </c>
      <c r="S39" s="88">
        <v>480</v>
      </c>
      <c r="T39" s="88">
        <v>0</v>
      </c>
      <c r="U39" s="88">
        <v>480</v>
      </c>
      <c r="V39" s="88">
        <v>480</v>
      </c>
      <c r="W39" s="88">
        <v>480</v>
      </c>
      <c r="X39" s="88">
        <v>600</v>
      </c>
      <c r="Y39" s="88">
        <v>0</v>
      </c>
      <c r="Z39" s="88">
        <v>400</v>
      </c>
      <c r="AA39" s="89">
        <v>600</v>
      </c>
      <c r="AB39" s="90">
        <v>850</v>
      </c>
      <c r="AC39" s="90">
        <v>900</v>
      </c>
      <c r="AD39" s="90">
        <v>1150</v>
      </c>
      <c r="AE39" s="90">
        <v>1200</v>
      </c>
      <c r="AG39" s="87" t="s">
        <v>35</v>
      </c>
      <c r="AH39" s="88" t="b">
        <f t="shared" si="5"/>
        <v>0</v>
      </c>
      <c r="AI39" s="88" t="b">
        <f t="shared" si="4"/>
        <v>0</v>
      </c>
      <c r="AJ39" s="88" t="b">
        <f t="shared" si="4"/>
        <v>1</v>
      </c>
      <c r="AK39" s="88" t="b">
        <f t="shared" si="4"/>
        <v>0</v>
      </c>
      <c r="AL39" s="88" t="b">
        <f t="shared" si="4"/>
        <v>0</v>
      </c>
      <c r="AM39" s="88" t="b">
        <f t="shared" si="4"/>
        <v>0</v>
      </c>
      <c r="AN39" s="88" t="b">
        <f t="shared" si="4"/>
        <v>0</v>
      </c>
      <c r="AO39" s="88" t="b">
        <f t="shared" si="4"/>
        <v>1</v>
      </c>
      <c r="AP39" s="88" t="b">
        <f t="shared" si="4"/>
        <v>1</v>
      </c>
      <c r="AQ39" s="88" t="b">
        <f t="shared" si="4"/>
        <v>0</v>
      </c>
      <c r="AR39" s="88" t="b">
        <f t="shared" si="4"/>
        <v>1</v>
      </c>
      <c r="AS39" s="88" t="b">
        <f t="shared" si="4"/>
        <v>1</v>
      </c>
      <c r="AT39" s="88" t="b">
        <f t="shared" si="4"/>
        <v>1</v>
      </c>
      <c r="AU39" s="88" t="b">
        <f t="shared" si="4"/>
        <v>1</v>
      </c>
    </row>
    <row r="40" spans="1:47">
      <c r="A40" s="225" t="s">
        <v>36</v>
      </c>
      <c r="B40" s="226">
        <v>650</v>
      </c>
      <c r="C40" s="226">
        <v>600</v>
      </c>
      <c r="D40" s="226">
        <v>550</v>
      </c>
      <c r="E40" s="226">
        <v>0</v>
      </c>
      <c r="F40" s="226">
        <v>550</v>
      </c>
      <c r="G40" s="226">
        <v>550</v>
      </c>
      <c r="H40" s="226">
        <v>650</v>
      </c>
      <c r="I40" s="226">
        <v>0</v>
      </c>
      <c r="J40" s="226">
        <v>350</v>
      </c>
      <c r="K40" s="227">
        <v>700</v>
      </c>
      <c r="L40" s="228">
        <v>850</v>
      </c>
      <c r="M40" s="226">
        <v>900</v>
      </c>
      <c r="N40" s="226">
        <v>1150</v>
      </c>
      <c r="O40" s="227">
        <v>1200</v>
      </c>
      <c r="P40" s="76"/>
      <c r="Q40" s="87" t="s">
        <v>36</v>
      </c>
      <c r="R40" s="88">
        <v>600</v>
      </c>
      <c r="S40" s="88">
        <v>480</v>
      </c>
      <c r="T40" s="88">
        <v>480</v>
      </c>
      <c r="U40" s="88">
        <v>0</v>
      </c>
      <c r="V40" s="88">
        <v>480</v>
      </c>
      <c r="W40" s="88">
        <v>480</v>
      </c>
      <c r="X40" s="88">
        <v>480</v>
      </c>
      <c r="Y40" s="88">
        <v>0</v>
      </c>
      <c r="Z40" s="88">
        <v>350</v>
      </c>
      <c r="AA40" s="89">
        <v>600</v>
      </c>
      <c r="AB40" s="90">
        <v>850</v>
      </c>
      <c r="AC40" s="90">
        <v>900</v>
      </c>
      <c r="AD40" s="90">
        <v>1150</v>
      </c>
      <c r="AE40" s="90">
        <v>1200</v>
      </c>
      <c r="AG40" s="87" t="s">
        <v>36</v>
      </c>
      <c r="AH40" s="88" t="b">
        <f t="shared" si="5"/>
        <v>0</v>
      </c>
      <c r="AI40" s="88" t="b">
        <f t="shared" si="4"/>
        <v>0</v>
      </c>
      <c r="AJ40" s="88" t="b">
        <f t="shared" si="4"/>
        <v>0</v>
      </c>
      <c r="AK40" s="88" t="b">
        <f t="shared" si="4"/>
        <v>1</v>
      </c>
      <c r="AL40" s="88" t="b">
        <f t="shared" si="4"/>
        <v>0</v>
      </c>
      <c r="AM40" s="88" t="b">
        <f t="shared" si="4"/>
        <v>0</v>
      </c>
      <c r="AN40" s="88" t="b">
        <f t="shared" si="4"/>
        <v>0</v>
      </c>
      <c r="AO40" s="88" t="b">
        <f t="shared" si="4"/>
        <v>1</v>
      </c>
      <c r="AP40" s="88" t="b">
        <f t="shared" si="4"/>
        <v>1</v>
      </c>
      <c r="AQ40" s="88" t="b">
        <f t="shared" si="4"/>
        <v>0</v>
      </c>
      <c r="AR40" s="88" t="b">
        <f t="shared" si="4"/>
        <v>1</v>
      </c>
      <c r="AS40" s="88" t="b">
        <f t="shared" si="4"/>
        <v>1</v>
      </c>
      <c r="AT40" s="88" t="b">
        <f t="shared" si="4"/>
        <v>1</v>
      </c>
      <c r="AU40" s="88" t="b">
        <f t="shared" si="4"/>
        <v>1</v>
      </c>
    </row>
    <row r="41" spans="1:47">
      <c r="A41" s="225" t="s">
        <v>37</v>
      </c>
      <c r="B41" s="226">
        <v>700</v>
      </c>
      <c r="C41" s="226">
        <v>650</v>
      </c>
      <c r="D41" s="226">
        <v>550</v>
      </c>
      <c r="E41" s="226">
        <v>550</v>
      </c>
      <c r="F41" s="226">
        <v>0</v>
      </c>
      <c r="G41" s="226">
        <v>550</v>
      </c>
      <c r="H41" s="226">
        <v>550</v>
      </c>
      <c r="I41" s="226">
        <v>0</v>
      </c>
      <c r="J41" s="226">
        <v>300</v>
      </c>
      <c r="K41" s="227">
        <v>650</v>
      </c>
      <c r="L41" s="228">
        <v>800</v>
      </c>
      <c r="M41" s="226">
        <v>850</v>
      </c>
      <c r="N41" s="226">
        <v>1100</v>
      </c>
      <c r="O41" s="227">
        <v>1150</v>
      </c>
      <c r="P41" s="76"/>
      <c r="Q41" s="87" t="s">
        <v>37</v>
      </c>
      <c r="R41" s="88">
        <v>600</v>
      </c>
      <c r="S41" s="88">
        <v>480</v>
      </c>
      <c r="T41" s="88">
        <v>480</v>
      </c>
      <c r="U41" s="88">
        <v>480</v>
      </c>
      <c r="V41" s="88">
        <v>0</v>
      </c>
      <c r="W41" s="88">
        <v>480</v>
      </c>
      <c r="X41" s="88">
        <v>480</v>
      </c>
      <c r="Y41" s="88">
        <v>0</v>
      </c>
      <c r="Z41" s="88">
        <v>300</v>
      </c>
      <c r="AA41" s="89">
        <v>530</v>
      </c>
      <c r="AB41" s="90">
        <v>800</v>
      </c>
      <c r="AC41" s="90">
        <v>850</v>
      </c>
      <c r="AD41" s="90">
        <v>1100</v>
      </c>
      <c r="AE41" s="90">
        <v>1150</v>
      </c>
      <c r="AG41" s="87" t="s">
        <v>37</v>
      </c>
      <c r="AH41" s="88" t="b">
        <f t="shared" si="5"/>
        <v>0</v>
      </c>
      <c r="AI41" s="88" t="b">
        <f t="shared" si="4"/>
        <v>0</v>
      </c>
      <c r="AJ41" s="88" t="b">
        <f t="shared" si="4"/>
        <v>0</v>
      </c>
      <c r="AK41" s="88" t="b">
        <f t="shared" si="4"/>
        <v>0</v>
      </c>
      <c r="AL41" s="88" t="b">
        <f t="shared" si="4"/>
        <v>1</v>
      </c>
      <c r="AM41" s="88" t="b">
        <f t="shared" si="4"/>
        <v>0</v>
      </c>
      <c r="AN41" s="88" t="b">
        <f t="shared" si="4"/>
        <v>0</v>
      </c>
      <c r="AO41" s="88" t="b">
        <f t="shared" si="4"/>
        <v>1</v>
      </c>
      <c r="AP41" s="88" t="b">
        <f t="shared" si="4"/>
        <v>1</v>
      </c>
      <c r="AQ41" s="88" t="b">
        <f t="shared" si="4"/>
        <v>0</v>
      </c>
      <c r="AR41" s="88" t="b">
        <f t="shared" si="4"/>
        <v>1</v>
      </c>
      <c r="AS41" s="88" t="b">
        <f t="shared" si="4"/>
        <v>1</v>
      </c>
      <c r="AT41" s="88" t="b">
        <f t="shared" si="4"/>
        <v>1</v>
      </c>
      <c r="AU41" s="88" t="b">
        <f t="shared" si="4"/>
        <v>1</v>
      </c>
    </row>
    <row r="42" spans="1:47">
      <c r="A42" s="225" t="s">
        <v>38</v>
      </c>
      <c r="B42" s="226">
        <v>700</v>
      </c>
      <c r="C42" s="226">
        <v>650</v>
      </c>
      <c r="D42" s="226">
        <v>550</v>
      </c>
      <c r="E42" s="226">
        <v>550</v>
      </c>
      <c r="F42" s="226">
        <v>550</v>
      </c>
      <c r="G42" s="226">
        <v>0</v>
      </c>
      <c r="H42" s="226">
        <v>550</v>
      </c>
      <c r="I42" s="226">
        <v>0</v>
      </c>
      <c r="J42" s="226">
        <v>300</v>
      </c>
      <c r="K42" s="227">
        <v>650</v>
      </c>
      <c r="L42" s="228">
        <v>800</v>
      </c>
      <c r="M42" s="226">
        <v>850</v>
      </c>
      <c r="N42" s="226">
        <v>1100</v>
      </c>
      <c r="O42" s="227">
        <v>1150</v>
      </c>
      <c r="P42" s="76"/>
      <c r="Q42" s="87" t="s">
        <v>38</v>
      </c>
      <c r="R42" s="88">
        <v>600</v>
      </c>
      <c r="S42" s="88">
        <v>480</v>
      </c>
      <c r="T42" s="88">
        <v>480</v>
      </c>
      <c r="U42" s="88">
        <v>480</v>
      </c>
      <c r="V42" s="88">
        <v>480</v>
      </c>
      <c r="W42" s="88">
        <v>0</v>
      </c>
      <c r="X42" s="88">
        <v>480</v>
      </c>
      <c r="Y42" s="88">
        <v>0</v>
      </c>
      <c r="Z42" s="88">
        <v>300</v>
      </c>
      <c r="AA42" s="89">
        <v>530</v>
      </c>
      <c r="AB42" s="90">
        <v>800</v>
      </c>
      <c r="AC42" s="90">
        <v>850</v>
      </c>
      <c r="AD42" s="90">
        <v>1100</v>
      </c>
      <c r="AE42" s="90">
        <v>1150</v>
      </c>
      <c r="AG42" s="87" t="s">
        <v>38</v>
      </c>
      <c r="AH42" s="88" t="b">
        <f t="shared" si="5"/>
        <v>0</v>
      </c>
      <c r="AI42" s="88" t="b">
        <f t="shared" si="4"/>
        <v>0</v>
      </c>
      <c r="AJ42" s="88" t="b">
        <f t="shared" si="4"/>
        <v>0</v>
      </c>
      <c r="AK42" s="88" t="b">
        <f t="shared" si="4"/>
        <v>0</v>
      </c>
      <c r="AL42" s="88" t="b">
        <f t="shared" si="4"/>
        <v>0</v>
      </c>
      <c r="AM42" s="88" t="b">
        <f t="shared" si="4"/>
        <v>1</v>
      </c>
      <c r="AN42" s="88" t="b">
        <f t="shared" si="4"/>
        <v>0</v>
      </c>
      <c r="AO42" s="88" t="b">
        <f t="shared" si="4"/>
        <v>1</v>
      </c>
      <c r="AP42" s="88" t="b">
        <f t="shared" si="4"/>
        <v>1</v>
      </c>
      <c r="AQ42" s="88" t="b">
        <f t="shared" si="4"/>
        <v>0</v>
      </c>
      <c r="AR42" s="88" t="b">
        <f t="shared" si="4"/>
        <v>1</v>
      </c>
      <c r="AS42" s="88" t="b">
        <f t="shared" si="4"/>
        <v>1</v>
      </c>
      <c r="AT42" s="88" t="b">
        <f t="shared" si="4"/>
        <v>1</v>
      </c>
      <c r="AU42" s="88" t="b">
        <f t="shared" si="4"/>
        <v>1</v>
      </c>
    </row>
    <row r="43" spans="1:47">
      <c r="A43" s="225" t="s">
        <v>39</v>
      </c>
      <c r="B43" s="226">
        <v>750</v>
      </c>
      <c r="C43" s="226">
        <v>700</v>
      </c>
      <c r="D43" s="226">
        <v>650</v>
      </c>
      <c r="E43" s="226">
        <v>650</v>
      </c>
      <c r="F43" s="226">
        <v>550</v>
      </c>
      <c r="G43" s="226">
        <v>550</v>
      </c>
      <c r="H43" s="226">
        <v>0</v>
      </c>
      <c r="I43" s="226">
        <v>0</v>
      </c>
      <c r="J43" s="226">
        <v>300</v>
      </c>
      <c r="K43" s="227">
        <v>600</v>
      </c>
      <c r="L43" s="228">
        <v>750</v>
      </c>
      <c r="M43" s="226">
        <v>800</v>
      </c>
      <c r="N43" s="226">
        <v>1050</v>
      </c>
      <c r="O43" s="227">
        <v>1100</v>
      </c>
      <c r="P43" s="76"/>
      <c r="Q43" s="87" t="s">
        <v>39</v>
      </c>
      <c r="R43" s="88">
        <v>600</v>
      </c>
      <c r="S43" s="88">
        <v>600</v>
      </c>
      <c r="T43" s="88">
        <v>600</v>
      </c>
      <c r="U43" s="88">
        <v>480</v>
      </c>
      <c r="V43" s="88">
        <v>480</v>
      </c>
      <c r="W43" s="88">
        <v>480</v>
      </c>
      <c r="X43" s="88">
        <v>0</v>
      </c>
      <c r="Y43" s="88">
        <v>0</v>
      </c>
      <c r="Z43" s="88">
        <v>300</v>
      </c>
      <c r="AA43" s="89">
        <v>480</v>
      </c>
      <c r="AB43" s="90">
        <v>750</v>
      </c>
      <c r="AC43" s="90">
        <v>800</v>
      </c>
      <c r="AD43" s="90">
        <v>1050</v>
      </c>
      <c r="AE43" s="90">
        <v>1100</v>
      </c>
      <c r="AG43" s="87" t="s">
        <v>39</v>
      </c>
      <c r="AH43" s="88" t="b">
        <f t="shared" si="5"/>
        <v>0</v>
      </c>
      <c r="AI43" s="88" t="b">
        <f t="shared" si="4"/>
        <v>0</v>
      </c>
      <c r="AJ43" s="88" t="b">
        <f t="shared" si="4"/>
        <v>0</v>
      </c>
      <c r="AK43" s="88" t="b">
        <f t="shared" si="4"/>
        <v>0</v>
      </c>
      <c r="AL43" s="88" t="b">
        <f t="shared" si="4"/>
        <v>0</v>
      </c>
      <c r="AM43" s="88" t="b">
        <f t="shared" si="4"/>
        <v>0</v>
      </c>
      <c r="AN43" s="88" t="b">
        <f t="shared" si="4"/>
        <v>1</v>
      </c>
      <c r="AO43" s="88" t="b">
        <f t="shared" si="4"/>
        <v>1</v>
      </c>
      <c r="AP43" s="88" t="b">
        <f t="shared" si="4"/>
        <v>1</v>
      </c>
      <c r="AQ43" s="88" t="b">
        <f t="shared" si="4"/>
        <v>0</v>
      </c>
      <c r="AR43" s="88" t="b">
        <f t="shared" si="4"/>
        <v>1</v>
      </c>
      <c r="AS43" s="88" t="b">
        <f t="shared" si="4"/>
        <v>1</v>
      </c>
      <c r="AT43" s="88" t="b">
        <f t="shared" si="4"/>
        <v>1</v>
      </c>
      <c r="AU43" s="88" t="b">
        <f t="shared" si="4"/>
        <v>1</v>
      </c>
    </row>
    <row r="44" spans="1:47">
      <c r="A44" s="225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7">
        <v>500</v>
      </c>
      <c r="L44" s="228">
        <v>0</v>
      </c>
      <c r="M44" s="226">
        <v>0</v>
      </c>
      <c r="N44" s="226">
        <v>0</v>
      </c>
      <c r="O44" s="227">
        <v>0</v>
      </c>
      <c r="P44" s="76"/>
      <c r="Q44" s="87" t="s">
        <v>40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  <c r="Z44" s="88">
        <v>0</v>
      </c>
      <c r="AA44" s="89">
        <v>500</v>
      </c>
      <c r="AB44" s="90">
        <v>0</v>
      </c>
      <c r="AC44" s="90">
        <v>0</v>
      </c>
      <c r="AD44" s="90">
        <v>0</v>
      </c>
      <c r="AE44" s="90">
        <v>0</v>
      </c>
      <c r="AG44" s="87" t="s">
        <v>40</v>
      </c>
      <c r="AH44" s="88" t="b">
        <f t="shared" si="5"/>
        <v>1</v>
      </c>
      <c r="AI44" s="88" t="b">
        <f t="shared" si="4"/>
        <v>1</v>
      </c>
      <c r="AJ44" s="88" t="b">
        <f t="shared" si="4"/>
        <v>1</v>
      </c>
      <c r="AK44" s="88" t="b">
        <f t="shared" si="4"/>
        <v>1</v>
      </c>
      <c r="AL44" s="88" t="b">
        <f t="shared" si="4"/>
        <v>1</v>
      </c>
      <c r="AM44" s="88" t="b">
        <f t="shared" si="4"/>
        <v>1</v>
      </c>
      <c r="AN44" s="88" t="b">
        <f t="shared" si="4"/>
        <v>1</v>
      </c>
      <c r="AO44" s="88" t="b">
        <f t="shared" si="4"/>
        <v>1</v>
      </c>
      <c r="AP44" s="88" t="b">
        <f t="shared" si="4"/>
        <v>1</v>
      </c>
      <c r="AQ44" s="88" t="b">
        <f t="shared" si="4"/>
        <v>1</v>
      </c>
      <c r="AR44" s="88" t="b">
        <f t="shared" si="4"/>
        <v>1</v>
      </c>
      <c r="AS44" s="88" t="b">
        <f t="shared" si="4"/>
        <v>1</v>
      </c>
      <c r="AT44" s="88" t="b">
        <f t="shared" si="4"/>
        <v>1</v>
      </c>
      <c r="AU44" s="88" t="b">
        <f t="shared" si="4"/>
        <v>1</v>
      </c>
    </row>
    <row r="45" spans="1:47">
      <c r="A45" s="225" t="s">
        <v>41</v>
      </c>
      <c r="B45" s="226">
        <v>450</v>
      </c>
      <c r="C45" s="226">
        <v>400</v>
      </c>
      <c r="D45" s="226">
        <v>400</v>
      </c>
      <c r="E45" s="226">
        <v>350</v>
      </c>
      <c r="F45" s="226">
        <v>300</v>
      </c>
      <c r="G45" s="226">
        <v>300</v>
      </c>
      <c r="H45" s="226">
        <v>300</v>
      </c>
      <c r="I45" s="226">
        <v>0</v>
      </c>
      <c r="J45" s="226">
        <v>0</v>
      </c>
      <c r="K45" s="227">
        <v>300</v>
      </c>
      <c r="L45" s="228">
        <v>650</v>
      </c>
      <c r="M45" s="226">
        <v>700</v>
      </c>
      <c r="N45" s="226">
        <v>1000</v>
      </c>
      <c r="O45" s="227">
        <v>1050</v>
      </c>
      <c r="P45" s="76"/>
      <c r="Q45" s="87" t="s">
        <v>41</v>
      </c>
      <c r="R45" s="88">
        <v>450</v>
      </c>
      <c r="S45" s="88">
        <v>400</v>
      </c>
      <c r="T45" s="88">
        <v>400</v>
      </c>
      <c r="U45" s="88">
        <v>350</v>
      </c>
      <c r="V45" s="88">
        <v>300</v>
      </c>
      <c r="W45" s="88">
        <v>300</v>
      </c>
      <c r="X45" s="88">
        <v>300</v>
      </c>
      <c r="Y45" s="88">
        <v>0</v>
      </c>
      <c r="Z45" s="88">
        <v>0</v>
      </c>
      <c r="AA45" s="89">
        <v>300</v>
      </c>
      <c r="AB45" s="90">
        <v>650</v>
      </c>
      <c r="AC45" s="90">
        <v>700</v>
      </c>
      <c r="AD45" s="90">
        <v>1000</v>
      </c>
      <c r="AE45" s="90">
        <v>1050</v>
      </c>
      <c r="AG45" s="87" t="s">
        <v>41</v>
      </c>
      <c r="AH45" s="88" t="b">
        <f t="shared" si="5"/>
        <v>1</v>
      </c>
      <c r="AI45" s="88" t="b">
        <f t="shared" si="4"/>
        <v>1</v>
      </c>
      <c r="AJ45" s="88" t="b">
        <f t="shared" si="4"/>
        <v>1</v>
      </c>
      <c r="AK45" s="88" t="b">
        <f t="shared" si="4"/>
        <v>1</v>
      </c>
      <c r="AL45" s="88" t="b">
        <f t="shared" si="4"/>
        <v>1</v>
      </c>
      <c r="AM45" s="88" t="b">
        <f t="shared" si="4"/>
        <v>1</v>
      </c>
      <c r="AN45" s="88" t="b">
        <f t="shared" si="4"/>
        <v>1</v>
      </c>
      <c r="AO45" s="88" t="b">
        <f t="shared" si="4"/>
        <v>1</v>
      </c>
      <c r="AP45" s="88" t="b">
        <f t="shared" si="4"/>
        <v>1</v>
      </c>
      <c r="AQ45" s="88" t="b">
        <f t="shared" si="4"/>
        <v>1</v>
      </c>
      <c r="AR45" s="88" t="b">
        <f t="shared" si="4"/>
        <v>1</v>
      </c>
      <c r="AS45" s="88" t="b">
        <f t="shared" si="4"/>
        <v>1</v>
      </c>
      <c r="AT45" s="88" t="b">
        <f t="shared" si="4"/>
        <v>1</v>
      </c>
      <c r="AU45" s="88" t="b">
        <f t="shared" si="4"/>
        <v>1</v>
      </c>
    </row>
    <row r="46" spans="1:47" ht="15.75" thickBot="1">
      <c r="A46" s="229" t="s">
        <v>42</v>
      </c>
      <c r="B46" s="91">
        <v>900</v>
      </c>
      <c r="C46" s="91">
        <v>750</v>
      </c>
      <c r="D46" s="91">
        <v>700</v>
      </c>
      <c r="E46" s="91">
        <v>700</v>
      </c>
      <c r="F46" s="91">
        <v>650</v>
      </c>
      <c r="G46" s="91">
        <v>650</v>
      </c>
      <c r="H46" s="91">
        <v>600</v>
      </c>
      <c r="I46" s="91">
        <v>500</v>
      </c>
      <c r="J46" s="91">
        <v>300</v>
      </c>
      <c r="K46" s="230">
        <v>0</v>
      </c>
      <c r="L46" s="228">
        <v>350</v>
      </c>
      <c r="M46" s="226">
        <v>400</v>
      </c>
      <c r="N46" s="226">
        <v>700</v>
      </c>
      <c r="O46" s="227">
        <v>750</v>
      </c>
      <c r="P46" s="76"/>
      <c r="Q46" s="92" t="s">
        <v>42</v>
      </c>
      <c r="R46" s="231">
        <v>750</v>
      </c>
      <c r="S46" s="231">
        <v>600</v>
      </c>
      <c r="T46" s="231">
        <v>600</v>
      </c>
      <c r="U46" s="231">
        <v>600</v>
      </c>
      <c r="V46" s="231">
        <v>530</v>
      </c>
      <c r="W46" s="231">
        <v>530</v>
      </c>
      <c r="X46" s="231">
        <v>480</v>
      </c>
      <c r="Y46" s="231">
        <v>500</v>
      </c>
      <c r="Z46" s="231">
        <v>300</v>
      </c>
      <c r="AA46" s="93">
        <v>0</v>
      </c>
      <c r="AB46" s="90">
        <v>350</v>
      </c>
      <c r="AC46" s="90">
        <v>400</v>
      </c>
      <c r="AD46" s="90">
        <v>700</v>
      </c>
      <c r="AE46" s="90">
        <v>750</v>
      </c>
      <c r="AG46" s="92" t="s">
        <v>42</v>
      </c>
      <c r="AH46" s="88" t="b">
        <f t="shared" si="5"/>
        <v>0</v>
      </c>
      <c r="AI46" s="88" t="b">
        <f t="shared" si="4"/>
        <v>0</v>
      </c>
      <c r="AJ46" s="88" t="b">
        <f t="shared" si="4"/>
        <v>0</v>
      </c>
      <c r="AK46" s="88" t="b">
        <f t="shared" si="4"/>
        <v>0</v>
      </c>
      <c r="AL46" s="88" t="b">
        <f t="shared" si="4"/>
        <v>0</v>
      </c>
      <c r="AM46" s="88" t="b">
        <f t="shared" si="4"/>
        <v>0</v>
      </c>
      <c r="AN46" s="88" t="b">
        <f t="shared" si="4"/>
        <v>0</v>
      </c>
      <c r="AO46" s="88" t="b">
        <f t="shared" si="4"/>
        <v>1</v>
      </c>
      <c r="AP46" s="88" t="b">
        <f t="shared" si="4"/>
        <v>1</v>
      </c>
      <c r="AQ46" s="88" t="b">
        <f t="shared" si="4"/>
        <v>1</v>
      </c>
      <c r="AR46" s="88" t="b">
        <f t="shared" si="4"/>
        <v>1</v>
      </c>
      <c r="AS46" s="88" t="b">
        <f t="shared" si="4"/>
        <v>1</v>
      </c>
      <c r="AT46" s="88" t="b">
        <f t="shared" si="4"/>
        <v>1</v>
      </c>
      <c r="AU46" s="88" t="b">
        <f t="shared" si="4"/>
        <v>1</v>
      </c>
    </row>
    <row r="47" spans="1:47">
      <c r="A47" s="94" t="s">
        <v>43</v>
      </c>
      <c r="B47" s="232">
        <v>950</v>
      </c>
      <c r="C47" s="232">
        <v>850</v>
      </c>
      <c r="D47" s="232">
        <v>850</v>
      </c>
      <c r="E47" s="232">
        <v>850</v>
      </c>
      <c r="F47" s="232">
        <v>800</v>
      </c>
      <c r="G47" s="232">
        <v>800</v>
      </c>
      <c r="H47" s="232">
        <v>750</v>
      </c>
      <c r="I47" s="232">
        <v>0</v>
      </c>
      <c r="J47" s="232">
        <v>650</v>
      </c>
      <c r="K47" s="232">
        <v>350</v>
      </c>
      <c r="L47" s="226">
        <v>0</v>
      </c>
      <c r="M47" s="226">
        <v>300</v>
      </c>
      <c r="N47" s="226">
        <v>650</v>
      </c>
      <c r="O47" s="227">
        <v>700</v>
      </c>
      <c r="P47" s="76"/>
      <c r="Q47" s="95" t="s">
        <v>43</v>
      </c>
      <c r="R47" s="96">
        <v>950</v>
      </c>
      <c r="S47" s="96">
        <v>850</v>
      </c>
      <c r="T47" s="96">
        <v>850</v>
      </c>
      <c r="U47" s="96">
        <v>850</v>
      </c>
      <c r="V47" s="96">
        <v>800</v>
      </c>
      <c r="W47" s="96">
        <v>800</v>
      </c>
      <c r="X47" s="96">
        <v>750</v>
      </c>
      <c r="Y47" s="96">
        <v>0</v>
      </c>
      <c r="Z47" s="96">
        <v>650</v>
      </c>
      <c r="AA47" s="96">
        <v>350</v>
      </c>
      <c r="AB47" s="90">
        <v>0</v>
      </c>
      <c r="AC47" s="90">
        <v>300</v>
      </c>
      <c r="AD47" s="90">
        <v>650</v>
      </c>
      <c r="AE47" s="90">
        <v>700</v>
      </c>
      <c r="AG47" s="95" t="s">
        <v>43</v>
      </c>
      <c r="AH47" s="88" t="b">
        <f t="shared" si="5"/>
        <v>1</v>
      </c>
      <c r="AI47" s="88" t="b">
        <f t="shared" si="4"/>
        <v>1</v>
      </c>
      <c r="AJ47" s="88" t="b">
        <f t="shared" si="4"/>
        <v>1</v>
      </c>
      <c r="AK47" s="88" t="b">
        <f t="shared" si="4"/>
        <v>1</v>
      </c>
      <c r="AL47" s="88" t="b">
        <f t="shared" si="4"/>
        <v>1</v>
      </c>
      <c r="AM47" s="88" t="b">
        <f t="shared" si="4"/>
        <v>1</v>
      </c>
      <c r="AN47" s="88" t="b">
        <f t="shared" si="4"/>
        <v>1</v>
      </c>
      <c r="AO47" s="88" t="b">
        <f t="shared" si="4"/>
        <v>1</v>
      </c>
      <c r="AP47" s="88" t="b">
        <f t="shared" si="4"/>
        <v>1</v>
      </c>
      <c r="AQ47" s="88" t="b">
        <f t="shared" si="4"/>
        <v>1</v>
      </c>
      <c r="AR47" s="88" t="b">
        <f t="shared" si="4"/>
        <v>1</v>
      </c>
      <c r="AS47" s="88" t="b">
        <f t="shared" si="4"/>
        <v>1</v>
      </c>
      <c r="AT47" s="88" t="b">
        <f t="shared" si="4"/>
        <v>1</v>
      </c>
      <c r="AU47" s="88" t="b">
        <f t="shared" si="4"/>
        <v>1</v>
      </c>
    </row>
    <row r="48" spans="1:47">
      <c r="A48" s="225" t="s">
        <v>44</v>
      </c>
      <c r="B48" s="233">
        <v>1000</v>
      </c>
      <c r="C48" s="233">
        <v>900</v>
      </c>
      <c r="D48" s="233">
        <v>900</v>
      </c>
      <c r="E48" s="233">
        <v>900</v>
      </c>
      <c r="F48" s="233">
        <v>850</v>
      </c>
      <c r="G48" s="233">
        <v>850</v>
      </c>
      <c r="H48" s="233">
        <v>800</v>
      </c>
      <c r="I48" s="233">
        <v>0</v>
      </c>
      <c r="J48" s="233">
        <v>700</v>
      </c>
      <c r="K48" s="233">
        <v>400</v>
      </c>
      <c r="L48" s="233">
        <v>300</v>
      </c>
      <c r="M48" s="233">
        <v>0</v>
      </c>
      <c r="N48" s="234">
        <v>300</v>
      </c>
      <c r="O48" s="235">
        <v>350</v>
      </c>
      <c r="P48" s="76"/>
      <c r="Q48" s="87" t="s">
        <v>44</v>
      </c>
      <c r="R48" s="96">
        <v>1000</v>
      </c>
      <c r="S48" s="96">
        <v>900</v>
      </c>
      <c r="T48" s="96">
        <v>900</v>
      </c>
      <c r="U48" s="96">
        <v>900</v>
      </c>
      <c r="V48" s="96">
        <v>850</v>
      </c>
      <c r="W48" s="96">
        <v>850</v>
      </c>
      <c r="X48" s="96">
        <v>800</v>
      </c>
      <c r="Y48" s="96">
        <v>0</v>
      </c>
      <c r="Z48" s="96">
        <v>700</v>
      </c>
      <c r="AA48" s="96">
        <v>400</v>
      </c>
      <c r="AB48" s="90">
        <v>300</v>
      </c>
      <c r="AC48" s="90">
        <v>0</v>
      </c>
      <c r="AD48" s="90">
        <v>300</v>
      </c>
      <c r="AE48" s="90">
        <v>350</v>
      </c>
      <c r="AG48" s="87" t="s">
        <v>44</v>
      </c>
      <c r="AH48" s="88" t="b">
        <f t="shared" si="5"/>
        <v>1</v>
      </c>
      <c r="AI48" s="88" t="b">
        <f t="shared" si="4"/>
        <v>1</v>
      </c>
      <c r="AJ48" s="88" t="b">
        <f t="shared" si="4"/>
        <v>1</v>
      </c>
      <c r="AK48" s="88" t="b">
        <f t="shared" si="4"/>
        <v>1</v>
      </c>
      <c r="AL48" s="88" t="b">
        <f t="shared" si="4"/>
        <v>1</v>
      </c>
      <c r="AM48" s="88" t="b">
        <f t="shared" si="4"/>
        <v>1</v>
      </c>
      <c r="AN48" s="88" t="b">
        <f t="shared" si="4"/>
        <v>1</v>
      </c>
      <c r="AO48" s="88" t="b">
        <f t="shared" si="4"/>
        <v>1</v>
      </c>
      <c r="AP48" s="88" t="b">
        <f t="shared" si="4"/>
        <v>1</v>
      </c>
      <c r="AQ48" s="88" t="b">
        <f t="shared" si="4"/>
        <v>1</v>
      </c>
      <c r="AR48" s="88" t="b">
        <f t="shared" si="4"/>
        <v>1</v>
      </c>
      <c r="AS48" s="88" t="b">
        <f t="shared" si="4"/>
        <v>1</v>
      </c>
      <c r="AT48" s="88" t="b">
        <f t="shared" si="4"/>
        <v>1</v>
      </c>
      <c r="AU48" s="88" t="b">
        <f t="shared" si="4"/>
        <v>1</v>
      </c>
    </row>
    <row r="49" spans="1:47">
      <c r="A49" s="225" t="s">
        <v>45</v>
      </c>
      <c r="B49" s="226">
        <v>1300</v>
      </c>
      <c r="C49" s="226">
        <v>1150</v>
      </c>
      <c r="D49" s="226">
        <v>1150</v>
      </c>
      <c r="E49" s="226">
        <v>1150</v>
      </c>
      <c r="F49" s="226">
        <v>1100</v>
      </c>
      <c r="G49" s="226">
        <v>1100</v>
      </c>
      <c r="H49" s="226">
        <v>1050</v>
      </c>
      <c r="I49" s="226">
        <v>0</v>
      </c>
      <c r="J49" s="226">
        <v>1000</v>
      </c>
      <c r="K49" s="226">
        <v>700</v>
      </c>
      <c r="L49" s="226">
        <v>650</v>
      </c>
      <c r="M49" s="236">
        <v>300</v>
      </c>
      <c r="N49" s="226">
        <v>0</v>
      </c>
      <c r="O49" s="227">
        <v>300</v>
      </c>
      <c r="P49" s="76"/>
      <c r="Q49" s="87" t="s">
        <v>45</v>
      </c>
      <c r="R49" s="96">
        <v>1300</v>
      </c>
      <c r="S49" s="96">
        <v>1150</v>
      </c>
      <c r="T49" s="96">
        <v>1150</v>
      </c>
      <c r="U49" s="96">
        <v>1150</v>
      </c>
      <c r="V49" s="96">
        <v>1100</v>
      </c>
      <c r="W49" s="96">
        <v>1100</v>
      </c>
      <c r="X49" s="96">
        <v>1050</v>
      </c>
      <c r="Y49" s="96">
        <v>0</v>
      </c>
      <c r="Z49" s="96">
        <v>1000</v>
      </c>
      <c r="AA49" s="96">
        <v>700</v>
      </c>
      <c r="AB49" s="90">
        <v>650</v>
      </c>
      <c r="AC49" s="90">
        <v>300</v>
      </c>
      <c r="AD49" s="90">
        <v>0</v>
      </c>
      <c r="AE49" s="90">
        <v>300</v>
      </c>
      <c r="AG49" s="87" t="s">
        <v>45</v>
      </c>
      <c r="AH49" s="88" t="b">
        <f t="shared" si="5"/>
        <v>1</v>
      </c>
      <c r="AI49" s="88" t="b">
        <f t="shared" si="4"/>
        <v>1</v>
      </c>
      <c r="AJ49" s="88" t="b">
        <f t="shared" si="4"/>
        <v>1</v>
      </c>
      <c r="AK49" s="88" t="b">
        <f t="shared" si="4"/>
        <v>1</v>
      </c>
      <c r="AL49" s="88" t="b">
        <f t="shared" si="4"/>
        <v>1</v>
      </c>
      <c r="AM49" s="88" t="b">
        <f t="shared" si="4"/>
        <v>1</v>
      </c>
      <c r="AN49" s="88" t="b">
        <f t="shared" si="4"/>
        <v>1</v>
      </c>
      <c r="AO49" s="88" t="b">
        <f t="shared" si="4"/>
        <v>1</v>
      </c>
      <c r="AP49" s="88" t="b">
        <f t="shared" si="4"/>
        <v>1</v>
      </c>
      <c r="AQ49" s="88" t="b">
        <f t="shared" si="4"/>
        <v>1</v>
      </c>
      <c r="AR49" s="88" t="b">
        <f t="shared" si="4"/>
        <v>1</v>
      </c>
      <c r="AS49" s="88" t="b">
        <f t="shared" si="4"/>
        <v>1</v>
      </c>
      <c r="AT49" s="88" t="b">
        <f t="shared" si="4"/>
        <v>1</v>
      </c>
      <c r="AU49" s="88" t="b">
        <f t="shared" si="4"/>
        <v>1</v>
      </c>
    </row>
    <row r="50" spans="1:47" ht="15.75" thickBot="1">
      <c r="A50" s="229" t="s">
        <v>46</v>
      </c>
      <c r="B50" s="91">
        <v>1350</v>
      </c>
      <c r="C50" s="91">
        <v>1200</v>
      </c>
      <c r="D50" s="91">
        <v>1200</v>
      </c>
      <c r="E50" s="91">
        <v>1200</v>
      </c>
      <c r="F50" s="91">
        <v>1150</v>
      </c>
      <c r="G50" s="91">
        <v>1150</v>
      </c>
      <c r="H50" s="91">
        <v>1100</v>
      </c>
      <c r="I50" s="91">
        <v>0</v>
      </c>
      <c r="J50" s="91">
        <v>1050</v>
      </c>
      <c r="K50" s="91">
        <v>750</v>
      </c>
      <c r="L50" s="91">
        <v>700</v>
      </c>
      <c r="M50" s="99">
        <v>350</v>
      </c>
      <c r="N50" s="91">
        <v>300</v>
      </c>
      <c r="O50" s="230">
        <v>0</v>
      </c>
      <c r="P50" s="76"/>
      <c r="Q50" s="92" t="s">
        <v>46</v>
      </c>
      <c r="R50" s="96">
        <v>1350</v>
      </c>
      <c r="S50" s="96">
        <v>1200</v>
      </c>
      <c r="T50" s="96">
        <v>1200</v>
      </c>
      <c r="U50" s="96">
        <v>1200</v>
      </c>
      <c r="V50" s="96">
        <v>1150</v>
      </c>
      <c r="W50" s="96">
        <v>1150</v>
      </c>
      <c r="X50" s="96">
        <v>1100</v>
      </c>
      <c r="Y50" s="96">
        <v>0</v>
      </c>
      <c r="Z50" s="96">
        <v>1050</v>
      </c>
      <c r="AA50" s="96">
        <v>750</v>
      </c>
      <c r="AB50" s="90">
        <v>700</v>
      </c>
      <c r="AC50" s="90">
        <v>350</v>
      </c>
      <c r="AD50" s="90">
        <v>300</v>
      </c>
      <c r="AE50" s="90">
        <v>0</v>
      </c>
      <c r="AG50" s="92" t="s">
        <v>46</v>
      </c>
      <c r="AH50" s="88" t="b">
        <f t="shared" si="5"/>
        <v>1</v>
      </c>
      <c r="AI50" s="88" t="b">
        <f t="shared" si="4"/>
        <v>1</v>
      </c>
      <c r="AJ50" s="88" t="b">
        <f t="shared" si="4"/>
        <v>1</v>
      </c>
      <c r="AK50" s="88" t="b">
        <f t="shared" si="4"/>
        <v>1</v>
      </c>
      <c r="AL50" s="88" t="b">
        <f t="shared" si="4"/>
        <v>1</v>
      </c>
      <c r="AM50" s="88" t="b">
        <f t="shared" si="4"/>
        <v>1</v>
      </c>
      <c r="AN50" s="88" t="b">
        <f t="shared" si="4"/>
        <v>1</v>
      </c>
      <c r="AO50" s="88" t="b">
        <f t="shared" si="4"/>
        <v>1</v>
      </c>
      <c r="AP50" s="88" t="b">
        <f t="shared" si="4"/>
        <v>1</v>
      </c>
      <c r="AQ50" s="88" t="b">
        <f t="shared" si="4"/>
        <v>1</v>
      </c>
      <c r="AR50" s="88" t="b">
        <f t="shared" si="4"/>
        <v>1</v>
      </c>
      <c r="AS50" s="88" t="b">
        <f t="shared" si="4"/>
        <v>1</v>
      </c>
      <c r="AT50" s="88" t="b">
        <f t="shared" si="4"/>
        <v>1</v>
      </c>
      <c r="AU50" s="88" t="b">
        <f t="shared" si="4"/>
        <v>1</v>
      </c>
    </row>
    <row r="51" spans="1:47">
      <c r="O51" s="100" cm="1">
        <f t="array" ref="O51">SUMPRODUCT(ABS((B37:O50)-(TRANSPOSE(B37:O50))))</f>
        <v>0</v>
      </c>
    </row>
    <row r="52" spans="1:47" ht="15.75" hidden="1" thickBot="1">
      <c r="A52" s="105" t="s">
        <v>50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7"/>
    </row>
    <row r="53" spans="1:47" ht="64.5" hidden="1">
      <c r="A53" s="79" t="s">
        <v>32</v>
      </c>
      <c r="B53" s="80" t="s">
        <v>33</v>
      </c>
      <c r="C53" s="80" t="s">
        <v>34</v>
      </c>
      <c r="D53" s="80" t="s">
        <v>35</v>
      </c>
      <c r="E53" s="80" t="s">
        <v>36</v>
      </c>
      <c r="F53" s="80" t="s">
        <v>37</v>
      </c>
      <c r="G53" s="80" t="s">
        <v>38</v>
      </c>
      <c r="H53" s="80" t="s">
        <v>39</v>
      </c>
      <c r="I53" s="80" t="s">
        <v>40</v>
      </c>
      <c r="J53" s="80" t="s">
        <v>41</v>
      </c>
      <c r="K53" s="81" t="s">
        <v>42</v>
      </c>
      <c r="L53" s="82" t="s">
        <v>43</v>
      </c>
      <c r="M53" s="80" t="s">
        <v>44</v>
      </c>
      <c r="N53" s="80" t="s">
        <v>45</v>
      </c>
      <c r="O53" s="81" t="s">
        <v>46</v>
      </c>
    </row>
    <row r="54" spans="1:47" hidden="1">
      <c r="A54" s="225" t="s">
        <v>33</v>
      </c>
      <c r="B54" s="240">
        <v>0</v>
      </c>
      <c r="C54" s="240">
        <v>250</v>
      </c>
      <c r="D54" s="240">
        <v>300</v>
      </c>
      <c r="E54" s="240">
        <v>300</v>
      </c>
      <c r="F54" s="240">
        <v>300</v>
      </c>
      <c r="G54" s="240">
        <v>300</v>
      </c>
      <c r="H54" s="240">
        <v>300</v>
      </c>
      <c r="I54" s="226">
        <v>0</v>
      </c>
      <c r="J54" s="226">
        <v>300</v>
      </c>
      <c r="K54" s="241">
        <v>400</v>
      </c>
      <c r="L54" s="242">
        <v>650</v>
      </c>
      <c r="M54" s="243">
        <v>650</v>
      </c>
      <c r="N54" s="244">
        <v>850</v>
      </c>
      <c r="O54" s="245">
        <v>850</v>
      </c>
    </row>
    <row r="55" spans="1:47" hidden="1">
      <c r="A55" s="225" t="s">
        <v>34</v>
      </c>
      <c r="B55" s="240">
        <v>250</v>
      </c>
      <c r="C55" s="240">
        <v>0</v>
      </c>
      <c r="D55" s="240">
        <v>250</v>
      </c>
      <c r="E55" s="240">
        <v>250</v>
      </c>
      <c r="F55" s="240">
        <v>250</v>
      </c>
      <c r="G55" s="240">
        <v>250</v>
      </c>
      <c r="H55" s="240">
        <v>300</v>
      </c>
      <c r="I55" s="226">
        <v>0</v>
      </c>
      <c r="J55" s="226">
        <v>250</v>
      </c>
      <c r="K55" s="241">
        <v>300</v>
      </c>
      <c r="L55" s="242">
        <v>550</v>
      </c>
      <c r="M55" s="243">
        <v>600</v>
      </c>
      <c r="N55" s="244">
        <v>750</v>
      </c>
      <c r="O55" s="245">
        <v>800</v>
      </c>
    </row>
    <row r="56" spans="1:47" hidden="1">
      <c r="A56" s="225" t="s">
        <v>35</v>
      </c>
      <c r="B56" s="240">
        <v>300</v>
      </c>
      <c r="C56" s="240">
        <v>250</v>
      </c>
      <c r="D56" s="240">
        <v>0</v>
      </c>
      <c r="E56" s="240">
        <v>250</v>
      </c>
      <c r="F56" s="240">
        <v>250</v>
      </c>
      <c r="G56" s="240">
        <v>250</v>
      </c>
      <c r="H56" s="240">
        <v>300</v>
      </c>
      <c r="I56" s="226">
        <v>0</v>
      </c>
      <c r="J56" s="226">
        <v>250</v>
      </c>
      <c r="K56" s="241">
        <v>300</v>
      </c>
      <c r="L56" s="242">
        <v>550</v>
      </c>
      <c r="M56" s="243">
        <v>600</v>
      </c>
      <c r="N56" s="244">
        <v>750</v>
      </c>
      <c r="O56" s="245">
        <v>800</v>
      </c>
    </row>
    <row r="57" spans="1:47" hidden="1">
      <c r="A57" s="225" t="s">
        <v>36</v>
      </c>
      <c r="B57" s="240">
        <v>300</v>
      </c>
      <c r="C57" s="240">
        <v>250</v>
      </c>
      <c r="D57" s="240">
        <v>250</v>
      </c>
      <c r="E57" s="240">
        <v>0</v>
      </c>
      <c r="F57" s="240">
        <v>250</v>
      </c>
      <c r="G57" s="240">
        <v>250</v>
      </c>
      <c r="H57" s="240">
        <v>250</v>
      </c>
      <c r="I57" s="226">
        <v>0</v>
      </c>
      <c r="J57" s="226">
        <v>250</v>
      </c>
      <c r="K57" s="241">
        <v>300</v>
      </c>
      <c r="L57" s="242">
        <v>550</v>
      </c>
      <c r="M57" s="243">
        <v>600</v>
      </c>
      <c r="N57" s="244">
        <v>750</v>
      </c>
      <c r="O57" s="245">
        <v>800</v>
      </c>
    </row>
    <row r="58" spans="1:47" hidden="1">
      <c r="A58" s="225" t="s">
        <v>37</v>
      </c>
      <c r="B58" s="240">
        <v>300</v>
      </c>
      <c r="C58" s="240">
        <v>250</v>
      </c>
      <c r="D58" s="240">
        <v>250</v>
      </c>
      <c r="E58" s="240">
        <v>250</v>
      </c>
      <c r="F58" s="240">
        <v>0</v>
      </c>
      <c r="G58" s="240">
        <v>250</v>
      </c>
      <c r="H58" s="240">
        <v>250</v>
      </c>
      <c r="I58" s="226">
        <v>0</v>
      </c>
      <c r="J58" s="226">
        <v>200</v>
      </c>
      <c r="K58" s="241">
        <v>300</v>
      </c>
      <c r="L58" s="242">
        <v>500</v>
      </c>
      <c r="M58" s="243">
        <v>550</v>
      </c>
      <c r="N58" s="244">
        <v>750</v>
      </c>
      <c r="O58" s="245">
        <v>750</v>
      </c>
    </row>
    <row r="59" spans="1:47" hidden="1">
      <c r="A59" s="225" t="s">
        <v>38</v>
      </c>
      <c r="B59" s="240">
        <v>300</v>
      </c>
      <c r="C59" s="240">
        <v>250</v>
      </c>
      <c r="D59" s="240">
        <v>250</v>
      </c>
      <c r="E59" s="240">
        <v>250</v>
      </c>
      <c r="F59" s="240">
        <v>250</v>
      </c>
      <c r="G59" s="240">
        <v>0</v>
      </c>
      <c r="H59" s="240">
        <v>250</v>
      </c>
      <c r="I59" s="226">
        <v>0</v>
      </c>
      <c r="J59" s="226">
        <v>200</v>
      </c>
      <c r="K59" s="241">
        <v>300</v>
      </c>
      <c r="L59" s="242">
        <v>500</v>
      </c>
      <c r="M59" s="243">
        <v>550</v>
      </c>
      <c r="N59" s="244">
        <v>750</v>
      </c>
      <c r="O59" s="245">
        <v>750</v>
      </c>
    </row>
    <row r="60" spans="1:47" hidden="1">
      <c r="A60" s="225" t="s">
        <v>39</v>
      </c>
      <c r="B60" s="240">
        <v>300</v>
      </c>
      <c r="C60" s="240">
        <v>300</v>
      </c>
      <c r="D60" s="240">
        <v>300</v>
      </c>
      <c r="E60" s="240">
        <v>250</v>
      </c>
      <c r="F60" s="240">
        <v>250</v>
      </c>
      <c r="G60" s="240">
        <v>250</v>
      </c>
      <c r="H60" s="240">
        <v>0</v>
      </c>
      <c r="I60" s="226">
        <v>0</v>
      </c>
      <c r="J60" s="226">
        <v>200</v>
      </c>
      <c r="K60" s="241">
        <v>250</v>
      </c>
      <c r="L60" s="242">
        <v>500</v>
      </c>
      <c r="M60" s="243">
        <v>500</v>
      </c>
      <c r="N60" s="244">
        <v>700</v>
      </c>
      <c r="O60" s="245">
        <v>750</v>
      </c>
    </row>
    <row r="61" spans="1:47" hidden="1">
      <c r="A61" s="225" t="s">
        <v>40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7">
        <v>300</v>
      </c>
      <c r="L61" s="228">
        <v>0</v>
      </c>
      <c r="M61" s="243">
        <v>0</v>
      </c>
      <c r="N61" s="226">
        <v>0</v>
      </c>
      <c r="O61" s="227">
        <v>0</v>
      </c>
    </row>
    <row r="62" spans="1:47" hidden="1">
      <c r="A62" s="225" t="s">
        <v>41</v>
      </c>
      <c r="B62" s="226">
        <v>300</v>
      </c>
      <c r="C62" s="226">
        <v>250</v>
      </c>
      <c r="D62" s="226">
        <v>250</v>
      </c>
      <c r="E62" s="226">
        <v>250</v>
      </c>
      <c r="F62" s="226">
        <v>200</v>
      </c>
      <c r="G62" s="226">
        <v>200</v>
      </c>
      <c r="H62" s="226">
        <v>200</v>
      </c>
      <c r="I62" s="226">
        <v>0</v>
      </c>
      <c r="J62" s="226">
        <v>0</v>
      </c>
      <c r="K62" s="227">
        <v>200</v>
      </c>
      <c r="L62" s="228">
        <v>450</v>
      </c>
      <c r="M62" s="243">
        <v>450</v>
      </c>
      <c r="N62" s="226">
        <v>650</v>
      </c>
      <c r="O62" s="227">
        <v>700</v>
      </c>
    </row>
    <row r="63" spans="1:47" ht="15.75" hidden="1" thickBot="1">
      <c r="A63" s="229" t="s">
        <v>42</v>
      </c>
      <c r="B63" s="108">
        <v>400</v>
      </c>
      <c r="C63" s="108">
        <v>300</v>
      </c>
      <c r="D63" s="108">
        <v>300</v>
      </c>
      <c r="E63" s="108">
        <v>300</v>
      </c>
      <c r="F63" s="108">
        <v>300</v>
      </c>
      <c r="G63" s="108">
        <v>300</v>
      </c>
      <c r="H63" s="108">
        <v>250</v>
      </c>
      <c r="I63" s="91">
        <v>300</v>
      </c>
      <c r="J63" s="91">
        <v>200</v>
      </c>
      <c r="K63" s="246">
        <v>0</v>
      </c>
      <c r="L63" s="242">
        <v>250</v>
      </c>
      <c r="M63" s="243">
        <v>250</v>
      </c>
      <c r="N63" s="244">
        <v>450</v>
      </c>
      <c r="O63" s="245">
        <v>500</v>
      </c>
    </row>
    <row r="64" spans="1:47" hidden="1">
      <c r="A64" s="94" t="s">
        <v>43</v>
      </c>
      <c r="B64" s="247">
        <v>650</v>
      </c>
      <c r="C64" s="247">
        <v>550</v>
      </c>
      <c r="D64" s="247">
        <v>550</v>
      </c>
      <c r="E64" s="247">
        <v>550</v>
      </c>
      <c r="F64" s="247">
        <v>500</v>
      </c>
      <c r="G64" s="247">
        <v>500</v>
      </c>
      <c r="H64" s="247">
        <v>500</v>
      </c>
      <c r="I64" s="247">
        <v>0</v>
      </c>
      <c r="J64" s="247">
        <v>450</v>
      </c>
      <c r="K64" s="247">
        <v>250</v>
      </c>
      <c r="L64" s="244">
        <v>0</v>
      </c>
      <c r="M64" s="243">
        <v>200</v>
      </c>
      <c r="N64" s="244">
        <v>450</v>
      </c>
      <c r="O64" s="245">
        <v>450</v>
      </c>
    </row>
    <row r="65" spans="1:15" hidden="1">
      <c r="A65" s="225" t="s">
        <v>44</v>
      </c>
      <c r="B65" s="248">
        <v>650</v>
      </c>
      <c r="C65" s="248">
        <v>600</v>
      </c>
      <c r="D65" s="248">
        <v>600</v>
      </c>
      <c r="E65" s="248">
        <v>600</v>
      </c>
      <c r="F65" s="248">
        <v>550</v>
      </c>
      <c r="G65" s="248">
        <v>550</v>
      </c>
      <c r="H65" s="248">
        <v>500</v>
      </c>
      <c r="I65" s="248">
        <v>0</v>
      </c>
      <c r="J65" s="248">
        <v>450</v>
      </c>
      <c r="K65" s="248">
        <v>250</v>
      </c>
      <c r="L65" s="248">
        <v>200</v>
      </c>
      <c r="M65" s="248">
        <v>0</v>
      </c>
      <c r="N65" s="249">
        <v>200</v>
      </c>
      <c r="O65" s="250">
        <v>200</v>
      </c>
    </row>
    <row r="66" spans="1:15" hidden="1">
      <c r="A66" s="225" t="s">
        <v>45</v>
      </c>
      <c r="B66" s="251">
        <v>850</v>
      </c>
      <c r="C66" s="251">
        <v>750</v>
      </c>
      <c r="D66" s="251">
        <v>750</v>
      </c>
      <c r="E66" s="251">
        <v>750</v>
      </c>
      <c r="F66" s="251">
        <v>750</v>
      </c>
      <c r="G66" s="251">
        <v>750</v>
      </c>
      <c r="H66" s="251">
        <v>700</v>
      </c>
      <c r="I66" s="251">
        <v>0</v>
      </c>
      <c r="J66" s="251">
        <v>650</v>
      </c>
      <c r="K66" s="251">
        <v>450</v>
      </c>
      <c r="L66" s="244">
        <v>450</v>
      </c>
      <c r="M66" s="252">
        <v>200</v>
      </c>
      <c r="N66" s="244">
        <v>0</v>
      </c>
      <c r="O66" s="245">
        <v>200</v>
      </c>
    </row>
    <row r="67" spans="1:15" ht="15.75" hidden="1" thickBot="1">
      <c r="A67" s="229" t="s">
        <v>46</v>
      </c>
      <c r="B67" s="109">
        <v>850</v>
      </c>
      <c r="C67" s="109">
        <v>800</v>
      </c>
      <c r="D67" s="109">
        <v>800</v>
      </c>
      <c r="E67" s="109">
        <v>800</v>
      </c>
      <c r="F67" s="109">
        <v>750</v>
      </c>
      <c r="G67" s="109">
        <v>750</v>
      </c>
      <c r="H67" s="109">
        <v>750</v>
      </c>
      <c r="I67" s="109">
        <v>0</v>
      </c>
      <c r="J67" s="109">
        <v>700</v>
      </c>
      <c r="K67" s="109">
        <v>500</v>
      </c>
      <c r="L67" s="110">
        <v>450</v>
      </c>
      <c r="M67" s="111">
        <v>200</v>
      </c>
      <c r="N67" s="110">
        <v>200</v>
      </c>
      <c r="O67" s="253">
        <v>0</v>
      </c>
    </row>
    <row r="68" spans="1:15" hidden="1"/>
  </sheetData>
  <mergeCells count="8">
    <mergeCell ref="Q35:AE35"/>
    <mergeCell ref="AG35:AU35"/>
    <mergeCell ref="A1:O1"/>
    <mergeCell ref="Q1:AE1"/>
    <mergeCell ref="AG1:AU1"/>
    <mergeCell ref="A18:O18"/>
    <mergeCell ref="Q18:AE18"/>
    <mergeCell ref="AG18:AU18"/>
  </mergeCells>
  <conditionalFormatting sqref="AH3:AU16">
    <cfRule type="cellIs" dxfId="11" priority="7" operator="equal">
      <formula>$AQ$10</formula>
    </cfRule>
  </conditionalFormatting>
  <conditionalFormatting sqref="AH20:AU33">
    <cfRule type="cellIs" dxfId="10" priority="6" operator="equal">
      <formula>$AP$22</formula>
    </cfRule>
  </conditionalFormatting>
  <conditionalFormatting sqref="AH37:AU50">
    <cfRule type="cellIs" dxfId="9" priority="5" operator="equal">
      <formula>$AQ$44</formula>
    </cfRule>
  </conditionalFormatting>
  <conditionalFormatting sqref="O17">
    <cfRule type="containsText" dxfId="8" priority="3" operator="containsText" text="&quot;FALSO&quot;">
      <formula>NOT(ISERROR(SEARCH("""FALSO""",O17)))</formula>
    </cfRule>
  </conditionalFormatting>
  <conditionalFormatting sqref="O34">
    <cfRule type="containsText" dxfId="7" priority="2" operator="containsText" text="&quot;FALSO&quot;">
      <formula>NOT(ISERROR(SEARCH("""FALSO""",O34)))</formula>
    </cfRule>
  </conditionalFormatting>
  <conditionalFormatting sqref="O51">
    <cfRule type="containsText" dxfId="6" priority="1" operator="containsText" text="&quot;FALSO&quot;">
      <formula>NOT(ISERROR(SEARCH("""FALSO""",O51)))</formula>
    </cfRule>
  </conditionalFormatting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ED42-7D19-472E-ABE8-BD5275C2877A}">
  <dimension ref="A1:Q39"/>
  <sheetViews>
    <sheetView zoomScale="130" zoomScaleNormal="130" workbookViewId="0">
      <selection activeCell="D6" sqref="D6:D7"/>
    </sheetView>
  </sheetViews>
  <sheetFormatPr defaultColWidth="11.25" defaultRowHeight="15"/>
  <cols>
    <col min="1" max="1" width="5.25" style="78" bestFit="1" customWidth="1"/>
    <col min="2" max="10" width="5.875" style="78" bestFit="1" customWidth="1"/>
    <col min="11" max="11" width="6.375" style="78" bestFit="1" customWidth="1"/>
    <col min="12" max="12" width="11.25" style="78"/>
    <col min="13" max="13" width="7.375" style="78" bestFit="1" customWidth="1"/>
    <col min="14" max="14" width="25.625" style="78" bestFit="1" customWidth="1"/>
    <col min="15" max="15" width="11.25" style="78"/>
    <col min="16" max="16" width="39.25" style="78" hidden="1" customWidth="1"/>
    <col min="17" max="17" width="0" style="78" hidden="1" customWidth="1"/>
    <col min="18" max="16384" width="11.25" style="78"/>
  </cols>
  <sheetData>
    <row r="1" spans="1:17">
      <c r="A1" s="153" t="s">
        <v>51</v>
      </c>
      <c r="B1" s="154" t="s">
        <v>52</v>
      </c>
      <c r="C1" s="254"/>
      <c r="D1" s="254"/>
      <c r="E1" s="254"/>
      <c r="F1" s="254"/>
      <c r="G1" s="254"/>
      <c r="H1" s="254"/>
      <c r="I1" s="254"/>
      <c r="J1" s="254"/>
      <c r="K1" s="255"/>
    </row>
    <row r="2" spans="1:17">
      <c r="A2" s="256"/>
      <c r="B2" s="112">
        <v>1</v>
      </c>
      <c r="C2" s="112">
        <v>2</v>
      </c>
      <c r="D2" s="112">
        <v>3</v>
      </c>
      <c r="E2" s="112">
        <v>4</v>
      </c>
      <c r="F2" s="112">
        <v>5</v>
      </c>
      <c r="G2" s="112">
        <v>6</v>
      </c>
      <c r="H2" s="112">
        <v>7</v>
      </c>
      <c r="I2" s="112">
        <v>8</v>
      </c>
      <c r="J2" s="112">
        <v>9</v>
      </c>
      <c r="K2" s="112">
        <v>10</v>
      </c>
    </row>
    <row r="3" spans="1:17">
      <c r="A3" s="113">
        <v>1</v>
      </c>
      <c r="B3" s="257">
        <f>'Biotren 2025'!AC3</f>
        <v>430</v>
      </c>
      <c r="C3" s="257">
        <f>'Biotren 2025'!AD3</f>
        <v>500</v>
      </c>
      <c r="D3" s="257">
        <f>'Biotren 2025'!AE3</f>
        <v>550</v>
      </c>
      <c r="E3" s="257">
        <f>'Biotren 2025'!AF3</f>
        <v>560</v>
      </c>
      <c r="F3" s="257">
        <f>'Biotren 2025'!AG3</f>
        <v>580</v>
      </c>
      <c r="G3" s="257">
        <f>'Biotren 2025'!AH3</f>
        <v>600</v>
      </c>
      <c r="H3" s="257">
        <f>'Biotren 2025'!AI3</f>
        <v>600</v>
      </c>
      <c r="I3" s="257">
        <f>'Biotren 2025'!AJ3</f>
        <v>910</v>
      </c>
      <c r="J3" s="257">
        <f>'Biotren 2025'!AK3</f>
        <v>960</v>
      </c>
      <c r="K3" s="257">
        <f>'Biotren 2025'!AL3</f>
        <v>970</v>
      </c>
      <c r="M3" s="258" t="s">
        <v>53</v>
      </c>
      <c r="N3" s="259" t="s">
        <v>54</v>
      </c>
      <c r="P3" s="78" t="s">
        <v>122</v>
      </c>
      <c r="Q3" s="257">
        <v>500</v>
      </c>
    </row>
    <row r="4" spans="1:17">
      <c r="A4" s="113">
        <v>2</v>
      </c>
      <c r="B4" s="257">
        <f>'Biotren 2025'!AC4</f>
        <v>500</v>
      </c>
      <c r="C4" s="257">
        <f>'Biotren 2025'!AD4</f>
        <v>420</v>
      </c>
      <c r="D4" s="257">
        <f>'Biotren 2025'!AE4</f>
        <v>510</v>
      </c>
      <c r="E4" s="257">
        <f>'Biotren 2025'!AF4</f>
        <v>540</v>
      </c>
      <c r="F4" s="257">
        <f>'Biotren 2025'!AG4</f>
        <v>550</v>
      </c>
      <c r="G4" s="257">
        <f>'Biotren 2025'!AH4</f>
        <v>590</v>
      </c>
      <c r="H4" s="257">
        <f>'Biotren 2025'!AI4</f>
        <v>590</v>
      </c>
      <c r="I4" s="257">
        <f>'Biotren 2025'!AJ4</f>
        <v>900</v>
      </c>
      <c r="J4" s="257">
        <f>'Biotren 2025'!AK4</f>
        <v>910</v>
      </c>
      <c r="K4" s="257">
        <f>'Biotren 2025'!AL4</f>
        <v>910</v>
      </c>
      <c r="M4" s="114"/>
      <c r="P4" s="78" t="s">
        <v>123</v>
      </c>
      <c r="Q4" s="257">
        <v>470</v>
      </c>
    </row>
    <row r="5" spans="1:17">
      <c r="A5" s="113">
        <v>3</v>
      </c>
      <c r="B5" s="257">
        <f>'Biotren 2025'!AC5</f>
        <v>550</v>
      </c>
      <c r="C5" s="257">
        <f>'Biotren 2025'!AD5</f>
        <v>510</v>
      </c>
      <c r="D5" s="257">
        <f>'Biotren 2025'!AE5</f>
        <v>420</v>
      </c>
      <c r="E5" s="257">
        <f>'Biotren 2025'!AF5</f>
        <v>500</v>
      </c>
      <c r="F5" s="257">
        <f>'Biotren 2025'!AG5</f>
        <v>540</v>
      </c>
      <c r="G5" s="257">
        <f>'Biotren 2025'!AH5</f>
        <v>570</v>
      </c>
      <c r="H5" s="257">
        <f>'Biotren 2025'!AI5</f>
        <v>570</v>
      </c>
      <c r="I5" s="257">
        <f>'Biotren 2025'!AJ5</f>
        <v>850</v>
      </c>
      <c r="J5" s="257">
        <f>'Biotren 2025'!AK5</f>
        <v>850</v>
      </c>
      <c r="K5" s="257">
        <f>'Biotren 2025'!AL5</f>
        <v>880</v>
      </c>
      <c r="M5" s="258" t="s">
        <v>55</v>
      </c>
      <c r="N5" s="259" t="s">
        <v>56</v>
      </c>
      <c r="P5" s="78" t="s">
        <v>124</v>
      </c>
      <c r="Q5" s="257">
        <v>450</v>
      </c>
    </row>
    <row r="6" spans="1:17">
      <c r="A6" s="113">
        <v>4</v>
      </c>
      <c r="B6" s="257">
        <f>'Biotren 2025'!AC6</f>
        <v>560</v>
      </c>
      <c r="C6" s="257">
        <f>'Biotren 2025'!AD6</f>
        <v>540</v>
      </c>
      <c r="D6" s="257">
        <f>'Biotren 2025'!AE6</f>
        <v>500</v>
      </c>
      <c r="E6" s="257">
        <f>'Biotren 2025'!AF6</f>
        <v>420</v>
      </c>
      <c r="F6" s="257">
        <f>'Biotren 2025'!AG6</f>
        <v>490</v>
      </c>
      <c r="G6" s="257">
        <f>'Biotren 2025'!AH6</f>
        <v>560</v>
      </c>
      <c r="H6" s="257">
        <f>'Biotren 2025'!AI6</f>
        <v>590</v>
      </c>
      <c r="I6" s="257">
        <f>'Biotren 2025'!AJ6</f>
        <v>870</v>
      </c>
      <c r="J6" s="257">
        <f>'Biotren 2025'!AK6</f>
        <v>880</v>
      </c>
      <c r="K6" s="257">
        <f>'Biotren 2025'!AL6</f>
        <v>900</v>
      </c>
      <c r="M6" s="114"/>
      <c r="N6" s="259" t="s">
        <v>57</v>
      </c>
      <c r="P6" s="78" t="s">
        <v>125</v>
      </c>
      <c r="Q6" s="257">
        <v>500</v>
      </c>
    </row>
    <row r="7" spans="1:17">
      <c r="A7" s="113">
        <v>5</v>
      </c>
      <c r="B7" s="257">
        <f>'Biotren 2025'!AC7</f>
        <v>580</v>
      </c>
      <c r="C7" s="257">
        <f>'Biotren 2025'!AD7</f>
        <v>550</v>
      </c>
      <c r="D7" s="257">
        <f>'Biotren 2025'!AE7</f>
        <v>540</v>
      </c>
      <c r="E7" s="257">
        <f>'Biotren 2025'!AF7</f>
        <v>490</v>
      </c>
      <c r="F7" s="257">
        <f>'Biotren 2025'!AG7</f>
        <v>420</v>
      </c>
      <c r="G7" s="257">
        <f>'Biotren 2025'!AH7</f>
        <v>560</v>
      </c>
      <c r="H7" s="257">
        <f>'Biotren 2025'!AI7</f>
        <v>590</v>
      </c>
      <c r="I7" s="257">
        <f>'Biotren 2025'!AJ7</f>
        <v>880</v>
      </c>
      <c r="J7" s="257">
        <f>'Biotren 2025'!AK7</f>
        <v>900</v>
      </c>
      <c r="K7" s="257">
        <f>'Biotren 2025'!AL7</f>
        <v>910</v>
      </c>
      <c r="M7" s="114"/>
      <c r="N7" s="259" t="s">
        <v>58</v>
      </c>
      <c r="P7" s="78" t="s">
        <v>126</v>
      </c>
      <c r="Q7" s="257">
        <v>500</v>
      </c>
    </row>
    <row r="8" spans="1:17">
      <c r="A8" s="113">
        <v>6</v>
      </c>
      <c r="B8" s="257">
        <f>'Biotren 2025'!AC8</f>
        <v>600</v>
      </c>
      <c r="C8" s="257">
        <f>'Biotren 2025'!AD8</f>
        <v>590</v>
      </c>
      <c r="D8" s="257">
        <f>'Biotren 2025'!AE8</f>
        <v>570</v>
      </c>
      <c r="E8" s="257">
        <f>'Biotren 2025'!AF8</f>
        <v>560</v>
      </c>
      <c r="F8" s="257">
        <f>'Biotren 2025'!AG8</f>
        <v>560</v>
      </c>
      <c r="G8" s="257">
        <f>'Biotren 2025'!AH8</f>
        <v>440</v>
      </c>
      <c r="H8" s="257">
        <f>'Biotren 2025'!AI8</f>
        <v>510</v>
      </c>
      <c r="I8" s="257">
        <f>'Biotren 2025'!AJ8</f>
        <v>650</v>
      </c>
      <c r="J8" s="257">
        <f>'Biotren 2025'!AK8</f>
        <v>680</v>
      </c>
      <c r="K8" s="257">
        <f>'Biotren 2025'!AL8</f>
        <v>790</v>
      </c>
      <c r="M8" s="114"/>
      <c r="N8" s="259" t="s">
        <v>59</v>
      </c>
      <c r="P8" s="78" t="s">
        <v>127</v>
      </c>
      <c r="Q8" s="257">
        <v>510</v>
      </c>
    </row>
    <row r="9" spans="1:17">
      <c r="A9" s="113">
        <v>7</v>
      </c>
      <c r="B9" s="257">
        <f>'Biotren 2025'!AC9</f>
        <v>600</v>
      </c>
      <c r="C9" s="257">
        <f>'Biotren 2025'!AD9</f>
        <v>590</v>
      </c>
      <c r="D9" s="257">
        <f>'Biotren 2025'!AE9</f>
        <v>570</v>
      </c>
      <c r="E9" s="257">
        <f>'Biotren 2025'!AF9</f>
        <v>590</v>
      </c>
      <c r="F9" s="257">
        <f>'Biotren 2025'!AG9</f>
        <v>590</v>
      </c>
      <c r="G9" s="257">
        <f>'Biotren 2025'!AH9</f>
        <v>510</v>
      </c>
      <c r="H9" s="257">
        <f>'Biotren 2025'!AI9</f>
        <v>430</v>
      </c>
      <c r="I9" s="257">
        <f>'Biotren 2025'!AJ9</f>
        <v>610</v>
      </c>
      <c r="J9" s="257">
        <f>'Biotren 2025'!AK9</f>
        <v>630</v>
      </c>
      <c r="K9" s="257">
        <f>'Biotren 2025'!AL9</f>
        <v>650</v>
      </c>
      <c r="M9" s="114"/>
      <c r="P9" s="78" t="s">
        <v>128</v>
      </c>
      <c r="Q9" s="257">
        <v>780</v>
      </c>
    </row>
    <row r="10" spans="1:17">
      <c r="A10" s="113">
        <v>8</v>
      </c>
      <c r="B10" s="257">
        <f>'Biotren 2025'!AC10</f>
        <v>910</v>
      </c>
      <c r="C10" s="257">
        <f>'Biotren 2025'!AD10</f>
        <v>900</v>
      </c>
      <c r="D10" s="257">
        <f>'Biotren 2025'!AE10</f>
        <v>850</v>
      </c>
      <c r="E10" s="257">
        <f>'Biotren 2025'!AF10</f>
        <v>870</v>
      </c>
      <c r="F10" s="257">
        <f>'Biotren 2025'!AG10</f>
        <v>880</v>
      </c>
      <c r="G10" s="257">
        <f>'Biotren 2025'!AH10</f>
        <v>650</v>
      </c>
      <c r="H10" s="257">
        <f>'Biotren 2025'!AI10</f>
        <v>610</v>
      </c>
      <c r="I10" s="257">
        <f>'Biotren 2025'!AJ10</f>
        <v>440</v>
      </c>
      <c r="J10" s="257">
        <f>'Biotren 2025'!AK10</f>
        <v>460</v>
      </c>
      <c r="K10" s="257">
        <f>'Biotren 2025'!AL10</f>
        <v>530</v>
      </c>
      <c r="M10" s="258" t="s">
        <v>60</v>
      </c>
      <c r="N10" s="259" t="s">
        <v>61</v>
      </c>
      <c r="P10" s="78" t="s">
        <v>129</v>
      </c>
      <c r="Q10" s="257">
        <v>780</v>
      </c>
    </row>
    <row r="11" spans="1:17">
      <c r="A11" s="113">
        <v>9</v>
      </c>
      <c r="B11" s="257">
        <f>'Biotren 2025'!AC11</f>
        <v>960</v>
      </c>
      <c r="C11" s="257">
        <f>'Biotren 2025'!AD11</f>
        <v>910</v>
      </c>
      <c r="D11" s="257">
        <f>'Biotren 2025'!AE11</f>
        <v>850</v>
      </c>
      <c r="E11" s="257">
        <f>'Biotren 2025'!AF11</f>
        <v>880</v>
      </c>
      <c r="F11" s="257">
        <f>'Biotren 2025'!AG11</f>
        <v>900</v>
      </c>
      <c r="G11" s="257">
        <f>'Biotren 2025'!AH11</f>
        <v>680</v>
      </c>
      <c r="H11" s="257">
        <f>'Biotren 2025'!AI11</f>
        <v>630</v>
      </c>
      <c r="I11" s="257">
        <f>'Biotren 2025'!AJ11</f>
        <v>460</v>
      </c>
      <c r="J11" s="257">
        <f>'Biotren 2025'!AK11</f>
        <v>440</v>
      </c>
      <c r="K11" s="257">
        <f>'Biotren 2025'!AL11</f>
        <v>450</v>
      </c>
      <c r="M11" s="114"/>
      <c r="N11" s="259" t="s">
        <v>62</v>
      </c>
      <c r="P11" s="78" t="s">
        <v>130</v>
      </c>
      <c r="Q11" s="257">
        <v>810</v>
      </c>
    </row>
    <row r="12" spans="1:17">
      <c r="A12" s="113">
        <v>10</v>
      </c>
      <c r="B12" s="257">
        <f>'Biotren 2025'!AC12</f>
        <v>970</v>
      </c>
      <c r="C12" s="257">
        <f>'Biotren 2025'!AD12</f>
        <v>910</v>
      </c>
      <c r="D12" s="257">
        <f>'Biotren 2025'!AE12</f>
        <v>880</v>
      </c>
      <c r="E12" s="257">
        <f>'Biotren 2025'!AF12</f>
        <v>900</v>
      </c>
      <c r="F12" s="257">
        <f>'Biotren 2025'!AG12</f>
        <v>910</v>
      </c>
      <c r="G12" s="257">
        <f>'Biotren 2025'!AH12</f>
        <v>790</v>
      </c>
      <c r="H12" s="257">
        <f>'Biotren 2025'!AI12</f>
        <v>650</v>
      </c>
      <c r="I12" s="257">
        <f>'Biotren 2025'!AJ12</f>
        <v>530</v>
      </c>
      <c r="J12" s="257">
        <f>'Biotren 2025'!AK12</f>
        <v>450</v>
      </c>
      <c r="K12" s="257">
        <f>'Biotren 2025'!AL12</f>
        <v>440</v>
      </c>
      <c r="M12" s="114"/>
    </row>
    <row r="13" spans="1:17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00" cm="1">
        <f t="array" ref="K13">SUMPRODUCT(ABS((B3:K12)-(TRANSPOSE(B3:K12))))</f>
        <v>0</v>
      </c>
      <c r="M13" s="258" t="s">
        <v>63</v>
      </c>
      <c r="N13" s="259" t="s">
        <v>6</v>
      </c>
    </row>
    <row r="14" spans="1:17">
      <c r="A14" s="153" t="s">
        <v>51</v>
      </c>
      <c r="B14" s="154" t="s">
        <v>65</v>
      </c>
      <c r="C14" s="254"/>
      <c r="D14" s="254"/>
      <c r="E14" s="254"/>
      <c r="F14" s="254"/>
      <c r="G14" s="254"/>
      <c r="H14" s="254"/>
      <c r="I14" s="254"/>
      <c r="J14" s="254"/>
      <c r="K14" s="255"/>
      <c r="N14" s="259" t="s">
        <v>64</v>
      </c>
    </row>
    <row r="15" spans="1:17">
      <c r="A15" s="256"/>
      <c r="B15" s="112">
        <v>1</v>
      </c>
      <c r="C15" s="112">
        <v>2</v>
      </c>
      <c r="D15" s="112">
        <v>3</v>
      </c>
      <c r="E15" s="112">
        <v>4</v>
      </c>
      <c r="F15" s="112">
        <v>5</v>
      </c>
      <c r="G15" s="112">
        <v>6</v>
      </c>
      <c r="H15" s="112">
        <v>7</v>
      </c>
      <c r="I15" s="112">
        <v>8</v>
      </c>
      <c r="J15" s="112">
        <v>9</v>
      </c>
      <c r="K15" s="112">
        <v>10</v>
      </c>
      <c r="M15" s="114"/>
      <c r="N15" s="259" t="s">
        <v>66</v>
      </c>
    </row>
    <row r="16" spans="1:17">
      <c r="A16" s="113">
        <v>1</v>
      </c>
      <c r="B16" s="257">
        <f>'Biotren 2025'!AC16</f>
        <v>140</v>
      </c>
      <c r="C16" s="257">
        <f>'Biotren 2025'!AD16</f>
        <v>170</v>
      </c>
      <c r="D16" s="257">
        <f>'Biotren 2025'!AE16</f>
        <v>180</v>
      </c>
      <c r="E16" s="257">
        <f>'Biotren 2025'!AF16</f>
        <v>190</v>
      </c>
      <c r="F16" s="257">
        <f>'Biotren 2025'!AG16</f>
        <v>190</v>
      </c>
      <c r="G16" s="257">
        <f>'Biotren 2025'!AH16</f>
        <v>200</v>
      </c>
      <c r="H16" s="257">
        <f>'Biotren 2025'!AI16</f>
        <v>200</v>
      </c>
      <c r="I16" s="257">
        <f>'Biotren 2025'!AJ16</f>
        <v>300</v>
      </c>
      <c r="J16" s="257">
        <f>'Biotren 2025'!AK16</f>
        <v>320</v>
      </c>
      <c r="K16" s="257">
        <f>'Biotren 2025'!AL16</f>
        <v>320</v>
      </c>
      <c r="M16" s="114"/>
    </row>
    <row r="17" spans="1:14">
      <c r="A17" s="113">
        <v>2</v>
      </c>
      <c r="B17" s="257">
        <f>'Biotren 2025'!AC17</f>
        <v>170</v>
      </c>
      <c r="C17" s="257">
        <f>'Biotren 2025'!AD17</f>
        <v>140</v>
      </c>
      <c r="D17" s="257">
        <f>'Biotren 2025'!AE17</f>
        <v>170</v>
      </c>
      <c r="E17" s="257">
        <f>'Biotren 2025'!AF17</f>
        <v>180</v>
      </c>
      <c r="F17" s="257">
        <f>'Biotren 2025'!AG17</f>
        <v>180</v>
      </c>
      <c r="G17" s="257">
        <f>'Biotren 2025'!AH17</f>
        <v>200</v>
      </c>
      <c r="H17" s="257">
        <f>'Biotren 2025'!AI17</f>
        <v>200</v>
      </c>
      <c r="I17" s="257">
        <f>'Biotren 2025'!AJ17</f>
        <v>300</v>
      </c>
      <c r="J17" s="257">
        <f>'Biotren 2025'!AK17</f>
        <v>300</v>
      </c>
      <c r="K17" s="257">
        <f>'Biotren 2025'!AL17</f>
        <v>300</v>
      </c>
      <c r="M17" s="258" t="s">
        <v>67</v>
      </c>
      <c r="N17" s="259" t="s">
        <v>68</v>
      </c>
    </row>
    <row r="18" spans="1:14">
      <c r="A18" s="113">
        <v>3</v>
      </c>
      <c r="B18" s="257">
        <f>'Biotren 2025'!AC18</f>
        <v>180</v>
      </c>
      <c r="C18" s="257">
        <f>'Biotren 2025'!AD18</f>
        <v>170</v>
      </c>
      <c r="D18" s="257">
        <f>'Biotren 2025'!AE18</f>
        <v>140</v>
      </c>
      <c r="E18" s="257">
        <f>'Biotren 2025'!AF18</f>
        <v>170</v>
      </c>
      <c r="F18" s="257">
        <f>'Biotren 2025'!AG18</f>
        <v>180</v>
      </c>
      <c r="G18" s="257">
        <f>'Biotren 2025'!AH18</f>
        <v>190</v>
      </c>
      <c r="H18" s="257">
        <f>'Biotren 2025'!AI18</f>
        <v>190</v>
      </c>
      <c r="I18" s="257">
        <f>'Biotren 2025'!AJ18</f>
        <v>280</v>
      </c>
      <c r="J18" s="257">
        <f>'Biotren 2025'!AK18</f>
        <v>280</v>
      </c>
      <c r="K18" s="257">
        <f>'Biotren 2025'!AL18</f>
        <v>290</v>
      </c>
      <c r="M18" s="114"/>
      <c r="N18" s="259" t="s">
        <v>69</v>
      </c>
    </row>
    <row r="19" spans="1:14">
      <c r="A19" s="113">
        <v>4</v>
      </c>
      <c r="B19" s="257">
        <f>'Biotren 2025'!AC19</f>
        <v>190</v>
      </c>
      <c r="C19" s="257">
        <f>'Biotren 2025'!AD19</f>
        <v>180</v>
      </c>
      <c r="D19" s="257">
        <f>'Biotren 2025'!AE19</f>
        <v>170</v>
      </c>
      <c r="E19" s="257">
        <f>'Biotren 2025'!AF19</f>
        <v>140</v>
      </c>
      <c r="F19" s="257">
        <f>'Biotren 2025'!AG19</f>
        <v>160</v>
      </c>
      <c r="G19" s="257">
        <f>'Biotren 2025'!AH19</f>
        <v>190</v>
      </c>
      <c r="H19" s="257">
        <f>'Biotren 2025'!AI19</f>
        <v>200</v>
      </c>
      <c r="I19" s="257">
        <f>'Biotren 2025'!AJ19</f>
        <v>290</v>
      </c>
      <c r="J19" s="257">
        <f>'Biotren 2025'!AK19</f>
        <v>290</v>
      </c>
      <c r="K19" s="257">
        <f>'Biotren 2025'!AL19</f>
        <v>300</v>
      </c>
      <c r="M19" s="114"/>
    </row>
    <row r="20" spans="1:14">
      <c r="A20" s="113">
        <v>5</v>
      </c>
      <c r="B20" s="257">
        <f>'Biotren 2025'!AC20</f>
        <v>190</v>
      </c>
      <c r="C20" s="257">
        <f>'Biotren 2025'!AD20</f>
        <v>180</v>
      </c>
      <c r="D20" s="257">
        <f>'Biotren 2025'!AE20</f>
        <v>180</v>
      </c>
      <c r="E20" s="257">
        <f>'Biotren 2025'!AF20</f>
        <v>160</v>
      </c>
      <c r="F20" s="257">
        <f>'Biotren 2025'!AG20</f>
        <v>140</v>
      </c>
      <c r="G20" s="257">
        <f>'Biotren 2025'!AH20</f>
        <v>190</v>
      </c>
      <c r="H20" s="257">
        <f>'Biotren 2025'!AI20</f>
        <v>200</v>
      </c>
      <c r="I20" s="257">
        <f>'Biotren 2025'!AJ20</f>
        <v>290</v>
      </c>
      <c r="J20" s="257">
        <f>'Biotren 2025'!AK20</f>
        <v>300</v>
      </c>
      <c r="K20" s="257">
        <f>'Biotren 2025'!AL20</f>
        <v>300</v>
      </c>
      <c r="M20" s="258" t="s">
        <v>70</v>
      </c>
      <c r="N20" s="259" t="s">
        <v>71</v>
      </c>
    </row>
    <row r="21" spans="1:14">
      <c r="A21" s="113">
        <v>6</v>
      </c>
      <c r="B21" s="257">
        <f>'Biotren 2025'!AC21</f>
        <v>200</v>
      </c>
      <c r="C21" s="257">
        <f>'Biotren 2025'!AD21</f>
        <v>200</v>
      </c>
      <c r="D21" s="257">
        <f>'Biotren 2025'!AE21</f>
        <v>190</v>
      </c>
      <c r="E21" s="257">
        <f>'Biotren 2025'!AF21</f>
        <v>190</v>
      </c>
      <c r="F21" s="257">
        <f>'Biotren 2025'!AG21</f>
        <v>190</v>
      </c>
      <c r="G21" s="257">
        <f>'Biotren 2025'!AH21</f>
        <v>150</v>
      </c>
      <c r="H21" s="257">
        <f>'Biotren 2025'!AI21</f>
        <v>170</v>
      </c>
      <c r="I21" s="257">
        <f>'Biotren 2025'!AJ21</f>
        <v>220</v>
      </c>
      <c r="J21" s="257">
        <f>'Biotren 2025'!AK21</f>
        <v>230</v>
      </c>
      <c r="K21" s="257">
        <f>'Biotren 2025'!AL21</f>
        <v>260</v>
      </c>
      <c r="M21" s="114"/>
      <c r="N21" s="259" t="s">
        <v>72</v>
      </c>
    </row>
    <row r="22" spans="1:14">
      <c r="A22" s="113">
        <v>7</v>
      </c>
      <c r="B22" s="257">
        <f>'Biotren 2025'!AC22</f>
        <v>200</v>
      </c>
      <c r="C22" s="257">
        <f>'Biotren 2025'!AD22</f>
        <v>200</v>
      </c>
      <c r="D22" s="257">
        <f>'Biotren 2025'!AE22</f>
        <v>190</v>
      </c>
      <c r="E22" s="257">
        <f>'Biotren 2025'!AF22</f>
        <v>200</v>
      </c>
      <c r="F22" s="257">
        <f>'Biotren 2025'!AG22</f>
        <v>200</v>
      </c>
      <c r="G22" s="257">
        <f>'Biotren 2025'!AH22</f>
        <v>170</v>
      </c>
      <c r="H22" s="257">
        <f>'Biotren 2025'!AI22</f>
        <v>140</v>
      </c>
      <c r="I22" s="257">
        <f>'Biotren 2025'!AJ22</f>
        <v>200</v>
      </c>
      <c r="J22" s="257">
        <f>'Biotren 2025'!AK22</f>
        <v>210</v>
      </c>
      <c r="K22" s="257">
        <f>'Biotren 2025'!AL22</f>
        <v>220</v>
      </c>
      <c r="M22" s="114"/>
      <c r="N22" s="259" t="s">
        <v>73</v>
      </c>
    </row>
    <row r="23" spans="1:14">
      <c r="A23" s="113">
        <v>8</v>
      </c>
      <c r="B23" s="257">
        <f>'Biotren 2025'!AC23</f>
        <v>300</v>
      </c>
      <c r="C23" s="257">
        <f>'Biotren 2025'!AD23</f>
        <v>300</v>
      </c>
      <c r="D23" s="257">
        <f>'Biotren 2025'!AE23</f>
        <v>280</v>
      </c>
      <c r="E23" s="257">
        <f>'Biotren 2025'!AF23</f>
        <v>290</v>
      </c>
      <c r="F23" s="257">
        <f>'Biotren 2025'!AG23</f>
        <v>290</v>
      </c>
      <c r="G23" s="257">
        <f>'Biotren 2025'!AH23</f>
        <v>220</v>
      </c>
      <c r="H23" s="257">
        <f>'Biotren 2025'!AI23</f>
        <v>200</v>
      </c>
      <c r="I23" s="257">
        <f>'Biotren 2025'!AJ23</f>
        <v>150</v>
      </c>
      <c r="J23" s="257">
        <f>'Biotren 2025'!AK23</f>
        <v>150</v>
      </c>
      <c r="K23" s="257">
        <f>'Biotren 2025'!AL23</f>
        <v>180</v>
      </c>
      <c r="M23" s="114"/>
    </row>
    <row r="24" spans="1:14">
      <c r="A24" s="113">
        <v>9</v>
      </c>
      <c r="B24" s="257">
        <f>'Biotren 2025'!AC24</f>
        <v>320</v>
      </c>
      <c r="C24" s="257">
        <f>'Biotren 2025'!AD24</f>
        <v>300</v>
      </c>
      <c r="D24" s="257">
        <f>'Biotren 2025'!AE24</f>
        <v>280</v>
      </c>
      <c r="E24" s="257">
        <f>'Biotren 2025'!AF24</f>
        <v>290</v>
      </c>
      <c r="F24" s="257">
        <f>'Biotren 2025'!AG24</f>
        <v>300</v>
      </c>
      <c r="G24" s="257">
        <f>'Biotren 2025'!AH24</f>
        <v>230</v>
      </c>
      <c r="H24" s="257">
        <f>'Biotren 2025'!AI24</f>
        <v>210</v>
      </c>
      <c r="I24" s="257">
        <f>'Biotren 2025'!AJ24</f>
        <v>150</v>
      </c>
      <c r="J24" s="257">
        <f>'Biotren 2025'!AK24</f>
        <v>150</v>
      </c>
      <c r="K24" s="257">
        <f>'Biotren 2025'!AL24</f>
        <v>150</v>
      </c>
      <c r="M24" s="258" t="s">
        <v>74</v>
      </c>
      <c r="N24" s="259" t="s">
        <v>75</v>
      </c>
    </row>
    <row r="25" spans="1:14">
      <c r="A25" s="113">
        <v>10</v>
      </c>
      <c r="B25" s="257">
        <f>'Biotren 2025'!AC25</f>
        <v>320</v>
      </c>
      <c r="C25" s="257">
        <f>'Biotren 2025'!AD25</f>
        <v>300</v>
      </c>
      <c r="D25" s="257">
        <f>'Biotren 2025'!AE25</f>
        <v>290</v>
      </c>
      <c r="E25" s="257">
        <f>'Biotren 2025'!AF25</f>
        <v>300</v>
      </c>
      <c r="F25" s="257">
        <f>'Biotren 2025'!AG25</f>
        <v>300</v>
      </c>
      <c r="G25" s="257">
        <f>'Biotren 2025'!AH25</f>
        <v>260</v>
      </c>
      <c r="H25" s="257">
        <f>'Biotren 2025'!AI25</f>
        <v>220</v>
      </c>
      <c r="I25" s="257">
        <f>'Biotren 2025'!AJ25</f>
        <v>180</v>
      </c>
      <c r="J25" s="257">
        <f>'Biotren 2025'!AK25</f>
        <v>150</v>
      </c>
      <c r="K25" s="257">
        <f>'Biotren 2025'!AL25</f>
        <v>150</v>
      </c>
      <c r="M25" s="114"/>
      <c r="N25" s="259" t="s">
        <v>76</v>
      </c>
    </row>
    <row r="26" spans="1:14">
      <c r="K26" s="100" cm="1">
        <f t="array" ref="K26">SUMPRODUCT(ABS((B16:K25)-(TRANSPOSE(B16:K25))))</f>
        <v>0</v>
      </c>
      <c r="M26" s="114"/>
      <c r="N26" s="259" t="s">
        <v>77</v>
      </c>
    </row>
    <row r="27" spans="1:14">
      <c r="A27" s="153" t="s">
        <v>51</v>
      </c>
      <c r="B27" s="154" t="s">
        <v>79</v>
      </c>
      <c r="C27" s="254"/>
      <c r="D27" s="254"/>
      <c r="E27" s="254"/>
      <c r="F27" s="254"/>
      <c r="G27" s="254"/>
      <c r="H27" s="254"/>
      <c r="I27" s="254"/>
      <c r="J27" s="254"/>
      <c r="K27" s="255"/>
      <c r="M27" s="114"/>
      <c r="N27" s="259" t="s">
        <v>78</v>
      </c>
    </row>
    <row r="28" spans="1:14">
      <c r="A28" s="256"/>
      <c r="B28" s="112">
        <v>1</v>
      </c>
      <c r="C28" s="112">
        <v>2</v>
      </c>
      <c r="D28" s="112">
        <v>3</v>
      </c>
      <c r="E28" s="112">
        <v>4</v>
      </c>
      <c r="F28" s="112">
        <v>5</v>
      </c>
      <c r="G28" s="112">
        <v>6</v>
      </c>
      <c r="H28" s="112">
        <v>7</v>
      </c>
      <c r="I28" s="112">
        <v>8</v>
      </c>
      <c r="J28" s="112">
        <v>9</v>
      </c>
      <c r="K28" s="112">
        <v>10</v>
      </c>
      <c r="M28" s="114"/>
    </row>
    <row r="29" spans="1:14">
      <c r="A29" s="113">
        <v>1</v>
      </c>
      <c r="B29" s="257">
        <f>'Biotren 2025'!AC29</f>
        <v>220</v>
      </c>
      <c r="C29" s="257">
        <f>'Biotren 2025'!AD29</f>
        <v>250</v>
      </c>
      <c r="D29" s="257">
        <f>'Biotren 2025'!AE29</f>
        <v>280</v>
      </c>
      <c r="E29" s="257">
        <f>'Biotren 2025'!AF29</f>
        <v>280</v>
      </c>
      <c r="F29" s="257">
        <f>'Biotren 2025'!AG29</f>
        <v>290</v>
      </c>
      <c r="G29" s="257">
        <f>'Biotren 2025'!AH29</f>
        <v>300</v>
      </c>
      <c r="H29" s="257">
        <f>'Biotren 2025'!AI29</f>
        <v>300</v>
      </c>
      <c r="I29" s="257">
        <f>'Biotren 2025'!AJ29</f>
        <v>460</v>
      </c>
      <c r="J29" s="257">
        <f>'Biotren 2025'!AK29</f>
        <v>480</v>
      </c>
      <c r="K29" s="257">
        <f>'Biotren 2025'!AL29</f>
        <v>490</v>
      </c>
      <c r="M29" s="258" t="s">
        <v>80</v>
      </c>
      <c r="N29" s="259" t="s">
        <v>81</v>
      </c>
    </row>
    <row r="30" spans="1:14">
      <c r="A30" s="113">
        <v>2</v>
      </c>
      <c r="B30" s="257">
        <f>'Biotren 2025'!AC30</f>
        <v>250</v>
      </c>
      <c r="C30" s="257">
        <f>'Biotren 2025'!AD30</f>
        <v>210</v>
      </c>
      <c r="D30" s="257">
        <f>'Biotren 2025'!AE30</f>
        <v>260</v>
      </c>
      <c r="E30" s="257">
        <f>'Biotren 2025'!AF30</f>
        <v>270</v>
      </c>
      <c r="F30" s="257">
        <f>'Biotren 2025'!AG30</f>
        <v>280</v>
      </c>
      <c r="G30" s="257">
        <f>'Biotren 2025'!AH30</f>
        <v>300</v>
      </c>
      <c r="H30" s="257">
        <f>'Biotren 2025'!AI30</f>
        <v>300</v>
      </c>
      <c r="I30" s="257">
        <f>'Biotren 2025'!AJ30</f>
        <v>450</v>
      </c>
      <c r="J30" s="257">
        <f>'Biotren 2025'!AK30</f>
        <v>460</v>
      </c>
      <c r="K30" s="257">
        <f>'Biotren 2025'!AL30</f>
        <v>460</v>
      </c>
      <c r="M30" s="114"/>
      <c r="N30" s="259" t="s">
        <v>82</v>
      </c>
    </row>
    <row r="31" spans="1:14">
      <c r="A31" s="113">
        <v>3</v>
      </c>
      <c r="B31" s="257">
        <f>'Biotren 2025'!AC31</f>
        <v>280</v>
      </c>
      <c r="C31" s="257">
        <f>'Biotren 2025'!AD31</f>
        <v>260</v>
      </c>
      <c r="D31" s="257">
        <f>'Biotren 2025'!AE31</f>
        <v>210</v>
      </c>
      <c r="E31" s="257">
        <f>'Biotren 2025'!AF31</f>
        <v>250</v>
      </c>
      <c r="F31" s="257">
        <f>'Biotren 2025'!AG31</f>
        <v>270</v>
      </c>
      <c r="G31" s="257">
        <f>'Biotren 2025'!AH31</f>
        <v>290</v>
      </c>
      <c r="H31" s="257">
        <f>'Biotren 2025'!AI31</f>
        <v>290</v>
      </c>
      <c r="I31" s="257">
        <f>'Biotren 2025'!AJ31</f>
        <v>430</v>
      </c>
      <c r="J31" s="257">
        <f>'Biotren 2025'!AK31</f>
        <v>430</v>
      </c>
      <c r="K31" s="257">
        <f>'Biotren 2025'!AL31</f>
        <v>440</v>
      </c>
      <c r="M31" s="114"/>
    </row>
    <row r="32" spans="1:14">
      <c r="A32" s="113">
        <v>4</v>
      </c>
      <c r="B32" s="257">
        <f>'Biotren 2025'!AC32</f>
        <v>280</v>
      </c>
      <c r="C32" s="257">
        <f>'Biotren 2025'!AD32</f>
        <v>270</v>
      </c>
      <c r="D32" s="257">
        <f>'Biotren 2025'!AE32</f>
        <v>250</v>
      </c>
      <c r="E32" s="257">
        <f>'Biotren 2025'!AF32</f>
        <v>210</v>
      </c>
      <c r="F32" s="257">
        <f>'Biotren 2025'!AG32</f>
        <v>250</v>
      </c>
      <c r="G32" s="257">
        <f>'Biotren 2025'!AH32</f>
        <v>280</v>
      </c>
      <c r="H32" s="257">
        <f>'Biotren 2025'!AI32</f>
        <v>300</v>
      </c>
      <c r="I32" s="257">
        <f>'Biotren 2025'!AJ32</f>
        <v>440</v>
      </c>
      <c r="J32" s="257">
        <f>'Biotren 2025'!AK32</f>
        <v>440</v>
      </c>
      <c r="K32" s="257">
        <f>'Biotren 2025'!AL32</f>
        <v>450</v>
      </c>
      <c r="M32" s="258" t="s">
        <v>83</v>
      </c>
      <c r="N32" s="259" t="s">
        <v>84</v>
      </c>
    </row>
    <row r="33" spans="1:14">
      <c r="A33" s="113">
        <v>5</v>
      </c>
      <c r="B33" s="257">
        <f>'Biotren 2025'!AC33</f>
        <v>290</v>
      </c>
      <c r="C33" s="257">
        <f>'Biotren 2025'!AD33</f>
        <v>280</v>
      </c>
      <c r="D33" s="257">
        <f>'Biotren 2025'!AE33</f>
        <v>270</v>
      </c>
      <c r="E33" s="257">
        <f>'Biotren 2025'!AF33</f>
        <v>250</v>
      </c>
      <c r="F33" s="257">
        <f>'Biotren 2025'!AG33</f>
        <v>210</v>
      </c>
      <c r="G33" s="257">
        <f>'Biotren 2025'!AH33</f>
        <v>280</v>
      </c>
      <c r="H33" s="257">
        <f>'Biotren 2025'!AI33</f>
        <v>300</v>
      </c>
      <c r="I33" s="257">
        <f>'Biotren 2025'!AJ33</f>
        <v>440</v>
      </c>
      <c r="J33" s="257">
        <f>'Biotren 2025'!AK33</f>
        <v>450</v>
      </c>
      <c r="K33" s="257">
        <f>'Biotren 2025'!AL33</f>
        <v>460</v>
      </c>
      <c r="M33" s="114"/>
      <c r="N33" s="259" t="s">
        <v>85</v>
      </c>
    </row>
    <row r="34" spans="1:14">
      <c r="A34" s="113">
        <v>6</v>
      </c>
      <c r="B34" s="257">
        <f>'Biotren 2025'!AC34</f>
        <v>300</v>
      </c>
      <c r="C34" s="257">
        <f>'Biotren 2025'!AD34</f>
        <v>300</v>
      </c>
      <c r="D34" s="257">
        <f>'Biotren 2025'!AE34</f>
        <v>290</v>
      </c>
      <c r="E34" s="257">
        <f>'Biotren 2025'!AF34</f>
        <v>280</v>
      </c>
      <c r="F34" s="257">
        <f>'Biotren 2025'!AG34</f>
        <v>280</v>
      </c>
      <c r="G34" s="257">
        <f>'Biotren 2025'!AH34</f>
        <v>220</v>
      </c>
      <c r="H34" s="257">
        <f>'Biotren 2025'!AI34</f>
        <v>260</v>
      </c>
      <c r="I34" s="257">
        <f>'Biotren 2025'!AJ34</f>
        <v>330</v>
      </c>
      <c r="J34" s="257">
        <f>'Biotren 2025'!AK34</f>
        <v>340</v>
      </c>
      <c r="K34" s="257">
        <f>'Biotren 2025'!AL34</f>
        <v>400</v>
      </c>
      <c r="M34" s="114"/>
    </row>
    <row r="35" spans="1:14">
      <c r="A35" s="113">
        <v>7</v>
      </c>
      <c r="B35" s="257">
        <f>'Biotren 2025'!AC35</f>
        <v>300</v>
      </c>
      <c r="C35" s="257">
        <f>'Biotren 2025'!AD35</f>
        <v>300</v>
      </c>
      <c r="D35" s="257">
        <f>'Biotren 2025'!AE35</f>
        <v>290</v>
      </c>
      <c r="E35" s="257">
        <f>'Biotren 2025'!AF35</f>
        <v>300</v>
      </c>
      <c r="F35" s="257">
        <f>'Biotren 2025'!AG35</f>
        <v>300</v>
      </c>
      <c r="G35" s="257">
        <f>'Biotren 2025'!AH35</f>
        <v>260</v>
      </c>
      <c r="H35" s="257">
        <f>'Biotren 2025'!AI35</f>
        <v>220</v>
      </c>
      <c r="I35" s="257">
        <f>'Biotren 2025'!AJ35</f>
        <v>310</v>
      </c>
      <c r="J35" s="257">
        <f>'Biotren 2025'!AK35</f>
        <v>320</v>
      </c>
      <c r="K35" s="257">
        <f>'Biotren 2025'!AL35</f>
        <v>330</v>
      </c>
      <c r="M35" s="258" t="s">
        <v>86</v>
      </c>
      <c r="N35" s="259" t="s">
        <v>87</v>
      </c>
    </row>
    <row r="36" spans="1:14">
      <c r="A36" s="113">
        <v>8</v>
      </c>
      <c r="B36" s="257">
        <f>'Biotren 2025'!AC36</f>
        <v>460</v>
      </c>
      <c r="C36" s="257">
        <f>'Biotren 2025'!AD36</f>
        <v>450</v>
      </c>
      <c r="D36" s="257">
        <f>'Biotren 2025'!AE36</f>
        <v>430</v>
      </c>
      <c r="E36" s="257">
        <f>'Biotren 2025'!AF36</f>
        <v>440</v>
      </c>
      <c r="F36" s="257">
        <f>'Biotren 2025'!AG36</f>
        <v>440</v>
      </c>
      <c r="G36" s="257">
        <f>'Biotren 2025'!AH36</f>
        <v>330</v>
      </c>
      <c r="H36" s="257">
        <f>'Biotren 2025'!AI36</f>
        <v>310</v>
      </c>
      <c r="I36" s="257">
        <f>'Biotren 2025'!AJ36</f>
        <v>220</v>
      </c>
      <c r="J36" s="257">
        <f>'Biotren 2025'!AK36</f>
        <v>230</v>
      </c>
      <c r="K36" s="257">
        <f>'Biotren 2025'!AL36</f>
        <v>270</v>
      </c>
      <c r="N36" s="259" t="s">
        <v>88</v>
      </c>
    </row>
    <row r="37" spans="1:14">
      <c r="A37" s="113">
        <v>9</v>
      </c>
      <c r="B37" s="257">
        <f>'Biotren 2025'!AC37</f>
        <v>480</v>
      </c>
      <c r="C37" s="257">
        <f>'Biotren 2025'!AD37</f>
        <v>460</v>
      </c>
      <c r="D37" s="257">
        <f>'Biotren 2025'!AE37</f>
        <v>430</v>
      </c>
      <c r="E37" s="257">
        <f>'Biotren 2025'!AF37</f>
        <v>440</v>
      </c>
      <c r="F37" s="257">
        <f>'Biotren 2025'!AG37</f>
        <v>450</v>
      </c>
      <c r="G37" s="257">
        <f>'Biotren 2025'!AH37</f>
        <v>340</v>
      </c>
      <c r="H37" s="257">
        <f>'Biotren 2025'!AI37</f>
        <v>320</v>
      </c>
      <c r="I37" s="257">
        <f>'Biotren 2025'!AJ37</f>
        <v>230</v>
      </c>
      <c r="J37" s="257">
        <f>'Biotren 2025'!AK37</f>
        <v>220</v>
      </c>
      <c r="K37" s="257">
        <f>'Biotren 2025'!AL37</f>
        <v>230</v>
      </c>
    </row>
    <row r="38" spans="1:14">
      <c r="A38" s="113">
        <v>10</v>
      </c>
      <c r="B38" s="257">
        <f>'Biotren 2025'!AC38</f>
        <v>490</v>
      </c>
      <c r="C38" s="257">
        <f>'Biotren 2025'!AD38</f>
        <v>460</v>
      </c>
      <c r="D38" s="257">
        <f>'Biotren 2025'!AE38</f>
        <v>440</v>
      </c>
      <c r="E38" s="257">
        <f>'Biotren 2025'!AF38</f>
        <v>450</v>
      </c>
      <c r="F38" s="257">
        <f>'Biotren 2025'!AG38</f>
        <v>460</v>
      </c>
      <c r="G38" s="257">
        <f>'Biotren 2025'!AH38</f>
        <v>400</v>
      </c>
      <c r="H38" s="257">
        <f>'Biotren 2025'!AI38</f>
        <v>330</v>
      </c>
      <c r="I38" s="257">
        <f>'Biotren 2025'!AJ38</f>
        <v>270</v>
      </c>
      <c r="J38" s="257">
        <f>'Biotren 2025'!AK38</f>
        <v>230</v>
      </c>
      <c r="K38" s="257">
        <f>'Biotren 2025'!AL38</f>
        <v>220</v>
      </c>
    </row>
    <row r="39" spans="1:14">
      <c r="K39" s="100" cm="1">
        <f t="array" ref="K39">SUMPRODUCT(ABS((B29:K38)-(TRANSPOSE(B29:K38))))</f>
        <v>0</v>
      </c>
    </row>
  </sheetData>
  <mergeCells count="6">
    <mergeCell ref="A1:A2"/>
    <mergeCell ref="B1:K1"/>
    <mergeCell ref="A14:A15"/>
    <mergeCell ref="B14:K14"/>
    <mergeCell ref="A27:A28"/>
    <mergeCell ref="B27:K27"/>
  </mergeCells>
  <conditionalFormatting sqref="K13">
    <cfRule type="containsText" dxfId="5" priority="3" operator="containsText" text="&quot;FALSO&quot;">
      <formula>NOT(ISERROR(SEARCH("""FALSO""",K13)))</formula>
    </cfRule>
  </conditionalFormatting>
  <conditionalFormatting sqref="K26">
    <cfRule type="containsText" dxfId="4" priority="2" operator="containsText" text="&quot;FALSO&quot;">
      <formula>NOT(ISERROR(SEARCH("""FALSO""",K26)))</formula>
    </cfRule>
  </conditionalFormatting>
  <conditionalFormatting sqref="K39">
    <cfRule type="containsText" dxfId="3" priority="1" operator="containsText" text="&quot;FALSO&quot;">
      <formula>NOT(ISERROR(SEARCH("""FALSO""",K39)))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CD46-136A-4F91-8F68-D5343A21C5DD}">
  <dimension ref="A1:CB84"/>
  <sheetViews>
    <sheetView tabSelected="1" zoomScale="90" zoomScaleNormal="90" workbookViewId="0">
      <selection activeCell="A2" sqref="A2"/>
    </sheetView>
  </sheetViews>
  <sheetFormatPr defaultColWidth="11.25" defaultRowHeight="15"/>
  <cols>
    <col min="1" max="1" width="17.75" style="78" bestFit="1" customWidth="1"/>
    <col min="2" max="26" width="5.875" style="78" bestFit="1" customWidth="1"/>
    <col min="27" max="27" width="11.25" style="78"/>
    <col min="28" max="28" width="17.75" style="78" hidden="1" customWidth="1"/>
    <col min="29" max="53" width="5.625" style="78" hidden="1" customWidth="1"/>
    <col min="54" max="54" width="0" style="78" hidden="1" customWidth="1"/>
    <col min="55" max="55" width="17.75" style="78" hidden="1" customWidth="1"/>
    <col min="56" max="80" width="5.625" style="78" hidden="1" customWidth="1"/>
    <col min="81" max="16384" width="11.25" style="78"/>
  </cols>
  <sheetData>
    <row r="1" spans="1:80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B1" s="117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C1" s="117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</row>
    <row r="2" spans="1:80" ht="82.5">
      <c r="A2" s="260" t="s">
        <v>32</v>
      </c>
      <c r="B2" s="260" t="s">
        <v>13</v>
      </c>
      <c r="C2" s="260" t="s">
        <v>89</v>
      </c>
      <c r="D2" s="260" t="s">
        <v>90</v>
      </c>
      <c r="E2" s="260" t="s">
        <v>24</v>
      </c>
      <c r="F2" s="260" t="s">
        <v>9</v>
      </c>
      <c r="G2" s="260" t="s">
        <v>91</v>
      </c>
      <c r="H2" s="260" t="s">
        <v>7</v>
      </c>
      <c r="I2" s="260" t="s">
        <v>6</v>
      </c>
      <c r="J2" s="260" t="s">
        <v>5</v>
      </c>
      <c r="K2" s="260" t="s">
        <v>4</v>
      </c>
      <c r="L2" s="260" t="s">
        <v>3</v>
      </c>
      <c r="M2" s="260" t="s">
        <v>2</v>
      </c>
      <c r="N2" s="260" t="s">
        <v>92</v>
      </c>
      <c r="O2" s="260" t="s">
        <v>93</v>
      </c>
      <c r="P2" s="260" t="s">
        <v>94</v>
      </c>
      <c r="Q2" s="260" t="s">
        <v>95</v>
      </c>
      <c r="R2" s="260" t="s">
        <v>96</v>
      </c>
      <c r="S2" s="260" t="s">
        <v>97</v>
      </c>
      <c r="T2" s="260" t="s">
        <v>98</v>
      </c>
      <c r="U2" s="260" t="s">
        <v>99</v>
      </c>
      <c r="V2" s="260" t="s">
        <v>100</v>
      </c>
      <c r="W2" s="260" t="s">
        <v>101</v>
      </c>
      <c r="X2" s="260" t="s">
        <v>102</v>
      </c>
      <c r="Y2" s="260" t="s">
        <v>103</v>
      </c>
      <c r="Z2" s="260" t="s">
        <v>104</v>
      </c>
      <c r="AB2" s="260" t="s">
        <v>32</v>
      </c>
      <c r="AC2" s="260" t="s">
        <v>13</v>
      </c>
      <c r="AD2" s="260" t="s">
        <v>89</v>
      </c>
      <c r="AE2" s="260" t="s">
        <v>90</v>
      </c>
      <c r="AF2" s="260" t="s">
        <v>24</v>
      </c>
      <c r="AG2" s="260" t="s">
        <v>9</v>
      </c>
      <c r="AH2" s="260" t="s">
        <v>91</v>
      </c>
      <c r="AI2" s="260" t="s">
        <v>7</v>
      </c>
      <c r="AJ2" s="260" t="s">
        <v>6</v>
      </c>
      <c r="AK2" s="260" t="s">
        <v>5</v>
      </c>
      <c r="AL2" s="260" t="s">
        <v>4</v>
      </c>
      <c r="AM2" s="260" t="s">
        <v>3</v>
      </c>
      <c r="AN2" s="260" t="s">
        <v>2</v>
      </c>
      <c r="AO2" s="260" t="s">
        <v>92</v>
      </c>
      <c r="AP2" s="260" t="s">
        <v>93</v>
      </c>
      <c r="AQ2" s="260" t="s">
        <v>94</v>
      </c>
      <c r="AR2" s="260" t="s">
        <v>95</v>
      </c>
      <c r="AS2" s="260" t="s">
        <v>96</v>
      </c>
      <c r="AT2" s="260" t="s">
        <v>97</v>
      </c>
      <c r="AU2" s="260" t="s">
        <v>98</v>
      </c>
      <c r="AV2" s="260" t="s">
        <v>99</v>
      </c>
      <c r="AW2" s="260" t="s">
        <v>100</v>
      </c>
      <c r="AX2" s="260" t="s">
        <v>101</v>
      </c>
      <c r="AY2" s="260" t="s">
        <v>102</v>
      </c>
      <c r="AZ2" s="260" t="s">
        <v>103</v>
      </c>
      <c r="BA2" s="260" t="s">
        <v>104</v>
      </c>
      <c r="BC2" s="260" t="s">
        <v>32</v>
      </c>
      <c r="BD2" s="260" t="s">
        <v>13</v>
      </c>
      <c r="BE2" s="260" t="s">
        <v>89</v>
      </c>
      <c r="BF2" s="260" t="s">
        <v>90</v>
      </c>
      <c r="BG2" s="260" t="s">
        <v>24</v>
      </c>
      <c r="BH2" s="260" t="s">
        <v>9</v>
      </c>
      <c r="BI2" s="260" t="s">
        <v>91</v>
      </c>
      <c r="BJ2" s="260" t="s">
        <v>7</v>
      </c>
      <c r="BK2" s="260" t="s">
        <v>6</v>
      </c>
      <c r="BL2" s="260" t="s">
        <v>5</v>
      </c>
      <c r="BM2" s="260" t="s">
        <v>4</v>
      </c>
      <c r="BN2" s="260" t="s">
        <v>3</v>
      </c>
      <c r="BO2" s="260" t="s">
        <v>2</v>
      </c>
      <c r="BP2" s="260" t="s">
        <v>92</v>
      </c>
      <c r="BQ2" s="260" t="s">
        <v>93</v>
      </c>
      <c r="BR2" s="260" t="s">
        <v>94</v>
      </c>
      <c r="BS2" s="260" t="s">
        <v>95</v>
      </c>
      <c r="BT2" s="260" t="s">
        <v>96</v>
      </c>
      <c r="BU2" s="260" t="s">
        <v>97</v>
      </c>
      <c r="BV2" s="260" t="s">
        <v>98</v>
      </c>
      <c r="BW2" s="260" t="s">
        <v>99</v>
      </c>
      <c r="BX2" s="260" t="s">
        <v>100</v>
      </c>
      <c r="BY2" s="260" t="s">
        <v>101</v>
      </c>
      <c r="BZ2" s="260" t="s">
        <v>102</v>
      </c>
      <c r="CA2" s="260" t="s">
        <v>103</v>
      </c>
      <c r="CB2" s="260" t="s">
        <v>104</v>
      </c>
    </row>
    <row r="3" spans="1:80">
      <c r="A3" s="261" t="s">
        <v>13</v>
      </c>
      <c r="B3" s="262">
        <v>430</v>
      </c>
      <c r="C3" s="262">
        <v>500</v>
      </c>
      <c r="D3" s="262">
        <v>500</v>
      </c>
      <c r="E3" s="262">
        <v>500</v>
      </c>
      <c r="F3" s="262">
        <v>500</v>
      </c>
      <c r="G3" s="262">
        <v>550</v>
      </c>
      <c r="H3" s="262">
        <v>550</v>
      </c>
      <c r="I3" s="262">
        <v>560</v>
      </c>
      <c r="J3" s="262">
        <v>560</v>
      </c>
      <c r="K3" s="262">
        <v>560</v>
      </c>
      <c r="L3" s="262">
        <v>580</v>
      </c>
      <c r="M3" s="262">
        <v>580</v>
      </c>
      <c r="N3" s="262">
        <v>600</v>
      </c>
      <c r="O3" s="262">
        <v>600</v>
      </c>
      <c r="P3" s="262">
        <v>600</v>
      </c>
      <c r="Q3" s="262">
        <v>600</v>
      </c>
      <c r="R3" s="262">
        <v>600</v>
      </c>
      <c r="S3" s="262">
        <v>600</v>
      </c>
      <c r="T3" s="263">
        <v>600</v>
      </c>
      <c r="U3" s="263">
        <v>910</v>
      </c>
      <c r="V3" s="263">
        <v>910</v>
      </c>
      <c r="W3" s="263">
        <v>960</v>
      </c>
      <c r="X3" s="263">
        <v>960</v>
      </c>
      <c r="Y3" s="263">
        <v>970</v>
      </c>
      <c r="Z3" s="263">
        <v>970</v>
      </c>
      <c r="AB3" s="261" t="s">
        <v>13</v>
      </c>
      <c r="AC3" s="262">
        <v>340</v>
      </c>
      <c r="AD3" s="262">
        <v>400</v>
      </c>
      <c r="AE3" s="262">
        <v>400</v>
      </c>
      <c r="AF3" s="262">
        <v>400</v>
      </c>
      <c r="AG3" s="262">
        <v>400</v>
      </c>
      <c r="AH3" s="262">
        <v>450</v>
      </c>
      <c r="AI3" s="262">
        <v>450</v>
      </c>
      <c r="AJ3" s="262">
        <v>460</v>
      </c>
      <c r="AK3" s="262">
        <v>460</v>
      </c>
      <c r="AL3" s="262">
        <v>460</v>
      </c>
      <c r="AM3" s="262">
        <v>480</v>
      </c>
      <c r="AN3" s="262">
        <v>480</v>
      </c>
      <c r="AO3" s="262">
        <v>480</v>
      </c>
      <c r="AP3" s="262">
        <v>480</v>
      </c>
      <c r="AQ3" s="262">
        <v>480</v>
      </c>
      <c r="AR3" s="262">
        <v>490</v>
      </c>
      <c r="AS3" s="262">
        <v>490</v>
      </c>
      <c r="AT3" s="262">
        <v>490</v>
      </c>
      <c r="AU3" s="263">
        <v>490</v>
      </c>
      <c r="AV3" s="263">
        <v>770</v>
      </c>
      <c r="AW3" s="263">
        <v>770</v>
      </c>
      <c r="AX3" s="263">
        <v>820</v>
      </c>
      <c r="AY3" s="263">
        <v>820</v>
      </c>
      <c r="AZ3" s="263">
        <v>830</v>
      </c>
      <c r="BA3" s="263">
        <v>830</v>
      </c>
      <c r="BC3" s="261" t="s">
        <v>13</v>
      </c>
      <c r="BD3" s="262">
        <f>B3-AC3</f>
        <v>90</v>
      </c>
      <c r="BE3" s="262">
        <f t="shared" ref="BE3:BT18" si="0">C3-AD3</f>
        <v>100</v>
      </c>
      <c r="BF3" s="262">
        <f t="shared" si="0"/>
        <v>100</v>
      </c>
      <c r="BG3" s="262">
        <f t="shared" si="0"/>
        <v>100</v>
      </c>
      <c r="BH3" s="262">
        <f t="shared" si="0"/>
        <v>100</v>
      </c>
      <c r="BI3" s="262">
        <f t="shared" si="0"/>
        <v>100</v>
      </c>
      <c r="BJ3" s="262">
        <f t="shared" si="0"/>
        <v>100</v>
      </c>
      <c r="BK3" s="262">
        <f t="shared" si="0"/>
        <v>100</v>
      </c>
      <c r="BL3" s="262">
        <f t="shared" si="0"/>
        <v>100</v>
      </c>
      <c r="BM3" s="262">
        <f t="shared" si="0"/>
        <v>100</v>
      </c>
      <c r="BN3" s="262">
        <f t="shared" si="0"/>
        <v>100</v>
      </c>
      <c r="BO3" s="262">
        <f t="shared" si="0"/>
        <v>100</v>
      </c>
      <c r="BP3" s="262">
        <f t="shared" si="0"/>
        <v>120</v>
      </c>
      <c r="BQ3" s="262">
        <f t="shared" si="0"/>
        <v>120</v>
      </c>
      <c r="BR3" s="262">
        <f t="shared" si="0"/>
        <v>120</v>
      </c>
      <c r="BS3" s="262">
        <f t="shared" si="0"/>
        <v>110</v>
      </c>
      <c r="BT3" s="262">
        <f t="shared" si="0"/>
        <v>110</v>
      </c>
      <c r="BU3" s="262">
        <f t="shared" ref="BU3:CB18" si="1">S3-AT3</f>
        <v>110</v>
      </c>
      <c r="BV3" s="262">
        <f t="shared" si="1"/>
        <v>110</v>
      </c>
      <c r="BW3" s="262">
        <f t="shared" si="1"/>
        <v>140</v>
      </c>
      <c r="BX3" s="262">
        <f t="shared" si="1"/>
        <v>140</v>
      </c>
      <c r="BY3" s="262">
        <f t="shared" si="1"/>
        <v>140</v>
      </c>
      <c r="BZ3" s="262">
        <f t="shared" si="1"/>
        <v>140</v>
      </c>
      <c r="CA3" s="262">
        <f t="shared" si="1"/>
        <v>140</v>
      </c>
      <c r="CB3" s="262">
        <f t="shared" si="1"/>
        <v>140</v>
      </c>
    </row>
    <row r="4" spans="1:80">
      <c r="A4" s="261" t="s">
        <v>89</v>
      </c>
      <c r="B4" s="262">
        <v>500</v>
      </c>
      <c r="C4" s="262">
        <v>420</v>
      </c>
      <c r="D4" s="262">
        <v>420</v>
      </c>
      <c r="E4" s="262">
        <v>420</v>
      </c>
      <c r="F4" s="262">
        <v>420</v>
      </c>
      <c r="G4" s="262">
        <v>510</v>
      </c>
      <c r="H4" s="262">
        <v>510</v>
      </c>
      <c r="I4" s="262">
        <v>540</v>
      </c>
      <c r="J4" s="262">
        <v>540</v>
      </c>
      <c r="K4" s="262">
        <v>540</v>
      </c>
      <c r="L4" s="262">
        <v>550</v>
      </c>
      <c r="M4" s="262">
        <v>550</v>
      </c>
      <c r="N4" s="262">
        <v>590</v>
      </c>
      <c r="O4" s="262">
        <v>590</v>
      </c>
      <c r="P4" s="262">
        <v>590</v>
      </c>
      <c r="Q4" s="262">
        <v>590</v>
      </c>
      <c r="R4" s="262">
        <v>590</v>
      </c>
      <c r="S4" s="262">
        <v>590</v>
      </c>
      <c r="T4" s="263">
        <v>590</v>
      </c>
      <c r="U4" s="263">
        <v>900</v>
      </c>
      <c r="V4" s="263">
        <v>900</v>
      </c>
      <c r="W4" s="263">
        <v>910</v>
      </c>
      <c r="X4" s="263">
        <v>910</v>
      </c>
      <c r="Y4" s="263">
        <v>910</v>
      </c>
      <c r="Z4" s="263">
        <v>910</v>
      </c>
      <c r="AB4" s="261" t="s">
        <v>89</v>
      </c>
      <c r="AC4" s="262">
        <v>400</v>
      </c>
      <c r="AD4" s="262">
        <v>340</v>
      </c>
      <c r="AE4" s="262">
        <v>340</v>
      </c>
      <c r="AF4" s="262">
        <v>340</v>
      </c>
      <c r="AG4" s="262">
        <v>340</v>
      </c>
      <c r="AH4" s="262">
        <v>420</v>
      </c>
      <c r="AI4" s="262">
        <v>420</v>
      </c>
      <c r="AJ4" s="262">
        <v>450</v>
      </c>
      <c r="AK4" s="262">
        <v>450</v>
      </c>
      <c r="AL4" s="262">
        <v>450</v>
      </c>
      <c r="AM4" s="262">
        <v>460</v>
      </c>
      <c r="AN4" s="262">
        <v>460</v>
      </c>
      <c r="AO4" s="262">
        <v>470</v>
      </c>
      <c r="AP4" s="262">
        <v>470</v>
      </c>
      <c r="AQ4" s="262">
        <v>470</v>
      </c>
      <c r="AR4" s="262">
        <v>480</v>
      </c>
      <c r="AS4" s="262">
        <v>480</v>
      </c>
      <c r="AT4" s="262">
        <v>480</v>
      </c>
      <c r="AU4" s="263">
        <v>480</v>
      </c>
      <c r="AV4" s="263">
        <v>760</v>
      </c>
      <c r="AW4" s="263">
        <v>760</v>
      </c>
      <c r="AX4" s="263">
        <v>770</v>
      </c>
      <c r="AY4" s="263">
        <v>770</v>
      </c>
      <c r="AZ4" s="263">
        <v>770</v>
      </c>
      <c r="BA4" s="263">
        <v>770</v>
      </c>
      <c r="BC4" s="261" t="s">
        <v>89</v>
      </c>
      <c r="BD4" s="262">
        <f t="shared" ref="BD4:BS27" si="2">B4-AC4</f>
        <v>100</v>
      </c>
      <c r="BE4" s="262">
        <f t="shared" si="0"/>
        <v>80</v>
      </c>
      <c r="BF4" s="262">
        <f t="shared" si="0"/>
        <v>80</v>
      </c>
      <c r="BG4" s="262">
        <f t="shared" si="0"/>
        <v>80</v>
      </c>
      <c r="BH4" s="262">
        <f t="shared" si="0"/>
        <v>80</v>
      </c>
      <c r="BI4" s="262">
        <f t="shared" si="0"/>
        <v>90</v>
      </c>
      <c r="BJ4" s="262">
        <f t="shared" si="0"/>
        <v>90</v>
      </c>
      <c r="BK4" s="262">
        <f t="shared" si="0"/>
        <v>90</v>
      </c>
      <c r="BL4" s="262">
        <f t="shared" si="0"/>
        <v>90</v>
      </c>
      <c r="BM4" s="262">
        <f t="shared" si="0"/>
        <v>90</v>
      </c>
      <c r="BN4" s="262">
        <f t="shared" si="0"/>
        <v>90</v>
      </c>
      <c r="BO4" s="262">
        <f t="shared" si="0"/>
        <v>90</v>
      </c>
      <c r="BP4" s="262">
        <f t="shared" si="0"/>
        <v>120</v>
      </c>
      <c r="BQ4" s="262">
        <f t="shared" si="0"/>
        <v>120</v>
      </c>
      <c r="BR4" s="262">
        <f t="shared" si="0"/>
        <v>120</v>
      </c>
      <c r="BS4" s="262">
        <f t="shared" si="0"/>
        <v>110</v>
      </c>
      <c r="BT4" s="262">
        <f t="shared" si="0"/>
        <v>110</v>
      </c>
      <c r="BU4" s="262">
        <f t="shared" si="1"/>
        <v>110</v>
      </c>
      <c r="BV4" s="262">
        <f t="shared" si="1"/>
        <v>110</v>
      </c>
      <c r="BW4" s="262">
        <f t="shared" si="1"/>
        <v>140</v>
      </c>
      <c r="BX4" s="262">
        <f t="shared" si="1"/>
        <v>140</v>
      </c>
      <c r="BY4" s="262">
        <f t="shared" si="1"/>
        <v>140</v>
      </c>
      <c r="BZ4" s="262">
        <f t="shared" si="1"/>
        <v>140</v>
      </c>
      <c r="CA4" s="262">
        <f t="shared" si="1"/>
        <v>140</v>
      </c>
      <c r="CB4" s="262">
        <f t="shared" si="1"/>
        <v>140</v>
      </c>
    </row>
    <row r="5" spans="1:80">
      <c r="A5" s="261" t="s">
        <v>90</v>
      </c>
      <c r="B5" s="262">
        <v>500</v>
      </c>
      <c r="C5" s="262">
        <v>420</v>
      </c>
      <c r="D5" s="262">
        <v>420</v>
      </c>
      <c r="E5" s="262">
        <v>420</v>
      </c>
      <c r="F5" s="262">
        <v>420</v>
      </c>
      <c r="G5" s="262">
        <v>510</v>
      </c>
      <c r="H5" s="262">
        <v>510</v>
      </c>
      <c r="I5" s="262">
        <v>540</v>
      </c>
      <c r="J5" s="262">
        <v>540</v>
      </c>
      <c r="K5" s="262">
        <v>540</v>
      </c>
      <c r="L5" s="262">
        <v>550</v>
      </c>
      <c r="M5" s="262">
        <v>550</v>
      </c>
      <c r="N5" s="262">
        <v>590</v>
      </c>
      <c r="O5" s="262">
        <v>590</v>
      </c>
      <c r="P5" s="262">
        <v>590</v>
      </c>
      <c r="Q5" s="262">
        <v>590</v>
      </c>
      <c r="R5" s="262">
        <v>590</v>
      </c>
      <c r="S5" s="262">
        <v>590</v>
      </c>
      <c r="T5" s="263">
        <v>590</v>
      </c>
      <c r="U5" s="263">
        <v>900</v>
      </c>
      <c r="V5" s="263">
        <v>900</v>
      </c>
      <c r="W5" s="263">
        <v>910</v>
      </c>
      <c r="X5" s="263">
        <v>910</v>
      </c>
      <c r="Y5" s="263">
        <v>910</v>
      </c>
      <c r="Z5" s="263">
        <v>910</v>
      </c>
      <c r="AB5" s="261" t="s">
        <v>90</v>
      </c>
      <c r="AC5" s="262">
        <v>400</v>
      </c>
      <c r="AD5" s="262">
        <v>340</v>
      </c>
      <c r="AE5" s="262">
        <v>340</v>
      </c>
      <c r="AF5" s="262">
        <v>340</v>
      </c>
      <c r="AG5" s="262">
        <v>340</v>
      </c>
      <c r="AH5" s="262">
        <v>420</v>
      </c>
      <c r="AI5" s="262">
        <v>420</v>
      </c>
      <c r="AJ5" s="262">
        <v>450</v>
      </c>
      <c r="AK5" s="262">
        <v>450</v>
      </c>
      <c r="AL5" s="262">
        <v>450</v>
      </c>
      <c r="AM5" s="262">
        <v>460</v>
      </c>
      <c r="AN5" s="262">
        <v>460</v>
      </c>
      <c r="AO5" s="262">
        <v>470</v>
      </c>
      <c r="AP5" s="262">
        <v>470</v>
      </c>
      <c r="AQ5" s="262">
        <v>470</v>
      </c>
      <c r="AR5" s="262">
        <v>480</v>
      </c>
      <c r="AS5" s="262">
        <v>480</v>
      </c>
      <c r="AT5" s="262">
        <v>480</v>
      </c>
      <c r="AU5" s="263">
        <v>480</v>
      </c>
      <c r="AV5" s="263">
        <v>760</v>
      </c>
      <c r="AW5" s="263">
        <v>760</v>
      </c>
      <c r="AX5" s="263">
        <v>770</v>
      </c>
      <c r="AY5" s="263">
        <v>770</v>
      </c>
      <c r="AZ5" s="263">
        <v>770</v>
      </c>
      <c r="BA5" s="263">
        <v>770</v>
      </c>
      <c r="BC5" s="261" t="s">
        <v>90</v>
      </c>
      <c r="BD5" s="262">
        <f t="shared" si="2"/>
        <v>100</v>
      </c>
      <c r="BE5" s="262">
        <f t="shared" si="0"/>
        <v>80</v>
      </c>
      <c r="BF5" s="262">
        <f t="shared" si="0"/>
        <v>80</v>
      </c>
      <c r="BG5" s="262">
        <f t="shared" si="0"/>
        <v>80</v>
      </c>
      <c r="BH5" s="262">
        <f t="shared" si="0"/>
        <v>80</v>
      </c>
      <c r="BI5" s="262">
        <f t="shared" si="0"/>
        <v>90</v>
      </c>
      <c r="BJ5" s="262">
        <f t="shared" si="0"/>
        <v>90</v>
      </c>
      <c r="BK5" s="262">
        <f t="shared" si="0"/>
        <v>90</v>
      </c>
      <c r="BL5" s="262">
        <f t="shared" si="0"/>
        <v>90</v>
      </c>
      <c r="BM5" s="262">
        <f t="shared" si="0"/>
        <v>90</v>
      </c>
      <c r="BN5" s="262">
        <f t="shared" si="0"/>
        <v>90</v>
      </c>
      <c r="BO5" s="262">
        <f t="shared" si="0"/>
        <v>90</v>
      </c>
      <c r="BP5" s="262">
        <f t="shared" si="0"/>
        <v>120</v>
      </c>
      <c r="BQ5" s="262">
        <f t="shared" si="0"/>
        <v>120</v>
      </c>
      <c r="BR5" s="262">
        <f t="shared" si="0"/>
        <v>120</v>
      </c>
      <c r="BS5" s="262">
        <f t="shared" si="0"/>
        <v>110</v>
      </c>
      <c r="BT5" s="262">
        <f t="shared" si="0"/>
        <v>110</v>
      </c>
      <c r="BU5" s="262">
        <f t="shared" si="1"/>
        <v>110</v>
      </c>
      <c r="BV5" s="262">
        <f t="shared" si="1"/>
        <v>110</v>
      </c>
      <c r="BW5" s="262">
        <f t="shared" si="1"/>
        <v>140</v>
      </c>
      <c r="BX5" s="262">
        <f t="shared" si="1"/>
        <v>140</v>
      </c>
      <c r="BY5" s="262">
        <f t="shared" si="1"/>
        <v>140</v>
      </c>
      <c r="BZ5" s="262">
        <f t="shared" si="1"/>
        <v>140</v>
      </c>
      <c r="CA5" s="262">
        <f t="shared" si="1"/>
        <v>140</v>
      </c>
      <c r="CB5" s="262">
        <f t="shared" si="1"/>
        <v>140</v>
      </c>
    </row>
    <row r="6" spans="1:80">
      <c r="A6" s="261" t="s">
        <v>24</v>
      </c>
      <c r="B6" s="262">
        <v>500</v>
      </c>
      <c r="C6" s="262">
        <v>420</v>
      </c>
      <c r="D6" s="262">
        <v>420</v>
      </c>
      <c r="E6" s="262">
        <v>420</v>
      </c>
      <c r="F6" s="262">
        <v>420</v>
      </c>
      <c r="G6" s="262">
        <v>510</v>
      </c>
      <c r="H6" s="262">
        <v>510</v>
      </c>
      <c r="I6" s="262">
        <v>540</v>
      </c>
      <c r="J6" s="262">
        <v>540</v>
      </c>
      <c r="K6" s="262">
        <v>540</v>
      </c>
      <c r="L6" s="262">
        <v>550</v>
      </c>
      <c r="M6" s="262">
        <v>550</v>
      </c>
      <c r="N6" s="262">
        <v>590</v>
      </c>
      <c r="O6" s="262">
        <v>590</v>
      </c>
      <c r="P6" s="262">
        <v>590</v>
      </c>
      <c r="Q6" s="262">
        <v>590</v>
      </c>
      <c r="R6" s="262">
        <v>590</v>
      </c>
      <c r="S6" s="262">
        <v>590</v>
      </c>
      <c r="T6" s="263">
        <v>590</v>
      </c>
      <c r="U6" s="263">
        <v>900</v>
      </c>
      <c r="V6" s="263">
        <v>900</v>
      </c>
      <c r="W6" s="263">
        <v>910</v>
      </c>
      <c r="X6" s="263">
        <v>910</v>
      </c>
      <c r="Y6" s="263">
        <v>910</v>
      </c>
      <c r="Z6" s="263">
        <v>910</v>
      </c>
      <c r="AB6" s="261" t="s">
        <v>24</v>
      </c>
      <c r="AC6" s="262">
        <v>400</v>
      </c>
      <c r="AD6" s="262">
        <v>340</v>
      </c>
      <c r="AE6" s="262">
        <v>340</v>
      </c>
      <c r="AF6" s="262">
        <v>340</v>
      </c>
      <c r="AG6" s="262">
        <v>340</v>
      </c>
      <c r="AH6" s="262">
        <v>420</v>
      </c>
      <c r="AI6" s="262">
        <v>420</v>
      </c>
      <c r="AJ6" s="262">
        <v>450</v>
      </c>
      <c r="AK6" s="262">
        <v>450</v>
      </c>
      <c r="AL6" s="262">
        <v>450</v>
      </c>
      <c r="AM6" s="262">
        <v>460</v>
      </c>
      <c r="AN6" s="262">
        <v>460</v>
      </c>
      <c r="AO6" s="262">
        <v>470</v>
      </c>
      <c r="AP6" s="262">
        <v>470</v>
      </c>
      <c r="AQ6" s="262">
        <v>470</v>
      </c>
      <c r="AR6" s="262">
        <v>480</v>
      </c>
      <c r="AS6" s="262">
        <v>480</v>
      </c>
      <c r="AT6" s="262">
        <v>480</v>
      </c>
      <c r="AU6" s="263">
        <v>480</v>
      </c>
      <c r="AV6" s="263">
        <v>760</v>
      </c>
      <c r="AW6" s="263">
        <v>760</v>
      </c>
      <c r="AX6" s="263">
        <v>770</v>
      </c>
      <c r="AY6" s="263">
        <v>770</v>
      </c>
      <c r="AZ6" s="263">
        <v>770</v>
      </c>
      <c r="BA6" s="263">
        <v>770</v>
      </c>
      <c r="BC6" s="261" t="s">
        <v>24</v>
      </c>
      <c r="BD6" s="262">
        <f t="shared" si="2"/>
        <v>100</v>
      </c>
      <c r="BE6" s="262">
        <f t="shared" si="0"/>
        <v>80</v>
      </c>
      <c r="BF6" s="262">
        <f t="shared" si="0"/>
        <v>80</v>
      </c>
      <c r="BG6" s="262">
        <f t="shared" si="0"/>
        <v>80</v>
      </c>
      <c r="BH6" s="262">
        <f t="shared" si="0"/>
        <v>80</v>
      </c>
      <c r="BI6" s="262">
        <f t="shared" si="0"/>
        <v>90</v>
      </c>
      <c r="BJ6" s="262">
        <f t="shared" si="0"/>
        <v>90</v>
      </c>
      <c r="BK6" s="262">
        <f t="shared" si="0"/>
        <v>90</v>
      </c>
      <c r="BL6" s="262">
        <f t="shared" si="0"/>
        <v>90</v>
      </c>
      <c r="BM6" s="262">
        <f t="shared" si="0"/>
        <v>90</v>
      </c>
      <c r="BN6" s="262">
        <f t="shared" si="0"/>
        <v>90</v>
      </c>
      <c r="BO6" s="262">
        <f t="shared" si="0"/>
        <v>90</v>
      </c>
      <c r="BP6" s="262">
        <f t="shared" si="0"/>
        <v>120</v>
      </c>
      <c r="BQ6" s="262">
        <f t="shared" si="0"/>
        <v>120</v>
      </c>
      <c r="BR6" s="262">
        <f t="shared" si="0"/>
        <v>120</v>
      </c>
      <c r="BS6" s="262">
        <f t="shared" si="0"/>
        <v>110</v>
      </c>
      <c r="BT6" s="262">
        <f t="shared" si="0"/>
        <v>110</v>
      </c>
      <c r="BU6" s="262">
        <f t="shared" si="1"/>
        <v>110</v>
      </c>
      <c r="BV6" s="262">
        <f t="shared" si="1"/>
        <v>110</v>
      </c>
      <c r="BW6" s="262">
        <f t="shared" si="1"/>
        <v>140</v>
      </c>
      <c r="BX6" s="262">
        <f t="shared" si="1"/>
        <v>140</v>
      </c>
      <c r="BY6" s="262">
        <f t="shared" si="1"/>
        <v>140</v>
      </c>
      <c r="BZ6" s="262">
        <f t="shared" si="1"/>
        <v>140</v>
      </c>
      <c r="CA6" s="262">
        <f t="shared" si="1"/>
        <v>140</v>
      </c>
      <c r="CB6" s="262">
        <f t="shared" si="1"/>
        <v>140</v>
      </c>
    </row>
    <row r="7" spans="1:80">
      <c r="A7" s="261" t="s">
        <v>9</v>
      </c>
      <c r="B7" s="262">
        <v>500</v>
      </c>
      <c r="C7" s="262">
        <v>420</v>
      </c>
      <c r="D7" s="262">
        <v>420</v>
      </c>
      <c r="E7" s="262">
        <v>420</v>
      </c>
      <c r="F7" s="262">
        <v>420</v>
      </c>
      <c r="G7" s="262">
        <v>510</v>
      </c>
      <c r="H7" s="262">
        <v>510</v>
      </c>
      <c r="I7" s="262">
        <v>540</v>
      </c>
      <c r="J7" s="262">
        <v>540</v>
      </c>
      <c r="K7" s="262">
        <v>540</v>
      </c>
      <c r="L7" s="262">
        <v>550</v>
      </c>
      <c r="M7" s="262">
        <v>550</v>
      </c>
      <c r="N7" s="262">
        <v>590</v>
      </c>
      <c r="O7" s="262">
        <v>590</v>
      </c>
      <c r="P7" s="262">
        <v>590</v>
      </c>
      <c r="Q7" s="262">
        <v>590</v>
      </c>
      <c r="R7" s="262">
        <v>590</v>
      </c>
      <c r="S7" s="262">
        <v>590</v>
      </c>
      <c r="T7" s="263">
        <v>590</v>
      </c>
      <c r="U7" s="263">
        <v>900</v>
      </c>
      <c r="V7" s="263">
        <v>900</v>
      </c>
      <c r="W7" s="263">
        <v>910</v>
      </c>
      <c r="X7" s="263">
        <v>910</v>
      </c>
      <c r="Y7" s="263">
        <v>910</v>
      </c>
      <c r="Z7" s="263">
        <v>910</v>
      </c>
      <c r="AB7" s="261" t="s">
        <v>9</v>
      </c>
      <c r="AC7" s="262">
        <v>400</v>
      </c>
      <c r="AD7" s="262">
        <v>340</v>
      </c>
      <c r="AE7" s="262">
        <v>340</v>
      </c>
      <c r="AF7" s="262">
        <v>340</v>
      </c>
      <c r="AG7" s="262">
        <v>340</v>
      </c>
      <c r="AH7" s="262">
        <v>420</v>
      </c>
      <c r="AI7" s="262">
        <v>420</v>
      </c>
      <c r="AJ7" s="262">
        <v>450</v>
      </c>
      <c r="AK7" s="262">
        <v>450</v>
      </c>
      <c r="AL7" s="262">
        <v>450</v>
      </c>
      <c r="AM7" s="262">
        <v>460</v>
      </c>
      <c r="AN7" s="262">
        <v>460</v>
      </c>
      <c r="AO7" s="262">
        <v>470</v>
      </c>
      <c r="AP7" s="262">
        <v>470</v>
      </c>
      <c r="AQ7" s="262">
        <v>470</v>
      </c>
      <c r="AR7" s="262">
        <v>480</v>
      </c>
      <c r="AS7" s="262">
        <v>480</v>
      </c>
      <c r="AT7" s="262">
        <v>480</v>
      </c>
      <c r="AU7" s="263">
        <v>480</v>
      </c>
      <c r="AV7" s="263">
        <v>760</v>
      </c>
      <c r="AW7" s="263">
        <v>760</v>
      </c>
      <c r="AX7" s="263">
        <v>770</v>
      </c>
      <c r="AY7" s="263">
        <v>770</v>
      </c>
      <c r="AZ7" s="263">
        <v>770</v>
      </c>
      <c r="BA7" s="263">
        <v>770</v>
      </c>
      <c r="BC7" s="261" t="s">
        <v>9</v>
      </c>
      <c r="BD7" s="262">
        <f t="shared" si="2"/>
        <v>100</v>
      </c>
      <c r="BE7" s="262">
        <f t="shared" si="0"/>
        <v>80</v>
      </c>
      <c r="BF7" s="262">
        <f t="shared" si="0"/>
        <v>80</v>
      </c>
      <c r="BG7" s="262">
        <f t="shared" si="0"/>
        <v>80</v>
      </c>
      <c r="BH7" s="262">
        <f t="shared" si="0"/>
        <v>80</v>
      </c>
      <c r="BI7" s="262">
        <f t="shared" si="0"/>
        <v>90</v>
      </c>
      <c r="BJ7" s="262">
        <f t="shared" si="0"/>
        <v>90</v>
      </c>
      <c r="BK7" s="262">
        <f t="shared" si="0"/>
        <v>90</v>
      </c>
      <c r="BL7" s="262">
        <f t="shared" si="0"/>
        <v>90</v>
      </c>
      <c r="BM7" s="262">
        <f t="shared" si="0"/>
        <v>90</v>
      </c>
      <c r="BN7" s="262">
        <f t="shared" si="0"/>
        <v>90</v>
      </c>
      <c r="BO7" s="262">
        <f t="shared" si="0"/>
        <v>90</v>
      </c>
      <c r="BP7" s="262">
        <f t="shared" si="0"/>
        <v>120</v>
      </c>
      <c r="BQ7" s="262">
        <f t="shared" si="0"/>
        <v>120</v>
      </c>
      <c r="BR7" s="262">
        <f t="shared" si="0"/>
        <v>120</v>
      </c>
      <c r="BS7" s="262">
        <f t="shared" si="0"/>
        <v>110</v>
      </c>
      <c r="BT7" s="262">
        <f t="shared" si="0"/>
        <v>110</v>
      </c>
      <c r="BU7" s="262">
        <f t="shared" si="1"/>
        <v>110</v>
      </c>
      <c r="BV7" s="262">
        <f t="shared" si="1"/>
        <v>110</v>
      </c>
      <c r="BW7" s="262">
        <f t="shared" si="1"/>
        <v>140</v>
      </c>
      <c r="BX7" s="262">
        <f t="shared" si="1"/>
        <v>140</v>
      </c>
      <c r="BY7" s="262">
        <f t="shared" si="1"/>
        <v>140</v>
      </c>
      <c r="BZ7" s="262">
        <f t="shared" si="1"/>
        <v>140</v>
      </c>
      <c r="CA7" s="262">
        <f t="shared" si="1"/>
        <v>140</v>
      </c>
      <c r="CB7" s="262">
        <f t="shared" si="1"/>
        <v>140</v>
      </c>
    </row>
    <row r="8" spans="1:80">
      <c r="A8" s="261" t="s">
        <v>91</v>
      </c>
      <c r="B8" s="262">
        <v>550</v>
      </c>
      <c r="C8" s="262">
        <v>510</v>
      </c>
      <c r="D8" s="262">
        <v>510</v>
      </c>
      <c r="E8" s="262">
        <v>510</v>
      </c>
      <c r="F8" s="262">
        <v>510</v>
      </c>
      <c r="G8" s="262">
        <v>420</v>
      </c>
      <c r="H8" s="262">
        <v>420</v>
      </c>
      <c r="I8" s="262">
        <v>500</v>
      </c>
      <c r="J8" s="262">
        <v>500</v>
      </c>
      <c r="K8" s="262">
        <v>500</v>
      </c>
      <c r="L8" s="262">
        <v>540</v>
      </c>
      <c r="M8" s="262">
        <v>540</v>
      </c>
      <c r="N8" s="262">
        <v>570</v>
      </c>
      <c r="O8" s="262">
        <v>570</v>
      </c>
      <c r="P8" s="262">
        <v>570</v>
      </c>
      <c r="Q8" s="262">
        <v>570</v>
      </c>
      <c r="R8" s="262">
        <v>570</v>
      </c>
      <c r="S8" s="262">
        <v>570</v>
      </c>
      <c r="T8" s="263">
        <v>570</v>
      </c>
      <c r="U8" s="263">
        <v>850</v>
      </c>
      <c r="V8" s="263">
        <v>850</v>
      </c>
      <c r="W8" s="263">
        <v>850</v>
      </c>
      <c r="X8" s="263">
        <v>850</v>
      </c>
      <c r="Y8" s="263">
        <v>880</v>
      </c>
      <c r="Z8" s="263">
        <v>880</v>
      </c>
      <c r="AB8" s="261" t="s">
        <v>91</v>
      </c>
      <c r="AC8" s="262">
        <v>450</v>
      </c>
      <c r="AD8" s="262">
        <v>420</v>
      </c>
      <c r="AE8" s="262">
        <v>420</v>
      </c>
      <c r="AF8" s="262">
        <v>420</v>
      </c>
      <c r="AG8" s="262">
        <v>420</v>
      </c>
      <c r="AH8" s="262">
        <v>340</v>
      </c>
      <c r="AI8" s="262">
        <v>340</v>
      </c>
      <c r="AJ8" s="262">
        <v>400</v>
      </c>
      <c r="AK8" s="262">
        <v>400</v>
      </c>
      <c r="AL8" s="262">
        <v>400</v>
      </c>
      <c r="AM8" s="262">
        <v>450</v>
      </c>
      <c r="AN8" s="262">
        <v>450</v>
      </c>
      <c r="AO8" s="262">
        <v>450</v>
      </c>
      <c r="AP8" s="262">
        <v>450</v>
      </c>
      <c r="AQ8" s="262">
        <v>450</v>
      </c>
      <c r="AR8" s="262">
        <v>460</v>
      </c>
      <c r="AS8" s="262">
        <v>460</v>
      </c>
      <c r="AT8" s="262">
        <v>460</v>
      </c>
      <c r="AU8" s="263">
        <v>460</v>
      </c>
      <c r="AV8" s="263">
        <v>720</v>
      </c>
      <c r="AW8" s="263">
        <v>720</v>
      </c>
      <c r="AX8" s="263">
        <v>720</v>
      </c>
      <c r="AY8" s="263">
        <v>720</v>
      </c>
      <c r="AZ8" s="263">
        <v>740</v>
      </c>
      <c r="BA8" s="263">
        <v>740</v>
      </c>
      <c r="BC8" s="261" t="s">
        <v>91</v>
      </c>
      <c r="BD8" s="262">
        <f t="shared" si="2"/>
        <v>100</v>
      </c>
      <c r="BE8" s="262">
        <f t="shared" si="0"/>
        <v>90</v>
      </c>
      <c r="BF8" s="262">
        <f t="shared" si="0"/>
        <v>90</v>
      </c>
      <c r="BG8" s="262">
        <f t="shared" si="0"/>
        <v>90</v>
      </c>
      <c r="BH8" s="262">
        <f t="shared" si="0"/>
        <v>90</v>
      </c>
      <c r="BI8" s="262">
        <f t="shared" si="0"/>
        <v>80</v>
      </c>
      <c r="BJ8" s="262">
        <f t="shared" si="0"/>
        <v>80</v>
      </c>
      <c r="BK8" s="262">
        <f t="shared" si="0"/>
        <v>100</v>
      </c>
      <c r="BL8" s="262">
        <f t="shared" si="0"/>
        <v>100</v>
      </c>
      <c r="BM8" s="262">
        <f t="shared" si="0"/>
        <v>100</v>
      </c>
      <c r="BN8" s="262">
        <f t="shared" si="0"/>
        <v>90</v>
      </c>
      <c r="BO8" s="262">
        <f t="shared" si="0"/>
        <v>90</v>
      </c>
      <c r="BP8" s="262">
        <f t="shared" si="0"/>
        <v>120</v>
      </c>
      <c r="BQ8" s="262">
        <f t="shared" si="0"/>
        <v>120</v>
      </c>
      <c r="BR8" s="262">
        <f t="shared" si="0"/>
        <v>120</v>
      </c>
      <c r="BS8" s="262">
        <f t="shared" si="0"/>
        <v>110</v>
      </c>
      <c r="BT8" s="262">
        <f t="shared" si="0"/>
        <v>110</v>
      </c>
      <c r="BU8" s="262">
        <f t="shared" si="1"/>
        <v>110</v>
      </c>
      <c r="BV8" s="262">
        <f t="shared" si="1"/>
        <v>110</v>
      </c>
      <c r="BW8" s="262">
        <f t="shared" si="1"/>
        <v>130</v>
      </c>
      <c r="BX8" s="262">
        <f t="shared" si="1"/>
        <v>130</v>
      </c>
      <c r="BY8" s="262">
        <f t="shared" si="1"/>
        <v>130</v>
      </c>
      <c r="BZ8" s="262">
        <f t="shared" si="1"/>
        <v>130</v>
      </c>
      <c r="CA8" s="262">
        <f t="shared" si="1"/>
        <v>140</v>
      </c>
      <c r="CB8" s="262">
        <f t="shared" si="1"/>
        <v>140</v>
      </c>
    </row>
    <row r="9" spans="1:80">
      <c r="A9" s="261" t="s">
        <v>7</v>
      </c>
      <c r="B9" s="262">
        <v>550</v>
      </c>
      <c r="C9" s="262">
        <v>510</v>
      </c>
      <c r="D9" s="262">
        <v>510</v>
      </c>
      <c r="E9" s="262">
        <v>510</v>
      </c>
      <c r="F9" s="262">
        <v>510</v>
      </c>
      <c r="G9" s="262">
        <v>420</v>
      </c>
      <c r="H9" s="262">
        <v>420</v>
      </c>
      <c r="I9" s="262">
        <v>500</v>
      </c>
      <c r="J9" s="262">
        <v>500</v>
      </c>
      <c r="K9" s="262">
        <v>500</v>
      </c>
      <c r="L9" s="262">
        <v>540</v>
      </c>
      <c r="M9" s="262">
        <v>540</v>
      </c>
      <c r="N9" s="262">
        <v>570</v>
      </c>
      <c r="O9" s="262">
        <v>570</v>
      </c>
      <c r="P9" s="262">
        <v>570</v>
      </c>
      <c r="Q9" s="262">
        <v>570</v>
      </c>
      <c r="R9" s="262">
        <v>570</v>
      </c>
      <c r="S9" s="262">
        <v>570</v>
      </c>
      <c r="T9" s="263">
        <v>570</v>
      </c>
      <c r="U9" s="263">
        <v>850</v>
      </c>
      <c r="V9" s="263">
        <v>850</v>
      </c>
      <c r="W9" s="263">
        <v>850</v>
      </c>
      <c r="X9" s="263">
        <v>850</v>
      </c>
      <c r="Y9" s="263">
        <v>880</v>
      </c>
      <c r="Z9" s="263">
        <v>880</v>
      </c>
      <c r="AB9" s="261" t="s">
        <v>7</v>
      </c>
      <c r="AC9" s="262">
        <v>450</v>
      </c>
      <c r="AD9" s="262">
        <v>420</v>
      </c>
      <c r="AE9" s="262">
        <v>420</v>
      </c>
      <c r="AF9" s="262">
        <v>420</v>
      </c>
      <c r="AG9" s="262">
        <v>420</v>
      </c>
      <c r="AH9" s="262">
        <v>340</v>
      </c>
      <c r="AI9" s="262">
        <v>340</v>
      </c>
      <c r="AJ9" s="262">
        <v>400</v>
      </c>
      <c r="AK9" s="262">
        <v>400</v>
      </c>
      <c r="AL9" s="262">
        <v>400</v>
      </c>
      <c r="AM9" s="262">
        <v>450</v>
      </c>
      <c r="AN9" s="262">
        <v>450</v>
      </c>
      <c r="AO9" s="262">
        <v>450</v>
      </c>
      <c r="AP9" s="262">
        <v>450</v>
      </c>
      <c r="AQ9" s="262">
        <v>450</v>
      </c>
      <c r="AR9" s="262">
        <v>460</v>
      </c>
      <c r="AS9" s="262">
        <v>460</v>
      </c>
      <c r="AT9" s="262">
        <v>460</v>
      </c>
      <c r="AU9" s="263">
        <v>460</v>
      </c>
      <c r="AV9" s="263">
        <v>720</v>
      </c>
      <c r="AW9" s="263">
        <v>720</v>
      </c>
      <c r="AX9" s="263">
        <v>720</v>
      </c>
      <c r="AY9" s="263">
        <v>720</v>
      </c>
      <c r="AZ9" s="263">
        <v>740</v>
      </c>
      <c r="BA9" s="263">
        <v>740</v>
      </c>
      <c r="BC9" s="261" t="s">
        <v>7</v>
      </c>
      <c r="BD9" s="262">
        <f t="shared" si="2"/>
        <v>100</v>
      </c>
      <c r="BE9" s="262">
        <f t="shared" si="0"/>
        <v>90</v>
      </c>
      <c r="BF9" s="262">
        <f t="shared" si="0"/>
        <v>90</v>
      </c>
      <c r="BG9" s="262">
        <f t="shared" si="0"/>
        <v>90</v>
      </c>
      <c r="BH9" s="262">
        <f t="shared" si="0"/>
        <v>90</v>
      </c>
      <c r="BI9" s="262">
        <f t="shared" si="0"/>
        <v>80</v>
      </c>
      <c r="BJ9" s="262">
        <f t="shared" si="0"/>
        <v>80</v>
      </c>
      <c r="BK9" s="262">
        <f t="shared" si="0"/>
        <v>100</v>
      </c>
      <c r="BL9" s="262">
        <f t="shared" si="0"/>
        <v>100</v>
      </c>
      <c r="BM9" s="262">
        <f t="shared" si="0"/>
        <v>100</v>
      </c>
      <c r="BN9" s="262">
        <f t="shared" si="0"/>
        <v>90</v>
      </c>
      <c r="BO9" s="262">
        <f t="shared" si="0"/>
        <v>90</v>
      </c>
      <c r="BP9" s="262">
        <f t="shared" si="0"/>
        <v>120</v>
      </c>
      <c r="BQ9" s="262">
        <f t="shared" si="0"/>
        <v>120</v>
      </c>
      <c r="BR9" s="262">
        <f t="shared" si="0"/>
        <v>120</v>
      </c>
      <c r="BS9" s="262">
        <f t="shared" si="0"/>
        <v>110</v>
      </c>
      <c r="BT9" s="262">
        <f t="shared" si="0"/>
        <v>110</v>
      </c>
      <c r="BU9" s="262">
        <f t="shared" si="1"/>
        <v>110</v>
      </c>
      <c r="BV9" s="262">
        <f t="shared" si="1"/>
        <v>110</v>
      </c>
      <c r="BW9" s="262">
        <f t="shared" si="1"/>
        <v>130</v>
      </c>
      <c r="BX9" s="262">
        <f t="shared" si="1"/>
        <v>130</v>
      </c>
      <c r="BY9" s="262">
        <f t="shared" si="1"/>
        <v>130</v>
      </c>
      <c r="BZ9" s="262">
        <f t="shared" si="1"/>
        <v>130</v>
      </c>
      <c r="CA9" s="262">
        <f t="shared" si="1"/>
        <v>140</v>
      </c>
      <c r="CB9" s="262">
        <f t="shared" si="1"/>
        <v>140</v>
      </c>
    </row>
    <row r="10" spans="1:80">
      <c r="A10" s="261" t="s">
        <v>6</v>
      </c>
      <c r="B10" s="262">
        <v>560</v>
      </c>
      <c r="C10" s="262">
        <v>540</v>
      </c>
      <c r="D10" s="262">
        <v>540</v>
      </c>
      <c r="E10" s="262">
        <v>540</v>
      </c>
      <c r="F10" s="262">
        <v>540</v>
      </c>
      <c r="G10" s="262">
        <v>500</v>
      </c>
      <c r="H10" s="262">
        <v>500</v>
      </c>
      <c r="I10" s="262">
        <v>420</v>
      </c>
      <c r="J10" s="262">
        <v>420</v>
      </c>
      <c r="K10" s="262">
        <v>420</v>
      </c>
      <c r="L10" s="262">
        <v>490</v>
      </c>
      <c r="M10" s="262">
        <v>490</v>
      </c>
      <c r="N10" s="262">
        <v>560</v>
      </c>
      <c r="O10" s="262">
        <v>560</v>
      </c>
      <c r="P10" s="262">
        <v>560</v>
      </c>
      <c r="Q10" s="262">
        <v>590</v>
      </c>
      <c r="R10" s="262">
        <v>590</v>
      </c>
      <c r="S10" s="262">
        <v>590</v>
      </c>
      <c r="T10" s="263">
        <v>590</v>
      </c>
      <c r="U10" s="263">
        <v>870</v>
      </c>
      <c r="V10" s="263">
        <v>870</v>
      </c>
      <c r="W10" s="263">
        <v>880</v>
      </c>
      <c r="X10" s="263">
        <v>880</v>
      </c>
      <c r="Y10" s="263">
        <v>900</v>
      </c>
      <c r="Z10" s="263">
        <v>900</v>
      </c>
      <c r="AB10" s="261" t="s">
        <v>6</v>
      </c>
      <c r="AC10" s="262">
        <v>460</v>
      </c>
      <c r="AD10" s="262">
        <v>450</v>
      </c>
      <c r="AE10" s="262">
        <v>450</v>
      </c>
      <c r="AF10" s="262">
        <v>450</v>
      </c>
      <c r="AG10" s="262">
        <v>450</v>
      </c>
      <c r="AH10" s="262">
        <v>400</v>
      </c>
      <c r="AI10" s="262">
        <v>400</v>
      </c>
      <c r="AJ10" s="262">
        <v>340</v>
      </c>
      <c r="AK10" s="262">
        <v>340</v>
      </c>
      <c r="AL10" s="262">
        <v>340</v>
      </c>
      <c r="AM10" s="262">
        <v>400</v>
      </c>
      <c r="AN10" s="262">
        <v>400</v>
      </c>
      <c r="AO10" s="262">
        <v>440</v>
      </c>
      <c r="AP10" s="262">
        <v>440</v>
      </c>
      <c r="AQ10" s="262">
        <v>440</v>
      </c>
      <c r="AR10" s="262">
        <v>480</v>
      </c>
      <c r="AS10" s="262">
        <v>480</v>
      </c>
      <c r="AT10" s="262">
        <v>480</v>
      </c>
      <c r="AU10" s="263">
        <v>480</v>
      </c>
      <c r="AV10" s="263">
        <v>730</v>
      </c>
      <c r="AW10" s="263">
        <v>730</v>
      </c>
      <c r="AX10" s="263">
        <v>740</v>
      </c>
      <c r="AY10" s="263">
        <v>740</v>
      </c>
      <c r="AZ10" s="263">
        <v>760</v>
      </c>
      <c r="BA10" s="263">
        <v>760</v>
      </c>
      <c r="BC10" s="261" t="s">
        <v>6</v>
      </c>
      <c r="BD10" s="262">
        <f t="shared" si="2"/>
        <v>100</v>
      </c>
      <c r="BE10" s="262">
        <f t="shared" si="0"/>
        <v>90</v>
      </c>
      <c r="BF10" s="262">
        <f t="shared" si="0"/>
        <v>90</v>
      </c>
      <c r="BG10" s="262">
        <f t="shared" si="0"/>
        <v>90</v>
      </c>
      <c r="BH10" s="262">
        <f t="shared" si="0"/>
        <v>90</v>
      </c>
      <c r="BI10" s="262">
        <f t="shared" si="0"/>
        <v>100</v>
      </c>
      <c r="BJ10" s="262">
        <f t="shared" si="0"/>
        <v>100</v>
      </c>
      <c r="BK10" s="262">
        <f t="shared" si="0"/>
        <v>80</v>
      </c>
      <c r="BL10" s="262">
        <f t="shared" si="0"/>
        <v>80</v>
      </c>
      <c r="BM10" s="262">
        <f t="shared" si="0"/>
        <v>80</v>
      </c>
      <c r="BN10" s="262">
        <f t="shared" si="0"/>
        <v>90</v>
      </c>
      <c r="BO10" s="262">
        <f t="shared" si="0"/>
        <v>90</v>
      </c>
      <c r="BP10" s="262">
        <f t="shared" si="0"/>
        <v>120</v>
      </c>
      <c r="BQ10" s="262">
        <f t="shared" si="0"/>
        <v>120</v>
      </c>
      <c r="BR10" s="262">
        <f t="shared" si="0"/>
        <v>120</v>
      </c>
      <c r="BS10" s="262">
        <f t="shared" si="0"/>
        <v>110</v>
      </c>
      <c r="BT10" s="262">
        <f t="shared" si="0"/>
        <v>110</v>
      </c>
      <c r="BU10" s="262">
        <f t="shared" si="1"/>
        <v>110</v>
      </c>
      <c r="BV10" s="262">
        <f t="shared" si="1"/>
        <v>110</v>
      </c>
      <c r="BW10" s="262">
        <f t="shared" si="1"/>
        <v>140</v>
      </c>
      <c r="BX10" s="262">
        <f t="shared" si="1"/>
        <v>140</v>
      </c>
      <c r="BY10" s="262">
        <f t="shared" si="1"/>
        <v>140</v>
      </c>
      <c r="BZ10" s="262">
        <f t="shared" si="1"/>
        <v>140</v>
      </c>
      <c r="CA10" s="262">
        <f t="shared" si="1"/>
        <v>140</v>
      </c>
      <c r="CB10" s="262">
        <f t="shared" si="1"/>
        <v>140</v>
      </c>
    </row>
    <row r="11" spans="1:80">
      <c r="A11" s="261" t="s">
        <v>5</v>
      </c>
      <c r="B11" s="262">
        <v>560</v>
      </c>
      <c r="C11" s="262">
        <v>540</v>
      </c>
      <c r="D11" s="262">
        <v>540</v>
      </c>
      <c r="E11" s="262">
        <v>540</v>
      </c>
      <c r="F11" s="262">
        <v>540</v>
      </c>
      <c r="G11" s="262">
        <v>500</v>
      </c>
      <c r="H11" s="262">
        <v>500</v>
      </c>
      <c r="I11" s="262">
        <v>420</v>
      </c>
      <c r="J11" s="262">
        <v>420</v>
      </c>
      <c r="K11" s="262">
        <v>420</v>
      </c>
      <c r="L11" s="262">
        <v>490</v>
      </c>
      <c r="M11" s="262">
        <v>490</v>
      </c>
      <c r="N11" s="262">
        <v>560</v>
      </c>
      <c r="O11" s="262">
        <v>560</v>
      </c>
      <c r="P11" s="262">
        <v>560</v>
      </c>
      <c r="Q11" s="262">
        <v>590</v>
      </c>
      <c r="R11" s="262">
        <v>590</v>
      </c>
      <c r="S11" s="262">
        <v>590</v>
      </c>
      <c r="T11" s="263">
        <v>590</v>
      </c>
      <c r="U11" s="263">
        <v>870</v>
      </c>
      <c r="V11" s="263">
        <v>870</v>
      </c>
      <c r="W11" s="263">
        <v>880</v>
      </c>
      <c r="X11" s="263">
        <v>880</v>
      </c>
      <c r="Y11" s="263">
        <v>900</v>
      </c>
      <c r="Z11" s="263">
        <v>900</v>
      </c>
      <c r="AB11" s="261" t="s">
        <v>5</v>
      </c>
      <c r="AC11" s="262">
        <v>460</v>
      </c>
      <c r="AD11" s="262">
        <v>450</v>
      </c>
      <c r="AE11" s="262">
        <v>450</v>
      </c>
      <c r="AF11" s="262">
        <v>450</v>
      </c>
      <c r="AG11" s="262">
        <v>450</v>
      </c>
      <c r="AH11" s="262">
        <v>400</v>
      </c>
      <c r="AI11" s="262">
        <v>400</v>
      </c>
      <c r="AJ11" s="262">
        <v>340</v>
      </c>
      <c r="AK11" s="262">
        <v>340</v>
      </c>
      <c r="AL11" s="262">
        <v>340</v>
      </c>
      <c r="AM11" s="262">
        <v>400</v>
      </c>
      <c r="AN11" s="262">
        <v>400</v>
      </c>
      <c r="AO11" s="262">
        <v>440</v>
      </c>
      <c r="AP11" s="262">
        <v>440</v>
      </c>
      <c r="AQ11" s="262">
        <v>440</v>
      </c>
      <c r="AR11" s="262">
        <v>480</v>
      </c>
      <c r="AS11" s="262">
        <v>480</v>
      </c>
      <c r="AT11" s="262">
        <v>480</v>
      </c>
      <c r="AU11" s="263">
        <v>480</v>
      </c>
      <c r="AV11" s="263">
        <v>730</v>
      </c>
      <c r="AW11" s="263">
        <v>730</v>
      </c>
      <c r="AX11" s="263">
        <v>740</v>
      </c>
      <c r="AY11" s="263">
        <v>740</v>
      </c>
      <c r="AZ11" s="263">
        <v>760</v>
      </c>
      <c r="BA11" s="263">
        <v>760</v>
      </c>
      <c r="BC11" s="261" t="s">
        <v>5</v>
      </c>
      <c r="BD11" s="262">
        <f t="shared" si="2"/>
        <v>100</v>
      </c>
      <c r="BE11" s="262">
        <f t="shared" si="0"/>
        <v>90</v>
      </c>
      <c r="BF11" s="262">
        <f t="shared" si="0"/>
        <v>90</v>
      </c>
      <c r="BG11" s="262">
        <f t="shared" si="0"/>
        <v>90</v>
      </c>
      <c r="BH11" s="262">
        <f t="shared" si="0"/>
        <v>90</v>
      </c>
      <c r="BI11" s="262">
        <f t="shared" si="0"/>
        <v>100</v>
      </c>
      <c r="BJ11" s="262">
        <f t="shared" si="0"/>
        <v>100</v>
      </c>
      <c r="BK11" s="262">
        <f t="shared" si="0"/>
        <v>80</v>
      </c>
      <c r="BL11" s="262">
        <f t="shared" si="0"/>
        <v>80</v>
      </c>
      <c r="BM11" s="262">
        <f t="shared" si="0"/>
        <v>80</v>
      </c>
      <c r="BN11" s="262">
        <f t="shared" si="0"/>
        <v>90</v>
      </c>
      <c r="BO11" s="262">
        <f t="shared" si="0"/>
        <v>90</v>
      </c>
      <c r="BP11" s="262">
        <f t="shared" si="0"/>
        <v>120</v>
      </c>
      <c r="BQ11" s="262">
        <f t="shared" si="0"/>
        <v>120</v>
      </c>
      <c r="BR11" s="262">
        <f t="shared" si="0"/>
        <v>120</v>
      </c>
      <c r="BS11" s="262">
        <f t="shared" si="0"/>
        <v>110</v>
      </c>
      <c r="BT11" s="262">
        <f t="shared" si="0"/>
        <v>110</v>
      </c>
      <c r="BU11" s="262">
        <f t="shared" si="1"/>
        <v>110</v>
      </c>
      <c r="BV11" s="262">
        <f t="shared" si="1"/>
        <v>110</v>
      </c>
      <c r="BW11" s="262">
        <f t="shared" si="1"/>
        <v>140</v>
      </c>
      <c r="BX11" s="262">
        <f t="shared" si="1"/>
        <v>140</v>
      </c>
      <c r="BY11" s="262">
        <f t="shared" si="1"/>
        <v>140</v>
      </c>
      <c r="BZ11" s="262">
        <f t="shared" si="1"/>
        <v>140</v>
      </c>
      <c r="CA11" s="262">
        <f t="shared" si="1"/>
        <v>140</v>
      </c>
      <c r="CB11" s="262">
        <f t="shared" si="1"/>
        <v>140</v>
      </c>
    </row>
    <row r="12" spans="1:80">
      <c r="A12" s="261" t="s">
        <v>4</v>
      </c>
      <c r="B12" s="262">
        <v>560</v>
      </c>
      <c r="C12" s="262">
        <v>540</v>
      </c>
      <c r="D12" s="262">
        <v>540</v>
      </c>
      <c r="E12" s="262">
        <v>540</v>
      </c>
      <c r="F12" s="262">
        <v>540</v>
      </c>
      <c r="G12" s="262">
        <v>500</v>
      </c>
      <c r="H12" s="262">
        <v>500</v>
      </c>
      <c r="I12" s="262">
        <v>420</v>
      </c>
      <c r="J12" s="262">
        <v>420</v>
      </c>
      <c r="K12" s="262">
        <v>420</v>
      </c>
      <c r="L12" s="262">
        <v>490</v>
      </c>
      <c r="M12" s="262">
        <v>490</v>
      </c>
      <c r="N12" s="262">
        <v>560</v>
      </c>
      <c r="O12" s="262">
        <v>560</v>
      </c>
      <c r="P12" s="262">
        <v>560</v>
      </c>
      <c r="Q12" s="262">
        <v>590</v>
      </c>
      <c r="R12" s="262">
        <v>590</v>
      </c>
      <c r="S12" s="262">
        <v>590</v>
      </c>
      <c r="T12" s="263">
        <v>590</v>
      </c>
      <c r="U12" s="263">
        <v>870</v>
      </c>
      <c r="V12" s="263">
        <v>870</v>
      </c>
      <c r="W12" s="263">
        <v>880</v>
      </c>
      <c r="X12" s="263">
        <v>880</v>
      </c>
      <c r="Y12" s="263">
        <v>900</v>
      </c>
      <c r="Z12" s="263">
        <v>900</v>
      </c>
      <c r="AB12" s="261" t="s">
        <v>4</v>
      </c>
      <c r="AC12" s="262">
        <v>460</v>
      </c>
      <c r="AD12" s="262">
        <v>450</v>
      </c>
      <c r="AE12" s="262">
        <v>450</v>
      </c>
      <c r="AF12" s="262">
        <v>450</v>
      </c>
      <c r="AG12" s="262">
        <v>450</v>
      </c>
      <c r="AH12" s="262">
        <v>400</v>
      </c>
      <c r="AI12" s="262">
        <v>400</v>
      </c>
      <c r="AJ12" s="262">
        <v>340</v>
      </c>
      <c r="AK12" s="262">
        <v>340</v>
      </c>
      <c r="AL12" s="262">
        <v>340</v>
      </c>
      <c r="AM12" s="262">
        <v>400</v>
      </c>
      <c r="AN12" s="262">
        <v>400</v>
      </c>
      <c r="AO12" s="262">
        <v>440</v>
      </c>
      <c r="AP12" s="262">
        <v>440</v>
      </c>
      <c r="AQ12" s="262">
        <v>440</v>
      </c>
      <c r="AR12" s="262">
        <v>480</v>
      </c>
      <c r="AS12" s="262">
        <v>480</v>
      </c>
      <c r="AT12" s="262">
        <v>480</v>
      </c>
      <c r="AU12" s="263">
        <v>480</v>
      </c>
      <c r="AV12" s="263">
        <v>730</v>
      </c>
      <c r="AW12" s="263">
        <v>730</v>
      </c>
      <c r="AX12" s="263">
        <v>740</v>
      </c>
      <c r="AY12" s="263">
        <v>740</v>
      </c>
      <c r="AZ12" s="263">
        <v>760</v>
      </c>
      <c r="BA12" s="263">
        <v>760</v>
      </c>
      <c r="BC12" s="261" t="s">
        <v>4</v>
      </c>
      <c r="BD12" s="262">
        <f t="shared" si="2"/>
        <v>100</v>
      </c>
      <c r="BE12" s="262">
        <f t="shared" si="0"/>
        <v>90</v>
      </c>
      <c r="BF12" s="262">
        <f t="shared" si="0"/>
        <v>90</v>
      </c>
      <c r="BG12" s="262">
        <f t="shared" si="0"/>
        <v>90</v>
      </c>
      <c r="BH12" s="262">
        <f t="shared" si="0"/>
        <v>90</v>
      </c>
      <c r="BI12" s="262">
        <f t="shared" si="0"/>
        <v>100</v>
      </c>
      <c r="BJ12" s="262">
        <f t="shared" si="0"/>
        <v>100</v>
      </c>
      <c r="BK12" s="262">
        <f t="shared" si="0"/>
        <v>80</v>
      </c>
      <c r="BL12" s="262">
        <f t="shared" si="0"/>
        <v>80</v>
      </c>
      <c r="BM12" s="262">
        <f t="shared" si="0"/>
        <v>80</v>
      </c>
      <c r="BN12" s="262">
        <f t="shared" si="0"/>
        <v>90</v>
      </c>
      <c r="BO12" s="262">
        <f t="shared" si="0"/>
        <v>90</v>
      </c>
      <c r="BP12" s="262">
        <f t="shared" si="0"/>
        <v>120</v>
      </c>
      <c r="BQ12" s="262">
        <f t="shared" si="0"/>
        <v>120</v>
      </c>
      <c r="BR12" s="262">
        <f t="shared" si="0"/>
        <v>120</v>
      </c>
      <c r="BS12" s="262">
        <f t="shared" si="0"/>
        <v>110</v>
      </c>
      <c r="BT12" s="262">
        <f t="shared" si="0"/>
        <v>110</v>
      </c>
      <c r="BU12" s="262">
        <f t="shared" si="1"/>
        <v>110</v>
      </c>
      <c r="BV12" s="262">
        <f t="shared" si="1"/>
        <v>110</v>
      </c>
      <c r="BW12" s="262">
        <f t="shared" si="1"/>
        <v>140</v>
      </c>
      <c r="BX12" s="262">
        <f t="shared" si="1"/>
        <v>140</v>
      </c>
      <c r="BY12" s="262">
        <f t="shared" si="1"/>
        <v>140</v>
      </c>
      <c r="BZ12" s="262">
        <f t="shared" si="1"/>
        <v>140</v>
      </c>
      <c r="CA12" s="262">
        <f t="shared" si="1"/>
        <v>140</v>
      </c>
      <c r="CB12" s="262">
        <f t="shared" si="1"/>
        <v>140</v>
      </c>
    </row>
    <row r="13" spans="1:80">
      <c r="A13" s="261" t="s">
        <v>3</v>
      </c>
      <c r="B13" s="262">
        <v>580</v>
      </c>
      <c r="C13" s="262">
        <v>550</v>
      </c>
      <c r="D13" s="262">
        <v>550</v>
      </c>
      <c r="E13" s="262">
        <v>550</v>
      </c>
      <c r="F13" s="262">
        <v>550</v>
      </c>
      <c r="G13" s="262">
        <v>540</v>
      </c>
      <c r="H13" s="262">
        <v>540</v>
      </c>
      <c r="I13" s="262">
        <v>490</v>
      </c>
      <c r="J13" s="262">
        <v>490</v>
      </c>
      <c r="K13" s="262">
        <v>490</v>
      </c>
      <c r="L13" s="262">
        <v>420</v>
      </c>
      <c r="M13" s="262">
        <v>420</v>
      </c>
      <c r="N13" s="262">
        <v>560</v>
      </c>
      <c r="O13" s="262">
        <v>560</v>
      </c>
      <c r="P13" s="262">
        <v>560</v>
      </c>
      <c r="Q13" s="262">
        <v>590</v>
      </c>
      <c r="R13" s="262">
        <v>590</v>
      </c>
      <c r="S13" s="262">
        <v>590</v>
      </c>
      <c r="T13" s="263">
        <v>590</v>
      </c>
      <c r="U13" s="263">
        <v>880</v>
      </c>
      <c r="V13" s="263">
        <v>880</v>
      </c>
      <c r="W13" s="263">
        <v>900</v>
      </c>
      <c r="X13" s="263">
        <v>900</v>
      </c>
      <c r="Y13" s="263">
        <v>910</v>
      </c>
      <c r="Z13" s="263">
        <v>910</v>
      </c>
      <c r="AB13" s="261" t="s">
        <v>3</v>
      </c>
      <c r="AC13" s="262">
        <v>480</v>
      </c>
      <c r="AD13" s="262">
        <v>460</v>
      </c>
      <c r="AE13" s="262">
        <v>460</v>
      </c>
      <c r="AF13" s="262">
        <v>460</v>
      </c>
      <c r="AG13" s="262">
        <v>460</v>
      </c>
      <c r="AH13" s="262">
        <v>450</v>
      </c>
      <c r="AI13" s="262">
        <v>450</v>
      </c>
      <c r="AJ13" s="262">
        <v>400</v>
      </c>
      <c r="AK13" s="262">
        <v>400</v>
      </c>
      <c r="AL13" s="262">
        <v>400</v>
      </c>
      <c r="AM13" s="262">
        <v>340</v>
      </c>
      <c r="AN13" s="262">
        <v>340</v>
      </c>
      <c r="AO13" s="262">
        <v>440</v>
      </c>
      <c r="AP13" s="262">
        <v>440</v>
      </c>
      <c r="AQ13" s="262">
        <v>440</v>
      </c>
      <c r="AR13" s="262">
        <v>480</v>
      </c>
      <c r="AS13" s="262">
        <v>480</v>
      </c>
      <c r="AT13" s="262">
        <v>480</v>
      </c>
      <c r="AU13" s="263">
        <v>480</v>
      </c>
      <c r="AV13" s="263">
        <v>740</v>
      </c>
      <c r="AW13" s="263">
        <v>740</v>
      </c>
      <c r="AX13" s="263">
        <v>760</v>
      </c>
      <c r="AY13" s="263">
        <v>760</v>
      </c>
      <c r="AZ13" s="263">
        <v>770</v>
      </c>
      <c r="BA13" s="263">
        <v>770</v>
      </c>
      <c r="BC13" s="261" t="s">
        <v>3</v>
      </c>
      <c r="BD13" s="262">
        <f t="shared" si="2"/>
        <v>100</v>
      </c>
      <c r="BE13" s="262">
        <f t="shared" si="0"/>
        <v>90</v>
      </c>
      <c r="BF13" s="262">
        <f t="shared" si="0"/>
        <v>90</v>
      </c>
      <c r="BG13" s="262">
        <f t="shared" si="0"/>
        <v>90</v>
      </c>
      <c r="BH13" s="262">
        <f t="shared" si="0"/>
        <v>90</v>
      </c>
      <c r="BI13" s="262">
        <f t="shared" si="0"/>
        <v>90</v>
      </c>
      <c r="BJ13" s="262">
        <f t="shared" si="0"/>
        <v>90</v>
      </c>
      <c r="BK13" s="262">
        <f t="shared" si="0"/>
        <v>90</v>
      </c>
      <c r="BL13" s="262">
        <f t="shared" si="0"/>
        <v>90</v>
      </c>
      <c r="BM13" s="262">
        <f t="shared" si="0"/>
        <v>90</v>
      </c>
      <c r="BN13" s="262">
        <f t="shared" si="0"/>
        <v>80</v>
      </c>
      <c r="BO13" s="262">
        <f t="shared" si="0"/>
        <v>80</v>
      </c>
      <c r="BP13" s="262">
        <f t="shared" si="0"/>
        <v>120</v>
      </c>
      <c r="BQ13" s="262">
        <f t="shared" si="0"/>
        <v>120</v>
      </c>
      <c r="BR13" s="262">
        <f t="shared" si="0"/>
        <v>120</v>
      </c>
      <c r="BS13" s="262">
        <f t="shared" si="0"/>
        <v>110</v>
      </c>
      <c r="BT13" s="262">
        <f t="shared" si="0"/>
        <v>110</v>
      </c>
      <c r="BU13" s="262">
        <f t="shared" si="1"/>
        <v>110</v>
      </c>
      <c r="BV13" s="262">
        <f t="shared" si="1"/>
        <v>110</v>
      </c>
      <c r="BW13" s="262">
        <f t="shared" si="1"/>
        <v>140</v>
      </c>
      <c r="BX13" s="262">
        <f t="shared" si="1"/>
        <v>140</v>
      </c>
      <c r="BY13" s="262">
        <f t="shared" si="1"/>
        <v>140</v>
      </c>
      <c r="BZ13" s="262">
        <f t="shared" si="1"/>
        <v>140</v>
      </c>
      <c r="CA13" s="262">
        <f t="shared" si="1"/>
        <v>140</v>
      </c>
      <c r="CB13" s="262">
        <f t="shared" si="1"/>
        <v>140</v>
      </c>
    </row>
    <row r="14" spans="1:80">
      <c r="A14" s="261" t="s">
        <v>2</v>
      </c>
      <c r="B14" s="262">
        <v>580</v>
      </c>
      <c r="C14" s="262">
        <v>550</v>
      </c>
      <c r="D14" s="262">
        <v>550</v>
      </c>
      <c r="E14" s="262">
        <v>550</v>
      </c>
      <c r="F14" s="262">
        <v>550</v>
      </c>
      <c r="G14" s="262">
        <v>540</v>
      </c>
      <c r="H14" s="262">
        <v>540</v>
      </c>
      <c r="I14" s="262">
        <v>490</v>
      </c>
      <c r="J14" s="262">
        <v>490</v>
      </c>
      <c r="K14" s="262">
        <v>490</v>
      </c>
      <c r="L14" s="262">
        <v>420</v>
      </c>
      <c r="M14" s="262">
        <v>420</v>
      </c>
      <c r="N14" s="262">
        <v>560</v>
      </c>
      <c r="O14" s="262">
        <v>560</v>
      </c>
      <c r="P14" s="262">
        <v>560</v>
      </c>
      <c r="Q14" s="262">
        <v>590</v>
      </c>
      <c r="R14" s="262">
        <v>590</v>
      </c>
      <c r="S14" s="262">
        <v>590</v>
      </c>
      <c r="T14" s="263">
        <v>590</v>
      </c>
      <c r="U14" s="263">
        <v>880</v>
      </c>
      <c r="V14" s="263">
        <v>880</v>
      </c>
      <c r="W14" s="263">
        <v>900</v>
      </c>
      <c r="X14" s="263">
        <v>900</v>
      </c>
      <c r="Y14" s="263">
        <v>910</v>
      </c>
      <c r="Z14" s="263">
        <v>910</v>
      </c>
      <c r="AB14" s="261" t="s">
        <v>2</v>
      </c>
      <c r="AC14" s="262">
        <v>480</v>
      </c>
      <c r="AD14" s="262">
        <v>460</v>
      </c>
      <c r="AE14" s="262">
        <v>460</v>
      </c>
      <c r="AF14" s="262">
        <v>460</v>
      </c>
      <c r="AG14" s="262">
        <v>460</v>
      </c>
      <c r="AH14" s="262">
        <v>450</v>
      </c>
      <c r="AI14" s="262">
        <v>450</v>
      </c>
      <c r="AJ14" s="262">
        <v>400</v>
      </c>
      <c r="AK14" s="262">
        <v>400</v>
      </c>
      <c r="AL14" s="262">
        <v>400</v>
      </c>
      <c r="AM14" s="262">
        <v>340</v>
      </c>
      <c r="AN14" s="262">
        <v>340</v>
      </c>
      <c r="AO14" s="262">
        <v>440</v>
      </c>
      <c r="AP14" s="262">
        <v>440</v>
      </c>
      <c r="AQ14" s="262">
        <v>440</v>
      </c>
      <c r="AR14" s="262">
        <v>480</v>
      </c>
      <c r="AS14" s="262">
        <v>480</v>
      </c>
      <c r="AT14" s="262">
        <v>480</v>
      </c>
      <c r="AU14" s="263">
        <v>480</v>
      </c>
      <c r="AV14" s="263">
        <v>740</v>
      </c>
      <c r="AW14" s="263">
        <v>740</v>
      </c>
      <c r="AX14" s="263">
        <v>760</v>
      </c>
      <c r="AY14" s="263">
        <v>760</v>
      </c>
      <c r="AZ14" s="263">
        <v>770</v>
      </c>
      <c r="BA14" s="263">
        <v>770</v>
      </c>
      <c r="BC14" s="261" t="s">
        <v>2</v>
      </c>
      <c r="BD14" s="262">
        <f t="shared" si="2"/>
        <v>100</v>
      </c>
      <c r="BE14" s="262">
        <f t="shared" si="0"/>
        <v>90</v>
      </c>
      <c r="BF14" s="262">
        <f t="shared" si="0"/>
        <v>90</v>
      </c>
      <c r="BG14" s="262">
        <f t="shared" si="0"/>
        <v>90</v>
      </c>
      <c r="BH14" s="262">
        <f t="shared" si="0"/>
        <v>90</v>
      </c>
      <c r="BI14" s="262">
        <f t="shared" si="0"/>
        <v>90</v>
      </c>
      <c r="BJ14" s="262">
        <f t="shared" si="0"/>
        <v>90</v>
      </c>
      <c r="BK14" s="262">
        <f t="shared" si="0"/>
        <v>90</v>
      </c>
      <c r="BL14" s="262">
        <f t="shared" si="0"/>
        <v>90</v>
      </c>
      <c r="BM14" s="262">
        <f t="shared" si="0"/>
        <v>90</v>
      </c>
      <c r="BN14" s="262">
        <f t="shared" si="0"/>
        <v>80</v>
      </c>
      <c r="BO14" s="262">
        <f t="shared" si="0"/>
        <v>80</v>
      </c>
      <c r="BP14" s="262">
        <f t="shared" si="0"/>
        <v>120</v>
      </c>
      <c r="BQ14" s="262">
        <f t="shared" si="0"/>
        <v>120</v>
      </c>
      <c r="BR14" s="262">
        <f t="shared" si="0"/>
        <v>120</v>
      </c>
      <c r="BS14" s="262">
        <f t="shared" si="0"/>
        <v>110</v>
      </c>
      <c r="BT14" s="262">
        <f t="shared" si="0"/>
        <v>110</v>
      </c>
      <c r="BU14" s="262">
        <f t="shared" si="1"/>
        <v>110</v>
      </c>
      <c r="BV14" s="262">
        <f t="shared" si="1"/>
        <v>110</v>
      </c>
      <c r="BW14" s="262">
        <f t="shared" si="1"/>
        <v>140</v>
      </c>
      <c r="BX14" s="262">
        <f t="shared" si="1"/>
        <v>140</v>
      </c>
      <c r="BY14" s="262">
        <f t="shared" si="1"/>
        <v>140</v>
      </c>
      <c r="BZ14" s="262">
        <f t="shared" si="1"/>
        <v>140</v>
      </c>
      <c r="CA14" s="262">
        <f t="shared" si="1"/>
        <v>140</v>
      </c>
      <c r="CB14" s="262">
        <f t="shared" si="1"/>
        <v>140</v>
      </c>
    </row>
    <row r="15" spans="1:80">
      <c r="A15" s="261" t="s">
        <v>92</v>
      </c>
      <c r="B15" s="262">
        <v>600</v>
      </c>
      <c r="C15" s="262">
        <v>590</v>
      </c>
      <c r="D15" s="262">
        <v>590</v>
      </c>
      <c r="E15" s="262">
        <v>590</v>
      </c>
      <c r="F15" s="262">
        <v>590</v>
      </c>
      <c r="G15" s="262">
        <v>570</v>
      </c>
      <c r="H15" s="262">
        <v>570</v>
      </c>
      <c r="I15" s="262">
        <v>560</v>
      </c>
      <c r="J15" s="262">
        <v>560</v>
      </c>
      <c r="K15" s="262">
        <v>560</v>
      </c>
      <c r="L15" s="262">
        <v>560</v>
      </c>
      <c r="M15" s="262">
        <v>560</v>
      </c>
      <c r="N15" s="262">
        <v>440</v>
      </c>
      <c r="O15" s="262">
        <v>440</v>
      </c>
      <c r="P15" s="262">
        <v>440</v>
      </c>
      <c r="Q15" s="262">
        <v>510</v>
      </c>
      <c r="R15" s="262">
        <v>510</v>
      </c>
      <c r="S15" s="262">
        <v>510</v>
      </c>
      <c r="T15" s="263">
        <v>510</v>
      </c>
      <c r="U15" s="263">
        <v>650</v>
      </c>
      <c r="V15" s="263">
        <v>650</v>
      </c>
      <c r="W15" s="263">
        <v>680</v>
      </c>
      <c r="X15" s="263">
        <v>680</v>
      </c>
      <c r="Y15" s="263">
        <v>790</v>
      </c>
      <c r="Z15" s="263">
        <v>790</v>
      </c>
      <c r="AB15" s="261" t="s">
        <v>92</v>
      </c>
      <c r="AC15" s="262">
        <v>480</v>
      </c>
      <c r="AD15" s="262">
        <v>470</v>
      </c>
      <c r="AE15" s="262">
        <v>470</v>
      </c>
      <c r="AF15" s="262">
        <v>470</v>
      </c>
      <c r="AG15" s="262">
        <v>470</v>
      </c>
      <c r="AH15" s="262">
        <v>450</v>
      </c>
      <c r="AI15" s="262">
        <v>450</v>
      </c>
      <c r="AJ15" s="262">
        <v>440</v>
      </c>
      <c r="AK15" s="262">
        <v>440</v>
      </c>
      <c r="AL15" s="262">
        <v>440</v>
      </c>
      <c r="AM15" s="262">
        <v>440</v>
      </c>
      <c r="AN15" s="262">
        <v>440</v>
      </c>
      <c r="AO15" s="262">
        <v>340</v>
      </c>
      <c r="AP15" s="262">
        <v>340</v>
      </c>
      <c r="AQ15" s="262">
        <v>340</v>
      </c>
      <c r="AR15" s="262">
        <v>420</v>
      </c>
      <c r="AS15" s="262">
        <v>420</v>
      </c>
      <c r="AT15" s="262">
        <v>420</v>
      </c>
      <c r="AU15" s="263">
        <v>420</v>
      </c>
      <c r="AV15" s="263">
        <v>530</v>
      </c>
      <c r="AW15" s="263">
        <v>530</v>
      </c>
      <c r="AX15" s="263">
        <v>560</v>
      </c>
      <c r="AY15" s="263">
        <v>560</v>
      </c>
      <c r="AZ15" s="263">
        <v>670</v>
      </c>
      <c r="BA15" s="263">
        <v>670</v>
      </c>
      <c r="BC15" s="261" t="s">
        <v>92</v>
      </c>
      <c r="BD15" s="262">
        <f t="shared" si="2"/>
        <v>120</v>
      </c>
      <c r="BE15" s="262">
        <f t="shared" si="0"/>
        <v>120</v>
      </c>
      <c r="BF15" s="262">
        <f t="shared" si="0"/>
        <v>120</v>
      </c>
      <c r="BG15" s="262">
        <f t="shared" si="0"/>
        <v>120</v>
      </c>
      <c r="BH15" s="262">
        <f t="shared" si="0"/>
        <v>120</v>
      </c>
      <c r="BI15" s="262">
        <f t="shared" si="0"/>
        <v>120</v>
      </c>
      <c r="BJ15" s="262">
        <f t="shared" si="0"/>
        <v>120</v>
      </c>
      <c r="BK15" s="262">
        <f t="shared" si="0"/>
        <v>120</v>
      </c>
      <c r="BL15" s="262">
        <f t="shared" si="0"/>
        <v>120</v>
      </c>
      <c r="BM15" s="262">
        <f t="shared" si="0"/>
        <v>120</v>
      </c>
      <c r="BN15" s="262">
        <f t="shared" si="0"/>
        <v>120</v>
      </c>
      <c r="BO15" s="262">
        <f t="shared" si="0"/>
        <v>120</v>
      </c>
      <c r="BP15" s="262">
        <f t="shared" si="0"/>
        <v>100</v>
      </c>
      <c r="BQ15" s="262">
        <f t="shared" si="0"/>
        <v>100</v>
      </c>
      <c r="BR15" s="262">
        <f t="shared" si="0"/>
        <v>100</v>
      </c>
      <c r="BS15" s="262">
        <f t="shared" si="0"/>
        <v>90</v>
      </c>
      <c r="BT15" s="262">
        <f t="shared" si="0"/>
        <v>90</v>
      </c>
      <c r="BU15" s="262">
        <f t="shared" si="1"/>
        <v>90</v>
      </c>
      <c r="BV15" s="262">
        <f t="shared" si="1"/>
        <v>90</v>
      </c>
      <c r="BW15" s="262">
        <f t="shared" si="1"/>
        <v>120</v>
      </c>
      <c r="BX15" s="262">
        <f t="shared" si="1"/>
        <v>120</v>
      </c>
      <c r="BY15" s="262">
        <f t="shared" si="1"/>
        <v>120</v>
      </c>
      <c r="BZ15" s="262">
        <f t="shared" si="1"/>
        <v>120</v>
      </c>
      <c r="CA15" s="262">
        <f t="shared" si="1"/>
        <v>120</v>
      </c>
      <c r="CB15" s="262">
        <f t="shared" si="1"/>
        <v>120</v>
      </c>
    </row>
    <row r="16" spans="1:80">
      <c r="A16" s="261" t="s">
        <v>93</v>
      </c>
      <c r="B16" s="262">
        <v>600</v>
      </c>
      <c r="C16" s="262">
        <v>590</v>
      </c>
      <c r="D16" s="262">
        <v>590</v>
      </c>
      <c r="E16" s="262">
        <v>590</v>
      </c>
      <c r="F16" s="262">
        <v>590</v>
      </c>
      <c r="G16" s="262">
        <v>570</v>
      </c>
      <c r="H16" s="262">
        <v>570</v>
      </c>
      <c r="I16" s="262">
        <v>560</v>
      </c>
      <c r="J16" s="262">
        <v>560</v>
      </c>
      <c r="K16" s="262">
        <v>560</v>
      </c>
      <c r="L16" s="262">
        <v>560</v>
      </c>
      <c r="M16" s="262">
        <v>560</v>
      </c>
      <c r="N16" s="262">
        <v>440</v>
      </c>
      <c r="O16" s="262">
        <v>440</v>
      </c>
      <c r="P16" s="262">
        <v>440</v>
      </c>
      <c r="Q16" s="262">
        <v>510</v>
      </c>
      <c r="R16" s="262">
        <v>510</v>
      </c>
      <c r="S16" s="262">
        <v>510</v>
      </c>
      <c r="T16" s="263">
        <v>510</v>
      </c>
      <c r="U16" s="263">
        <v>650</v>
      </c>
      <c r="V16" s="263">
        <v>650</v>
      </c>
      <c r="W16" s="263">
        <v>680</v>
      </c>
      <c r="X16" s="263">
        <v>680</v>
      </c>
      <c r="Y16" s="263">
        <v>790</v>
      </c>
      <c r="Z16" s="263">
        <v>790</v>
      </c>
      <c r="AB16" s="261" t="s">
        <v>93</v>
      </c>
      <c r="AC16" s="262">
        <v>480</v>
      </c>
      <c r="AD16" s="262">
        <v>470</v>
      </c>
      <c r="AE16" s="262">
        <v>470</v>
      </c>
      <c r="AF16" s="262">
        <v>470</v>
      </c>
      <c r="AG16" s="262">
        <v>470</v>
      </c>
      <c r="AH16" s="262">
        <v>450</v>
      </c>
      <c r="AI16" s="262">
        <v>450</v>
      </c>
      <c r="AJ16" s="262">
        <v>440</v>
      </c>
      <c r="AK16" s="262">
        <v>440</v>
      </c>
      <c r="AL16" s="262">
        <v>440</v>
      </c>
      <c r="AM16" s="262">
        <v>440</v>
      </c>
      <c r="AN16" s="262">
        <v>440</v>
      </c>
      <c r="AO16" s="262">
        <v>340</v>
      </c>
      <c r="AP16" s="262">
        <v>340</v>
      </c>
      <c r="AQ16" s="262">
        <v>340</v>
      </c>
      <c r="AR16" s="262">
        <v>420</v>
      </c>
      <c r="AS16" s="262">
        <v>420</v>
      </c>
      <c r="AT16" s="262">
        <v>420</v>
      </c>
      <c r="AU16" s="263">
        <v>420</v>
      </c>
      <c r="AV16" s="263">
        <v>530</v>
      </c>
      <c r="AW16" s="263">
        <v>530</v>
      </c>
      <c r="AX16" s="263">
        <v>560</v>
      </c>
      <c r="AY16" s="263">
        <v>560</v>
      </c>
      <c r="AZ16" s="263">
        <v>670</v>
      </c>
      <c r="BA16" s="263">
        <v>670</v>
      </c>
      <c r="BC16" s="261" t="s">
        <v>93</v>
      </c>
      <c r="BD16" s="262">
        <f t="shared" si="2"/>
        <v>120</v>
      </c>
      <c r="BE16" s="262">
        <f t="shared" si="0"/>
        <v>120</v>
      </c>
      <c r="BF16" s="262">
        <f t="shared" si="0"/>
        <v>120</v>
      </c>
      <c r="BG16" s="262">
        <f t="shared" si="0"/>
        <v>120</v>
      </c>
      <c r="BH16" s="262">
        <f t="shared" si="0"/>
        <v>120</v>
      </c>
      <c r="BI16" s="262">
        <f t="shared" si="0"/>
        <v>120</v>
      </c>
      <c r="BJ16" s="262">
        <f t="shared" si="0"/>
        <v>120</v>
      </c>
      <c r="BK16" s="262">
        <f t="shared" si="0"/>
        <v>120</v>
      </c>
      <c r="BL16" s="262">
        <f t="shared" si="0"/>
        <v>120</v>
      </c>
      <c r="BM16" s="262">
        <f t="shared" si="0"/>
        <v>120</v>
      </c>
      <c r="BN16" s="262">
        <f t="shared" si="0"/>
        <v>120</v>
      </c>
      <c r="BO16" s="262">
        <f t="shared" si="0"/>
        <v>120</v>
      </c>
      <c r="BP16" s="262">
        <f t="shared" si="0"/>
        <v>100</v>
      </c>
      <c r="BQ16" s="262">
        <f t="shared" si="0"/>
        <v>100</v>
      </c>
      <c r="BR16" s="262">
        <f t="shared" si="0"/>
        <v>100</v>
      </c>
      <c r="BS16" s="262">
        <f t="shared" si="0"/>
        <v>90</v>
      </c>
      <c r="BT16" s="262">
        <f t="shared" si="0"/>
        <v>90</v>
      </c>
      <c r="BU16" s="262">
        <f t="shared" si="1"/>
        <v>90</v>
      </c>
      <c r="BV16" s="262">
        <f t="shared" si="1"/>
        <v>90</v>
      </c>
      <c r="BW16" s="262">
        <f t="shared" si="1"/>
        <v>120</v>
      </c>
      <c r="BX16" s="262">
        <f t="shared" si="1"/>
        <v>120</v>
      </c>
      <c r="BY16" s="262">
        <f t="shared" si="1"/>
        <v>120</v>
      </c>
      <c r="BZ16" s="262">
        <f t="shared" si="1"/>
        <v>120</v>
      </c>
      <c r="CA16" s="262">
        <f t="shared" si="1"/>
        <v>120</v>
      </c>
      <c r="CB16" s="262">
        <f t="shared" si="1"/>
        <v>120</v>
      </c>
    </row>
    <row r="17" spans="1:80">
      <c r="A17" s="261" t="s">
        <v>94</v>
      </c>
      <c r="B17" s="262">
        <v>600</v>
      </c>
      <c r="C17" s="262">
        <v>590</v>
      </c>
      <c r="D17" s="262">
        <v>590</v>
      </c>
      <c r="E17" s="262">
        <v>590</v>
      </c>
      <c r="F17" s="262">
        <v>590</v>
      </c>
      <c r="G17" s="262">
        <v>570</v>
      </c>
      <c r="H17" s="262">
        <v>570</v>
      </c>
      <c r="I17" s="262">
        <v>560</v>
      </c>
      <c r="J17" s="262">
        <v>560</v>
      </c>
      <c r="K17" s="262">
        <v>560</v>
      </c>
      <c r="L17" s="262">
        <v>560</v>
      </c>
      <c r="M17" s="262">
        <v>560</v>
      </c>
      <c r="N17" s="262">
        <v>440</v>
      </c>
      <c r="O17" s="262">
        <v>440</v>
      </c>
      <c r="P17" s="262">
        <v>440</v>
      </c>
      <c r="Q17" s="262">
        <v>510</v>
      </c>
      <c r="R17" s="262">
        <v>510</v>
      </c>
      <c r="S17" s="262">
        <v>510</v>
      </c>
      <c r="T17" s="263">
        <v>510</v>
      </c>
      <c r="U17" s="263">
        <v>650</v>
      </c>
      <c r="V17" s="263">
        <v>650</v>
      </c>
      <c r="W17" s="263">
        <v>680</v>
      </c>
      <c r="X17" s="263">
        <v>680</v>
      </c>
      <c r="Y17" s="263">
        <v>790</v>
      </c>
      <c r="Z17" s="263">
        <v>790</v>
      </c>
      <c r="AB17" s="261" t="s">
        <v>94</v>
      </c>
      <c r="AC17" s="262">
        <v>480</v>
      </c>
      <c r="AD17" s="262">
        <v>470</v>
      </c>
      <c r="AE17" s="262">
        <v>470</v>
      </c>
      <c r="AF17" s="262">
        <v>470</v>
      </c>
      <c r="AG17" s="262">
        <v>470</v>
      </c>
      <c r="AH17" s="262">
        <v>450</v>
      </c>
      <c r="AI17" s="262">
        <v>450</v>
      </c>
      <c r="AJ17" s="262">
        <v>440</v>
      </c>
      <c r="AK17" s="262">
        <v>440</v>
      </c>
      <c r="AL17" s="262">
        <v>440</v>
      </c>
      <c r="AM17" s="262">
        <v>440</v>
      </c>
      <c r="AN17" s="262">
        <v>440</v>
      </c>
      <c r="AO17" s="262">
        <v>340</v>
      </c>
      <c r="AP17" s="262">
        <v>340</v>
      </c>
      <c r="AQ17" s="262">
        <v>340</v>
      </c>
      <c r="AR17" s="262">
        <v>420</v>
      </c>
      <c r="AS17" s="262">
        <v>420</v>
      </c>
      <c r="AT17" s="262">
        <v>420</v>
      </c>
      <c r="AU17" s="263">
        <v>420</v>
      </c>
      <c r="AV17" s="263">
        <v>530</v>
      </c>
      <c r="AW17" s="263">
        <v>530</v>
      </c>
      <c r="AX17" s="263">
        <v>560</v>
      </c>
      <c r="AY17" s="263">
        <v>560</v>
      </c>
      <c r="AZ17" s="263">
        <v>670</v>
      </c>
      <c r="BA17" s="263">
        <v>670</v>
      </c>
      <c r="BC17" s="261" t="s">
        <v>94</v>
      </c>
      <c r="BD17" s="262">
        <f t="shared" si="2"/>
        <v>120</v>
      </c>
      <c r="BE17" s="262">
        <f t="shared" si="0"/>
        <v>120</v>
      </c>
      <c r="BF17" s="262">
        <f t="shared" si="0"/>
        <v>120</v>
      </c>
      <c r="BG17" s="262">
        <f t="shared" si="0"/>
        <v>120</v>
      </c>
      <c r="BH17" s="262">
        <f t="shared" si="0"/>
        <v>120</v>
      </c>
      <c r="BI17" s="262">
        <f t="shared" si="0"/>
        <v>120</v>
      </c>
      <c r="BJ17" s="262">
        <f t="shared" si="0"/>
        <v>120</v>
      </c>
      <c r="BK17" s="262">
        <f t="shared" si="0"/>
        <v>120</v>
      </c>
      <c r="BL17" s="262">
        <f t="shared" si="0"/>
        <v>120</v>
      </c>
      <c r="BM17" s="262">
        <f t="shared" si="0"/>
        <v>120</v>
      </c>
      <c r="BN17" s="262">
        <f t="shared" si="0"/>
        <v>120</v>
      </c>
      <c r="BO17" s="262">
        <f t="shared" si="0"/>
        <v>120</v>
      </c>
      <c r="BP17" s="262">
        <f t="shared" si="0"/>
        <v>100</v>
      </c>
      <c r="BQ17" s="262">
        <f t="shared" si="0"/>
        <v>100</v>
      </c>
      <c r="BR17" s="262">
        <f t="shared" si="0"/>
        <v>100</v>
      </c>
      <c r="BS17" s="262">
        <f t="shared" si="0"/>
        <v>90</v>
      </c>
      <c r="BT17" s="262">
        <f t="shared" si="0"/>
        <v>90</v>
      </c>
      <c r="BU17" s="262">
        <f t="shared" si="1"/>
        <v>90</v>
      </c>
      <c r="BV17" s="262">
        <f t="shared" si="1"/>
        <v>90</v>
      </c>
      <c r="BW17" s="262">
        <f t="shared" si="1"/>
        <v>120</v>
      </c>
      <c r="BX17" s="262">
        <f t="shared" si="1"/>
        <v>120</v>
      </c>
      <c r="BY17" s="262">
        <f t="shared" si="1"/>
        <v>120</v>
      </c>
      <c r="BZ17" s="262">
        <f t="shared" si="1"/>
        <v>120</v>
      </c>
      <c r="CA17" s="262">
        <f t="shared" si="1"/>
        <v>120</v>
      </c>
      <c r="CB17" s="262">
        <f t="shared" si="1"/>
        <v>120</v>
      </c>
    </row>
    <row r="18" spans="1:80">
      <c r="A18" s="261" t="s">
        <v>95</v>
      </c>
      <c r="B18" s="262">
        <v>600</v>
      </c>
      <c r="C18" s="262">
        <v>590</v>
      </c>
      <c r="D18" s="262">
        <v>590</v>
      </c>
      <c r="E18" s="262">
        <v>590</v>
      </c>
      <c r="F18" s="262">
        <v>590</v>
      </c>
      <c r="G18" s="262">
        <v>570</v>
      </c>
      <c r="H18" s="262">
        <v>570</v>
      </c>
      <c r="I18" s="262">
        <v>590</v>
      </c>
      <c r="J18" s="262">
        <v>590</v>
      </c>
      <c r="K18" s="262">
        <v>590</v>
      </c>
      <c r="L18" s="262">
        <v>590</v>
      </c>
      <c r="M18" s="262">
        <v>590</v>
      </c>
      <c r="N18" s="262">
        <v>510</v>
      </c>
      <c r="O18" s="262">
        <v>510</v>
      </c>
      <c r="P18" s="262">
        <v>510</v>
      </c>
      <c r="Q18" s="262">
        <v>430</v>
      </c>
      <c r="R18" s="262">
        <v>430</v>
      </c>
      <c r="S18" s="262">
        <v>430</v>
      </c>
      <c r="T18" s="263">
        <v>430</v>
      </c>
      <c r="U18" s="263">
        <v>610</v>
      </c>
      <c r="V18" s="263">
        <v>610</v>
      </c>
      <c r="W18" s="263">
        <v>630</v>
      </c>
      <c r="X18" s="263">
        <v>630</v>
      </c>
      <c r="Y18" s="263">
        <v>650</v>
      </c>
      <c r="Z18" s="263">
        <v>650</v>
      </c>
      <c r="AB18" s="261" t="s">
        <v>95</v>
      </c>
      <c r="AC18" s="262">
        <v>490</v>
      </c>
      <c r="AD18" s="262">
        <v>480</v>
      </c>
      <c r="AE18" s="262">
        <v>480</v>
      </c>
      <c r="AF18" s="262">
        <v>480</v>
      </c>
      <c r="AG18" s="262">
        <v>480</v>
      </c>
      <c r="AH18" s="262">
        <v>460</v>
      </c>
      <c r="AI18" s="262">
        <v>460</v>
      </c>
      <c r="AJ18" s="262">
        <v>480</v>
      </c>
      <c r="AK18" s="262">
        <v>480</v>
      </c>
      <c r="AL18" s="262">
        <v>480</v>
      </c>
      <c r="AM18" s="262">
        <v>480</v>
      </c>
      <c r="AN18" s="262">
        <v>480</v>
      </c>
      <c r="AO18" s="262">
        <v>420</v>
      </c>
      <c r="AP18" s="262">
        <v>420</v>
      </c>
      <c r="AQ18" s="262">
        <v>420</v>
      </c>
      <c r="AR18" s="262">
        <v>340</v>
      </c>
      <c r="AS18" s="262">
        <v>340</v>
      </c>
      <c r="AT18" s="262">
        <v>340</v>
      </c>
      <c r="AU18" s="263">
        <v>340</v>
      </c>
      <c r="AV18" s="263">
        <v>490</v>
      </c>
      <c r="AW18" s="263">
        <v>490</v>
      </c>
      <c r="AX18" s="263">
        <v>510</v>
      </c>
      <c r="AY18" s="263">
        <v>510</v>
      </c>
      <c r="AZ18" s="263">
        <v>530</v>
      </c>
      <c r="BA18" s="263">
        <v>530</v>
      </c>
      <c r="BC18" s="261" t="s">
        <v>95</v>
      </c>
      <c r="BD18" s="262">
        <f t="shared" si="2"/>
        <v>110</v>
      </c>
      <c r="BE18" s="262">
        <f t="shared" si="0"/>
        <v>110</v>
      </c>
      <c r="BF18" s="262">
        <f t="shared" si="0"/>
        <v>110</v>
      </c>
      <c r="BG18" s="262">
        <f t="shared" si="0"/>
        <v>110</v>
      </c>
      <c r="BH18" s="262">
        <f t="shared" si="0"/>
        <v>110</v>
      </c>
      <c r="BI18" s="262">
        <f t="shared" si="0"/>
        <v>110</v>
      </c>
      <c r="BJ18" s="262">
        <f t="shared" si="0"/>
        <v>110</v>
      </c>
      <c r="BK18" s="262">
        <f t="shared" si="0"/>
        <v>110</v>
      </c>
      <c r="BL18" s="262">
        <f t="shared" si="0"/>
        <v>110</v>
      </c>
      <c r="BM18" s="262">
        <f t="shared" si="0"/>
        <v>110</v>
      </c>
      <c r="BN18" s="262">
        <f t="shared" si="0"/>
        <v>110</v>
      </c>
      <c r="BO18" s="262">
        <f t="shared" si="0"/>
        <v>110</v>
      </c>
      <c r="BP18" s="262">
        <f t="shared" si="0"/>
        <v>90</v>
      </c>
      <c r="BQ18" s="262">
        <f t="shared" si="0"/>
        <v>90</v>
      </c>
      <c r="BR18" s="262">
        <f t="shared" si="0"/>
        <v>90</v>
      </c>
      <c r="BS18" s="262">
        <f t="shared" si="0"/>
        <v>90</v>
      </c>
      <c r="BT18" s="262">
        <f t="shared" ref="BT18:CB27" si="3">R18-AS18</f>
        <v>90</v>
      </c>
      <c r="BU18" s="262">
        <f t="shared" si="1"/>
        <v>90</v>
      </c>
      <c r="BV18" s="262">
        <f t="shared" si="1"/>
        <v>90</v>
      </c>
      <c r="BW18" s="262">
        <f t="shared" si="1"/>
        <v>120</v>
      </c>
      <c r="BX18" s="262">
        <f t="shared" si="1"/>
        <v>120</v>
      </c>
      <c r="BY18" s="262">
        <f t="shared" si="1"/>
        <v>120</v>
      </c>
      <c r="BZ18" s="262">
        <f t="shared" si="1"/>
        <v>120</v>
      </c>
      <c r="CA18" s="262">
        <f t="shared" si="1"/>
        <v>120</v>
      </c>
      <c r="CB18" s="262">
        <f t="shared" si="1"/>
        <v>120</v>
      </c>
    </row>
    <row r="19" spans="1:80">
      <c r="A19" s="261" t="s">
        <v>96</v>
      </c>
      <c r="B19" s="262">
        <v>600</v>
      </c>
      <c r="C19" s="262">
        <v>590</v>
      </c>
      <c r="D19" s="262">
        <v>590</v>
      </c>
      <c r="E19" s="262">
        <v>590</v>
      </c>
      <c r="F19" s="262">
        <v>590</v>
      </c>
      <c r="G19" s="262">
        <v>570</v>
      </c>
      <c r="H19" s="262">
        <v>570</v>
      </c>
      <c r="I19" s="262">
        <v>590</v>
      </c>
      <c r="J19" s="262">
        <v>590</v>
      </c>
      <c r="K19" s="262">
        <v>590</v>
      </c>
      <c r="L19" s="262">
        <v>590</v>
      </c>
      <c r="M19" s="262">
        <v>590</v>
      </c>
      <c r="N19" s="262">
        <v>510</v>
      </c>
      <c r="O19" s="262">
        <v>510</v>
      </c>
      <c r="P19" s="262">
        <v>510</v>
      </c>
      <c r="Q19" s="262">
        <v>430</v>
      </c>
      <c r="R19" s="262">
        <v>430</v>
      </c>
      <c r="S19" s="262">
        <v>430</v>
      </c>
      <c r="T19" s="262">
        <v>430</v>
      </c>
      <c r="U19" s="262">
        <v>610</v>
      </c>
      <c r="V19" s="262">
        <v>610</v>
      </c>
      <c r="W19" s="262">
        <v>630</v>
      </c>
      <c r="X19" s="262">
        <v>630</v>
      </c>
      <c r="Y19" s="262">
        <v>650</v>
      </c>
      <c r="Z19" s="262">
        <v>650</v>
      </c>
      <c r="AB19" s="261" t="s">
        <v>96</v>
      </c>
      <c r="AC19" s="262">
        <v>490</v>
      </c>
      <c r="AD19" s="262">
        <v>480</v>
      </c>
      <c r="AE19" s="262">
        <v>480</v>
      </c>
      <c r="AF19" s="262">
        <v>480</v>
      </c>
      <c r="AG19" s="262">
        <v>480</v>
      </c>
      <c r="AH19" s="262">
        <v>460</v>
      </c>
      <c r="AI19" s="262">
        <v>460</v>
      </c>
      <c r="AJ19" s="262">
        <v>480</v>
      </c>
      <c r="AK19" s="262">
        <v>480</v>
      </c>
      <c r="AL19" s="262">
        <v>480</v>
      </c>
      <c r="AM19" s="262">
        <v>480</v>
      </c>
      <c r="AN19" s="262">
        <v>480</v>
      </c>
      <c r="AO19" s="262">
        <v>420</v>
      </c>
      <c r="AP19" s="262">
        <v>420</v>
      </c>
      <c r="AQ19" s="262">
        <v>420</v>
      </c>
      <c r="AR19" s="262">
        <v>340</v>
      </c>
      <c r="AS19" s="262">
        <v>340</v>
      </c>
      <c r="AT19" s="262">
        <v>340</v>
      </c>
      <c r="AU19" s="262">
        <v>340</v>
      </c>
      <c r="AV19" s="262">
        <v>490</v>
      </c>
      <c r="AW19" s="262">
        <v>490</v>
      </c>
      <c r="AX19" s="262">
        <v>510</v>
      </c>
      <c r="AY19" s="262">
        <v>510</v>
      </c>
      <c r="AZ19" s="262">
        <v>530</v>
      </c>
      <c r="BA19" s="262">
        <v>530</v>
      </c>
      <c r="BC19" s="261" t="s">
        <v>96</v>
      </c>
      <c r="BD19" s="262">
        <f t="shared" si="2"/>
        <v>110</v>
      </c>
      <c r="BE19" s="262">
        <f t="shared" si="2"/>
        <v>110</v>
      </c>
      <c r="BF19" s="262">
        <f t="shared" si="2"/>
        <v>110</v>
      </c>
      <c r="BG19" s="262">
        <f t="shared" si="2"/>
        <v>110</v>
      </c>
      <c r="BH19" s="262">
        <f t="shared" si="2"/>
        <v>110</v>
      </c>
      <c r="BI19" s="262">
        <f t="shared" si="2"/>
        <v>110</v>
      </c>
      <c r="BJ19" s="262">
        <f t="shared" si="2"/>
        <v>110</v>
      </c>
      <c r="BK19" s="262">
        <f t="shared" si="2"/>
        <v>110</v>
      </c>
      <c r="BL19" s="262">
        <f t="shared" si="2"/>
        <v>110</v>
      </c>
      <c r="BM19" s="262">
        <f t="shared" si="2"/>
        <v>110</v>
      </c>
      <c r="BN19" s="262">
        <f t="shared" si="2"/>
        <v>110</v>
      </c>
      <c r="BO19" s="262">
        <f t="shared" si="2"/>
        <v>110</v>
      </c>
      <c r="BP19" s="262">
        <f t="shared" si="2"/>
        <v>90</v>
      </c>
      <c r="BQ19" s="262">
        <f t="shared" si="2"/>
        <v>90</v>
      </c>
      <c r="BR19" s="262">
        <f t="shared" si="2"/>
        <v>90</v>
      </c>
      <c r="BS19" s="262">
        <f t="shared" si="2"/>
        <v>90</v>
      </c>
      <c r="BT19" s="262">
        <f t="shared" si="3"/>
        <v>90</v>
      </c>
      <c r="BU19" s="262">
        <f t="shared" si="3"/>
        <v>90</v>
      </c>
      <c r="BV19" s="262">
        <f t="shared" si="3"/>
        <v>90</v>
      </c>
      <c r="BW19" s="262">
        <f t="shared" si="3"/>
        <v>120</v>
      </c>
      <c r="BX19" s="262">
        <f t="shared" si="3"/>
        <v>120</v>
      </c>
      <c r="BY19" s="262">
        <f t="shared" si="3"/>
        <v>120</v>
      </c>
      <c r="BZ19" s="262">
        <f t="shared" si="3"/>
        <v>120</v>
      </c>
      <c r="CA19" s="262">
        <f t="shared" si="3"/>
        <v>120</v>
      </c>
      <c r="CB19" s="262">
        <f t="shared" si="3"/>
        <v>120</v>
      </c>
    </row>
    <row r="20" spans="1:80">
      <c r="A20" s="261" t="s">
        <v>97</v>
      </c>
      <c r="B20" s="262">
        <v>600</v>
      </c>
      <c r="C20" s="262">
        <v>590</v>
      </c>
      <c r="D20" s="262">
        <v>590</v>
      </c>
      <c r="E20" s="262">
        <v>590</v>
      </c>
      <c r="F20" s="262">
        <v>590</v>
      </c>
      <c r="G20" s="262">
        <v>570</v>
      </c>
      <c r="H20" s="262">
        <v>570</v>
      </c>
      <c r="I20" s="262">
        <v>590</v>
      </c>
      <c r="J20" s="262">
        <v>590</v>
      </c>
      <c r="K20" s="262">
        <v>590</v>
      </c>
      <c r="L20" s="262">
        <v>590</v>
      </c>
      <c r="M20" s="262">
        <v>590</v>
      </c>
      <c r="N20" s="262">
        <v>510</v>
      </c>
      <c r="O20" s="262">
        <v>510</v>
      </c>
      <c r="P20" s="262">
        <v>510</v>
      </c>
      <c r="Q20" s="262">
        <v>430</v>
      </c>
      <c r="R20" s="262">
        <v>430</v>
      </c>
      <c r="S20" s="262">
        <v>430</v>
      </c>
      <c r="T20" s="263">
        <v>430</v>
      </c>
      <c r="U20" s="263">
        <v>610</v>
      </c>
      <c r="V20" s="263">
        <v>610</v>
      </c>
      <c r="W20" s="263">
        <v>630</v>
      </c>
      <c r="X20" s="263">
        <v>630</v>
      </c>
      <c r="Y20" s="263">
        <v>650</v>
      </c>
      <c r="Z20" s="263">
        <v>650</v>
      </c>
      <c r="AB20" s="261" t="s">
        <v>97</v>
      </c>
      <c r="AC20" s="262">
        <v>490</v>
      </c>
      <c r="AD20" s="262">
        <v>480</v>
      </c>
      <c r="AE20" s="262">
        <v>480</v>
      </c>
      <c r="AF20" s="262">
        <v>480</v>
      </c>
      <c r="AG20" s="262">
        <v>480</v>
      </c>
      <c r="AH20" s="262">
        <v>460</v>
      </c>
      <c r="AI20" s="262">
        <v>460</v>
      </c>
      <c r="AJ20" s="262">
        <v>480</v>
      </c>
      <c r="AK20" s="262">
        <v>480</v>
      </c>
      <c r="AL20" s="262">
        <v>480</v>
      </c>
      <c r="AM20" s="262">
        <v>480</v>
      </c>
      <c r="AN20" s="262">
        <v>480</v>
      </c>
      <c r="AO20" s="262">
        <v>420</v>
      </c>
      <c r="AP20" s="262">
        <v>420</v>
      </c>
      <c r="AQ20" s="262">
        <v>420</v>
      </c>
      <c r="AR20" s="262">
        <v>340</v>
      </c>
      <c r="AS20" s="262">
        <v>340</v>
      </c>
      <c r="AT20" s="262">
        <v>340</v>
      </c>
      <c r="AU20" s="263">
        <v>340</v>
      </c>
      <c r="AV20" s="263">
        <v>490</v>
      </c>
      <c r="AW20" s="263">
        <v>490</v>
      </c>
      <c r="AX20" s="263">
        <v>510</v>
      </c>
      <c r="AY20" s="263">
        <v>510</v>
      </c>
      <c r="AZ20" s="263">
        <v>530</v>
      </c>
      <c r="BA20" s="263">
        <v>530</v>
      </c>
      <c r="BC20" s="261" t="s">
        <v>97</v>
      </c>
      <c r="BD20" s="262">
        <f t="shared" si="2"/>
        <v>110</v>
      </c>
      <c r="BE20" s="262">
        <f t="shared" si="2"/>
        <v>110</v>
      </c>
      <c r="BF20" s="262">
        <f t="shared" si="2"/>
        <v>110</v>
      </c>
      <c r="BG20" s="262">
        <f t="shared" si="2"/>
        <v>110</v>
      </c>
      <c r="BH20" s="262">
        <f t="shared" si="2"/>
        <v>110</v>
      </c>
      <c r="BI20" s="262">
        <f t="shared" si="2"/>
        <v>110</v>
      </c>
      <c r="BJ20" s="262">
        <f t="shared" si="2"/>
        <v>110</v>
      </c>
      <c r="BK20" s="262">
        <f t="shared" si="2"/>
        <v>110</v>
      </c>
      <c r="BL20" s="262">
        <f t="shared" si="2"/>
        <v>110</v>
      </c>
      <c r="BM20" s="262">
        <f t="shared" si="2"/>
        <v>110</v>
      </c>
      <c r="BN20" s="262">
        <f t="shared" si="2"/>
        <v>110</v>
      </c>
      <c r="BO20" s="262">
        <f t="shared" si="2"/>
        <v>110</v>
      </c>
      <c r="BP20" s="262">
        <f t="shared" si="2"/>
        <v>90</v>
      </c>
      <c r="BQ20" s="262">
        <f t="shared" si="2"/>
        <v>90</v>
      </c>
      <c r="BR20" s="262">
        <f t="shared" si="2"/>
        <v>90</v>
      </c>
      <c r="BS20" s="262">
        <f t="shared" si="2"/>
        <v>90</v>
      </c>
      <c r="BT20" s="262">
        <f t="shared" si="3"/>
        <v>90</v>
      </c>
      <c r="BU20" s="262">
        <f t="shared" si="3"/>
        <v>90</v>
      </c>
      <c r="BV20" s="262">
        <f t="shared" si="3"/>
        <v>90</v>
      </c>
      <c r="BW20" s="262">
        <f t="shared" si="3"/>
        <v>120</v>
      </c>
      <c r="BX20" s="262">
        <f t="shared" si="3"/>
        <v>120</v>
      </c>
      <c r="BY20" s="262">
        <f t="shared" si="3"/>
        <v>120</v>
      </c>
      <c r="BZ20" s="262">
        <f t="shared" si="3"/>
        <v>120</v>
      </c>
      <c r="CA20" s="262">
        <f t="shared" si="3"/>
        <v>120</v>
      </c>
      <c r="CB20" s="262">
        <f t="shared" si="3"/>
        <v>120</v>
      </c>
    </row>
    <row r="21" spans="1:80">
      <c r="A21" s="261" t="s">
        <v>98</v>
      </c>
      <c r="B21" s="262">
        <v>600</v>
      </c>
      <c r="C21" s="262">
        <v>590</v>
      </c>
      <c r="D21" s="262">
        <v>590</v>
      </c>
      <c r="E21" s="262">
        <v>590</v>
      </c>
      <c r="F21" s="262">
        <v>590</v>
      </c>
      <c r="G21" s="262">
        <v>570</v>
      </c>
      <c r="H21" s="262">
        <v>570</v>
      </c>
      <c r="I21" s="262">
        <v>590</v>
      </c>
      <c r="J21" s="262">
        <v>590</v>
      </c>
      <c r="K21" s="262">
        <v>590</v>
      </c>
      <c r="L21" s="262">
        <v>590</v>
      </c>
      <c r="M21" s="262">
        <v>590</v>
      </c>
      <c r="N21" s="262">
        <v>510</v>
      </c>
      <c r="O21" s="262">
        <v>510</v>
      </c>
      <c r="P21" s="262">
        <v>510</v>
      </c>
      <c r="Q21" s="262">
        <v>430</v>
      </c>
      <c r="R21" s="262">
        <v>430</v>
      </c>
      <c r="S21" s="262">
        <v>430</v>
      </c>
      <c r="T21" s="263">
        <v>430</v>
      </c>
      <c r="U21" s="263">
        <v>610</v>
      </c>
      <c r="V21" s="263">
        <v>610</v>
      </c>
      <c r="W21" s="263">
        <v>630</v>
      </c>
      <c r="X21" s="263">
        <v>630</v>
      </c>
      <c r="Y21" s="263">
        <v>650</v>
      </c>
      <c r="Z21" s="263">
        <v>650</v>
      </c>
      <c r="AB21" s="261" t="s">
        <v>98</v>
      </c>
      <c r="AC21" s="262">
        <v>490</v>
      </c>
      <c r="AD21" s="262">
        <v>480</v>
      </c>
      <c r="AE21" s="262">
        <v>480</v>
      </c>
      <c r="AF21" s="262">
        <v>480</v>
      </c>
      <c r="AG21" s="262">
        <v>480</v>
      </c>
      <c r="AH21" s="262">
        <v>460</v>
      </c>
      <c r="AI21" s="262">
        <v>460</v>
      </c>
      <c r="AJ21" s="262">
        <v>480</v>
      </c>
      <c r="AK21" s="262">
        <v>480</v>
      </c>
      <c r="AL21" s="262">
        <v>480</v>
      </c>
      <c r="AM21" s="262">
        <v>480</v>
      </c>
      <c r="AN21" s="262">
        <v>480</v>
      </c>
      <c r="AO21" s="262">
        <v>420</v>
      </c>
      <c r="AP21" s="262">
        <v>420</v>
      </c>
      <c r="AQ21" s="262">
        <v>420</v>
      </c>
      <c r="AR21" s="262">
        <v>340</v>
      </c>
      <c r="AS21" s="262">
        <v>340</v>
      </c>
      <c r="AT21" s="262">
        <v>340</v>
      </c>
      <c r="AU21" s="263">
        <v>340</v>
      </c>
      <c r="AV21" s="263">
        <v>490</v>
      </c>
      <c r="AW21" s="263">
        <v>490</v>
      </c>
      <c r="AX21" s="263">
        <v>510</v>
      </c>
      <c r="AY21" s="263">
        <v>510</v>
      </c>
      <c r="AZ21" s="263">
        <v>530</v>
      </c>
      <c r="BA21" s="263">
        <v>530</v>
      </c>
      <c r="BC21" s="261" t="s">
        <v>98</v>
      </c>
      <c r="BD21" s="262">
        <f t="shared" si="2"/>
        <v>110</v>
      </c>
      <c r="BE21" s="262">
        <f t="shared" si="2"/>
        <v>110</v>
      </c>
      <c r="BF21" s="262">
        <f t="shared" si="2"/>
        <v>110</v>
      </c>
      <c r="BG21" s="262">
        <f t="shared" si="2"/>
        <v>110</v>
      </c>
      <c r="BH21" s="262">
        <f t="shared" si="2"/>
        <v>110</v>
      </c>
      <c r="BI21" s="262">
        <f t="shared" si="2"/>
        <v>110</v>
      </c>
      <c r="BJ21" s="262">
        <f t="shared" si="2"/>
        <v>110</v>
      </c>
      <c r="BK21" s="262">
        <f t="shared" si="2"/>
        <v>110</v>
      </c>
      <c r="BL21" s="262">
        <f t="shared" si="2"/>
        <v>110</v>
      </c>
      <c r="BM21" s="262">
        <f t="shared" si="2"/>
        <v>110</v>
      </c>
      <c r="BN21" s="262">
        <f t="shared" si="2"/>
        <v>110</v>
      </c>
      <c r="BO21" s="262">
        <f t="shared" si="2"/>
        <v>110</v>
      </c>
      <c r="BP21" s="262">
        <f t="shared" si="2"/>
        <v>90</v>
      </c>
      <c r="BQ21" s="262">
        <f t="shared" si="2"/>
        <v>90</v>
      </c>
      <c r="BR21" s="262">
        <f t="shared" si="2"/>
        <v>90</v>
      </c>
      <c r="BS21" s="262">
        <f t="shared" si="2"/>
        <v>90</v>
      </c>
      <c r="BT21" s="262">
        <f t="shared" si="3"/>
        <v>90</v>
      </c>
      <c r="BU21" s="262">
        <f t="shared" si="3"/>
        <v>90</v>
      </c>
      <c r="BV21" s="262">
        <f t="shared" si="3"/>
        <v>90</v>
      </c>
      <c r="BW21" s="262">
        <f t="shared" si="3"/>
        <v>120</v>
      </c>
      <c r="BX21" s="262">
        <f t="shared" si="3"/>
        <v>120</v>
      </c>
      <c r="BY21" s="262">
        <f t="shared" si="3"/>
        <v>120</v>
      </c>
      <c r="BZ21" s="262">
        <f t="shared" si="3"/>
        <v>120</v>
      </c>
      <c r="CA21" s="262">
        <f t="shared" si="3"/>
        <v>120</v>
      </c>
      <c r="CB21" s="262">
        <f t="shared" si="3"/>
        <v>120</v>
      </c>
    </row>
    <row r="22" spans="1:80">
      <c r="A22" s="261" t="s">
        <v>99</v>
      </c>
      <c r="B22" s="262">
        <v>910</v>
      </c>
      <c r="C22" s="262">
        <v>900</v>
      </c>
      <c r="D22" s="262">
        <v>900</v>
      </c>
      <c r="E22" s="262">
        <v>900</v>
      </c>
      <c r="F22" s="262">
        <v>900</v>
      </c>
      <c r="G22" s="262">
        <v>850</v>
      </c>
      <c r="H22" s="262">
        <v>850</v>
      </c>
      <c r="I22" s="262">
        <v>870</v>
      </c>
      <c r="J22" s="262">
        <v>870</v>
      </c>
      <c r="K22" s="262">
        <v>870</v>
      </c>
      <c r="L22" s="262">
        <v>880</v>
      </c>
      <c r="M22" s="262">
        <v>880</v>
      </c>
      <c r="N22" s="262">
        <v>650</v>
      </c>
      <c r="O22" s="262">
        <v>650</v>
      </c>
      <c r="P22" s="262">
        <v>650</v>
      </c>
      <c r="Q22" s="262">
        <v>610</v>
      </c>
      <c r="R22" s="262">
        <v>610</v>
      </c>
      <c r="S22" s="262">
        <v>610</v>
      </c>
      <c r="T22" s="263">
        <v>610</v>
      </c>
      <c r="U22" s="263">
        <v>440</v>
      </c>
      <c r="V22" s="263">
        <v>440</v>
      </c>
      <c r="W22" s="263">
        <v>460</v>
      </c>
      <c r="X22" s="263">
        <v>460</v>
      </c>
      <c r="Y22" s="263">
        <v>530</v>
      </c>
      <c r="Z22" s="263">
        <v>530</v>
      </c>
      <c r="AB22" s="261" t="s">
        <v>99</v>
      </c>
      <c r="AC22" s="262">
        <v>770</v>
      </c>
      <c r="AD22" s="262">
        <v>760</v>
      </c>
      <c r="AE22" s="262">
        <v>760</v>
      </c>
      <c r="AF22" s="262">
        <v>760</v>
      </c>
      <c r="AG22" s="262">
        <v>760</v>
      </c>
      <c r="AH22" s="262">
        <v>720</v>
      </c>
      <c r="AI22" s="262">
        <v>720</v>
      </c>
      <c r="AJ22" s="262">
        <v>730</v>
      </c>
      <c r="AK22" s="262">
        <v>730</v>
      </c>
      <c r="AL22" s="262">
        <v>730</v>
      </c>
      <c r="AM22" s="262">
        <v>740</v>
      </c>
      <c r="AN22" s="262">
        <v>740</v>
      </c>
      <c r="AO22" s="262">
        <v>530</v>
      </c>
      <c r="AP22" s="262">
        <v>530</v>
      </c>
      <c r="AQ22" s="262">
        <v>530</v>
      </c>
      <c r="AR22" s="262">
        <v>490</v>
      </c>
      <c r="AS22" s="262">
        <v>490</v>
      </c>
      <c r="AT22" s="262">
        <v>490</v>
      </c>
      <c r="AU22" s="263">
        <v>490</v>
      </c>
      <c r="AV22" s="263">
        <v>340</v>
      </c>
      <c r="AW22" s="263">
        <v>340</v>
      </c>
      <c r="AX22" s="263">
        <v>360</v>
      </c>
      <c r="AY22" s="263">
        <v>360</v>
      </c>
      <c r="AZ22" s="263">
        <v>440</v>
      </c>
      <c r="BA22" s="263">
        <v>440</v>
      </c>
      <c r="BC22" s="261" t="s">
        <v>99</v>
      </c>
      <c r="BD22" s="262">
        <f t="shared" si="2"/>
        <v>140</v>
      </c>
      <c r="BE22" s="262">
        <f t="shared" si="2"/>
        <v>140</v>
      </c>
      <c r="BF22" s="262">
        <f t="shared" si="2"/>
        <v>140</v>
      </c>
      <c r="BG22" s="262">
        <f t="shared" si="2"/>
        <v>140</v>
      </c>
      <c r="BH22" s="262">
        <f t="shared" si="2"/>
        <v>140</v>
      </c>
      <c r="BI22" s="262">
        <f t="shared" si="2"/>
        <v>130</v>
      </c>
      <c r="BJ22" s="262">
        <f t="shared" si="2"/>
        <v>130</v>
      </c>
      <c r="BK22" s="262">
        <f t="shared" si="2"/>
        <v>140</v>
      </c>
      <c r="BL22" s="262">
        <f t="shared" si="2"/>
        <v>140</v>
      </c>
      <c r="BM22" s="262">
        <f t="shared" si="2"/>
        <v>140</v>
      </c>
      <c r="BN22" s="262">
        <f t="shared" si="2"/>
        <v>140</v>
      </c>
      <c r="BO22" s="262">
        <f t="shared" si="2"/>
        <v>140</v>
      </c>
      <c r="BP22" s="262">
        <f t="shared" si="2"/>
        <v>120</v>
      </c>
      <c r="BQ22" s="262">
        <f t="shared" si="2"/>
        <v>120</v>
      </c>
      <c r="BR22" s="262">
        <f t="shared" si="2"/>
        <v>120</v>
      </c>
      <c r="BS22" s="262">
        <f t="shared" si="2"/>
        <v>120</v>
      </c>
      <c r="BT22" s="262">
        <f t="shared" si="3"/>
        <v>120</v>
      </c>
      <c r="BU22" s="262">
        <f t="shared" si="3"/>
        <v>120</v>
      </c>
      <c r="BV22" s="262">
        <f t="shared" si="3"/>
        <v>120</v>
      </c>
      <c r="BW22" s="262">
        <f t="shared" si="3"/>
        <v>100</v>
      </c>
      <c r="BX22" s="262">
        <f t="shared" si="3"/>
        <v>100</v>
      </c>
      <c r="BY22" s="262">
        <f t="shared" si="3"/>
        <v>100</v>
      </c>
      <c r="BZ22" s="262">
        <f t="shared" si="3"/>
        <v>100</v>
      </c>
      <c r="CA22" s="262">
        <f t="shared" si="3"/>
        <v>90</v>
      </c>
      <c r="CB22" s="262">
        <f t="shared" si="3"/>
        <v>90</v>
      </c>
    </row>
    <row r="23" spans="1:80">
      <c r="A23" s="261" t="s">
        <v>100</v>
      </c>
      <c r="B23" s="262">
        <v>910</v>
      </c>
      <c r="C23" s="262">
        <v>900</v>
      </c>
      <c r="D23" s="262">
        <v>900</v>
      </c>
      <c r="E23" s="262">
        <v>900</v>
      </c>
      <c r="F23" s="262">
        <v>900</v>
      </c>
      <c r="G23" s="262">
        <v>850</v>
      </c>
      <c r="H23" s="262">
        <v>850</v>
      </c>
      <c r="I23" s="262">
        <v>870</v>
      </c>
      <c r="J23" s="262">
        <v>870</v>
      </c>
      <c r="K23" s="262">
        <v>870</v>
      </c>
      <c r="L23" s="262">
        <v>880</v>
      </c>
      <c r="M23" s="262">
        <v>880</v>
      </c>
      <c r="N23" s="262">
        <v>650</v>
      </c>
      <c r="O23" s="262">
        <v>650</v>
      </c>
      <c r="P23" s="262">
        <v>650</v>
      </c>
      <c r="Q23" s="262">
        <v>610</v>
      </c>
      <c r="R23" s="262">
        <v>610</v>
      </c>
      <c r="S23" s="262">
        <v>610</v>
      </c>
      <c r="T23" s="263">
        <v>610</v>
      </c>
      <c r="U23" s="263">
        <v>440</v>
      </c>
      <c r="V23" s="263">
        <v>440</v>
      </c>
      <c r="W23" s="263">
        <v>460</v>
      </c>
      <c r="X23" s="263">
        <v>460</v>
      </c>
      <c r="Y23" s="263">
        <v>530</v>
      </c>
      <c r="Z23" s="263">
        <v>530</v>
      </c>
      <c r="AB23" s="261" t="s">
        <v>100</v>
      </c>
      <c r="AC23" s="262">
        <v>770</v>
      </c>
      <c r="AD23" s="262">
        <v>760</v>
      </c>
      <c r="AE23" s="262">
        <v>760</v>
      </c>
      <c r="AF23" s="262">
        <v>760</v>
      </c>
      <c r="AG23" s="262">
        <v>760</v>
      </c>
      <c r="AH23" s="262">
        <v>720</v>
      </c>
      <c r="AI23" s="262">
        <v>720</v>
      </c>
      <c r="AJ23" s="262">
        <v>730</v>
      </c>
      <c r="AK23" s="262">
        <v>730</v>
      </c>
      <c r="AL23" s="262">
        <v>730</v>
      </c>
      <c r="AM23" s="262">
        <v>740</v>
      </c>
      <c r="AN23" s="262">
        <v>740</v>
      </c>
      <c r="AO23" s="262">
        <v>530</v>
      </c>
      <c r="AP23" s="262">
        <v>530</v>
      </c>
      <c r="AQ23" s="262">
        <v>530</v>
      </c>
      <c r="AR23" s="262">
        <v>490</v>
      </c>
      <c r="AS23" s="262">
        <v>490</v>
      </c>
      <c r="AT23" s="262">
        <v>490</v>
      </c>
      <c r="AU23" s="263">
        <v>490</v>
      </c>
      <c r="AV23" s="263">
        <v>340</v>
      </c>
      <c r="AW23" s="263">
        <v>340</v>
      </c>
      <c r="AX23" s="263">
        <v>360</v>
      </c>
      <c r="AY23" s="263">
        <v>360</v>
      </c>
      <c r="AZ23" s="263">
        <v>440</v>
      </c>
      <c r="BA23" s="263">
        <v>440</v>
      </c>
      <c r="BC23" s="261" t="s">
        <v>100</v>
      </c>
      <c r="BD23" s="262">
        <f t="shared" si="2"/>
        <v>140</v>
      </c>
      <c r="BE23" s="262">
        <f t="shared" si="2"/>
        <v>140</v>
      </c>
      <c r="BF23" s="262">
        <f t="shared" si="2"/>
        <v>140</v>
      </c>
      <c r="BG23" s="262">
        <f t="shared" si="2"/>
        <v>140</v>
      </c>
      <c r="BH23" s="262">
        <f t="shared" si="2"/>
        <v>140</v>
      </c>
      <c r="BI23" s="262">
        <f t="shared" si="2"/>
        <v>130</v>
      </c>
      <c r="BJ23" s="262">
        <f t="shared" si="2"/>
        <v>130</v>
      </c>
      <c r="BK23" s="262">
        <f t="shared" si="2"/>
        <v>140</v>
      </c>
      <c r="BL23" s="262">
        <f t="shared" si="2"/>
        <v>140</v>
      </c>
      <c r="BM23" s="262">
        <f t="shared" si="2"/>
        <v>140</v>
      </c>
      <c r="BN23" s="262">
        <f t="shared" si="2"/>
        <v>140</v>
      </c>
      <c r="BO23" s="262">
        <f t="shared" si="2"/>
        <v>140</v>
      </c>
      <c r="BP23" s="262">
        <f t="shared" si="2"/>
        <v>120</v>
      </c>
      <c r="BQ23" s="262">
        <f t="shared" si="2"/>
        <v>120</v>
      </c>
      <c r="BR23" s="262">
        <f t="shared" si="2"/>
        <v>120</v>
      </c>
      <c r="BS23" s="262">
        <f t="shared" si="2"/>
        <v>120</v>
      </c>
      <c r="BT23" s="262">
        <f t="shared" si="3"/>
        <v>120</v>
      </c>
      <c r="BU23" s="262">
        <f t="shared" si="3"/>
        <v>120</v>
      </c>
      <c r="BV23" s="262">
        <f t="shared" si="3"/>
        <v>120</v>
      </c>
      <c r="BW23" s="262">
        <f t="shared" si="3"/>
        <v>100</v>
      </c>
      <c r="BX23" s="262">
        <f t="shared" si="3"/>
        <v>100</v>
      </c>
      <c r="BY23" s="262">
        <f t="shared" si="3"/>
        <v>100</v>
      </c>
      <c r="BZ23" s="262">
        <f t="shared" si="3"/>
        <v>100</v>
      </c>
      <c r="CA23" s="262">
        <f t="shared" si="3"/>
        <v>90</v>
      </c>
      <c r="CB23" s="262">
        <f t="shared" si="3"/>
        <v>90</v>
      </c>
    </row>
    <row r="24" spans="1:80">
      <c r="A24" s="261" t="s">
        <v>101</v>
      </c>
      <c r="B24" s="262">
        <v>960</v>
      </c>
      <c r="C24" s="262">
        <v>910</v>
      </c>
      <c r="D24" s="262">
        <v>910</v>
      </c>
      <c r="E24" s="262">
        <v>910</v>
      </c>
      <c r="F24" s="262">
        <v>910</v>
      </c>
      <c r="G24" s="262">
        <v>850</v>
      </c>
      <c r="H24" s="262">
        <v>850</v>
      </c>
      <c r="I24" s="262">
        <v>880</v>
      </c>
      <c r="J24" s="262">
        <v>880</v>
      </c>
      <c r="K24" s="262">
        <v>880</v>
      </c>
      <c r="L24" s="262">
        <v>900</v>
      </c>
      <c r="M24" s="262">
        <v>900</v>
      </c>
      <c r="N24" s="262">
        <v>680</v>
      </c>
      <c r="O24" s="262">
        <v>680</v>
      </c>
      <c r="P24" s="262">
        <v>680</v>
      </c>
      <c r="Q24" s="262">
        <v>630</v>
      </c>
      <c r="R24" s="262">
        <v>630</v>
      </c>
      <c r="S24" s="262">
        <v>630</v>
      </c>
      <c r="T24" s="263">
        <v>630</v>
      </c>
      <c r="U24" s="263">
        <v>460</v>
      </c>
      <c r="V24" s="263">
        <v>460</v>
      </c>
      <c r="W24" s="263">
        <v>440</v>
      </c>
      <c r="X24" s="263">
        <v>440</v>
      </c>
      <c r="Y24" s="263">
        <v>450</v>
      </c>
      <c r="Z24" s="263">
        <v>450</v>
      </c>
      <c r="AB24" s="261" t="s">
        <v>101</v>
      </c>
      <c r="AC24" s="262">
        <v>820</v>
      </c>
      <c r="AD24" s="262">
        <v>770</v>
      </c>
      <c r="AE24" s="262">
        <v>770</v>
      </c>
      <c r="AF24" s="262">
        <v>770</v>
      </c>
      <c r="AG24" s="262">
        <v>770</v>
      </c>
      <c r="AH24" s="262">
        <v>720</v>
      </c>
      <c r="AI24" s="262">
        <v>720</v>
      </c>
      <c r="AJ24" s="262">
        <v>740</v>
      </c>
      <c r="AK24" s="262">
        <v>740</v>
      </c>
      <c r="AL24" s="262">
        <v>740</v>
      </c>
      <c r="AM24" s="262">
        <v>760</v>
      </c>
      <c r="AN24" s="262">
        <v>760</v>
      </c>
      <c r="AO24" s="262">
        <v>560</v>
      </c>
      <c r="AP24" s="262">
        <v>560</v>
      </c>
      <c r="AQ24" s="262">
        <v>560</v>
      </c>
      <c r="AR24" s="262">
        <v>510</v>
      </c>
      <c r="AS24" s="262">
        <v>510</v>
      </c>
      <c r="AT24" s="262">
        <v>510</v>
      </c>
      <c r="AU24" s="263">
        <v>510</v>
      </c>
      <c r="AV24" s="263">
        <v>360</v>
      </c>
      <c r="AW24" s="263">
        <v>360</v>
      </c>
      <c r="AX24" s="263">
        <v>340</v>
      </c>
      <c r="AY24" s="263">
        <v>340</v>
      </c>
      <c r="AZ24" s="263">
        <v>350</v>
      </c>
      <c r="BA24" s="263">
        <v>350</v>
      </c>
      <c r="BC24" s="261" t="s">
        <v>101</v>
      </c>
      <c r="BD24" s="262">
        <f t="shared" si="2"/>
        <v>140</v>
      </c>
      <c r="BE24" s="262">
        <f t="shared" si="2"/>
        <v>140</v>
      </c>
      <c r="BF24" s="262">
        <f t="shared" si="2"/>
        <v>140</v>
      </c>
      <c r="BG24" s="262">
        <f t="shared" si="2"/>
        <v>140</v>
      </c>
      <c r="BH24" s="262">
        <f t="shared" si="2"/>
        <v>140</v>
      </c>
      <c r="BI24" s="262">
        <f t="shared" si="2"/>
        <v>130</v>
      </c>
      <c r="BJ24" s="262">
        <f t="shared" si="2"/>
        <v>130</v>
      </c>
      <c r="BK24" s="262">
        <f t="shared" si="2"/>
        <v>140</v>
      </c>
      <c r="BL24" s="262">
        <f t="shared" si="2"/>
        <v>140</v>
      </c>
      <c r="BM24" s="262">
        <f t="shared" si="2"/>
        <v>140</v>
      </c>
      <c r="BN24" s="262">
        <f t="shared" si="2"/>
        <v>140</v>
      </c>
      <c r="BO24" s="262">
        <f t="shared" si="2"/>
        <v>140</v>
      </c>
      <c r="BP24" s="262">
        <f t="shared" si="2"/>
        <v>120</v>
      </c>
      <c r="BQ24" s="262">
        <f t="shared" si="2"/>
        <v>120</v>
      </c>
      <c r="BR24" s="262">
        <f t="shared" si="2"/>
        <v>120</v>
      </c>
      <c r="BS24" s="262">
        <f t="shared" si="2"/>
        <v>120</v>
      </c>
      <c r="BT24" s="262">
        <f t="shared" si="3"/>
        <v>120</v>
      </c>
      <c r="BU24" s="262">
        <f t="shared" si="3"/>
        <v>120</v>
      </c>
      <c r="BV24" s="262">
        <f t="shared" si="3"/>
        <v>120</v>
      </c>
      <c r="BW24" s="262">
        <f t="shared" si="3"/>
        <v>100</v>
      </c>
      <c r="BX24" s="262">
        <f t="shared" si="3"/>
        <v>100</v>
      </c>
      <c r="BY24" s="262">
        <f t="shared" si="3"/>
        <v>100</v>
      </c>
      <c r="BZ24" s="262">
        <f t="shared" si="3"/>
        <v>100</v>
      </c>
      <c r="CA24" s="262">
        <f t="shared" si="3"/>
        <v>100</v>
      </c>
      <c r="CB24" s="262">
        <f t="shared" si="3"/>
        <v>100</v>
      </c>
    </row>
    <row r="25" spans="1:80">
      <c r="A25" s="261" t="s">
        <v>102</v>
      </c>
      <c r="B25" s="262">
        <v>960</v>
      </c>
      <c r="C25" s="262">
        <v>910</v>
      </c>
      <c r="D25" s="262">
        <v>910</v>
      </c>
      <c r="E25" s="262">
        <v>910</v>
      </c>
      <c r="F25" s="262">
        <v>910</v>
      </c>
      <c r="G25" s="262">
        <v>850</v>
      </c>
      <c r="H25" s="262">
        <v>850</v>
      </c>
      <c r="I25" s="262">
        <v>880</v>
      </c>
      <c r="J25" s="262">
        <v>880</v>
      </c>
      <c r="K25" s="262">
        <v>880</v>
      </c>
      <c r="L25" s="262">
        <v>900</v>
      </c>
      <c r="M25" s="262">
        <v>900</v>
      </c>
      <c r="N25" s="262">
        <v>680</v>
      </c>
      <c r="O25" s="262">
        <v>680</v>
      </c>
      <c r="P25" s="262">
        <v>680</v>
      </c>
      <c r="Q25" s="262">
        <v>630</v>
      </c>
      <c r="R25" s="262">
        <v>630</v>
      </c>
      <c r="S25" s="262">
        <v>630</v>
      </c>
      <c r="T25" s="263">
        <v>630</v>
      </c>
      <c r="U25" s="263">
        <v>460</v>
      </c>
      <c r="V25" s="263">
        <v>460</v>
      </c>
      <c r="W25" s="263">
        <v>440</v>
      </c>
      <c r="X25" s="263">
        <v>440</v>
      </c>
      <c r="Y25" s="263">
        <v>450</v>
      </c>
      <c r="Z25" s="263">
        <v>450</v>
      </c>
      <c r="AB25" s="261" t="s">
        <v>102</v>
      </c>
      <c r="AC25" s="262">
        <v>820</v>
      </c>
      <c r="AD25" s="262">
        <v>770</v>
      </c>
      <c r="AE25" s="262">
        <v>770</v>
      </c>
      <c r="AF25" s="262">
        <v>770</v>
      </c>
      <c r="AG25" s="262">
        <v>770</v>
      </c>
      <c r="AH25" s="262">
        <v>720</v>
      </c>
      <c r="AI25" s="262">
        <v>720</v>
      </c>
      <c r="AJ25" s="262">
        <v>740</v>
      </c>
      <c r="AK25" s="262">
        <v>740</v>
      </c>
      <c r="AL25" s="262">
        <v>740</v>
      </c>
      <c r="AM25" s="262">
        <v>760</v>
      </c>
      <c r="AN25" s="262">
        <v>760</v>
      </c>
      <c r="AO25" s="262">
        <v>560</v>
      </c>
      <c r="AP25" s="262">
        <v>560</v>
      </c>
      <c r="AQ25" s="262">
        <v>560</v>
      </c>
      <c r="AR25" s="262">
        <v>510</v>
      </c>
      <c r="AS25" s="262">
        <v>510</v>
      </c>
      <c r="AT25" s="262">
        <v>510</v>
      </c>
      <c r="AU25" s="263">
        <v>510</v>
      </c>
      <c r="AV25" s="263">
        <v>360</v>
      </c>
      <c r="AW25" s="263">
        <v>360</v>
      </c>
      <c r="AX25" s="263">
        <v>340</v>
      </c>
      <c r="AY25" s="263">
        <v>340</v>
      </c>
      <c r="AZ25" s="263">
        <v>350</v>
      </c>
      <c r="BA25" s="263">
        <v>350</v>
      </c>
      <c r="BC25" s="261" t="s">
        <v>102</v>
      </c>
      <c r="BD25" s="262">
        <f t="shared" si="2"/>
        <v>140</v>
      </c>
      <c r="BE25" s="262">
        <f t="shared" si="2"/>
        <v>140</v>
      </c>
      <c r="BF25" s="262">
        <f t="shared" si="2"/>
        <v>140</v>
      </c>
      <c r="BG25" s="262">
        <f t="shared" si="2"/>
        <v>140</v>
      </c>
      <c r="BH25" s="262">
        <f t="shared" si="2"/>
        <v>140</v>
      </c>
      <c r="BI25" s="262">
        <f t="shared" si="2"/>
        <v>130</v>
      </c>
      <c r="BJ25" s="262">
        <f t="shared" si="2"/>
        <v>130</v>
      </c>
      <c r="BK25" s="262">
        <f t="shared" si="2"/>
        <v>140</v>
      </c>
      <c r="BL25" s="262">
        <f t="shared" si="2"/>
        <v>140</v>
      </c>
      <c r="BM25" s="262">
        <f t="shared" si="2"/>
        <v>140</v>
      </c>
      <c r="BN25" s="262">
        <f t="shared" si="2"/>
        <v>140</v>
      </c>
      <c r="BO25" s="262">
        <f t="shared" si="2"/>
        <v>140</v>
      </c>
      <c r="BP25" s="262">
        <f t="shared" si="2"/>
        <v>120</v>
      </c>
      <c r="BQ25" s="262">
        <f t="shared" si="2"/>
        <v>120</v>
      </c>
      <c r="BR25" s="262">
        <f t="shared" si="2"/>
        <v>120</v>
      </c>
      <c r="BS25" s="262">
        <f t="shared" si="2"/>
        <v>120</v>
      </c>
      <c r="BT25" s="262">
        <f t="shared" si="3"/>
        <v>120</v>
      </c>
      <c r="BU25" s="262">
        <f t="shared" si="3"/>
        <v>120</v>
      </c>
      <c r="BV25" s="262">
        <f t="shared" si="3"/>
        <v>120</v>
      </c>
      <c r="BW25" s="262">
        <f t="shared" si="3"/>
        <v>100</v>
      </c>
      <c r="BX25" s="262">
        <f t="shared" si="3"/>
        <v>100</v>
      </c>
      <c r="BY25" s="262">
        <f t="shared" si="3"/>
        <v>100</v>
      </c>
      <c r="BZ25" s="262">
        <f t="shared" si="3"/>
        <v>100</v>
      </c>
      <c r="CA25" s="262">
        <f t="shared" si="3"/>
        <v>100</v>
      </c>
      <c r="CB25" s="262">
        <f t="shared" si="3"/>
        <v>100</v>
      </c>
    </row>
    <row r="26" spans="1:80">
      <c r="A26" s="261" t="s">
        <v>103</v>
      </c>
      <c r="B26" s="262">
        <v>970</v>
      </c>
      <c r="C26" s="262">
        <v>910</v>
      </c>
      <c r="D26" s="262">
        <v>910</v>
      </c>
      <c r="E26" s="262">
        <v>910</v>
      </c>
      <c r="F26" s="262">
        <v>910</v>
      </c>
      <c r="G26" s="262">
        <v>880</v>
      </c>
      <c r="H26" s="262">
        <v>880</v>
      </c>
      <c r="I26" s="262">
        <v>900</v>
      </c>
      <c r="J26" s="262">
        <v>900</v>
      </c>
      <c r="K26" s="262">
        <v>900</v>
      </c>
      <c r="L26" s="262">
        <v>910</v>
      </c>
      <c r="M26" s="262">
        <v>910</v>
      </c>
      <c r="N26" s="262">
        <v>790</v>
      </c>
      <c r="O26" s="262">
        <v>790</v>
      </c>
      <c r="P26" s="262">
        <v>790</v>
      </c>
      <c r="Q26" s="262">
        <v>650</v>
      </c>
      <c r="R26" s="262">
        <v>650</v>
      </c>
      <c r="S26" s="262">
        <v>650</v>
      </c>
      <c r="T26" s="263">
        <v>650</v>
      </c>
      <c r="U26" s="263">
        <v>530</v>
      </c>
      <c r="V26" s="263">
        <v>530</v>
      </c>
      <c r="W26" s="263">
        <v>450</v>
      </c>
      <c r="X26" s="263">
        <v>450</v>
      </c>
      <c r="Y26" s="263">
        <v>440</v>
      </c>
      <c r="Z26" s="263">
        <v>440</v>
      </c>
      <c r="AB26" s="261" t="s">
        <v>103</v>
      </c>
      <c r="AC26" s="262">
        <v>830</v>
      </c>
      <c r="AD26" s="262">
        <v>770</v>
      </c>
      <c r="AE26" s="262">
        <v>770</v>
      </c>
      <c r="AF26" s="262">
        <v>770</v>
      </c>
      <c r="AG26" s="262">
        <v>770</v>
      </c>
      <c r="AH26" s="262">
        <v>740</v>
      </c>
      <c r="AI26" s="262">
        <v>740</v>
      </c>
      <c r="AJ26" s="262">
        <v>760</v>
      </c>
      <c r="AK26" s="262">
        <v>760</v>
      </c>
      <c r="AL26" s="262">
        <v>760</v>
      </c>
      <c r="AM26" s="262">
        <v>770</v>
      </c>
      <c r="AN26" s="262">
        <v>770</v>
      </c>
      <c r="AO26" s="262">
        <v>670</v>
      </c>
      <c r="AP26" s="262">
        <v>670</v>
      </c>
      <c r="AQ26" s="262">
        <v>670</v>
      </c>
      <c r="AR26" s="262">
        <v>530</v>
      </c>
      <c r="AS26" s="262">
        <v>530</v>
      </c>
      <c r="AT26" s="262">
        <v>530</v>
      </c>
      <c r="AU26" s="263">
        <v>530</v>
      </c>
      <c r="AV26" s="263">
        <v>440</v>
      </c>
      <c r="AW26" s="263">
        <v>440</v>
      </c>
      <c r="AX26" s="263">
        <v>350</v>
      </c>
      <c r="AY26" s="263">
        <v>350</v>
      </c>
      <c r="AZ26" s="263">
        <v>340</v>
      </c>
      <c r="BA26" s="263">
        <v>340</v>
      </c>
      <c r="BC26" s="261" t="s">
        <v>103</v>
      </c>
      <c r="BD26" s="262">
        <f t="shared" si="2"/>
        <v>140</v>
      </c>
      <c r="BE26" s="262">
        <f t="shared" si="2"/>
        <v>140</v>
      </c>
      <c r="BF26" s="262">
        <f t="shared" si="2"/>
        <v>140</v>
      </c>
      <c r="BG26" s="262">
        <f t="shared" si="2"/>
        <v>140</v>
      </c>
      <c r="BH26" s="262">
        <f t="shared" si="2"/>
        <v>140</v>
      </c>
      <c r="BI26" s="262">
        <f t="shared" si="2"/>
        <v>140</v>
      </c>
      <c r="BJ26" s="262">
        <f t="shared" si="2"/>
        <v>140</v>
      </c>
      <c r="BK26" s="262">
        <f t="shared" si="2"/>
        <v>140</v>
      </c>
      <c r="BL26" s="262">
        <f t="shared" si="2"/>
        <v>140</v>
      </c>
      <c r="BM26" s="262">
        <f t="shared" si="2"/>
        <v>140</v>
      </c>
      <c r="BN26" s="262">
        <f t="shared" si="2"/>
        <v>140</v>
      </c>
      <c r="BO26" s="262">
        <f t="shared" si="2"/>
        <v>140</v>
      </c>
      <c r="BP26" s="262">
        <f t="shared" si="2"/>
        <v>120</v>
      </c>
      <c r="BQ26" s="262">
        <f t="shared" si="2"/>
        <v>120</v>
      </c>
      <c r="BR26" s="262">
        <f t="shared" si="2"/>
        <v>120</v>
      </c>
      <c r="BS26" s="262">
        <f t="shared" si="2"/>
        <v>120</v>
      </c>
      <c r="BT26" s="262">
        <f t="shared" si="3"/>
        <v>120</v>
      </c>
      <c r="BU26" s="262">
        <f t="shared" si="3"/>
        <v>120</v>
      </c>
      <c r="BV26" s="262">
        <f t="shared" si="3"/>
        <v>120</v>
      </c>
      <c r="BW26" s="262">
        <f t="shared" si="3"/>
        <v>90</v>
      </c>
      <c r="BX26" s="262">
        <f t="shared" si="3"/>
        <v>90</v>
      </c>
      <c r="BY26" s="262">
        <f t="shared" si="3"/>
        <v>100</v>
      </c>
      <c r="BZ26" s="262">
        <f t="shared" si="3"/>
        <v>100</v>
      </c>
      <c r="CA26" s="262">
        <f t="shared" si="3"/>
        <v>100</v>
      </c>
      <c r="CB26" s="262">
        <f t="shared" si="3"/>
        <v>100</v>
      </c>
    </row>
    <row r="27" spans="1:80">
      <c r="A27" s="261" t="s">
        <v>104</v>
      </c>
      <c r="B27" s="262">
        <v>970</v>
      </c>
      <c r="C27" s="262">
        <v>910</v>
      </c>
      <c r="D27" s="262">
        <v>910</v>
      </c>
      <c r="E27" s="262">
        <v>910</v>
      </c>
      <c r="F27" s="262">
        <v>910</v>
      </c>
      <c r="G27" s="262">
        <v>880</v>
      </c>
      <c r="H27" s="262">
        <v>880</v>
      </c>
      <c r="I27" s="262">
        <v>900</v>
      </c>
      <c r="J27" s="262">
        <v>900</v>
      </c>
      <c r="K27" s="262">
        <v>900</v>
      </c>
      <c r="L27" s="262">
        <v>910</v>
      </c>
      <c r="M27" s="262">
        <v>910</v>
      </c>
      <c r="N27" s="262">
        <v>790</v>
      </c>
      <c r="O27" s="262">
        <v>790</v>
      </c>
      <c r="P27" s="262">
        <v>790</v>
      </c>
      <c r="Q27" s="262">
        <v>650</v>
      </c>
      <c r="R27" s="262">
        <v>650</v>
      </c>
      <c r="S27" s="262">
        <v>650</v>
      </c>
      <c r="T27" s="263">
        <v>650</v>
      </c>
      <c r="U27" s="263">
        <v>530</v>
      </c>
      <c r="V27" s="263">
        <v>530</v>
      </c>
      <c r="W27" s="263">
        <v>450</v>
      </c>
      <c r="X27" s="263">
        <v>450</v>
      </c>
      <c r="Y27" s="263">
        <v>440</v>
      </c>
      <c r="Z27" s="263">
        <v>440</v>
      </c>
      <c r="AB27" s="261" t="s">
        <v>104</v>
      </c>
      <c r="AC27" s="262">
        <v>830</v>
      </c>
      <c r="AD27" s="262">
        <v>770</v>
      </c>
      <c r="AE27" s="262">
        <v>770</v>
      </c>
      <c r="AF27" s="262">
        <v>770</v>
      </c>
      <c r="AG27" s="262">
        <v>770</v>
      </c>
      <c r="AH27" s="262">
        <v>740</v>
      </c>
      <c r="AI27" s="262">
        <v>740</v>
      </c>
      <c r="AJ27" s="262">
        <v>760</v>
      </c>
      <c r="AK27" s="262">
        <v>760</v>
      </c>
      <c r="AL27" s="262">
        <v>760</v>
      </c>
      <c r="AM27" s="262">
        <v>770</v>
      </c>
      <c r="AN27" s="262">
        <v>770</v>
      </c>
      <c r="AO27" s="262">
        <v>670</v>
      </c>
      <c r="AP27" s="262">
        <v>670</v>
      </c>
      <c r="AQ27" s="262">
        <v>670</v>
      </c>
      <c r="AR27" s="262">
        <v>530</v>
      </c>
      <c r="AS27" s="262">
        <v>530</v>
      </c>
      <c r="AT27" s="262">
        <v>530</v>
      </c>
      <c r="AU27" s="263">
        <v>530</v>
      </c>
      <c r="AV27" s="263">
        <v>440</v>
      </c>
      <c r="AW27" s="263">
        <v>440</v>
      </c>
      <c r="AX27" s="263">
        <v>350</v>
      </c>
      <c r="AY27" s="263">
        <v>350</v>
      </c>
      <c r="AZ27" s="263">
        <v>340</v>
      </c>
      <c r="BA27" s="263">
        <v>340</v>
      </c>
      <c r="BC27" s="261" t="s">
        <v>104</v>
      </c>
      <c r="BD27" s="262">
        <f t="shared" si="2"/>
        <v>140</v>
      </c>
      <c r="BE27" s="262">
        <f t="shared" si="2"/>
        <v>140</v>
      </c>
      <c r="BF27" s="262">
        <f t="shared" si="2"/>
        <v>140</v>
      </c>
      <c r="BG27" s="262">
        <f t="shared" si="2"/>
        <v>140</v>
      </c>
      <c r="BH27" s="262">
        <f t="shared" si="2"/>
        <v>140</v>
      </c>
      <c r="BI27" s="262">
        <f t="shared" si="2"/>
        <v>140</v>
      </c>
      <c r="BJ27" s="262">
        <f t="shared" si="2"/>
        <v>140</v>
      </c>
      <c r="BK27" s="262">
        <f t="shared" si="2"/>
        <v>140</v>
      </c>
      <c r="BL27" s="262">
        <f t="shared" si="2"/>
        <v>140</v>
      </c>
      <c r="BM27" s="262">
        <f t="shared" si="2"/>
        <v>140</v>
      </c>
      <c r="BN27" s="262">
        <f t="shared" si="2"/>
        <v>140</v>
      </c>
      <c r="BO27" s="262">
        <f t="shared" si="2"/>
        <v>140</v>
      </c>
      <c r="BP27" s="262">
        <f t="shared" si="2"/>
        <v>120</v>
      </c>
      <c r="BQ27" s="262">
        <f t="shared" si="2"/>
        <v>120</v>
      </c>
      <c r="BR27" s="262">
        <f t="shared" si="2"/>
        <v>120</v>
      </c>
      <c r="BS27" s="262">
        <f t="shared" si="2"/>
        <v>120</v>
      </c>
      <c r="BT27" s="262">
        <f t="shared" si="3"/>
        <v>120</v>
      </c>
      <c r="BU27" s="262">
        <f t="shared" si="3"/>
        <v>120</v>
      </c>
      <c r="BV27" s="262">
        <f t="shared" si="3"/>
        <v>120</v>
      </c>
      <c r="BW27" s="262">
        <f t="shared" si="3"/>
        <v>90</v>
      </c>
      <c r="BX27" s="262">
        <f t="shared" si="3"/>
        <v>90</v>
      </c>
      <c r="BY27" s="262">
        <f t="shared" si="3"/>
        <v>100</v>
      </c>
      <c r="BZ27" s="262">
        <f t="shared" si="3"/>
        <v>100</v>
      </c>
      <c r="CA27" s="262">
        <f t="shared" si="3"/>
        <v>100</v>
      </c>
      <c r="CB27" s="262">
        <f t="shared" si="3"/>
        <v>100</v>
      </c>
    </row>
    <row r="28" spans="1:80">
      <c r="Z28" s="100" cm="1">
        <f t="array" ref="Z28">SUMPRODUCT(ABS((B3:Z27)-(TRANSPOSE(B3:Z27))))</f>
        <v>0</v>
      </c>
    </row>
    <row r="29" spans="1:80">
      <c r="A29" s="117" t="s">
        <v>105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B29" s="117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C29" s="117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</row>
    <row r="30" spans="1:80" ht="82.5">
      <c r="A30" s="260" t="s">
        <v>32</v>
      </c>
      <c r="B30" s="260" t="s">
        <v>13</v>
      </c>
      <c r="C30" s="260" t="s">
        <v>89</v>
      </c>
      <c r="D30" s="260" t="s">
        <v>90</v>
      </c>
      <c r="E30" s="260" t="s">
        <v>24</v>
      </c>
      <c r="F30" s="260" t="s">
        <v>9</v>
      </c>
      <c r="G30" s="260" t="s">
        <v>91</v>
      </c>
      <c r="H30" s="260" t="s">
        <v>7</v>
      </c>
      <c r="I30" s="260" t="s">
        <v>6</v>
      </c>
      <c r="J30" s="260" t="s">
        <v>5</v>
      </c>
      <c r="K30" s="260" t="s">
        <v>4</v>
      </c>
      <c r="L30" s="260" t="s">
        <v>3</v>
      </c>
      <c r="M30" s="260" t="s">
        <v>2</v>
      </c>
      <c r="N30" s="260" t="s">
        <v>92</v>
      </c>
      <c r="O30" s="260" t="s">
        <v>93</v>
      </c>
      <c r="P30" s="260" t="s">
        <v>94</v>
      </c>
      <c r="Q30" s="260" t="s">
        <v>95</v>
      </c>
      <c r="R30" s="260" t="s">
        <v>96</v>
      </c>
      <c r="S30" s="260" t="s">
        <v>97</v>
      </c>
      <c r="T30" s="260" t="s">
        <v>98</v>
      </c>
      <c r="U30" s="260" t="s">
        <v>99</v>
      </c>
      <c r="V30" s="260" t="s">
        <v>100</v>
      </c>
      <c r="W30" s="260" t="s">
        <v>101</v>
      </c>
      <c r="X30" s="260" t="s">
        <v>102</v>
      </c>
      <c r="Y30" s="260" t="s">
        <v>103</v>
      </c>
      <c r="Z30" s="260" t="s">
        <v>104</v>
      </c>
      <c r="AB30" s="260" t="s">
        <v>32</v>
      </c>
      <c r="AC30" s="260" t="s">
        <v>13</v>
      </c>
      <c r="AD30" s="260" t="s">
        <v>89</v>
      </c>
      <c r="AE30" s="260" t="s">
        <v>90</v>
      </c>
      <c r="AF30" s="260" t="s">
        <v>24</v>
      </c>
      <c r="AG30" s="260" t="s">
        <v>9</v>
      </c>
      <c r="AH30" s="260" t="s">
        <v>91</v>
      </c>
      <c r="AI30" s="260" t="s">
        <v>7</v>
      </c>
      <c r="AJ30" s="260" t="s">
        <v>6</v>
      </c>
      <c r="AK30" s="260" t="s">
        <v>5</v>
      </c>
      <c r="AL30" s="260" t="s">
        <v>4</v>
      </c>
      <c r="AM30" s="260" t="s">
        <v>3</v>
      </c>
      <c r="AN30" s="260" t="s">
        <v>2</v>
      </c>
      <c r="AO30" s="260" t="s">
        <v>92</v>
      </c>
      <c r="AP30" s="260" t="s">
        <v>93</v>
      </c>
      <c r="AQ30" s="260" t="s">
        <v>94</v>
      </c>
      <c r="AR30" s="260" t="s">
        <v>95</v>
      </c>
      <c r="AS30" s="260" t="s">
        <v>96</v>
      </c>
      <c r="AT30" s="260" t="s">
        <v>97</v>
      </c>
      <c r="AU30" s="260" t="s">
        <v>98</v>
      </c>
      <c r="AV30" s="260" t="s">
        <v>99</v>
      </c>
      <c r="AW30" s="260" t="s">
        <v>100</v>
      </c>
      <c r="AX30" s="260" t="s">
        <v>101</v>
      </c>
      <c r="AY30" s="260" t="s">
        <v>102</v>
      </c>
      <c r="AZ30" s="260" t="s">
        <v>103</v>
      </c>
      <c r="BA30" s="260" t="s">
        <v>104</v>
      </c>
      <c r="BC30" s="260" t="s">
        <v>32</v>
      </c>
      <c r="BD30" s="260" t="s">
        <v>13</v>
      </c>
      <c r="BE30" s="260" t="s">
        <v>89</v>
      </c>
      <c r="BF30" s="260" t="s">
        <v>90</v>
      </c>
      <c r="BG30" s="260" t="s">
        <v>24</v>
      </c>
      <c r="BH30" s="260" t="s">
        <v>9</v>
      </c>
      <c r="BI30" s="260" t="s">
        <v>91</v>
      </c>
      <c r="BJ30" s="260" t="s">
        <v>7</v>
      </c>
      <c r="BK30" s="260" t="s">
        <v>6</v>
      </c>
      <c r="BL30" s="260" t="s">
        <v>5</v>
      </c>
      <c r="BM30" s="260" t="s">
        <v>4</v>
      </c>
      <c r="BN30" s="260" t="s">
        <v>3</v>
      </c>
      <c r="BO30" s="260" t="s">
        <v>2</v>
      </c>
      <c r="BP30" s="260" t="s">
        <v>92</v>
      </c>
      <c r="BQ30" s="260" t="s">
        <v>93</v>
      </c>
      <c r="BR30" s="260" t="s">
        <v>94</v>
      </c>
      <c r="BS30" s="260" t="s">
        <v>95</v>
      </c>
      <c r="BT30" s="260" t="s">
        <v>96</v>
      </c>
      <c r="BU30" s="260" t="s">
        <v>97</v>
      </c>
      <c r="BV30" s="260" t="s">
        <v>98</v>
      </c>
      <c r="BW30" s="260" t="s">
        <v>99</v>
      </c>
      <c r="BX30" s="260" t="s">
        <v>100</v>
      </c>
      <c r="BY30" s="260" t="s">
        <v>101</v>
      </c>
      <c r="BZ30" s="260" t="s">
        <v>102</v>
      </c>
      <c r="CA30" s="260" t="s">
        <v>103</v>
      </c>
      <c r="CB30" s="260" t="s">
        <v>104</v>
      </c>
    </row>
    <row r="31" spans="1:80">
      <c r="A31" s="261" t="s">
        <v>13</v>
      </c>
      <c r="B31" s="262">
        <v>140</v>
      </c>
      <c r="C31" s="262">
        <v>170</v>
      </c>
      <c r="D31" s="262">
        <v>170</v>
      </c>
      <c r="E31" s="262">
        <v>170</v>
      </c>
      <c r="F31" s="262">
        <v>170</v>
      </c>
      <c r="G31" s="262">
        <v>180</v>
      </c>
      <c r="H31" s="262">
        <v>180</v>
      </c>
      <c r="I31" s="262">
        <v>190</v>
      </c>
      <c r="J31" s="262">
        <v>190</v>
      </c>
      <c r="K31" s="262">
        <v>190</v>
      </c>
      <c r="L31" s="262">
        <v>190</v>
      </c>
      <c r="M31" s="262">
        <v>190</v>
      </c>
      <c r="N31" s="262">
        <v>200</v>
      </c>
      <c r="O31" s="262">
        <v>200</v>
      </c>
      <c r="P31" s="262">
        <v>200</v>
      </c>
      <c r="Q31" s="262">
        <v>200</v>
      </c>
      <c r="R31" s="262">
        <v>200</v>
      </c>
      <c r="S31" s="262">
        <v>200</v>
      </c>
      <c r="T31" s="263">
        <v>200</v>
      </c>
      <c r="U31" s="263">
        <v>300</v>
      </c>
      <c r="V31" s="263">
        <v>300</v>
      </c>
      <c r="W31" s="263">
        <v>320</v>
      </c>
      <c r="X31" s="263">
        <v>320</v>
      </c>
      <c r="Y31" s="263">
        <v>320</v>
      </c>
      <c r="Z31" s="263">
        <v>320</v>
      </c>
      <c r="AB31" s="261" t="s">
        <v>13</v>
      </c>
      <c r="AC31" s="262">
        <v>110</v>
      </c>
      <c r="AD31" s="262">
        <v>130</v>
      </c>
      <c r="AE31" s="262">
        <v>130</v>
      </c>
      <c r="AF31" s="262">
        <v>130</v>
      </c>
      <c r="AG31" s="262">
        <v>130</v>
      </c>
      <c r="AH31" s="262">
        <v>150</v>
      </c>
      <c r="AI31" s="262">
        <v>150</v>
      </c>
      <c r="AJ31" s="262">
        <v>160</v>
      </c>
      <c r="AK31" s="262">
        <v>160</v>
      </c>
      <c r="AL31" s="262">
        <v>160</v>
      </c>
      <c r="AM31" s="262">
        <v>160</v>
      </c>
      <c r="AN31" s="262">
        <v>160</v>
      </c>
      <c r="AO31" s="262">
        <v>160</v>
      </c>
      <c r="AP31" s="262">
        <v>160</v>
      </c>
      <c r="AQ31" s="262">
        <v>160</v>
      </c>
      <c r="AR31" s="262">
        <v>170</v>
      </c>
      <c r="AS31" s="262">
        <v>170</v>
      </c>
      <c r="AT31" s="262">
        <v>170</v>
      </c>
      <c r="AU31" s="263">
        <v>170</v>
      </c>
      <c r="AV31" s="263">
        <v>260</v>
      </c>
      <c r="AW31" s="263">
        <v>260</v>
      </c>
      <c r="AX31" s="263">
        <v>270</v>
      </c>
      <c r="AY31" s="263">
        <v>270</v>
      </c>
      <c r="AZ31" s="263">
        <v>280</v>
      </c>
      <c r="BA31" s="263">
        <v>280</v>
      </c>
      <c r="BC31" s="261" t="s">
        <v>13</v>
      </c>
      <c r="BD31" s="262">
        <v>110</v>
      </c>
      <c r="BE31" s="262">
        <v>130</v>
      </c>
      <c r="BF31" s="262">
        <v>130</v>
      </c>
      <c r="BG31" s="262">
        <v>130</v>
      </c>
      <c r="BH31" s="262">
        <v>130</v>
      </c>
      <c r="BI31" s="262">
        <v>150</v>
      </c>
      <c r="BJ31" s="262">
        <v>150</v>
      </c>
      <c r="BK31" s="262">
        <v>160</v>
      </c>
      <c r="BL31" s="262">
        <v>160</v>
      </c>
      <c r="BM31" s="262">
        <v>160</v>
      </c>
      <c r="BN31" s="262">
        <v>160</v>
      </c>
      <c r="BO31" s="262">
        <v>160</v>
      </c>
      <c r="BP31" s="262">
        <v>160</v>
      </c>
      <c r="BQ31" s="262">
        <v>160</v>
      </c>
      <c r="BR31" s="262">
        <v>160</v>
      </c>
      <c r="BS31" s="262">
        <v>170</v>
      </c>
      <c r="BT31" s="262">
        <v>170</v>
      </c>
      <c r="BU31" s="262">
        <v>170</v>
      </c>
      <c r="BV31" s="263">
        <v>170</v>
      </c>
      <c r="BW31" s="263">
        <v>260</v>
      </c>
      <c r="BX31" s="263">
        <v>260</v>
      </c>
      <c r="BY31" s="263">
        <v>270</v>
      </c>
      <c r="BZ31" s="263">
        <v>270</v>
      </c>
      <c r="CA31" s="263">
        <v>280</v>
      </c>
      <c r="CB31" s="263">
        <v>280</v>
      </c>
    </row>
    <row r="32" spans="1:80">
      <c r="A32" s="261" t="s">
        <v>89</v>
      </c>
      <c r="B32" s="262">
        <v>170</v>
      </c>
      <c r="C32" s="262">
        <v>140</v>
      </c>
      <c r="D32" s="262">
        <v>140</v>
      </c>
      <c r="E32" s="262">
        <v>140</v>
      </c>
      <c r="F32" s="262">
        <v>140</v>
      </c>
      <c r="G32" s="262">
        <v>170</v>
      </c>
      <c r="H32" s="262">
        <v>170</v>
      </c>
      <c r="I32" s="262">
        <v>180</v>
      </c>
      <c r="J32" s="262">
        <v>180</v>
      </c>
      <c r="K32" s="262">
        <v>180</v>
      </c>
      <c r="L32" s="262">
        <v>180</v>
      </c>
      <c r="M32" s="262">
        <v>180</v>
      </c>
      <c r="N32" s="262">
        <v>200</v>
      </c>
      <c r="O32" s="262">
        <v>200</v>
      </c>
      <c r="P32" s="262">
        <v>200</v>
      </c>
      <c r="Q32" s="262">
        <v>200</v>
      </c>
      <c r="R32" s="262">
        <v>200</v>
      </c>
      <c r="S32" s="262">
        <v>200</v>
      </c>
      <c r="T32" s="263">
        <v>200</v>
      </c>
      <c r="U32" s="263">
        <v>300</v>
      </c>
      <c r="V32" s="263">
        <v>300</v>
      </c>
      <c r="W32" s="263">
        <v>300</v>
      </c>
      <c r="X32" s="263">
        <v>300</v>
      </c>
      <c r="Y32" s="263">
        <v>300</v>
      </c>
      <c r="Z32" s="263">
        <v>300</v>
      </c>
      <c r="AB32" s="261" t="s">
        <v>89</v>
      </c>
      <c r="AC32" s="262">
        <v>130</v>
      </c>
      <c r="AD32" s="262">
        <v>110</v>
      </c>
      <c r="AE32" s="262">
        <v>110</v>
      </c>
      <c r="AF32" s="262">
        <v>110</v>
      </c>
      <c r="AG32" s="262">
        <v>110</v>
      </c>
      <c r="AH32" s="262">
        <v>140</v>
      </c>
      <c r="AI32" s="262">
        <v>140</v>
      </c>
      <c r="AJ32" s="262">
        <v>150</v>
      </c>
      <c r="AK32" s="262">
        <v>150</v>
      </c>
      <c r="AL32" s="262">
        <v>150</v>
      </c>
      <c r="AM32" s="262">
        <v>160</v>
      </c>
      <c r="AN32" s="262">
        <v>160</v>
      </c>
      <c r="AO32" s="262">
        <v>160</v>
      </c>
      <c r="AP32" s="262">
        <v>160</v>
      </c>
      <c r="AQ32" s="262">
        <v>160</v>
      </c>
      <c r="AR32" s="262">
        <v>160</v>
      </c>
      <c r="AS32" s="262">
        <v>160</v>
      </c>
      <c r="AT32" s="262">
        <v>160</v>
      </c>
      <c r="AU32" s="263">
        <v>160</v>
      </c>
      <c r="AV32" s="263">
        <v>250</v>
      </c>
      <c r="AW32" s="263">
        <v>250</v>
      </c>
      <c r="AX32" s="263">
        <v>260</v>
      </c>
      <c r="AY32" s="263">
        <v>260</v>
      </c>
      <c r="AZ32" s="263">
        <v>260</v>
      </c>
      <c r="BA32" s="263">
        <v>260</v>
      </c>
      <c r="BC32" s="261" t="s">
        <v>89</v>
      </c>
      <c r="BD32" s="262">
        <v>130</v>
      </c>
      <c r="BE32" s="262">
        <v>110</v>
      </c>
      <c r="BF32" s="262">
        <v>110</v>
      </c>
      <c r="BG32" s="262">
        <v>110</v>
      </c>
      <c r="BH32" s="262">
        <v>110</v>
      </c>
      <c r="BI32" s="262">
        <v>140</v>
      </c>
      <c r="BJ32" s="262">
        <v>140</v>
      </c>
      <c r="BK32" s="262">
        <v>150</v>
      </c>
      <c r="BL32" s="262">
        <v>150</v>
      </c>
      <c r="BM32" s="262">
        <v>150</v>
      </c>
      <c r="BN32" s="262">
        <v>160</v>
      </c>
      <c r="BO32" s="262">
        <v>160</v>
      </c>
      <c r="BP32" s="262">
        <v>160</v>
      </c>
      <c r="BQ32" s="262">
        <v>160</v>
      </c>
      <c r="BR32" s="262">
        <v>160</v>
      </c>
      <c r="BS32" s="262">
        <v>160</v>
      </c>
      <c r="BT32" s="262">
        <v>160</v>
      </c>
      <c r="BU32" s="262">
        <v>160</v>
      </c>
      <c r="BV32" s="263">
        <v>160</v>
      </c>
      <c r="BW32" s="263">
        <v>250</v>
      </c>
      <c r="BX32" s="263">
        <v>250</v>
      </c>
      <c r="BY32" s="263">
        <v>260</v>
      </c>
      <c r="BZ32" s="263">
        <v>260</v>
      </c>
      <c r="CA32" s="263">
        <v>260</v>
      </c>
      <c r="CB32" s="263">
        <v>260</v>
      </c>
    </row>
    <row r="33" spans="1:80">
      <c r="A33" s="261" t="s">
        <v>90</v>
      </c>
      <c r="B33" s="262">
        <v>170</v>
      </c>
      <c r="C33" s="262">
        <v>140</v>
      </c>
      <c r="D33" s="262">
        <v>140</v>
      </c>
      <c r="E33" s="262">
        <v>140</v>
      </c>
      <c r="F33" s="262">
        <v>140</v>
      </c>
      <c r="G33" s="262">
        <v>170</v>
      </c>
      <c r="H33" s="262">
        <v>170</v>
      </c>
      <c r="I33" s="262">
        <v>180</v>
      </c>
      <c r="J33" s="262">
        <v>180</v>
      </c>
      <c r="K33" s="262">
        <v>180</v>
      </c>
      <c r="L33" s="262">
        <v>180</v>
      </c>
      <c r="M33" s="262">
        <v>180</v>
      </c>
      <c r="N33" s="262">
        <v>200</v>
      </c>
      <c r="O33" s="262">
        <v>200</v>
      </c>
      <c r="P33" s="262">
        <v>200</v>
      </c>
      <c r="Q33" s="262">
        <v>200</v>
      </c>
      <c r="R33" s="262">
        <v>200</v>
      </c>
      <c r="S33" s="262">
        <v>200</v>
      </c>
      <c r="T33" s="263">
        <v>200</v>
      </c>
      <c r="U33" s="263">
        <v>300</v>
      </c>
      <c r="V33" s="263">
        <v>300</v>
      </c>
      <c r="W33" s="263">
        <v>300</v>
      </c>
      <c r="X33" s="263">
        <v>300</v>
      </c>
      <c r="Y33" s="263">
        <v>300</v>
      </c>
      <c r="Z33" s="263">
        <v>300</v>
      </c>
      <c r="AB33" s="261" t="s">
        <v>90</v>
      </c>
      <c r="AC33" s="262">
        <v>130</v>
      </c>
      <c r="AD33" s="262">
        <v>110</v>
      </c>
      <c r="AE33" s="262">
        <v>110</v>
      </c>
      <c r="AF33" s="262">
        <v>110</v>
      </c>
      <c r="AG33" s="262">
        <v>110</v>
      </c>
      <c r="AH33" s="262">
        <v>140</v>
      </c>
      <c r="AI33" s="262">
        <v>140</v>
      </c>
      <c r="AJ33" s="262">
        <v>150</v>
      </c>
      <c r="AK33" s="262">
        <v>150</v>
      </c>
      <c r="AL33" s="262">
        <v>150</v>
      </c>
      <c r="AM33" s="262">
        <v>160</v>
      </c>
      <c r="AN33" s="262">
        <v>160</v>
      </c>
      <c r="AO33" s="262">
        <v>160</v>
      </c>
      <c r="AP33" s="262">
        <v>160</v>
      </c>
      <c r="AQ33" s="262">
        <v>160</v>
      </c>
      <c r="AR33" s="262">
        <v>160</v>
      </c>
      <c r="AS33" s="262">
        <v>160</v>
      </c>
      <c r="AT33" s="262">
        <v>160</v>
      </c>
      <c r="AU33" s="263">
        <v>160</v>
      </c>
      <c r="AV33" s="263">
        <v>250</v>
      </c>
      <c r="AW33" s="263">
        <v>250</v>
      </c>
      <c r="AX33" s="263">
        <v>260</v>
      </c>
      <c r="AY33" s="263">
        <v>260</v>
      </c>
      <c r="AZ33" s="263">
        <v>260</v>
      </c>
      <c r="BA33" s="263">
        <v>260</v>
      </c>
      <c r="BC33" s="261" t="s">
        <v>90</v>
      </c>
      <c r="BD33" s="262">
        <v>130</v>
      </c>
      <c r="BE33" s="262">
        <v>110</v>
      </c>
      <c r="BF33" s="262">
        <v>110</v>
      </c>
      <c r="BG33" s="262">
        <v>110</v>
      </c>
      <c r="BH33" s="262">
        <v>110</v>
      </c>
      <c r="BI33" s="262">
        <v>140</v>
      </c>
      <c r="BJ33" s="262">
        <v>140</v>
      </c>
      <c r="BK33" s="262">
        <v>150</v>
      </c>
      <c r="BL33" s="262">
        <v>150</v>
      </c>
      <c r="BM33" s="262">
        <v>150</v>
      </c>
      <c r="BN33" s="262">
        <v>160</v>
      </c>
      <c r="BO33" s="262">
        <v>160</v>
      </c>
      <c r="BP33" s="262">
        <v>160</v>
      </c>
      <c r="BQ33" s="262">
        <v>160</v>
      </c>
      <c r="BR33" s="262">
        <v>160</v>
      </c>
      <c r="BS33" s="262">
        <v>160</v>
      </c>
      <c r="BT33" s="262">
        <v>160</v>
      </c>
      <c r="BU33" s="262">
        <v>160</v>
      </c>
      <c r="BV33" s="263">
        <v>160</v>
      </c>
      <c r="BW33" s="263">
        <v>250</v>
      </c>
      <c r="BX33" s="263">
        <v>250</v>
      </c>
      <c r="BY33" s="263">
        <v>260</v>
      </c>
      <c r="BZ33" s="263">
        <v>260</v>
      </c>
      <c r="CA33" s="263">
        <v>260</v>
      </c>
      <c r="CB33" s="263">
        <v>260</v>
      </c>
    </row>
    <row r="34" spans="1:80">
      <c r="A34" s="261" t="s">
        <v>24</v>
      </c>
      <c r="B34" s="262">
        <v>170</v>
      </c>
      <c r="C34" s="262">
        <v>140</v>
      </c>
      <c r="D34" s="262">
        <v>140</v>
      </c>
      <c r="E34" s="262">
        <v>140</v>
      </c>
      <c r="F34" s="262">
        <v>140</v>
      </c>
      <c r="G34" s="262">
        <v>170</v>
      </c>
      <c r="H34" s="262">
        <v>170</v>
      </c>
      <c r="I34" s="262">
        <v>180</v>
      </c>
      <c r="J34" s="262">
        <v>180</v>
      </c>
      <c r="K34" s="262">
        <v>180</v>
      </c>
      <c r="L34" s="262">
        <v>180</v>
      </c>
      <c r="M34" s="262">
        <v>180</v>
      </c>
      <c r="N34" s="262">
        <v>200</v>
      </c>
      <c r="O34" s="262">
        <v>200</v>
      </c>
      <c r="P34" s="262">
        <v>200</v>
      </c>
      <c r="Q34" s="262">
        <v>200</v>
      </c>
      <c r="R34" s="262">
        <v>200</v>
      </c>
      <c r="S34" s="262">
        <v>200</v>
      </c>
      <c r="T34" s="263">
        <v>200</v>
      </c>
      <c r="U34" s="263">
        <v>300</v>
      </c>
      <c r="V34" s="263">
        <v>300</v>
      </c>
      <c r="W34" s="263">
        <v>300</v>
      </c>
      <c r="X34" s="263">
        <v>300</v>
      </c>
      <c r="Y34" s="263">
        <v>300</v>
      </c>
      <c r="Z34" s="263">
        <v>300</v>
      </c>
      <c r="AB34" s="261" t="s">
        <v>24</v>
      </c>
      <c r="AC34" s="262">
        <v>130</v>
      </c>
      <c r="AD34" s="262">
        <v>110</v>
      </c>
      <c r="AE34" s="262">
        <v>110</v>
      </c>
      <c r="AF34" s="262">
        <v>110</v>
      </c>
      <c r="AG34" s="262">
        <v>110</v>
      </c>
      <c r="AH34" s="262">
        <v>140</v>
      </c>
      <c r="AI34" s="262">
        <v>140</v>
      </c>
      <c r="AJ34" s="262">
        <v>150</v>
      </c>
      <c r="AK34" s="262">
        <v>150</v>
      </c>
      <c r="AL34" s="262">
        <v>150</v>
      </c>
      <c r="AM34" s="262">
        <v>160</v>
      </c>
      <c r="AN34" s="262">
        <v>160</v>
      </c>
      <c r="AO34" s="262">
        <v>160</v>
      </c>
      <c r="AP34" s="262">
        <v>160</v>
      </c>
      <c r="AQ34" s="262">
        <v>160</v>
      </c>
      <c r="AR34" s="262">
        <v>160</v>
      </c>
      <c r="AS34" s="262">
        <v>160</v>
      </c>
      <c r="AT34" s="262">
        <v>160</v>
      </c>
      <c r="AU34" s="263">
        <v>160</v>
      </c>
      <c r="AV34" s="263">
        <v>250</v>
      </c>
      <c r="AW34" s="263">
        <v>250</v>
      </c>
      <c r="AX34" s="263">
        <v>260</v>
      </c>
      <c r="AY34" s="263">
        <v>260</v>
      </c>
      <c r="AZ34" s="263">
        <v>260</v>
      </c>
      <c r="BA34" s="263">
        <v>260</v>
      </c>
      <c r="BC34" s="261" t="s">
        <v>24</v>
      </c>
      <c r="BD34" s="262">
        <v>130</v>
      </c>
      <c r="BE34" s="262">
        <v>110</v>
      </c>
      <c r="BF34" s="262">
        <v>110</v>
      </c>
      <c r="BG34" s="262">
        <v>110</v>
      </c>
      <c r="BH34" s="262">
        <v>110</v>
      </c>
      <c r="BI34" s="262">
        <v>140</v>
      </c>
      <c r="BJ34" s="262">
        <v>140</v>
      </c>
      <c r="BK34" s="262">
        <v>150</v>
      </c>
      <c r="BL34" s="262">
        <v>150</v>
      </c>
      <c r="BM34" s="262">
        <v>150</v>
      </c>
      <c r="BN34" s="262">
        <v>160</v>
      </c>
      <c r="BO34" s="262">
        <v>160</v>
      </c>
      <c r="BP34" s="262">
        <v>160</v>
      </c>
      <c r="BQ34" s="262">
        <v>160</v>
      </c>
      <c r="BR34" s="262">
        <v>160</v>
      </c>
      <c r="BS34" s="262">
        <v>160</v>
      </c>
      <c r="BT34" s="262">
        <v>160</v>
      </c>
      <c r="BU34" s="262">
        <v>160</v>
      </c>
      <c r="BV34" s="263">
        <v>160</v>
      </c>
      <c r="BW34" s="263">
        <v>250</v>
      </c>
      <c r="BX34" s="263">
        <v>250</v>
      </c>
      <c r="BY34" s="263">
        <v>260</v>
      </c>
      <c r="BZ34" s="263">
        <v>260</v>
      </c>
      <c r="CA34" s="263">
        <v>260</v>
      </c>
      <c r="CB34" s="263">
        <v>260</v>
      </c>
    </row>
    <row r="35" spans="1:80">
      <c r="A35" s="261" t="s">
        <v>9</v>
      </c>
      <c r="B35" s="262">
        <v>170</v>
      </c>
      <c r="C35" s="262">
        <v>140</v>
      </c>
      <c r="D35" s="262">
        <v>140</v>
      </c>
      <c r="E35" s="262">
        <v>140</v>
      </c>
      <c r="F35" s="262">
        <v>140</v>
      </c>
      <c r="G35" s="262">
        <v>170</v>
      </c>
      <c r="H35" s="262">
        <v>170</v>
      </c>
      <c r="I35" s="262">
        <v>180</v>
      </c>
      <c r="J35" s="262">
        <v>180</v>
      </c>
      <c r="K35" s="262">
        <v>180</v>
      </c>
      <c r="L35" s="262">
        <v>180</v>
      </c>
      <c r="M35" s="262">
        <v>180</v>
      </c>
      <c r="N35" s="262">
        <v>200</v>
      </c>
      <c r="O35" s="262">
        <v>200</v>
      </c>
      <c r="P35" s="262">
        <v>200</v>
      </c>
      <c r="Q35" s="262">
        <v>200</v>
      </c>
      <c r="R35" s="262">
        <v>200</v>
      </c>
      <c r="S35" s="262">
        <v>200</v>
      </c>
      <c r="T35" s="263">
        <v>200</v>
      </c>
      <c r="U35" s="263">
        <v>300</v>
      </c>
      <c r="V35" s="263">
        <v>300</v>
      </c>
      <c r="W35" s="263">
        <v>300</v>
      </c>
      <c r="X35" s="263">
        <v>300</v>
      </c>
      <c r="Y35" s="263">
        <v>300</v>
      </c>
      <c r="Z35" s="263">
        <v>300</v>
      </c>
      <c r="AB35" s="261" t="s">
        <v>9</v>
      </c>
      <c r="AC35" s="262">
        <v>130</v>
      </c>
      <c r="AD35" s="262">
        <v>110</v>
      </c>
      <c r="AE35" s="262">
        <v>110</v>
      </c>
      <c r="AF35" s="262">
        <v>110</v>
      </c>
      <c r="AG35" s="262">
        <v>110</v>
      </c>
      <c r="AH35" s="262">
        <v>140</v>
      </c>
      <c r="AI35" s="262">
        <v>140</v>
      </c>
      <c r="AJ35" s="262">
        <v>150</v>
      </c>
      <c r="AK35" s="262">
        <v>150</v>
      </c>
      <c r="AL35" s="262">
        <v>150</v>
      </c>
      <c r="AM35" s="262">
        <v>160</v>
      </c>
      <c r="AN35" s="262">
        <v>160</v>
      </c>
      <c r="AO35" s="262">
        <v>160</v>
      </c>
      <c r="AP35" s="262">
        <v>160</v>
      </c>
      <c r="AQ35" s="262">
        <v>160</v>
      </c>
      <c r="AR35" s="262">
        <v>160</v>
      </c>
      <c r="AS35" s="262">
        <v>160</v>
      </c>
      <c r="AT35" s="262">
        <v>160</v>
      </c>
      <c r="AU35" s="263">
        <v>160</v>
      </c>
      <c r="AV35" s="263">
        <v>250</v>
      </c>
      <c r="AW35" s="263">
        <v>250</v>
      </c>
      <c r="AX35" s="263">
        <v>260</v>
      </c>
      <c r="AY35" s="263">
        <v>260</v>
      </c>
      <c r="AZ35" s="263">
        <v>260</v>
      </c>
      <c r="BA35" s="263">
        <v>260</v>
      </c>
      <c r="BC35" s="261" t="s">
        <v>9</v>
      </c>
      <c r="BD35" s="262">
        <v>130</v>
      </c>
      <c r="BE35" s="262">
        <v>110</v>
      </c>
      <c r="BF35" s="262">
        <v>110</v>
      </c>
      <c r="BG35" s="262">
        <v>110</v>
      </c>
      <c r="BH35" s="262">
        <v>110</v>
      </c>
      <c r="BI35" s="262">
        <v>140</v>
      </c>
      <c r="BJ35" s="262">
        <v>140</v>
      </c>
      <c r="BK35" s="262">
        <v>150</v>
      </c>
      <c r="BL35" s="262">
        <v>150</v>
      </c>
      <c r="BM35" s="262">
        <v>150</v>
      </c>
      <c r="BN35" s="262">
        <v>160</v>
      </c>
      <c r="BO35" s="262">
        <v>160</v>
      </c>
      <c r="BP35" s="262">
        <v>160</v>
      </c>
      <c r="BQ35" s="262">
        <v>160</v>
      </c>
      <c r="BR35" s="262">
        <v>160</v>
      </c>
      <c r="BS35" s="262">
        <v>160</v>
      </c>
      <c r="BT35" s="262">
        <v>160</v>
      </c>
      <c r="BU35" s="262">
        <v>160</v>
      </c>
      <c r="BV35" s="263">
        <v>160</v>
      </c>
      <c r="BW35" s="263">
        <v>250</v>
      </c>
      <c r="BX35" s="263">
        <v>250</v>
      </c>
      <c r="BY35" s="263">
        <v>260</v>
      </c>
      <c r="BZ35" s="263">
        <v>260</v>
      </c>
      <c r="CA35" s="263">
        <v>260</v>
      </c>
      <c r="CB35" s="263">
        <v>260</v>
      </c>
    </row>
    <row r="36" spans="1:80">
      <c r="A36" s="261" t="s">
        <v>91</v>
      </c>
      <c r="B36" s="262">
        <v>180</v>
      </c>
      <c r="C36" s="262">
        <v>170</v>
      </c>
      <c r="D36" s="262">
        <v>170</v>
      </c>
      <c r="E36" s="262">
        <v>170</v>
      </c>
      <c r="F36" s="262">
        <v>170</v>
      </c>
      <c r="G36" s="262">
        <v>140</v>
      </c>
      <c r="H36" s="262">
        <v>140</v>
      </c>
      <c r="I36" s="262">
        <v>170</v>
      </c>
      <c r="J36" s="262">
        <v>170</v>
      </c>
      <c r="K36" s="262">
        <v>170</v>
      </c>
      <c r="L36" s="262">
        <v>180</v>
      </c>
      <c r="M36" s="262">
        <v>180</v>
      </c>
      <c r="N36" s="262">
        <v>190</v>
      </c>
      <c r="O36" s="262">
        <v>190</v>
      </c>
      <c r="P36" s="262">
        <v>190</v>
      </c>
      <c r="Q36" s="262">
        <v>190</v>
      </c>
      <c r="R36" s="262">
        <v>190</v>
      </c>
      <c r="S36" s="262">
        <v>190</v>
      </c>
      <c r="T36" s="263">
        <v>190</v>
      </c>
      <c r="U36" s="263">
        <v>280</v>
      </c>
      <c r="V36" s="263">
        <v>280</v>
      </c>
      <c r="W36" s="263">
        <v>280</v>
      </c>
      <c r="X36" s="263">
        <v>280</v>
      </c>
      <c r="Y36" s="263">
        <v>290</v>
      </c>
      <c r="Z36" s="263">
        <v>290</v>
      </c>
      <c r="AB36" s="261" t="s">
        <v>91</v>
      </c>
      <c r="AC36" s="262">
        <v>150</v>
      </c>
      <c r="AD36" s="262">
        <v>140</v>
      </c>
      <c r="AE36" s="262">
        <v>140</v>
      </c>
      <c r="AF36" s="262">
        <v>140</v>
      </c>
      <c r="AG36" s="262">
        <v>140</v>
      </c>
      <c r="AH36" s="262">
        <v>110</v>
      </c>
      <c r="AI36" s="262">
        <v>110</v>
      </c>
      <c r="AJ36" s="262">
        <v>130</v>
      </c>
      <c r="AK36" s="262">
        <v>130</v>
      </c>
      <c r="AL36" s="262">
        <v>130</v>
      </c>
      <c r="AM36" s="262">
        <v>150</v>
      </c>
      <c r="AN36" s="262">
        <v>150</v>
      </c>
      <c r="AO36" s="262">
        <v>150</v>
      </c>
      <c r="AP36" s="262">
        <v>150</v>
      </c>
      <c r="AQ36" s="262">
        <v>150</v>
      </c>
      <c r="AR36" s="262">
        <v>160</v>
      </c>
      <c r="AS36" s="262">
        <v>160</v>
      </c>
      <c r="AT36" s="262">
        <v>160</v>
      </c>
      <c r="AU36" s="263">
        <v>160</v>
      </c>
      <c r="AV36" s="263">
        <v>240</v>
      </c>
      <c r="AW36" s="263">
        <v>240</v>
      </c>
      <c r="AX36" s="263">
        <v>240</v>
      </c>
      <c r="AY36" s="263">
        <v>240</v>
      </c>
      <c r="AZ36" s="263">
        <v>250</v>
      </c>
      <c r="BA36" s="263">
        <v>250</v>
      </c>
      <c r="BC36" s="261" t="s">
        <v>91</v>
      </c>
      <c r="BD36" s="262">
        <v>150</v>
      </c>
      <c r="BE36" s="262">
        <v>140</v>
      </c>
      <c r="BF36" s="262">
        <v>140</v>
      </c>
      <c r="BG36" s="262">
        <v>140</v>
      </c>
      <c r="BH36" s="262">
        <v>140</v>
      </c>
      <c r="BI36" s="262">
        <v>110</v>
      </c>
      <c r="BJ36" s="262">
        <v>110</v>
      </c>
      <c r="BK36" s="262">
        <v>130</v>
      </c>
      <c r="BL36" s="262">
        <v>130</v>
      </c>
      <c r="BM36" s="262">
        <v>130</v>
      </c>
      <c r="BN36" s="262">
        <v>150</v>
      </c>
      <c r="BO36" s="262">
        <v>150</v>
      </c>
      <c r="BP36" s="262">
        <v>150</v>
      </c>
      <c r="BQ36" s="262">
        <v>150</v>
      </c>
      <c r="BR36" s="262">
        <v>150</v>
      </c>
      <c r="BS36" s="262">
        <v>160</v>
      </c>
      <c r="BT36" s="262">
        <v>160</v>
      </c>
      <c r="BU36" s="262">
        <v>160</v>
      </c>
      <c r="BV36" s="263">
        <v>160</v>
      </c>
      <c r="BW36" s="263">
        <v>240</v>
      </c>
      <c r="BX36" s="263">
        <v>240</v>
      </c>
      <c r="BY36" s="263">
        <v>240</v>
      </c>
      <c r="BZ36" s="263">
        <v>240</v>
      </c>
      <c r="CA36" s="263">
        <v>250</v>
      </c>
      <c r="CB36" s="263">
        <v>250</v>
      </c>
    </row>
    <row r="37" spans="1:80">
      <c r="A37" s="261" t="s">
        <v>7</v>
      </c>
      <c r="B37" s="262">
        <v>180</v>
      </c>
      <c r="C37" s="262">
        <v>170</v>
      </c>
      <c r="D37" s="262">
        <v>170</v>
      </c>
      <c r="E37" s="262">
        <v>170</v>
      </c>
      <c r="F37" s="262">
        <v>170</v>
      </c>
      <c r="G37" s="262">
        <v>140</v>
      </c>
      <c r="H37" s="262">
        <v>140</v>
      </c>
      <c r="I37" s="262">
        <v>170</v>
      </c>
      <c r="J37" s="262">
        <v>170</v>
      </c>
      <c r="K37" s="262">
        <v>170</v>
      </c>
      <c r="L37" s="262">
        <v>180</v>
      </c>
      <c r="M37" s="262">
        <v>180</v>
      </c>
      <c r="N37" s="262">
        <v>190</v>
      </c>
      <c r="O37" s="262">
        <v>190</v>
      </c>
      <c r="P37" s="262">
        <v>190</v>
      </c>
      <c r="Q37" s="262">
        <v>190</v>
      </c>
      <c r="R37" s="262">
        <v>190</v>
      </c>
      <c r="S37" s="262">
        <v>190</v>
      </c>
      <c r="T37" s="263">
        <v>190</v>
      </c>
      <c r="U37" s="263">
        <v>280</v>
      </c>
      <c r="V37" s="263">
        <v>280</v>
      </c>
      <c r="W37" s="263">
        <v>280</v>
      </c>
      <c r="X37" s="263">
        <v>280</v>
      </c>
      <c r="Y37" s="263">
        <v>290</v>
      </c>
      <c r="Z37" s="263">
        <v>290</v>
      </c>
      <c r="AB37" s="261" t="s">
        <v>7</v>
      </c>
      <c r="AC37" s="262">
        <v>150</v>
      </c>
      <c r="AD37" s="262">
        <v>140</v>
      </c>
      <c r="AE37" s="262">
        <v>140</v>
      </c>
      <c r="AF37" s="262">
        <v>140</v>
      </c>
      <c r="AG37" s="262">
        <v>140</v>
      </c>
      <c r="AH37" s="262">
        <v>110</v>
      </c>
      <c r="AI37" s="262">
        <v>110</v>
      </c>
      <c r="AJ37" s="262">
        <v>130</v>
      </c>
      <c r="AK37" s="262">
        <v>130</v>
      </c>
      <c r="AL37" s="262">
        <v>130</v>
      </c>
      <c r="AM37" s="262">
        <v>150</v>
      </c>
      <c r="AN37" s="262">
        <v>150</v>
      </c>
      <c r="AO37" s="262">
        <v>150</v>
      </c>
      <c r="AP37" s="262">
        <v>150</v>
      </c>
      <c r="AQ37" s="262">
        <v>150</v>
      </c>
      <c r="AR37" s="262">
        <v>160</v>
      </c>
      <c r="AS37" s="262">
        <v>160</v>
      </c>
      <c r="AT37" s="262">
        <v>160</v>
      </c>
      <c r="AU37" s="263">
        <v>160</v>
      </c>
      <c r="AV37" s="263">
        <v>240</v>
      </c>
      <c r="AW37" s="263">
        <v>240</v>
      </c>
      <c r="AX37" s="263">
        <v>240</v>
      </c>
      <c r="AY37" s="263">
        <v>240</v>
      </c>
      <c r="AZ37" s="263">
        <v>250</v>
      </c>
      <c r="BA37" s="263">
        <v>250</v>
      </c>
      <c r="BC37" s="261" t="s">
        <v>7</v>
      </c>
      <c r="BD37" s="262">
        <v>150</v>
      </c>
      <c r="BE37" s="262">
        <v>140</v>
      </c>
      <c r="BF37" s="262">
        <v>140</v>
      </c>
      <c r="BG37" s="262">
        <v>140</v>
      </c>
      <c r="BH37" s="262">
        <v>140</v>
      </c>
      <c r="BI37" s="262">
        <v>110</v>
      </c>
      <c r="BJ37" s="262">
        <v>110</v>
      </c>
      <c r="BK37" s="262">
        <v>130</v>
      </c>
      <c r="BL37" s="262">
        <v>130</v>
      </c>
      <c r="BM37" s="262">
        <v>130</v>
      </c>
      <c r="BN37" s="262">
        <v>150</v>
      </c>
      <c r="BO37" s="262">
        <v>150</v>
      </c>
      <c r="BP37" s="262">
        <v>150</v>
      </c>
      <c r="BQ37" s="262">
        <v>150</v>
      </c>
      <c r="BR37" s="262">
        <v>150</v>
      </c>
      <c r="BS37" s="262">
        <v>160</v>
      </c>
      <c r="BT37" s="262">
        <v>160</v>
      </c>
      <c r="BU37" s="262">
        <v>160</v>
      </c>
      <c r="BV37" s="263">
        <v>160</v>
      </c>
      <c r="BW37" s="263">
        <v>240</v>
      </c>
      <c r="BX37" s="263">
        <v>240</v>
      </c>
      <c r="BY37" s="263">
        <v>240</v>
      </c>
      <c r="BZ37" s="263">
        <v>240</v>
      </c>
      <c r="CA37" s="263">
        <v>250</v>
      </c>
      <c r="CB37" s="263">
        <v>250</v>
      </c>
    </row>
    <row r="38" spans="1:80">
      <c r="A38" s="261" t="s">
        <v>6</v>
      </c>
      <c r="B38" s="262">
        <v>190</v>
      </c>
      <c r="C38" s="262">
        <v>180</v>
      </c>
      <c r="D38" s="262">
        <v>180</v>
      </c>
      <c r="E38" s="262">
        <v>180</v>
      </c>
      <c r="F38" s="262">
        <v>180</v>
      </c>
      <c r="G38" s="262">
        <v>170</v>
      </c>
      <c r="H38" s="262">
        <v>170</v>
      </c>
      <c r="I38" s="262">
        <v>140</v>
      </c>
      <c r="J38" s="262">
        <v>140</v>
      </c>
      <c r="K38" s="262">
        <v>140</v>
      </c>
      <c r="L38" s="262">
        <v>160</v>
      </c>
      <c r="M38" s="262">
        <v>160</v>
      </c>
      <c r="N38" s="262">
        <v>190</v>
      </c>
      <c r="O38" s="262">
        <v>190</v>
      </c>
      <c r="P38" s="262">
        <v>190</v>
      </c>
      <c r="Q38" s="262">
        <v>200</v>
      </c>
      <c r="R38" s="262">
        <v>200</v>
      </c>
      <c r="S38" s="262">
        <v>200</v>
      </c>
      <c r="T38" s="263">
        <v>200</v>
      </c>
      <c r="U38" s="263">
        <v>290</v>
      </c>
      <c r="V38" s="263">
        <v>290</v>
      </c>
      <c r="W38" s="263">
        <v>290</v>
      </c>
      <c r="X38" s="263">
        <v>290</v>
      </c>
      <c r="Y38" s="263">
        <v>300</v>
      </c>
      <c r="Z38" s="263">
        <v>300</v>
      </c>
      <c r="AB38" s="261" t="s">
        <v>6</v>
      </c>
      <c r="AC38" s="262">
        <v>160</v>
      </c>
      <c r="AD38" s="262">
        <v>150</v>
      </c>
      <c r="AE38" s="262">
        <v>150</v>
      </c>
      <c r="AF38" s="262">
        <v>150</v>
      </c>
      <c r="AG38" s="262">
        <v>150</v>
      </c>
      <c r="AH38" s="262">
        <v>130</v>
      </c>
      <c r="AI38" s="262">
        <v>130</v>
      </c>
      <c r="AJ38" s="262">
        <v>110</v>
      </c>
      <c r="AK38" s="262">
        <v>110</v>
      </c>
      <c r="AL38" s="262">
        <v>110</v>
      </c>
      <c r="AM38" s="262">
        <v>130</v>
      </c>
      <c r="AN38" s="262">
        <v>130</v>
      </c>
      <c r="AO38" s="262">
        <v>150</v>
      </c>
      <c r="AP38" s="262">
        <v>150</v>
      </c>
      <c r="AQ38" s="262">
        <v>150</v>
      </c>
      <c r="AR38" s="262">
        <v>160</v>
      </c>
      <c r="AS38" s="262">
        <v>160</v>
      </c>
      <c r="AT38" s="262">
        <v>160</v>
      </c>
      <c r="AU38" s="263">
        <v>160</v>
      </c>
      <c r="AV38" s="263">
        <v>240</v>
      </c>
      <c r="AW38" s="263">
        <v>240</v>
      </c>
      <c r="AX38" s="263">
        <v>250</v>
      </c>
      <c r="AY38" s="263">
        <v>250</v>
      </c>
      <c r="AZ38" s="263">
        <v>250</v>
      </c>
      <c r="BA38" s="263">
        <v>250</v>
      </c>
      <c r="BC38" s="261" t="s">
        <v>6</v>
      </c>
      <c r="BD38" s="262">
        <v>160</v>
      </c>
      <c r="BE38" s="262">
        <v>150</v>
      </c>
      <c r="BF38" s="262">
        <v>150</v>
      </c>
      <c r="BG38" s="262">
        <v>150</v>
      </c>
      <c r="BH38" s="262">
        <v>150</v>
      </c>
      <c r="BI38" s="262">
        <v>130</v>
      </c>
      <c r="BJ38" s="262">
        <v>130</v>
      </c>
      <c r="BK38" s="262">
        <v>110</v>
      </c>
      <c r="BL38" s="262">
        <v>110</v>
      </c>
      <c r="BM38" s="262">
        <v>110</v>
      </c>
      <c r="BN38" s="262">
        <v>130</v>
      </c>
      <c r="BO38" s="262">
        <v>130</v>
      </c>
      <c r="BP38" s="262">
        <v>150</v>
      </c>
      <c r="BQ38" s="262">
        <v>150</v>
      </c>
      <c r="BR38" s="262">
        <v>150</v>
      </c>
      <c r="BS38" s="262">
        <v>160</v>
      </c>
      <c r="BT38" s="262">
        <v>160</v>
      </c>
      <c r="BU38" s="262">
        <v>160</v>
      </c>
      <c r="BV38" s="263">
        <v>160</v>
      </c>
      <c r="BW38" s="263">
        <v>240</v>
      </c>
      <c r="BX38" s="263">
        <v>240</v>
      </c>
      <c r="BY38" s="263">
        <v>250</v>
      </c>
      <c r="BZ38" s="263">
        <v>250</v>
      </c>
      <c r="CA38" s="263">
        <v>250</v>
      </c>
      <c r="CB38" s="263">
        <v>250</v>
      </c>
    </row>
    <row r="39" spans="1:80">
      <c r="A39" s="261" t="s">
        <v>5</v>
      </c>
      <c r="B39" s="262">
        <v>190</v>
      </c>
      <c r="C39" s="262">
        <v>180</v>
      </c>
      <c r="D39" s="262">
        <v>180</v>
      </c>
      <c r="E39" s="262">
        <v>180</v>
      </c>
      <c r="F39" s="262">
        <v>180</v>
      </c>
      <c r="G39" s="262">
        <v>170</v>
      </c>
      <c r="H39" s="262">
        <v>170</v>
      </c>
      <c r="I39" s="262">
        <v>140</v>
      </c>
      <c r="J39" s="262">
        <v>140</v>
      </c>
      <c r="K39" s="262">
        <v>140</v>
      </c>
      <c r="L39" s="262">
        <v>160</v>
      </c>
      <c r="M39" s="262">
        <v>160</v>
      </c>
      <c r="N39" s="262">
        <v>190</v>
      </c>
      <c r="O39" s="262">
        <v>190</v>
      </c>
      <c r="P39" s="262">
        <v>190</v>
      </c>
      <c r="Q39" s="262">
        <v>200</v>
      </c>
      <c r="R39" s="262">
        <v>200</v>
      </c>
      <c r="S39" s="262">
        <v>200</v>
      </c>
      <c r="T39" s="263">
        <v>200</v>
      </c>
      <c r="U39" s="263">
        <v>290</v>
      </c>
      <c r="V39" s="263">
        <v>290</v>
      </c>
      <c r="W39" s="263">
        <v>290</v>
      </c>
      <c r="X39" s="263">
        <v>290</v>
      </c>
      <c r="Y39" s="263">
        <v>300</v>
      </c>
      <c r="Z39" s="263">
        <v>300</v>
      </c>
      <c r="AB39" s="261" t="s">
        <v>5</v>
      </c>
      <c r="AC39" s="262">
        <v>160</v>
      </c>
      <c r="AD39" s="262">
        <v>150</v>
      </c>
      <c r="AE39" s="262">
        <v>150</v>
      </c>
      <c r="AF39" s="262">
        <v>150</v>
      </c>
      <c r="AG39" s="262">
        <v>150</v>
      </c>
      <c r="AH39" s="262">
        <v>130</v>
      </c>
      <c r="AI39" s="262">
        <v>130</v>
      </c>
      <c r="AJ39" s="262">
        <v>110</v>
      </c>
      <c r="AK39" s="262">
        <v>110</v>
      </c>
      <c r="AL39" s="262">
        <v>110</v>
      </c>
      <c r="AM39" s="262">
        <v>130</v>
      </c>
      <c r="AN39" s="262">
        <v>130</v>
      </c>
      <c r="AO39" s="262">
        <v>150</v>
      </c>
      <c r="AP39" s="262">
        <v>150</v>
      </c>
      <c r="AQ39" s="262">
        <v>150</v>
      </c>
      <c r="AR39" s="262">
        <v>160</v>
      </c>
      <c r="AS39" s="262">
        <v>160</v>
      </c>
      <c r="AT39" s="262">
        <v>160</v>
      </c>
      <c r="AU39" s="263">
        <v>160</v>
      </c>
      <c r="AV39" s="263">
        <v>240</v>
      </c>
      <c r="AW39" s="263">
        <v>240</v>
      </c>
      <c r="AX39" s="263">
        <v>250</v>
      </c>
      <c r="AY39" s="263">
        <v>250</v>
      </c>
      <c r="AZ39" s="263">
        <v>250</v>
      </c>
      <c r="BA39" s="263">
        <v>250</v>
      </c>
      <c r="BC39" s="261" t="s">
        <v>5</v>
      </c>
      <c r="BD39" s="262">
        <v>160</v>
      </c>
      <c r="BE39" s="262">
        <v>150</v>
      </c>
      <c r="BF39" s="262">
        <v>150</v>
      </c>
      <c r="BG39" s="262">
        <v>150</v>
      </c>
      <c r="BH39" s="262">
        <v>150</v>
      </c>
      <c r="BI39" s="262">
        <v>130</v>
      </c>
      <c r="BJ39" s="262">
        <v>130</v>
      </c>
      <c r="BK39" s="262">
        <v>110</v>
      </c>
      <c r="BL39" s="262">
        <v>110</v>
      </c>
      <c r="BM39" s="262">
        <v>110</v>
      </c>
      <c r="BN39" s="262">
        <v>130</v>
      </c>
      <c r="BO39" s="262">
        <v>130</v>
      </c>
      <c r="BP39" s="262">
        <v>150</v>
      </c>
      <c r="BQ39" s="262">
        <v>150</v>
      </c>
      <c r="BR39" s="262">
        <v>150</v>
      </c>
      <c r="BS39" s="262">
        <v>160</v>
      </c>
      <c r="BT39" s="262">
        <v>160</v>
      </c>
      <c r="BU39" s="262">
        <v>160</v>
      </c>
      <c r="BV39" s="263">
        <v>160</v>
      </c>
      <c r="BW39" s="263">
        <v>240</v>
      </c>
      <c r="BX39" s="263">
        <v>240</v>
      </c>
      <c r="BY39" s="263">
        <v>250</v>
      </c>
      <c r="BZ39" s="263">
        <v>250</v>
      </c>
      <c r="CA39" s="263">
        <v>250</v>
      </c>
      <c r="CB39" s="263">
        <v>250</v>
      </c>
    </row>
    <row r="40" spans="1:80">
      <c r="A40" s="261" t="s">
        <v>4</v>
      </c>
      <c r="B40" s="262">
        <v>190</v>
      </c>
      <c r="C40" s="262">
        <v>180</v>
      </c>
      <c r="D40" s="262">
        <v>180</v>
      </c>
      <c r="E40" s="262">
        <v>180</v>
      </c>
      <c r="F40" s="262">
        <v>180</v>
      </c>
      <c r="G40" s="262">
        <v>170</v>
      </c>
      <c r="H40" s="262">
        <v>170</v>
      </c>
      <c r="I40" s="262">
        <v>140</v>
      </c>
      <c r="J40" s="262">
        <v>140</v>
      </c>
      <c r="K40" s="262">
        <v>140</v>
      </c>
      <c r="L40" s="262">
        <v>160</v>
      </c>
      <c r="M40" s="262">
        <v>160</v>
      </c>
      <c r="N40" s="262">
        <v>190</v>
      </c>
      <c r="O40" s="262">
        <v>190</v>
      </c>
      <c r="P40" s="262">
        <v>190</v>
      </c>
      <c r="Q40" s="262">
        <v>200</v>
      </c>
      <c r="R40" s="262">
        <v>200</v>
      </c>
      <c r="S40" s="262">
        <v>200</v>
      </c>
      <c r="T40" s="263">
        <v>200</v>
      </c>
      <c r="U40" s="263">
        <v>290</v>
      </c>
      <c r="V40" s="263">
        <v>290</v>
      </c>
      <c r="W40" s="263">
        <v>290</v>
      </c>
      <c r="X40" s="263">
        <v>290</v>
      </c>
      <c r="Y40" s="263">
        <v>300</v>
      </c>
      <c r="Z40" s="263">
        <v>300</v>
      </c>
      <c r="AB40" s="261" t="s">
        <v>4</v>
      </c>
      <c r="AC40" s="262">
        <v>160</v>
      </c>
      <c r="AD40" s="262">
        <v>150</v>
      </c>
      <c r="AE40" s="262">
        <v>150</v>
      </c>
      <c r="AF40" s="262">
        <v>150</v>
      </c>
      <c r="AG40" s="262">
        <v>150</v>
      </c>
      <c r="AH40" s="262">
        <v>130</v>
      </c>
      <c r="AI40" s="262">
        <v>130</v>
      </c>
      <c r="AJ40" s="262">
        <v>110</v>
      </c>
      <c r="AK40" s="262">
        <v>110</v>
      </c>
      <c r="AL40" s="262">
        <v>110</v>
      </c>
      <c r="AM40" s="262">
        <v>130</v>
      </c>
      <c r="AN40" s="262">
        <v>130</v>
      </c>
      <c r="AO40" s="262">
        <v>150</v>
      </c>
      <c r="AP40" s="262">
        <v>150</v>
      </c>
      <c r="AQ40" s="262">
        <v>150</v>
      </c>
      <c r="AR40" s="262">
        <v>160</v>
      </c>
      <c r="AS40" s="262">
        <v>160</v>
      </c>
      <c r="AT40" s="262">
        <v>160</v>
      </c>
      <c r="AU40" s="263">
        <v>160</v>
      </c>
      <c r="AV40" s="263">
        <v>240</v>
      </c>
      <c r="AW40" s="263">
        <v>240</v>
      </c>
      <c r="AX40" s="263">
        <v>250</v>
      </c>
      <c r="AY40" s="263">
        <v>250</v>
      </c>
      <c r="AZ40" s="263">
        <v>250</v>
      </c>
      <c r="BA40" s="263">
        <v>250</v>
      </c>
      <c r="BC40" s="261" t="s">
        <v>4</v>
      </c>
      <c r="BD40" s="262">
        <v>160</v>
      </c>
      <c r="BE40" s="262">
        <v>150</v>
      </c>
      <c r="BF40" s="262">
        <v>150</v>
      </c>
      <c r="BG40" s="262">
        <v>150</v>
      </c>
      <c r="BH40" s="262">
        <v>150</v>
      </c>
      <c r="BI40" s="262">
        <v>130</v>
      </c>
      <c r="BJ40" s="262">
        <v>130</v>
      </c>
      <c r="BK40" s="262">
        <v>110</v>
      </c>
      <c r="BL40" s="262">
        <v>110</v>
      </c>
      <c r="BM40" s="262">
        <v>110</v>
      </c>
      <c r="BN40" s="262">
        <v>130</v>
      </c>
      <c r="BO40" s="262">
        <v>130</v>
      </c>
      <c r="BP40" s="262">
        <v>150</v>
      </c>
      <c r="BQ40" s="262">
        <v>150</v>
      </c>
      <c r="BR40" s="262">
        <v>150</v>
      </c>
      <c r="BS40" s="262">
        <v>160</v>
      </c>
      <c r="BT40" s="262">
        <v>160</v>
      </c>
      <c r="BU40" s="262">
        <v>160</v>
      </c>
      <c r="BV40" s="263">
        <v>160</v>
      </c>
      <c r="BW40" s="263">
        <v>240</v>
      </c>
      <c r="BX40" s="263">
        <v>240</v>
      </c>
      <c r="BY40" s="263">
        <v>250</v>
      </c>
      <c r="BZ40" s="263">
        <v>250</v>
      </c>
      <c r="CA40" s="263">
        <v>250</v>
      </c>
      <c r="CB40" s="263">
        <v>250</v>
      </c>
    </row>
    <row r="41" spans="1:80">
      <c r="A41" s="261" t="s">
        <v>3</v>
      </c>
      <c r="B41" s="262">
        <v>190</v>
      </c>
      <c r="C41" s="262">
        <v>180</v>
      </c>
      <c r="D41" s="262">
        <v>180</v>
      </c>
      <c r="E41" s="262">
        <v>180</v>
      </c>
      <c r="F41" s="262">
        <v>180</v>
      </c>
      <c r="G41" s="262">
        <v>180</v>
      </c>
      <c r="H41" s="262">
        <v>180</v>
      </c>
      <c r="I41" s="262">
        <v>160</v>
      </c>
      <c r="J41" s="262">
        <v>160</v>
      </c>
      <c r="K41" s="262">
        <v>160</v>
      </c>
      <c r="L41" s="262">
        <v>140</v>
      </c>
      <c r="M41" s="262">
        <v>140</v>
      </c>
      <c r="N41" s="262">
        <v>190</v>
      </c>
      <c r="O41" s="262">
        <v>190</v>
      </c>
      <c r="P41" s="262">
        <v>190</v>
      </c>
      <c r="Q41" s="262">
        <v>200</v>
      </c>
      <c r="R41" s="262">
        <v>200</v>
      </c>
      <c r="S41" s="262">
        <v>200</v>
      </c>
      <c r="T41" s="263">
        <v>200</v>
      </c>
      <c r="U41" s="263">
        <v>290</v>
      </c>
      <c r="V41" s="263">
        <v>290</v>
      </c>
      <c r="W41" s="263">
        <v>300</v>
      </c>
      <c r="X41" s="263">
        <v>300</v>
      </c>
      <c r="Y41" s="263">
        <v>300</v>
      </c>
      <c r="Z41" s="263">
        <v>300</v>
      </c>
      <c r="AB41" s="261" t="s">
        <v>3</v>
      </c>
      <c r="AC41" s="262">
        <v>160</v>
      </c>
      <c r="AD41" s="262">
        <v>160</v>
      </c>
      <c r="AE41" s="262">
        <v>160</v>
      </c>
      <c r="AF41" s="262">
        <v>160</v>
      </c>
      <c r="AG41" s="262">
        <v>160</v>
      </c>
      <c r="AH41" s="262">
        <v>150</v>
      </c>
      <c r="AI41" s="262">
        <v>150</v>
      </c>
      <c r="AJ41" s="262">
        <v>130</v>
      </c>
      <c r="AK41" s="262">
        <v>130</v>
      </c>
      <c r="AL41" s="262">
        <v>130</v>
      </c>
      <c r="AM41" s="262">
        <v>110</v>
      </c>
      <c r="AN41" s="262">
        <v>110</v>
      </c>
      <c r="AO41" s="262">
        <v>150</v>
      </c>
      <c r="AP41" s="262">
        <v>150</v>
      </c>
      <c r="AQ41" s="262">
        <v>150</v>
      </c>
      <c r="AR41" s="262">
        <v>160</v>
      </c>
      <c r="AS41" s="262">
        <v>160</v>
      </c>
      <c r="AT41" s="262">
        <v>160</v>
      </c>
      <c r="AU41" s="263">
        <v>160</v>
      </c>
      <c r="AV41" s="263">
        <v>250</v>
      </c>
      <c r="AW41" s="263">
        <v>250</v>
      </c>
      <c r="AX41" s="263">
        <v>250</v>
      </c>
      <c r="AY41" s="263">
        <v>250</v>
      </c>
      <c r="AZ41" s="263">
        <v>260</v>
      </c>
      <c r="BA41" s="263">
        <v>260</v>
      </c>
      <c r="BC41" s="261" t="s">
        <v>3</v>
      </c>
      <c r="BD41" s="262">
        <v>160</v>
      </c>
      <c r="BE41" s="262">
        <v>160</v>
      </c>
      <c r="BF41" s="262">
        <v>160</v>
      </c>
      <c r="BG41" s="262">
        <v>160</v>
      </c>
      <c r="BH41" s="262">
        <v>160</v>
      </c>
      <c r="BI41" s="262">
        <v>150</v>
      </c>
      <c r="BJ41" s="262">
        <v>150</v>
      </c>
      <c r="BK41" s="262">
        <v>130</v>
      </c>
      <c r="BL41" s="262">
        <v>130</v>
      </c>
      <c r="BM41" s="262">
        <v>130</v>
      </c>
      <c r="BN41" s="262">
        <v>110</v>
      </c>
      <c r="BO41" s="262">
        <v>110</v>
      </c>
      <c r="BP41" s="262">
        <v>150</v>
      </c>
      <c r="BQ41" s="262">
        <v>150</v>
      </c>
      <c r="BR41" s="262">
        <v>150</v>
      </c>
      <c r="BS41" s="262">
        <v>160</v>
      </c>
      <c r="BT41" s="262">
        <v>160</v>
      </c>
      <c r="BU41" s="262">
        <v>160</v>
      </c>
      <c r="BV41" s="263">
        <v>160</v>
      </c>
      <c r="BW41" s="263">
        <v>250</v>
      </c>
      <c r="BX41" s="263">
        <v>250</v>
      </c>
      <c r="BY41" s="263">
        <v>250</v>
      </c>
      <c r="BZ41" s="263">
        <v>250</v>
      </c>
      <c r="CA41" s="263">
        <v>260</v>
      </c>
      <c r="CB41" s="263">
        <v>260</v>
      </c>
    </row>
    <row r="42" spans="1:80">
      <c r="A42" s="261" t="s">
        <v>2</v>
      </c>
      <c r="B42" s="262">
        <v>190</v>
      </c>
      <c r="C42" s="262">
        <v>180</v>
      </c>
      <c r="D42" s="262">
        <v>180</v>
      </c>
      <c r="E42" s="262">
        <v>180</v>
      </c>
      <c r="F42" s="262">
        <v>180</v>
      </c>
      <c r="G42" s="262">
        <v>180</v>
      </c>
      <c r="H42" s="262">
        <v>180</v>
      </c>
      <c r="I42" s="262">
        <v>160</v>
      </c>
      <c r="J42" s="262">
        <v>160</v>
      </c>
      <c r="K42" s="262">
        <v>160</v>
      </c>
      <c r="L42" s="262">
        <v>140</v>
      </c>
      <c r="M42" s="262">
        <v>140</v>
      </c>
      <c r="N42" s="262">
        <v>190</v>
      </c>
      <c r="O42" s="262">
        <v>190</v>
      </c>
      <c r="P42" s="262">
        <v>190</v>
      </c>
      <c r="Q42" s="262">
        <v>200</v>
      </c>
      <c r="R42" s="262">
        <v>200</v>
      </c>
      <c r="S42" s="262">
        <v>200</v>
      </c>
      <c r="T42" s="263">
        <v>200</v>
      </c>
      <c r="U42" s="263">
        <v>290</v>
      </c>
      <c r="V42" s="263">
        <v>290</v>
      </c>
      <c r="W42" s="263">
        <v>300</v>
      </c>
      <c r="X42" s="263">
        <v>300</v>
      </c>
      <c r="Y42" s="263">
        <v>300</v>
      </c>
      <c r="Z42" s="263">
        <v>300</v>
      </c>
      <c r="AB42" s="261" t="s">
        <v>2</v>
      </c>
      <c r="AC42" s="262">
        <v>160</v>
      </c>
      <c r="AD42" s="262">
        <v>160</v>
      </c>
      <c r="AE42" s="262">
        <v>160</v>
      </c>
      <c r="AF42" s="262">
        <v>160</v>
      </c>
      <c r="AG42" s="262">
        <v>160</v>
      </c>
      <c r="AH42" s="262">
        <v>150</v>
      </c>
      <c r="AI42" s="262">
        <v>150</v>
      </c>
      <c r="AJ42" s="262">
        <v>130</v>
      </c>
      <c r="AK42" s="262">
        <v>130</v>
      </c>
      <c r="AL42" s="262">
        <v>130</v>
      </c>
      <c r="AM42" s="262">
        <v>110</v>
      </c>
      <c r="AN42" s="262">
        <v>110</v>
      </c>
      <c r="AO42" s="262">
        <v>150</v>
      </c>
      <c r="AP42" s="262">
        <v>150</v>
      </c>
      <c r="AQ42" s="262">
        <v>150</v>
      </c>
      <c r="AR42" s="262">
        <v>160</v>
      </c>
      <c r="AS42" s="262">
        <v>160</v>
      </c>
      <c r="AT42" s="262">
        <v>160</v>
      </c>
      <c r="AU42" s="263">
        <v>160</v>
      </c>
      <c r="AV42" s="263">
        <v>250</v>
      </c>
      <c r="AW42" s="263">
        <v>250</v>
      </c>
      <c r="AX42" s="263">
        <v>250</v>
      </c>
      <c r="AY42" s="263">
        <v>250</v>
      </c>
      <c r="AZ42" s="263">
        <v>260</v>
      </c>
      <c r="BA42" s="263">
        <v>260</v>
      </c>
      <c r="BC42" s="261" t="s">
        <v>2</v>
      </c>
      <c r="BD42" s="262">
        <v>160</v>
      </c>
      <c r="BE42" s="262">
        <v>160</v>
      </c>
      <c r="BF42" s="262">
        <v>160</v>
      </c>
      <c r="BG42" s="262">
        <v>160</v>
      </c>
      <c r="BH42" s="262">
        <v>160</v>
      </c>
      <c r="BI42" s="262">
        <v>150</v>
      </c>
      <c r="BJ42" s="262">
        <v>150</v>
      </c>
      <c r="BK42" s="262">
        <v>130</v>
      </c>
      <c r="BL42" s="262">
        <v>130</v>
      </c>
      <c r="BM42" s="262">
        <v>130</v>
      </c>
      <c r="BN42" s="262">
        <v>110</v>
      </c>
      <c r="BO42" s="262">
        <v>110</v>
      </c>
      <c r="BP42" s="262">
        <v>150</v>
      </c>
      <c r="BQ42" s="262">
        <v>150</v>
      </c>
      <c r="BR42" s="262">
        <v>150</v>
      </c>
      <c r="BS42" s="262">
        <v>160</v>
      </c>
      <c r="BT42" s="262">
        <v>160</v>
      </c>
      <c r="BU42" s="262">
        <v>160</v>
      </c>
      <c r="BV42" s="263">
        <v>160</v>
      </c>
      <c r="BW42" s="263">
        <v>250</v>
      </c>
      <c r="BX42" s="263">
        <v>250</v>
      </c>
      <c r="BY42" s="263">
        <v>250</v>
      </c>
      <c r="BZ42" s="263">
        <v>250</v>
      </c>
      <c r="CA42" s="263">
        <v>260</v>
      </c>
      <c r="CB42" s="263">
        <v>260</v>
      </c>
    </row>
    <row r="43" spans="1:80">
      <c r="A43" s="261" t="s">
        <v>92</v>
      </c>
      <c r="B43" s="262">
        <v>200</v>
      </c>
      <c r="C43" s="262">
        <v>200</v>
      </c>
      <c r="D43" s="262">
        <v>200</v>
      </c>
      <c r="E43" s="262">
        <v>200</v>
      </c>
      <c r="F43" s="262">
        <v>200</v>
      </c>
      <c r="G43" s="262">
        <v>190</v>
      </c>
      <c r="H43" s="262">
        <v>190</v>
      </c>
      <c r="I43" s="262">
        <v>190</v>
      </c>
      <c r="J43" s="262">
        <v>190</v>
      </c>
      <c r="K43" s="262">
        <v>190</v>
      </c>
      <c r="L43" s="262">
        <v>190</v>
      </c>
      <c r="M43" s="262">
        <v>190</v>
      </c>
      <c r="N43" s="262">
        <v>150</v>
      </c>
      <c r="O43" s="262">
        <v>150</v>
      </c>
      <c r="P43" s="262">
        <v>150</v>
      </c>
      <c r="Q43" s="262">
        <v>170</v>
      </c>
      <c r="R43" s="262">
        <v>170</v>
      </c>
      <c r="S43" s="262">
        <v>170</v>
      </c>
      <c r="T43" s="263">
        <v>170</v>
      </c>
      <c r="U43" s="263">
        <v>220</v>
      </c>
      <c r="V43" s="263">
        <v>220</v>
      </c>
      <c r="W43" s="263">
        <v>230</v>
      </c>
      <c r="X43" s="263">
        <v>230</v>
      </c>
      <c r="Y43" s="263">
        <v>260</v>
      </c>
      <c r="Z43" s="263">
        <v>260</v>
      </c>
      <c r="AB43" s="261" t="s">
        <v>92</v>
      </c>
      <c r="AC43" s="262">
        <v>160</v>
      </c>
      <c r="AD43" s="262">
        <v>160</v>
      </c>
      <c r="AE43" s="262">
        <v>160</v>
      </c>
      <c r="AF43" s="262">
        <v>160</v>
      </c>
      <c r="AG43" s="262">
        <v>160</v>
      </c>
      <c r="AH43" s="262">
        <v>150</v>
      </c>
      <c r="AI43" s="262">
        <v>150</v>
      </c>
      <c r="AJ43" s="262">
        <v>150</v>
      </c>
      <c r="AK43" s="262">
        <v>150</v>
      </c>
      <c r="AL43" s="262">
        <v>150</v>
      </c>
      <c r="AM43" s="262">
        <v>150</v>
      </c>
      <c r="AN43" s="262">
        <v>150</v>
      </c>
      <c r="AO43" s="262">
        <v>110</v>
      </c>
      <c r="AP43" s="262">
        <v>110</v>
      </c>
      <c r="AQ43" s="262">
        <v>110</v>
      </c>
      <c r="AR43" s="262">
        <v>140</v>
      </c>
      <c r="AS43" s="262">
        <v>140</v>
      </c>
      <c r="AT43" s="262">
        <v>140</v>
      </c>
      <c r="AU43" s="263">
        <v>140</v>
      </c>
      <c r="AV43" s="263">
        <v>180</v>
      </c>
      <c r="AW43" s="263">
        <v>180</v>
      </c>
      <c r="AX43" s="263">
        <v>190</v>
      </c>
      <c r="AY43" s="263">
        <v>190</v>
      </c>
      <c r="AZ43" s="263">
        <v>220</v>
      </c>
      <c r="BA43" s="263">
        <v>220</v>
      </c>
      <c r="BC43" s="261" t="s">
        <v>92</v>
      </c>
      <c r="BD43" s="262">
        <v>160</v>
      </c>
      <c r="BE43" s="262">
        <v>160</v>
      </c>
      <c r="BF43" s="262">
        <v>160</v>
      </c>
      <c r="BG43" s="262">
        <v>160</v>
      </c>
      <c r="BH43" s="262">
        <v>160</v>
      </c>
      <c r="BI43" s="262">
        <v>150</v>
      </c>
      <c r="BJ43" s="262">
        <v>150</v>
      </c>
      <c r="BK43" s="262">
        <v>150</v>
      </c>
      <c r="BL43" s="262">
        <v>150</v>
      </c>
      <c r="BM43" s="262">
        <v>150</v>
      </c>
      <c r="BN43" s="262">
        <v>150</v>
      </c>
      <c r="BO43" s="262">
        <v>150</v>
      </c>
      <c r="BP43" s="262">
        <v>110</v>
      </c>
      <c r="BQ43" s="262">
        <v>110</v>
      </c>
      <c r="BR43" s="262">
        <v>110</v>
      </c>
      <c r="BS43" s="262">
        <v>140</v>
      </c>
      <c r="BT43" s="262">
        <v>140</v>
      </c>
      <c r="BU43" s="262">
        <v>140</v>
      </c>
      <c r="BV43" s="263">
        <v>140</v>
      </c>
      <c r="BW43" s="263">
        <v>180</v>
      </c>
      <c r="BX43" s="263">
        <v>180</v>
      </c>
      <c r="BY43" s="263">
        <v>190</v>
      </c>
      <c r="BZ43" s="263">
        <v>190</v>
      </c>
      <c r="CA43" s="263">
        <v>220</v>
      </c>
      <c r="CB43" s="263">
        <v>220</v>
      </c>
    </row>
    <row r="44" spans="1:80">
      <c r="A44" s="261" t="s">
        <v>93</v>
      </c>
      <c r="B44" s="262">
        <v>200</v>
      </c>
      <c r="C44" s="262">
        <v>200</v>
      </c>
      <c r="D44" s="262">
        <v>200</v>
      </c>
      <c r="E44" s="262">
        <v>200</v>
      </c>
      <c r="F44" s="262">
        <v>200</v>
      </c>
      <c r="G44" s="262">
        <v>190</v>
      </c>
      <c r="H44" s="262">
        <v>190</v>
      </c>
      <c r="I44" s="262">
        <v>190</v>
      </c>
      <c r="J44" s="262">
        <v>190</v>
      </c>
      <c r="K44" s="262">
        <v>190</v>
      </c>
      <c r="L44" s="262">
        <v>190</v>
      </c>
      <c r="M44" s="262">
        <v>190</v>
      </c>
      <c r="N44" s="262">
        <v>150</v>
      </c>
      <c r="O44" s="262">
        <v>150</v>
      </c>
      <c r="P44" s="262">
        <v>150</v>
      </c>
      <c r="Q44" s="262">
        <v>170</v>
      </c>
      <c r="R44" s="262">
        <v>170</v>
      </c>
      <c r="S44" s="262">
        <v>170</v>
      </c>
      <c r="T44" s="263">
        <v>170</v>
      </c>
      <c r="U44" s="263">
        <v>220</v>
      </c>
      <c r="V44" s="263">
        <v>220</v>
      </c>
      <c r="W44" s="263">
        <v>230</v>
      </c>
      <c r="X44" s="263">
        <v>230</v>
      </c>
      <c r="Y44" s="263">
        <v>260</v>
      </c>
      <c r="Z44" s="263">
        <v>260</v>
      </c>
      <c r="AB44" s="261" t="s">
        <v>93</v>
      </c>
      <c r="AC44" s="262">
        <v>160</v>
      </c>
      <c r="AD44" s="262">
        <v>160</v>
      </c>
      <c r="AE44" s="262">
        <v>160</v>
      </c>
      <c r="AF44" s="262">
        <v>160</v>
      </c>
      <c r="AG44" s="262">
        <v>160</v>
      </c>
      <c r="AH44" s="262">
        <v>150</v>
      </c>
      <c r="AI44" s="262">
        <v>150</v>
      </c>
      <c r="AJ44" s="262">
        <v>150</v>
      </c>
      <c r="AK44" s="262">
        <v>150</v>
      </c>
      <c r="AL44" s="262">
        <v>150</v>
      </c>
      <c r="AM44" s="262">
        <v>150</v>
      </c>
      <c r="AN44" s="262">
        <v>150</v>
      </c>
      <c r="AO44" s="262">
        <v>110</v>
      </c>
      <c r="AP44" s="262">
        <v>110</v>
      </c>
      <c r="AQ44" s="262">
        <v>110</v>
      </c>
      <c r="AR44" s="262">
        <v>140</v>
      </c>
      <c r="AS44" s="262">
        <v>140</v>
      </c>
      <c r="AT44" s="262">
        <v>140</v>
      </c>
      <c r="AU44" s="263">
        <v>140</v>
      </c>
      <c r="AV44" s="263">
        <v>180</v>
      </c>
      <c r="AW44" s="263">
        <v>180</v>
      </c>
      <c r="AX44" s="263">
        <v>190</v>
      </c>
      <c r="AY44" s="263">
        <v>190</v>
      </c>
      <c r="AZ44" s="263">
        <v>220</v>
      </c>
      <c r="BA44" s="263">
        <v>220</v>
      </c>
      <c r="BC44" s="261" t="s">
        <v>93</v>
      </c>
      <c r="BD44" s="262">
        <v>160</v>
      </c>
      <c r="BE44" s="262">
        <v>160</v>
      </c>
      <c r="BF44" s="262">
        <v>160</v>
      </c>
      <c r="BG44" s="262">
        <v>160</v>
      </c>
      <c r="BH44" s="262">
        <v>160</v>
      </c>
      <c r="BI44" s="262">
        <v>150</v>
      </c>
      <c r="BJ44" s="262">
        <v>150</v>
      </c>
      <c r="BK44" s="262">
        <v>150</v>
      </c>
      <c r="BL44" s="262">
        <v>150</v>
      </c>
      <c r="BM44" s="262">
        <v>150</v>
      </c>
      <c r="BN44" s="262">
        <v>150</v>
      </c>
      <c r="BO44" s="262">
        <v>150</v>
      </c>
      <c r="BP44" s="262">
        <v>110</v>
      </c>
      <c r="BQ44" s="262">
        <v>110</v>
      </c>
      <c r="BR44" s="262">
        <v>110</v>
      </c>
      <c r="BS44" s="262">
        <v>140</v>
      </c>
      <c r="BT44" s="262">
        <v>140</v>
      </c>
      <c r="BU44" s="262">
        <v>140</v>
      </c>
      <c r="BV44" s="263">
        <v>140</v>
      </c>
      <c r="BW44" s="263">
        <v>180</v>
      </c>
      <c r="BX44" s="263">
        <v>180</v>
      </c>
      <c r="BY44" s="263">
        <v>190</v>
      </c>
      <c r="BZ44" s="263">
        <v>190</v>
      </c>
      <c r="CA44" s="263">
        <v>220</v>
      </c>
      <c r="CB44" s="263">
        <v>220</v>
      </c>
    </row>
    <row r="45" spans="1:80">
      <c r="A45" s="261" t="s">
        <v>94</v>
      </c>
      <c r="B45" s="262">
        <v>200</v>
      </c>
      <c r="C45" s="262">
        <v>200</v>
      </c>
      <c r="D45" s="262">
        <v>200</v>
      </c>
      <c r="E45" s="262">
        <v>200</v>
      </c>
      <c r="F45" s="262">
        <v>200</v>
      </c>
      <c r="G45" s="262">
        <v>190</v>
      </c>
      <c r="H45" s="262">
        <v>190</v>
      </c>
      <c r="I45" s="262">
        <v>190</v>
      </c>
      <c r="J45" s="262">
        <v>190</v>
      </c>
      <c r="K45" s="262">
        <v>190</v>
      </c>
      <c r="L45" s="262">
        <v>190</v>
      </c>
      <c r="M45" s="262">
        <v>190</v>
      </c>
      <c r="N45" s="262">
        <v>150</v>
      </c>
      <c r="O45" s="262">
        <v>150</v>
      </c>
      <c r="P45" s="262">
        <v>150</v>
      </c>
      <c r="Q45" s="262">
        <v>170</v>
      </c>
      <c r="R45" s="262">
        <v>170</v>
      </c>
      <c r="S45" s="262">
        <v>170</v>
      </c>
      <c r="T45" s="263">
        <v>170</v>
      </c>
      <c r="U45" s="263">
        <v>220</v>
      </c>
      <c r="V45" s="263">
        <v>220</v>
      </c>
      <c r="W45" s="263">
        <v>230</v>
      </c>
      <c r="X45" s="263">
        <v>230</v>
      </c>
      <c r="Y45" s="263">
        <v>260</v>
      </c>
      <c r="Z45" s="263">
        <v>260</v>
      </c>
      <c r="AB45" s="261" t="s">
        <v>94</v>
      </c>
      <c r="AC45" s="262">
        <v>160</v>
      </c>
      <c r="AD45" s="262">
        <v>160</v>
      </c>
      <c r="AE45" s="262">
        <v>160</v>
      </c>
      <c r="AF45" s="262">
        <v>160</v>
      </c>
      <c r="AG45" s="262">
        <v>160</v>
      </c>
      <c r="AH45" s="262">
        <v>150</v>
      </c>
      <c r="AI45" s="262">
        <v>150</v>
      </c>
      <c r="AJ45" s="262">
        <v>150</v>
      </c>
      <c r="AK45" s="262">
        <v>150</v>
      </c>
      <c r="AL45" s="262">
        <v>150</v>
      </c>
      <c r="AM45" s="262">
        <v>150</v>
      </c>
      <c r="AN45" s="262">
        <v>150</v>
      </c>
      <c r="AO45" s="262">
        <v>110</v>
      </c>
      <c r="AP45" s="262">
        <v>110</v>
      </c>
      <c r="AQ45" s="262">
        <v>110</v>
      </c>
      <c r="AR45" s="262">
        <v>140</v>
      </c>
      <c r="AS45" s="262">
        <v>140</v>
      </c>
      <c r="AT45" s="262">
        <v>140</v>
      </c>
      <c r="AU45" s="263">
        <v>140</v>
      </c>
      <c r="AV45" s="263">
        <v>180</v>
      </c>
      <c r="AW45" s="263">
        <v>180</v>
      </c>
      <c r="AX45" s="263">
        <v>190</v>
      </c>
      <c r="AY45" s="263">
        <v>190</v>
      </c>
      <c r="AZ45" s="263">
        <v>220</v>
      </c>
      <c r="BA45" s="263">
        <v>220</v>
      </c>
      <c r="BC45" s="261" t="s">
        <v>94</v>
      </c>
      <c r="BD45" s="262">
        <v>160</v>
      </c>
      <c r="BE45" s="262">
        <v>160</v>
      </c>
      <c r="BF45" s="262">
        <v>160</v>
      </c>
      <c r="BG45" s="262">
        <v>160</v>
      </c>
      <c r="BH45" s="262">
        <v>160</v>
      </c>
      <c r="BI45" s="262">
        <v>150</v>
      </c>
      <c r="BJ45" s="262">
        <v>150</v>
      </c>
      <c r="BK45" s="262">
        <v>150</v>
      </c>
      <c r="BL45" s="262">
        <v>150</v>
      </c>
      <c r="BM45" s="262">
        <v>150</v>
      </c>
      <c r="BN45" s="262">
        <v>150</v>
      </c>
      <c r="BO45" s="262">
        <v>150</v>
      </c>
      <c r="BP45" s="262">
        <v>110</v>
      </c>
      <c r="BQ45" s="262">
        <v>110</v>
      </c>
      <c r="BR45" s="262">
        <v>110</v>
      </c>
      <c r="BS45" s="262">
        <v>140</v>
      </c>
      <c r="BT45" s="262">
        <v>140</v>
      </c>
      <c r="BU45" s="262">
        <v>140</v>
      </c>
      <c r="BV45" s="263">
        <v>140</v>
      </c>
      <c r="BW45" s="263">
        <v>180</v>
      </c>
      <c r="BX45" s="263">
        <v>180</v>
      </c>
      <c r="BY45" s="263">
        <v>190</v>
      </c>
      <c r="BZ45" s="263">
        <v>190</v>
      </c>
      <c r="CA45" s="263">
        <v>220</v>
      </c>
      <c r="CB45" s="263">
        <v>220</v>
      </c>
    </row>
    <row r="46" spans="1:80">
      <c r="A46" s="261" t="s">
        <v>95</v>
      </c>
      <c r="B46" s="262">
        <v>200</v>
      </c>
      <c r="C46" s="262">
        <v>200</v>
      </c>
      <c r="D46" s="262">
        <v>200</v>
      </c>
      <c r="E46" s="262">
        <v>200</v>
      </c>
      <c r="F46" s="262">
        <v>200</v>
      </c>
      <c r="G46" s="262">
        <v>190</v>
      </c>
      <c r="H46" s="262">
        <v>190</v>
      </c>
      <c r="I46" s="262">
        <v>200</v>
      </c>
      <c r="J46" s="262">
        <v>200</v>
      </c>
      <c r="K46" s="262">
        <v>200</v>
      </c>
      <c r="L46" s="262">
        <v>200</v>
      </c>
      <c r="M46" s="262">
        <v>200</v>
      </c>
      <c r="N46" s="262">
        <v>170</v>
      </c>
      <c r="O46" s="262">
        <v>170</v>
      </c>
      <c r="P46" s="262">
        <v>170</v>
      </c>
      <c r="Q46" s="262">
        <v>140</v>
      </c>
      <c r="R46" s="262">
        <v>140</v>
      </c>
      <c r="S46" s="262">
        <v>140</v>
      </c>
      <c r="T46" s="263">
        <v>140</v>
      </c>
      <c r="U46" s="263">
        <v>200</v>
      </c>
      <c r="V46" s="263">
        <v>200</v>
      </c>
      <c r="W46" s="263">
        <v>210</v>
      </c>
      <c r="X46" s="263">
        <v>210</v>
      </c>
      <c r="Y46" s="263">
        <v>220</v>
      </c>
      <c r="Z46" s="263">
        <v>220</v>
      </c>
      <c r="AB46" s="261" t="s">
        <v>95</v>
      </c>
      <c r="AC46" s="262">
        <v>170</v>
      </c>
      <c r="AD46" s="262">
        <v>160</v>
      </c>
      <c r="AE46" s="262">
        <v>160</v>
      </c>
      <c r="AF46" s="262">
        <v>160</v>
      </c>
      <c r="AG46" s="262">
        <v>160</v>
      </c>
      <c r="AH46" s="262">
        <v>160</v>
      </c>
      <c r="AI46" s="262">
        <v>160</v>
      </c>
      <c r="AJ46" s="262">
        <v>160</v>
      </c>
      <c r="AK46" s="262">
        <v>160</v>
      </c>
      <c r="AL46" s="262">
        <v>160</v>
      </c>
      <c r="AM46" s="262">
        <v>160</v>
      </c>
      <c r="AN46" s="262">
        <v>160</v>
      </c>
      <c r="AO46" s="262">
        <v>140</v>
      </c>
      <c r="AP46" s="262">
        <v>140</v>
      </c>
      <c r="AQ46" s="262">
        <v>140</v>
      </c>
      <c r="AR46" s="262">
        <v>110</v>
      </c>
      <c r="AS46" s="262">
        <v>110</v>
      </c>
      <c r="AT46" s="262">
        <v>110</v>
      </c>
      <c r="AU46" s="263">
        <v>110</v>
      </c>
      <c r="AV46" s="263">
        <v>170</v>
      </c>
      <c r="AW46" s="263">
        <v>170</v>
      </c>
      <c r="AX46" s="263">
        <v>170</v>
      </c>
      <c r="AY46" s="263">
        <v>170</v>
      </c>
      <c r="AZ46" s="263">
        <v>180</v>
      </c>
      <c r="BA46" s="263">
        <v>180</v>
      </c>
      <c r="BC46" s="261" t="s">
        <v>95</v>
      </c>
      <c r="BD46" s="262">
        <v>170</v>
      </c>
      <c r="BE46" s="262">
        <v>160</v>
      </c>
      <c r="BF46" s="262">
        <v>160</v>
      </c>
      <c r="BG46" s="262">
        <v>160</v>
      </c>
      <c r="BH46" s="262">
        <v>160</v>
      </c>
      <c r="BI46" s="262">
        <v>160</v>
      </c>
      <c r="BJ46" s="262">
        <v>160</v>
      </c>
      <c r="BK46" s="262">
        <v>160</v>
      </c>
      <c r="BL46" s="262">
        <v>160</v>
      </c>
      <c r="BM46" s="262">
        <v>160</v>
      </c>
      <c r="BN46" s="262">
        <v>160</v>
      </c>
      <c r="BO46" s="262">
        <v>160</v>
      </c>
      <c r="BP46" s="262">
        <v>140</v>
      </c>
      <c r="BQ46" s="262">
        <v>140</v>
      </c>
      <c r="BR46" s="262">
        <v>140</v>
      </c>
      <c r="BS46" s="262">
        <v>110</v>
      </c>
      <c r="BT46" s="262">
        <v>110</v>
      </c>
      <c r="BU46" s="262">
        <v>110</v>
      </c>
      <c r="BV46" s="263">
        <v>110</v>
      </c>
      <c r="BW46" s="263">
        <v>170</v>
      </c>
      <c r="BX46" s="263">
        <v>170</v>
      </c>
      <c r="BY46" s="263">
        <v>170</v>
      </c>
      <c r="BZ46" s="263">
        <v>170</v>
      </c>
      <c r="CA46" s="263">
        <v>180</v>
      </c>
      <c r="CB46" s="263">
        <v>180</v>
      </c>
    </row>
    <row r="47" spans="1:80">
      <c r="A47" s="261" t="s">
        <v>96</v>
      </c>
      <c r="B47" s="262">
        <v>200</v>
      </c>
      <c r="C47" s="262">
        <v>200</v>
      </c>
      <c r="D47" s="262">
        <v>200</v>
      </c>
      <c r="E47" s="262">
        <v>200</v>
      </c>
      <c r="F47" s="262">
        <v>200</v>
      </c>
      <c r="G47" s="262">
        <v>190</v>
      </c>
      <c r="H47" s="262">
        <v>190</v>
      </c>
      <c r="I47" s="262">
        <v>200</v>
      </c>
      <c r="J47" s="262">
        <v>200</v>
      </c>
      <c r="K47" s="262">
        <v>200</v>
      </c>
      <c r="L47" s="262">
        <v>200</v>
      </c>
      <c r="M47" s="262">
        <v>200</v>
      </c>
      <c r="N47" s="262">
        <v>170</v>
      </c>
      <c r="O47" s="262">
        <v>170</v>
      </c>
      <c r="P47" s="262">
        <v>170</v>
      </c>
      <c r="Q47" s="262">
        <v>140</v>
      </c>
      <c r="R47" s="262">
        <v>140</v>
      </c>
      <c r="S47" s="262">
        <v>140</v>
      </c>
      <c r="T47" s="262">
        <v>140</v>
      </c>
      <c r="U47" s="262">
        <v>200</v>
      </c>
      <c r="V47" s="262">
        <v>200</v>
      </c>
      <c r="W47" s="262">
        <v>210</v>
      </c>
      <c r="X47" s="262">
        <v>210</v>
      </c>
      <c r="Y47" s="262">
        <v>220</v>
      </c>
      <c r="Z47" s="262">
        <v>220</v>
      </c>
      <c r="AB47" s="261" t="s">
        <v>96</v>
      </c>
      <c r="AC47" s="262">
        <v>170</v>
      </c>
      <c r="AD47" s="262">
        <v>160</v>
      </c>
      <c r="AE47" s="262">
        <v>160</v>
      </c>
      <c r="AF47" s="262">
        <v>160</v>
      </c>
      <c r="AG47" s="262">
        <v>160</v>
      </c>
      <c r="AH47" s="262">
        <v>160</v>
      </c>
      <c r="AI47" s="262">
        <v>160</v>
      </c>
      <c r="AJ47" s="262">
        <v>160</v>
      </c>
      <c r="AK47" s="262">
        <v>160</v>
      </c>
      <c r="AL47" s="262">
        <v>160</v>
      </c>
      <c r="AM47" s="262">
        <v>160</v>
      </c>
      <c r="AN47" s="262">
        <v>160</v>
      </c>
      <c r="AO47" s="262">
        <v>140</v>
      </c>
      <c r="AP47" s="262">
        <v>140</v>
      </c>
      <c r="AQ47" s="262">
        <v>140</v>
      </c>
      <c r="AR47" s="262">
        <v>110</v>
      </c>
      <c r="AS47" s="262">
        <v>110</v>
      </c>
      <c r="AT47" s="262">
        <v>110</v>
      </c>
      <c r="AU47" s="262">
        <v>110</v>
      </c>
      <c r="AV47" s="262">
        <v>170</v>
      </c>
      <c r="AW47" s="262">
        <v>170</v>
      </c>
      <c r="AX47" s="262">
        <v>170</v>
      </c>
      <c r="AY47" s="262">
        <v>170</v>
      </c>
      <c r="AZ47" s="262">
        <v>180</v>
      </c>
      <c r="BA47" s="262">
        <v>180</v>
      </c>
      <c r="BC47" s="261" t="s">
        <v>96</v>
      </c>
      <c r="BD47" s="262">
        <v>170</v>
      </c>
      <c r="BE47" s="262">
        <v>160</v>
      </c>
      <c r="BF47" s="262">
        <v>160</v>
      </c>
      <c r="BG47" s="262">
        <v>160</v>
      </c>
      <c r="BH47" s="262">
        <v>160</v>
      </c>
      <c r="BI47" s="262">
        <v>160</v>
      </c>
      <c r="BJ47" s="262">
        <v>160</v>
      </c>
      <c r="BK47" s="262">
        <v>160</v>
      </c>
      <c r="BL47" s="262">
        <v>160</v>
      </c>
      <c r="BM47" s="262">
        <v>160</v>
      </c>
      <c r="BN47" s="262">
        <v>160</v>
      </c>
      <c r="BO47" s="262">
        <v>160</v>
      </c>
      <c r="BP47" s="262">
        <v>140</v>
      </c>
      <c r="BQ47" s="262">
        <v>140</v>
      </c>
      <c r="BR47" s="262">
        <v>140</v>
      </c>
      <c r="BS47" s="262">
        <v>110</v>
      </c>
      <c r="BT47" s="262">
        <v>110</v>
      </c>
      <c r="BU47" s="262">
        <v>110</v>
      </c>
      <c r="BV47" s="262">
        <v>110</v>
      </c>
      <c r="BW47" s="262">
        <v>170</v>
      </c>
      <c r="BX47" s="262">
        <v>170</v>
      </c>
      <c r="BY47" s="262">
        <v>170</v>
      </c>
      <c r="BZ47" s="262">
        <v>170</v>
      </c>
      <c r="CA47" s="262">
        <v>180</v>
      </c>
      <c r="CB47" s="262">
        <v>180</v>
      </c>
    </row>
    <row r="48" spans="1:80">
      <c r="A48" s="261" t="s">
        <v>97</v>
      </c>
      <c r="B48" s="262">
        <v>200</v>
      </c>
      <c r="C48" s="262">
        <v>200</v>
      </c>
      <c r="D48" s="262">
        <v>200</v>
      </c>
      <c r="E48" s="262">
        <v>200</v>
      </c>
      <c r="F48" s="262">
        <v>200</v>
      </c>
      <c r="G48" s="262">
        <v>190</v>
      </c>
      <c r="H48" s="262">
        <v>190</v>
      </c>
      <c r="I48" s="262">
        <v>200</v>
      </c>
      <c r="J48" s="262">
        <v>200</v>
      </c>
      <c r="K48" s="262">
        <v>200</v>
      </c>
      <c r="L48" s="262">
        <v>200</v>
      </c>
      <c r="M48" s="262">
        <v>200</v>
      </c>
      <c r="N48" s="262">
        <v>170</v>
      </c>
      <c r="O48" s="262">
        <v>170</v>
      </c>
      <c r="P48" s="262">
        <v>170</v>
      </c>
      <c r="Q48" s="262">
        <v>140</v>
      </c>
      <c r="R48" s="262">
        <v>140</v>
      </c>
      <c r="S48" s="262">
        <v>140</v>
      </c>
      <c r="T48" s="263">
        <v>140</v>
      </c>
      <c r="U48" s="263">
        <v>200</v>
      </c>
      <c r="V48" s="263">
        <v>200</v>
      </c>
      <c r="W48" s="263">
        <v>210</v>
      </c>
      <c r="X48" s="263">
        <v>210</v>
      </c>
      <c r="Y48" s="263">
        <v>220</v>
      </c>
      <c r="Z48" s="263">
        <v>220</v>
      </c>
      <c r="AB48" s="261" t="s">
        <v>97</v>
      </c>
      <c r="AC48" s="262">
        <v>170</v>
      </c>
      <c r="AD48" s="262">
        <v>160</v>
      </c>
      <c r="AE48" s="262">
        <v>160</v>
      </c>
      <c r="AF48" s="262">
        <v>160</v>
      </c>
      <c r="AG48" s="262">
        <v>160</v>
      </c>
      <c r="AH48" s="262">
        <v>160</v>
      </c>
      <c r="AI48" s="262">
        <v>160</v>
      </c>
      <c r="AJ48" s="262">
        <v>160</v>
      </c>
      <c r="AK48" s="262">
        <v>160</v>
      </c>
      <c r="AL48" s="262">
        <v>160</v>
      </c>
      <c r="AM48" s="262">
        <v>160</v>
      </c>
      <c r="AN48" s="262">
        <v>160</v>
      </c>
      <c r="AO48" s="262">
        <v>140</v>
      </c>
      <c r="AP48" s="262">
        <v>140</v>
      </c>
      <c r="AQ48" s="262">
        <v>140</v>
      </c>
      <c r="AR48" s="262">
        <v>110</v>
      </c>
      <c r="AS48" s="262">
        <v>110</v>
      </c>
      <c r="AT48" s="262">
        <v>110</v>
      </c>
      <c r="AU48" s="263">
        <v>110</v>
      </c>
      <c r="AV48" s="263">
        <v>170</v>
      </c>
      <c r="AW48" s="263">
        <v>170</v>
      </c>
      <c r="AX48" s="263">
        <v>170</v>
      </c>
      <c r="AY48" s="263">
        <v>170</v>
      </c>
      <c r="AZ48" s="263">
        <v>180</v>
      </c>
      <c r="BA48" s="263">
        <v>180</v>
      </c>
      <c r="BC48" s="261" t="s">
        <v>97</v>
      </c>
      <c r="BD48" s="262">
        <v>170</v>
      </c>
      <c r="BE48" s="262">
        <v>160</v>
      </c>
      <c r="BF48" s="262">
        <v>160</v>
      </c>
      <c r="BG48" s="262">
        <v>160</v>
      </c>
      <c r="BH48" s="262">
        <v>160</v>
      </c>
      <c r="BI48" s="262">
        <v>160</v>
      </c>
      <c r="BJ48" s="262">
        <v>160</v>
      </c>
      <c r="BK48" s="262">
        <v>160</v>
      </c>
      <c r="BL48" s="262">
        <v>160</v>
      </c>
      <c r="BM48" s="262">
        <v>160</v>
      </c>
      <c r="BN48" s="262">
        <v>160</v>
      </c>
      <c r="BO48" s="262">
        <v>160</v>
      </c>
      <c r="BP48" s="262">
        <v>140</v>
      </c>
      <c r="BQ48" s="262">
        <v>140</v>
      </c>
      <c r="BR48" s="262">
        <v>140</v>
      </c>
      <c r="BS48" s="262">
        <v>110</v>
      </c>
      <c r="BT48" s="262">
        <v>110</v>
      </c>
      <c r="BU48" s="262">
        <v>110</v>
      </c>
      <c r="BV48" s="263">
        <v>110</v>
      </c>
      <c r="BW48" s="263">
        <v>170</v>
      </c>
      <c r="BX48" s="263">
        <v>170</v>
      </c>
      <c r="BY48" s="263">
        <v>170</v>
      </c>
      <c r="BZ48" s="263">
        <v>170</v>
      </c>
      <c r="CA48" s="263">
        <v>180</v>
      </c>
      <c r="CB48" s="263">
        <v>180</v>
      </c>
    </row>
    <row r="49" spans="1:80">
      <c r="A49" s="261" t="s">
        <v>98</v>
      </c>
      <c r="B49" s="262">
        <v>200</v>
      </c>
      <c r="C49" s="262">
        <v>200</v>
      </c>
      <c r="D49" s="262">
        <v>200</v>
      </c>
      <c r="E49" s="262">
        <v>200</v>
      </c>
      <c r="F49" s="262">
        <v>200</v>
      </c>
      <c r="G49" s="262">
        <v>190</v>
      </c>
      <c r="H49" s="262">
        <v>190</v>
      </c>
      <c r="I49" s="262">
        <v>200</v>
      </c>
      <c r="J49" s="262">
        <v>200</v>
      </c>
      <c r="K49" s="262">
        <v>200</v>
      </c>
      <c r="L49" s="262">
        <v>200</v>
      </c>
      <c r="M49" s="262">
        <v>200</v>
      </c>
      <c r="N49" s="262">
        <v>170</v>
      </c>
      <c r="O49" s="262">
        <v>170</v>
      </c>
      <c r="P49" s="262">
        <v>170</v>
      </c>
      <c r="Q49" s="262">
        <v>140</v>
      </c>
      <c r="R49" s="262">
        <v>140</v>
      </c>
      <c r="S49" s="262">
        <v>140</v>
      </c>
      <c r="T49" s="263">
        <v>140</v>
      </c>
      <c r="U49" s="263">
        <v>200</v>
      </c>
      <c r="V49" s="263">
        <v>200</v>
      </c>
      <c r="W49" s="263">
        <v>210</v>
      </c>
      <c r="X49" s="263">
        <v>210</v>
      </c>
      <c r="Y49" s="263">
        <v>220</v>
      </c>
      <c r="Z49" s="263">
        <v>220</v>
      </c>
      <c r="AB49" s="261" t="s">
        <v>98</v>
      </c>
      <c r="AC49" s="262">
        <v>170</v>
      </c>
      <c r="AD49" s="262">
        <v>160</v>
      </c>
      <c r="AE49" s="262">
        <v>160</v>
      </c>
      <c r="AF49" s="262">
        <v>160</v>
      </c>
      <c r="AG49" s="262">
        <v>160</v>
      </c>
      <c r="AH49" s="262">
        <v>160</v>
      </c>
      <c r="AI49" s="262">
        <v>160</v>
      </c>
      <c r="AJ49" s="262">
        <v>160</v>
      </c>
      <c r="AK49" s="262">
        <v>160</v>
      </c>
      <c r="AL49" s="262">
        <v>160</v>
      </c>
      <c r="AM49" s="262">
        <v>160</v>
      </c>
      <c r="AN49" s="262">
        <v>160</v>
      </c>
      <c r="AO49" s="262">
        <v>140</v>
      </c>
      <c r="AP49" s="262">
        <v>140</v>
      </c>
      <c r="AQ49" s="262">
        <v>140</v>
      </c>
      <c r="AR49" s="262">
        <v>110</v>
      </c>
      <c r="AS49" s="262">
        <v>110</v>
      </c>
      <c r="AT49" s="262">
        <v>110</v>
      </c>
      <c r="AU49" s="263">
        <v>110</v>
      </c>
      <c r="AV49" s="263">
        <v>170</v>
      </c>
      <c r="AW49" s="263">
        <v>170</v>
      </c>
      <c r="AX49" s="263">
        <v>170</v>
      </c>
      <c r="AY49" s="263">
        <v>170</v>
      </c>
      <c r="AZ49" s="263">
        <v>180</v>
      </c>
      <c r="BA49" s="263">
        <v>180</v>
      </c>
      <c r="BC49" s="261" t="s">
        <v>98</v>
      </c>
      <c r="BD49" s="262">
        <v>170</v>
      </c>
      <c r="BE49" s="262">
        <v>160</v>
      </c>
      <c r="BF49" s="262">
        <v>160</v>
      </c>
      <c r="BG49" s="262">
        <v>160</v>
      </c>
      <c r="BH49" s="262">
        <v>160</v>
      </c>
      <c r="BI49" s="262">
        <v>160</v>
      </c>
      <c r="BJ49" s="262">
        <v>160</v>
      </c>
      <c r="BK49" s="262">
        <v>160</v>
      </c>
      <c r="BL49" s="262">
        <v>160</v>
      </c>
      <c r="BM49" s="262">
        <v>160</v>
      </c>
      <c r="BN49" s="262">
        <v>160</v>
      </c>
      <c r="BO49" s="262">
        <v>160</v>
      </c>
      <c r="BP49" s="262">
        <v>140</v>
      </c>
      <c r="BQ49" s="262">
        <v>140</v>
      </c>
      <c r="BR49" s="262">
        <v>140</v>
      </c>
      <c r="BS49" s="262">
        <v>110</v>
      </c>
      <c r="BT49" s="262">
        <v>110</v>
      </c>
      <c r="BU49" s="262">
        <v>110</v>
      </c>
      <c r="BV49" s="263">
        <v>110</v>
      </c>
      <c r="BW49" s="263">
        <v>170</v>
      </c>
      <c r="BX49" s="263">
        <v>170</v>
      </c>
      <c r="BY49" s="263">
        <v>170</v>
      </c>
      <c r="BZ49" s="263">
        <v>170</v>
      </c>
      <c r="CA49" s="263">
        <v>180</v>
      </c>
      <c r="CB49" s="263">
        <v>180</v>
      </c>
    </row>
    <row r="50" spans="1:80">
      <c r="A50" s="261" t="s">
        <v>99</v>
      </c>
      <c r="B50" s="262">
        <v>300</v>
      </c>
      <c r="C50" s="262">
        <v>300</v>
      </c>
      <c r="D50" s="262">
        <v>300</v>
      </c>
      <c r="E50" s="262">
        <v>300</v>
      </c>
      <c r="F50" s="262">
        <v>300</v>
      </c>
      <c r="G50" s="262">
        <v>280</v>
      </c>
      <c r="H50" s="262">
        <v>280</v>
      </c>
      <c r="I50" s="262">
        <v>290</v>
      </c>
      <c r="J50" s="262">
        <v>290</v>
      </c>
      <c r="K50" s="262">
        <v>290</v>
      </c>
      <c r="L50" s="262">
        <v>290</v>
      </c>
      <c r="M50" s="262">
        <v>290</v>
      </c>
      <c r="N50" s="262">
        <v>220</v>
      </c>
      <c r="O50" s="262">
        <v>220</v>
      </c>
      <c r="P50" s="262">
        <v>220</v>
      </c>
      <c r="Q50" s="262">
        <v>200</v>
      </c>
      <c r="R50" s="262">
        <v>200</v>
      </c>
      <c r="S50" s="262">
        <v>200</v>
      </c>
      <c r="T50" s="263">
        <v>200</v>
      </c>
      <c r="U50" s="263">
        <v>150</v>
      </c>
      <c r="V50" s="263">
        <v>150</v>
      </c>
      <c r="W50" s="263">
        <v>150</v>
      </c>
      <c r="X50" s="263">
        <v>150</v>
      </c>
      <c r="Y50" s="263">
        <v>180</v>
      </c>
      <c r="Z50" s="263">
        <v>180</v>
      </c>
      <c r="AB50" s="261" t="s">
        <v>99</v>
      </c>
      <c r="AC50" s="262">
        <v>260</v>
      </c>
      <c r="AD50" s="262">
        <v>250</v>
      </c>
      <c r="AE50" s="262">
        <v>250</v>
      </c>
      <c r="AF50" s="262">
        <v>250</v>
      </c>
      <c r="AG50" s="262">
        <v>250</v>
      </c>
      <c r="AH50" s="262">
        <v>240</v>
      </c>
      <c r="AI50" s="262">
        <v>240</v>
      </c>
      <c r="AJ50" s="262">
        <v>240</v>
      </c>
      <c r="AK50" s="262">
        <v>240</v>
      </c>
      <c r="AL50" s="262">
        <v>240</v>
      </c>
      <c r="AM50" s="262">
        <v>250</v>
      </c>
      <c r="AN50" s="262">
        <v>250</v>
      </c>
      <c r="AO50" s="262">
        <v>180</v>
      </c>
      <c r="AP50" s="262">
        <v>180</v>
      </c>
      <c r="AQ50" s="262">
        <v>180</v>
      </c>
      <c r="AR50" s="262">
        <v>170</v>
      </c>
      <c r="AS50" s="262">
        <v>170</v>
      </c>
      <c r="AT50" s="262">
        <v>170</v>
      </c>
      <c r="AU50" s="263">
        <v>170</v>
      </c>
      <c r="AV50" s="263">
        <v>110</v>
      </c>
      <c r="AW50" s="263">
        <v>110</v>
      </c>
      <c r="AX50" s="263">
        <v>120</v>
      </c>
      <c r="AY50" s="263">
        <v>120</v>
      </c>
      <c r="AZ50" s="263">
        <v>150</v>
      </c>
      <c r="BA50" s="263">
        <v>150</v>
      </c>
      <c r="BC50" s="261" t="s">
        <v>99</v>
      </c>
      <c r="BD50" s="262">
        <v>260</v>
      </c>
      <c r="BE50" s="262">
        <v>250</v>
      </c>
      <c r="BF50" s="262">
        <v>250</v>
      </c>
      <c r="BG50" s="262">
        <v>250</v>
      </c>
      <c r="BH50" s="262">
        <v>250</v>
      </c>
      <c r="BI50" s="262">
        <v>240</v>
      </c>
      <c r="BJ50" s="262">
        <v>240</v>
      </c>
      <c r="BK50" s="262">
        <v>240</v>
      </c>
      <c r="BL50" s="262">
        <v>240</v>
      </c>
      <c r="BM50" s="262">
        <v>240</v>
      </c>
      <c r="BN50" s="262">
        <v>250</v>
      </c>
      <c r="BO50" s="262">
        <v>250</v>
      </c>
      <c r="BP50" s="262">
        <v>180</v>
      </c>
      <c r="BQ50" s="262">
        <v>180</v>
      </c>
      <c r="BR50" s="262">
        <v>180</v>
      </c>
      <c r="BS50" s="262">
        <v>170</v>
      </c>
      <c r="BT50" s="262">
        <v>170</v>
      </c>
      <c r="BU50" s="262">
        <v>170</v>
      </c>
      <c r="BV50" s="263">
        <v>170</v>
      </c>
      <c r="BW50" s="263">
        <v>110</v>
      </c>
      <c r="BX50" s="263">
        <v>110</v>
      </c>
      <c r="BY50" s="263">
        <v>120</v>
      </c>
      <c r="BZ50" s="263">
        <v>120</v>
      </c>
      <c r="CA50" s="263">
        <v>150</v>
      </c>
      <c r="CB50" s="263">
        <v>150</v>
      </c>
    </row>
    <row r="51" spans="1:80">
      <c r="A51" s="261" t="s">
        <v>100</v>
      </c>
      <c r="B51" s="262">
        <v>300</v>
      </c>
      <c r="C51" s="262">
        <v>300</v>
      </c>
      <c r="D51" s="262">
        <v>300</v>
      </c>
      <c r="E51" s="262">
        <v>300</v>
      </c>
      <c r="F51" s="262">
        <v>300</v>
      </c>
      <c r="G51" s="262">
        <v>280</v>
      </c>
      <c r="H51" s="262">
        <v>280</v>
      </c>
      <c r="I51" s="262">
        <v>290</v>
      </c>
      <c r="J51" s="262">
        <v>290</v>
      </c>
      <c r="K51" s="262">
        <v>290</v>
      </c>
      <c r="L51" s="262">
        <v>290</v>
      </c>
      <c r="M51" s="262">
        <v>290</v>
      </c>
      <c r="N51" s="262">
        <v>220</v>
      </c>
      <c r="O51" s="262">
        <v>220</v>
      </c>
      <c r="P51" s="262">
        <v>220</v>
      </c>
      <c r="Q51" s="262">
        <v>200</v>
      </c>
      <c r="R51" s="262">
        <v>200</v>
      </c>
      <c r="S51" s="262">
        <v>200</v>
      </c>
      <c r="T51" s="263">
        <v>200</v>
      </c>
      <c r="U51" s="263">
        <v>150</v>
      </c>
      <c r="V51" s="263">
        <v>150</v>
      </c>
      <c r="W51" s="263">
        <v>150</v>
      </c>
      <c r="X51" s="263">
        <v>150</v>
      </c>
      <c r="Y51" s="263">
        <v>180</v>
      </c>
      <c r="Z51" s="263">
        <v>180</v>
      </c>
      <c r="AB51" s="261" t="s">
        <v>100</v>
      </c>
      <c r="AC51" s="262">
        <v>260</v>
      </c>
      <c r="AD51" s="262">
        <v>250</v>
      </c>
      <c r="AE51" s="262">
        <v>250</v>
      </c>
      <c r="AF51" s="262">
        <v>250</v>
      </c>
      <c r="AG51" s="262">
        <v>250</v>
      </c>
      <c r="AH51" s="262">
        <v>240</v>
      </c>
      <c r="AI51" s="262">
        <v>240</v>
      </c>
      <c r="AJ51" s="262">
        <v>240</v>
      </c>
      <c r="AK51" s="262">
        <v>240</v>
      </c>
      <c r="AL51" s="262">
        <v>240</v>
      </c>
      <c r="AM51" s="262">
        <v>250</v>
      </c>
      <c r="AN51" s="262">
        <v>250</v>
      </c>
      <c r="AO51" s="262">
        <v>180</v>
      </c>
      <c r="AP51" s="262">
        <v>180</v>
      </c>
      <c r="AQ51" s="262">
        <v>180</v>
      </c>
      <c r="AR51" s="262">
        <v>170</v>
      </c>
      <c r="AS51" s="262">
        <v>170</v>
      </c>
      <c r="AT51" s="262">
        <v>170</v>
      </c>
      <c r="AU51" s="263">
        <v>170</v>
      </c>
      <c r="AV51" s="263">
        <v>110</v>
      </c>
      <c r="AW51" s="263">
        <v>110</v>
      </c>
      <c r="AX51" s="263">
        <v>120</v>
      </c>
      <c r="AY51" s="263">
        <v>120</v>
      </c>
      <c r="AZ51" s="263">
        <v>150</v>
      </c>
      <c r="BA51" s="263">
        <v>150</v>
      </c>
      <c r="BC51" s="261" t="s">
        <v>100</v>
      </c>
      <c r="BD51" s="262">
        <v>260</v>
      </c>
      <c r="BE51" s="262">
        <v>250</v>
      </c>
      <c r="BF51" s="262">
        <v>250</v>
      </c>
      <c r="BG51" s="262">
        <v>250</v>
      </c>
      <c r="BH51" s="262">
        <v>250</v>
      </c>
      <c r="BI51" s="262">
        <v>240</v>
      </c>
      <c r="BJ51" s="262">
        <v>240</v>
      </c>
      <c r="BK51" s="262">
        <v>240</v>
      </c>
      <c r="BL51" s="262">
        <v>240</v>
      </c>
      <c r="BM51" s="262">
        <v>240</v>
      </c>
      <c r="BN51" s="262">
        <v>250</v>
      </c>
      <c r="BO51" s="262">
        <v>250</v>
      </c>
      <c r="BP51" s="262">
        <v>180</v>
      </c>
      <c r="BQ51" s="262">
        <v>180</v>
      </c>
      <c r="BR51" s="262">
        <v>180</v>
      </c>
      <c r="BS51" s="262">
        <v>170</v>
      </c>
      <c r="BT51" s="262">
        <v>170</v>
      </c>
      <c r="BU51" s="262">
        <v>170</v>
      </c>
      <c r="BV51" s="263">
        <v>170</v>
      </c>
      <c r="BW51" s="263">
        <v>110</v>
      </c>
      <c r="BX51" s="263">
        <v>110</v>
      </c>
      <c r="BY51" s="263">
        <v>120</v>
      </c>
      <c r="BZ51" s="263">
        <v>120</v>
      </c>
      <c r="CA51" s="263">
        <v>150</v>
      </c>
      <c r="CB51" s="263">
        <v>150</v>
      </c>
    </row>
    <row r="52" spans="1:80">
      <c r="A52" s="261" t="s">
        <v>101</v>
      </c>
      <c r="B52" s="262">
        <v>320</v>
      </c>
      <c r="C52" s="262">
        <v>300</v>
      </c>
      <c r="D52" s="262">
        <v>300</v>
      </c>
      <c r="E52" s="262">
        <v>300</v>
      </c>
      <c r="F52" s="262">
        <v>300</v>
      </c>
      <c r="G52" s="262">
        <v>280</v>
      </c>
      <c r="H52" s="262">
        <v>280</v>
      </c>
      <c r="I52" s="262">
        <v>290</v>
      </c>
      <c r="J52" s="262">
        <v>290</v>
      </c>
      <c r="K52" s="262">
        <v>290</v>
      </c>
      <c r="L52" s="262">
        <v>300</v>
      </c>
      <c r="M52" s="262">
        <v>300</v>
      </c>
      <c r="N52" s="262">
        <v>230</v>
      </c>
      <c r="O52" s="262">
        <v>230</v>
      </c>
      <c r="P52" s="262">
        <v>230</v>
      </c>
      <c r="Q52" s="262">
        <v>210</v>
      </c>
      <c r="R52" s="262">
        <v>210</v>
      </c>
      <c r="S52" s="262">
        <v>210</v>
      </c>
      <c r="T52" s="263">
        <v>210</v>
      </c>
      <c r="U52" s="263">
        <v>150</v>
      </c>
      <c r="V52" s="263">
        <v>150</v>
      </c>
      <c r="W52" s="263">
        <v>150</v>
      </c>
      <c r="X52" s="263">
        <v>150</v>
      </c>
      <c r="Y52" s="263">
        <v>150</v>
      </c>
      <c r="Z52" s="263">
        <v>150</v>
      </c>
      <c r="AB52" s="261" t="s">
        <v>101</v>
      </c>
      <c r="AC52" s="262">
        <v>270</v>
      </c>
      <c r="AD52" s="262">
        <v>260</v>
      </c>
      <c r="AE52" s="262">
        <v>260</v>
      </c>
      <c r="AF52" s="262">
        <v>260</v>
      </c>
      <c r="AG52" s="262">
        <v>260</v>
      </c>
      <c r="AH52" s="262">
        <v>240</v>
      </c>
      <c r="AI52" s="262">
        <v>240</v>
      </c>
      <c r="AJ52" s="262">
        <v>250</v>
      </c>
      <c r="AK52" s="262">
        <v>250</v>
      </c>
      <c r="AL52" s="262">
        <v>250</v>
      </c>
      <c r="AM52" s="262">
        <v>250</v>
      </c>
      <c r="AN52" s="262">
        <v>250</v>
      </c>
      <c r="AO52" s="262">
        <v>190</v>
      </c>
      <c r="AP52" s="262">
        <v>190</v>
      </c>
      <c r="AQ52" s="262">
        <v>190</v>
      </c>
      <c r="AR52" s="262">
        <v>170</v>
      </c>
      <c r="AS52" s="262">
        <v>170</v>
      </c>
      <c r="AT52" s="262">
        <v>170</v>
      </c>
      <c r="AU52" s="263">
        <v>170</v>
      </c>
      <c r="AV52" s="263">
        <v>120</v>
      </c>
      <c r="AW52" s="263">
        <v>120</v>
      </c>
      <c r="AX52" s="263">
        <v>110</v>
      </c>
      <c r="AY52" s="263">
        <v>110</v>
      </c>
      <c r="AZ52" s="263">
        <v>120</v>
      </c>
      <c r="BA52" s="263">
        <v>120</v>
      </c>
      <c r="BC52" s="261" t="s">
        <v>101</v>
      </c>
      <c r="BD52" s="262">
        <v>270</v>
      </c>
      <c r="BE52" s="262">
        <v>260</v>
      </c>
      <c r="BF52" s="262">
        <v>260</v>
      </c>
      <c r="BG52" s="262">
        <v>260</v>
      </c>
      <c r="BH52" s="262">
        <v>260</v>
      </c>
      <c r="BI52" s="262">
        <v>240</v>
      </c>
      <c r="BJ52" s="262">
        <v>240</v>
      </c>
      <c r="BK52" s="262">
        <v>250</v>
      </c>
      <c r="BL52" s="262">
        <v>250</v>
      </c>
      <c r="BM52" s="262">
        <v>250</v>
      </c>
      <c r="BN52" s="262">
        <v>250</v>
      </c>
      <c r="BO52" s="262">
        <v>250</v>
      </c>
      <c r="BP52" s="262">
        <v>190</v>
      </c>
      <c r="BQ52" s="262">
        <v>190</v>
      </c>
      <c r="BR52" s="262">
        <v>190</v>
      </c>
      <c r="BS52" s="262">
        <v>170</v>
      </c>
      <c r="BT52" s="262">
        <v>170</v>
      </c>
      <c r="BU52" s="262">
        <v>170</v>
      </c>
      <c r="BV52" s="263">
        <v>170</v>
      </c>
      <c r="BW52" s="263">
        <v>120</v>
      </c>
      <c r="BX52" s="263">
        <v>120</v>
      </c>
      <c r="BY52" s="263">
        <v>110</v>
      </c>
      <c r="BZ52" s="263">
        <v>110</v>
      </c>
      <c r="CA52" s="263">
        <v>120</v>
      </c>
      <c r="CB52" s="263">
        <v>120</v>
      </c>
    </row>
    <row r="53" spans="1:80">
      <c r="A53" s="261" t="s">
        <v>102</v>
      </c>
      <c r="B53" s="262">
        <v>320</v>
      </c>
      <c r="C53" s="262">
        <v>300</v>
      </c>
      <c r="D53" s="262">
        <v>300</v>
      </c>
      <c r="E53" s="262">
        <v>300</v>
      </c>
      <c r="F53" s="262">
        <v>300</v>
      </c>
      <c r="G53" s="262">
        <v>280</v>
      </c>
      <c r="H53" s="262">
        <v>280</v>
      </c>
      <c r="I53" s="262">
        <v>290</v>
      </c>
      <c r="J53" s="262">
        <v>290</v>
      </c>
      <c r="K53" s="262">
        <v>290</v>
      </c>
      <c r="L53" s="262">
        <v>300</v>
      </c>
      <c r="M53" s="262">
        <v>300</v>
      </c>
      <c r="N53" s="262">
        <v>230</v>
      </c>
      <c r="O53" s="262">
        <v>230</v>
      </c>
      <c r="P53" s="262">
        <v>230</v>
      </c>
      <c r="Q53" s="262">
        <v>210</v>
      </c>
      <c r="R53" s="262">
        <v>210</v>
      </c>
      <c r="S53" s="262">
        <v>210</v>
      </c>
      <c r="T53" s="263">
        <v>210</v>
      </c>
      <c r="U53" s="263">
        <v>150</v>
      </c>
      <c r="V53" s="263">
        <v>150</v>
      </c>
      <c r="W53" s="263">
        <v>150</v>
      </c>
      <c r="X53" s="263">
        <v>150</v>
      </c>
      <c r="Y53" s="263">
        <v>150</v>
      </c>
      <c r="Z53" s="263">
        <v>150</v>
      </c>
      <c r="AB53" s="261" t="s">
        <v>102</v>
      </c>
      <c r="AC53" s="262">
        <v>270</v>
      </c>
      <c r="AD53" s="262">
        <v>260</v>
      </c>
      <c r="AE53" s="262">
        <v>260</v>
      </c>
      <c r="AF53" s="262">
        <v>260</v>
      </c>
      <c r="AG53" s="262">
        <v>260</v>
      </c>
      <c r="AH53" s="262">
        <v>240</v>
      </c>
      <c r="AI53" s="262">
        <v>240</v>
      </c>
      <c r="AJ53" s="262">
        <v>250</v>
      </c>
      <c r="AK53" s="262">
        <v>250</v>
      </c>
      <c r="AL53" s="262">
        <v>250</v>
      </c>
      <c r="AM53" s="262">
        <v>250</v>
      </c>
      <c r="AN53" s="262">
        <v>250</v>
      </c>
      <c r="AO53" s="262">
        <v>190</v>
      </c>
      <c r="AP53" s="262">
        <v>190</v>
      </c>
      <c r="AQ53" s="262">
        <v>190</v>
      </c>
      <c r="AR53" s="262">
        <v>170</v>
      </c>
      <c r="AS53" s="262">
        <v>170</v>
      </c>
      <c r="AT53" s="262">
        <v>170</v>
      </c>
      <c r="AU53" s="263">
        <v>170</v>
      </c>
      <c r="AV53" s="263">
        <v>120</v>
      </c>
      <c r="AW53" s="263">
        <v>120</v>
      </c>
      <c r="AX53" s="263">
        <v>110</v>
      </c>
      <c r="AY53" s="263">
        <v>110</v>
      </c>
      <c r="AZ53" s="263">
        <v>120</v>
      </c>
      <c r="BA53" s="263">
        <v>120</v>
      </c>
      <c r="BC53" s="261" t="s">
        <v>102</v>
      </c>
      <c r="BD53" s="262">
        <v>270</v>
      </c>
      <c r="BE53" s="262">
        <v>260</v>
      </c>
      <c r="BF53" s="262">
        <v>260</v>
      </c>
      <c r="BG53" s="262">
        <v>260</v>
      </c>
      <c r="BH53" s="262">
        <v>260</v>
      </c>
      <c r="BI53" s="262">
        <v>240</v>
      </c>
      <c r="BJ53" s="262">
        <v>240</v>
      </c>
      <c r="BK53" s="262">
        <v>250</v>
      </c>
      <c r="BL53" s="262">
        <v>250</v>
      </c>
      <c r="BM53" s="262">
        <v>250</v>
      </c>
      <c r="BN53" s="262">
        <v>250</v>
      </c>
      <c r="BO53" s="262">
        <v>250</v>
      </c>
      <c r="BP53" s="262">
        <v>190</v>
      </c>
      <c r="BQ53" s="262">
        <v>190</v>
      </c>
      <c r="BR53" s="262">
        <v>190</v>
      </c>
      <c r="BS53" s="262">
        <v>170</v>
      </c>
      <c r="BT53" s="262">
        <v>170</v>
      </c>
      <c r="BU53" s="262">
        <v>170</v>
      </c>
      <c r="BV53" s="263">
        <v>170</v>
      </c>
      <c r="BW53" s="263">
        <v>120</v>
      </c>
      <c r="BX53" s="263">
        <v>120</v>
      </c>
      <c r="BY53" s="263">
        <v>110</v>
      </c>
      <c r="BZ53" s="263">
        <v>110</v>
      </c>
      <c r="CA53" s="263">
        <v>120</v>
      </c>
      <c r="CB53" s="263">
        <v>120</v>
      </c>
    </row>
    <row r="54" spans="1:80">
      <c r="A54" s="261" t="s">
        <v>103</v>
      </c>
      <c r="B54" s="262">
        <v>320</v>
      </c>
      <c r="C54" s="262">
        <v>300</v>
      </c>
      <c r="D54" s="262">
        <v>300</v>
      </c>
      <c r="E54" s="262">
        <v>300</v>
      </c>
      <c r="F54" s="262">
        <v>300</v>
      </c>
      <c r="G54" s="262">
        <v>290</v>
      </c>
      <c r="H54" s="262">
        <v>290</v>
      </c>
      <c r="I54" s="262">
        <v>300</v>
      </c>
      <c r="J54" s="262">
        <v>300</v>
      </c>
      <c r="K54" s="262">
        <v>300</v>
      </c>
      <c r="L54" s="262">
        <v>300</v>
      </c>
      <c r="M54" s="262">
        <v>300</v>
      </c>
      <c r="N54" s="262">
        <v>260</v>
      </c>
      <c r="O54" s="262">
        <v>260</v>
      </c>
      <c r="P54" s="262">
        <v>260</v>
      </c>
      <c r="Q54" s="262">
        <v>220</v>
      </c>
      <c r="R54" s="262">
        <v>220</v>
      </c>
      <c r="S54" s="262">
        <v>220</v>
      </c>
      <c r="T54" s="263">
        <v>220</v>
      </c>
      <c r="U54" s="263">
        <v>180</v>
      </c>
      <c r="V54" s="263">
        <v>180</v>
      </c>
      <c r="W54" s="263">
        <v>150</v>
      </c>
      <c r="X54" s="263">
        <v>150</v>
      </c>
      <c r="Y54" s="263">
        <v>150</v>
      </c>
      <c r="Z54" s="263">
        <v>150</v>
      </c>
      <c r="AB54" s="261" t="s">
        <v>103</v>
      </c>
      <c r="AC54" s="262">
        <v>280</v>
      </c>
      <c r="AD54" s="262">
        <v>260</v>
      </c>
      <c r="AE54" s="262">
        <v>260</v>
      </c>
      <c r="AF54" s="262">
        <v>260</v>
      </c>
      <c r="AG54" s="262">
        <v>260</v>
      </c>
      <c r="AH54" s="262">
        <v>250</v>
      </c>
      <c r="AI54" s="262">
        <v>250</v>
      </c>
      <c r="AJ54" s="262">
        <v>250</v>
      </c>
      <c r="AK54" s="262">
        <v>250</v>
      </c>
      <c r="AL54" s="262">
        <v>250</v>
      </c>
      <c r="AM54" s="262">
        <v>260</v>
      </c>
      <c r="AN54" s="262">
        <v>260</v>
      </c>
      <c r="AO54" s="262">
        <v>220</v>
      </c>
      <c r="AP54" s="262">
        <v>220</v>
      </c>
      <c r="AQ54" s="262">
        <v>220</v>
      </c>
      <c r="AR54" s="262">
        <v>180</v>
      </c>
      <c r="AS54" s="262">
        <v>180</v>
      </c>
      <c r="AT54" s="262">
        <v>180</v>
      </c>
      <c r="AU54" s="263">
        <v>180</v>
      </c>
      <c r="AV54" s="263">
        <v>150</v>
      </c>
      <c r="AW54" s="263">
        <v>150</v>
      </c>
      <c r="AX54" s="263">
        <v>120</v>
      </c>
      <c r="AY54" s="263">
        <v>120</v>
      </c>
      <c r="AZ54" s="263">
        <v>110</v>
      </c>
      <c r="BA54" s="263">
        <v>110</v>
      </c>
      <c r="BC54" s="261" t="s">
        <v>103</v>
      </c>
      <c r="BD54" s="262">
        <v>280</v>
      </c>
      <c r="BE54" s="262">
        <v>260</v>
      </c>
      <c r="BF54" s="262">
        <v>260</v>
      </c>
      <c r="BG54" s="262">
        <v>260</v>
      </c>
      <c r="BH54" s="262">
        <v>260</v>
      </c>
      <c r="BI54" s="262">
        <v>250</v>
      </c>
      <c r="BJ54" s="262">
        <v>250</v>
      </c>
      <c r="BK54" s="262">
        <v>250</v>
      </c>
      <c r="BL54" s="262">
        <v>250</v>
      </c>
      <c r="BM54" s="262">
        <v>250</v>
      </c>
      <c r="BN54" s="262">
        <v>260</v>
      </c>
      <c r="BO54" s="262">
        <v>260</v>
      </c>
      <c r="BP54" s="262">
        <v>220</v>
      </c>
      <c r="BQ54" s="262">
        <v>220</v>
      </c>
      <c r="BR54" s="262">
        <v>220</v>
      </c>
      <c r="BS54" s="262">
        <v>180</v>
      </c>
      <c r="BT54" s="262">
        <v>180</v>
      </c>
      <c r="BU54" s="262">
        <v>180</v>
      </c>
      <c r="BV54" s="263">
        <v>180</v>
      </c>
      <c r="BW54" s="263">
        <v>150</v>
      </c>
      <c r="BX54" s="263">
        <v>150</v>
      </c>
      <c r="BY54" s="263">
        <v>120</v>
      </c>
      <c r="BZ54" s="263">
        <v>120</v>
      </c>
      <c r="CA54" s="263">
        <v>110</v>
      </c>
      <c r="CB54" s="263">
        <v>110</v>
      </c>
    </row>
    <row r="55" spans="1:80">
      <c r="A55" s="261" t="s">
        <v>104</v>
      </c>
      <c r="B55" s="262">
        <v>320</v>
      </c>
      <c r="C55" s="262">
        <v>300</v>
      </c>
      <c r="D55" s="262">
        <v>300</v>
      </c>
      <c r="E55" s="262">
        <v>300</v>
      </c>
      <c r="F55" s="262">
        <v>300</v>
      </c>
      <c r="G55" s="262">
        <v>290</v>
      </c>
      <c r="H55" s="262">
        <v>290</v>
      </c>
      <c r="I55" s="262">
        <v>300</v>
      </c>
      <c r="J55" s="262">
        <v>300</v>
      </c>
      <c r="K55" s="262">
        <v>300</v>
      </c>
      <c r="L55" s="262">
        <v>300</v>
      </c>
      <c r="M55" s="262">
        <v>300</v>
      </c>
      <c r="N55" s="262">
        <v>260</v>
      </c>
      <c r="O55" s="262">
        <v>260</v>
      </c>
      <c r="P55" s="262">
        <v>260</v>
      </c>
      <c r="Q55" s="262">
        <v>220</v>
      </c>
      <c r="R55" s="262">
        <v>220</v>
      </c>
      <c r="S55" s="262">
        <v>220</v>
      </c>
      <c r="T55" s="263">
        <v>220</v>
      </c>
      <c r="U55" s="263">
        <v>180</v>
      </c>
      <c r="V55" s="263">
        <v>180</v>
      </c>
      <c r="W55" s="263">
        <v>150</v>
      </c>
      <c r="X55" s="263">
        <v>150</v>
      </c>
      <c r="Y55" s="263">
        <v>150</v>
      </c>
      <c r="Z55" s="263">
        <v>150</v>
      </c>
      <c r="AB55" s="261" t="s">
        <v>104</v>
      </c>
      <c r="AC55" s="262">
        <v>280</v>
      </c>
      <c r="AD55" s="262">
        <v>260</v>
      </c>
      <c r="AE55" s="262">
        <v>260</v>
      </c>
      <c r="AF55" s="262">
        <v>260</v>
      </c>
      <c r="AG55" s="262">
        <v>260</v>
      </c>
      <c r="AH55" s="262">
        <v>250</v>
      </c>
      <c r="AI55" s="262">
        <v>250</v>
      </c>
      <c r="AJ55" s="262">
        <v>250</v>
      </c>
      <c r="AK55" s="262">
        <v>250</v>
      </c>
      <c r="AL55" s="262">
        <v>250</v>
      </c>
      <c r="AM55" s="262">
        <v>260</v>
      </c>
      <c r="AN55" s="262">
        <v>260</v>
      </c>
      <c r="AO55" s="262">
        <v>220</v>
      </c>
      <c r="AP55" s="262">
        <v>220</v>
      </c>
      <c r="AQ55" s="262">
        <v>220</v>
      </c>
      <c r="AR55" s="262">
        <v>180</v>
      </c>
      <c r="AS55" s="262">
        <v>180</v>
      </c>
      <c r="AT55" s="262">
        <v>180</v>
      </c>
      <c r="AU55" s="263">
        <v>180</v>
      </c>
      <c r="AV55" s="263">
        <v>150</v>
      </c>
      <c r="AW55" s="263">
        <v>150</v>
      </c>
      <c r="AX55" s="263">
        <v>120</v>
      </c>
      <c r="AY55" s="263">
        <v>120</v>
      </c>
      <c r="AZ55" s="263">
        <v>110</v>
      </c>
      <c r="BA55" s="263">
        <v>110</v>
      </c>
      <c r="BC55" s="261" t="s">
        <v>104</v>
      </c>
      <c r="BD55" s="262">
        <v>280</v>
      </c>
      <c r="BE55" s="262">
        <v>260</v>
      </c>
      <c r="BF55" s="262">
        <v>260</v>
      </c>
      <c r="BG55" s="262">
        <v>260</v>
      </c>
      <c r="BH55" s="262">
        <v>260</v>
      </c>
      <c r="BI55" s="262">
        <v>250</v>
      </c>
      <c r="BJ55" s="262">
        <v>250</v>
      </c>
      <c r="BK55" s="262">
        <v>250</v>
      </c>
      <c r="BL55" s="262">
        <v>250</v>
      </c>
      <c r="BM55" s="262">
        <v>250</v>
      </c>
      <c r="BN55" s="262">
        <v>260</v>
      </c>
      <c r="BO55" s="262">
        <v>260</v>
      </c>
      <c r="BP55" s="262">
        <v>220</v>
      </c>
      <c r="BQ55" s="262">
        <v>220</v>
      </c>
      <c r="BR55" s="262">
        <v>220</v>
      </c>
      <c r="BS55" s="262">
        <v>180</v>
      </c>
      <c r="BT55" s="262">
        <v>180</v>
      </c>
      <c r="BU55" s="262">
        <v>180</v>
      </c>
      <c r="BV55" s="263">
        <v>180</v>
      </c>
      <c r="BW55" s="263">
        <v>150</v>
      </c>
      <c r="BX55" s="263">
        <v>150</v>
      </c>
      <c r="BY55" s="263">
        <v>120</v>
      </c>
      <c r="BZ55" s="263">
        <v>120</v>
      </c>
      <c r="CA55" s="263">
        <v>110</v>
      </c>
      <c r="CB55" s="263">
        <v>110</v>
      </c>
    </row>
    <row r="56" spans="1:80">
      <c r="Z56" s="100" cm="1">
        <f t="array" ref="Z56">SUMPRODUCT(ABS((B31:Z55)-(TRANSPOSE(B31:Z55))))</f>
        <v>0</v>
      </c>
    </row>
    <row r="57" spans="1:80">
      <c r="A57" s="117" t="s">
        <v>27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B57" s="117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C57" s="117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</row>
    <row r="58" spans="1:80" ht="82.5">
      <c r="A58" s="260" t="s">
        <v>32</v>
      </c>
      <c r="B58" s="260" t="s">
        <v>13</v>
      </c>
      <c r="C58" s="260" t="s">
        <v>89</v>
      </c>
      <c r="D58" s="260" t="s">
        <v>90</v>
      </c>
      <c r="E58" s="260" t="s">
        <v>24</v>
      </c>
      <c r="F58" s="260" t="s">
        <v>9</v>
      </c>
      <c r="G58" s="260" t="s">
        <v>91</v>
      </c>
      <c r="H58" s="260" t="s">
        <v>7</v>
      </c>
      <c r="I58" s="260" t="s">
        <v>6</v>
      </c>
      <c r="J58" s="260" t="s">
        <v>5</v>
      </c>
      <c r="K58" s="260" t="s">
        <v>4</v>
      </c>
      <c r="L58" s="260" t="s">
        <v>3</v>
      </c>
      <c r="M58" s="260" t="s">
        <v>2</v>
      </c>
      <c r="N58" s="260" t="s">
        <v>92</v>
      </c>
      <c r="O58" s="260" t="s">
        <v>93</v>
      </c>
      <c r="P58" s="260" t="s">
        <v>94</v>
      </c>
      <c r="Q58" s="260" t="s">
        <v>95</v>
      </c>
      <c r="R58" s="260" t="s">
        <v>96</v>
      </c>
      <c r="S58" s="260" t="s">
        <v>97</v>
      </c>
      <c r="T58" s="260" t="s">
        <v>98</v>
      </c>
      <c r="U58" s="260" t="s">
        <v>99</v>
      </c>
      <c r="V58" s="260" t="s">
        <v>100</v>
      </c>
      <c r="W58" s="260" t="s">
        <v>101</v>
      </c>
      <c r="X58" s="260" t="s">
        <v>102</v>
      </c>
      <c r="Y58" s="260" t="s">
        <v>103</v>
      </c>
      <c r="Z58" s="260" t="s">
        <v>104</v>
      </c>
      <c r="AB58" s="260" t="s">
        <v>32</v>
      </c>
      <c r="AC58" s="260" t="s">
        <v>13</v>
      </c>
      <c r="AD58" s="260" t="s">
        <v>89</v>
      </c>
      <c r="AE58" s="260" t="s">
        <v>90</v>
      </c>
      <c r="AF58" s="260" t="s">
        <v>24</v>
      </c>
      <c r="AG58" s="260" t="s">
        <v>9</v>
      </c>
      <c r="AH58" s="260" t="s">
        <v>91</v>
      </c>
      <c r="AI58" s="260" t="s">
        <v>7</v>
      </c>
      <c r="AJ58" s="260" t="s">
        <v>6</v>
      </c>
      <c r="AK58" s="260" t="s">
        <v>5</v>
      </c>
      <c r="AL58" s="260" t="s">
        <v>4</v>
      </c>
      <c r="AM58" s="260" t="s">
        <v>3</v>
      </c>
      <c r="AN58" s="260" t="s">
        <v>2</v>
      </c>
      <c r="AO58" s="260" t="s">
        <v>92</v>
      </c>
      <c r="AP58" s="260" t="s">
        <v>93</v>
      </c>
      <c r="AQ58" s="260" t="s">
        <v>94</v>
      </c>
      <c r="AR58" s="260" t="s">
        <v>95</v>
      </c>
      <c r="AS58" s="260" t="s">
        <v>96</v>
      </c>
      <c r="AT58" s="260" t="s">
        <v>97</v>
      </c>
      <c r="AU58" s="260" t="s">
        <v>98</v>
      </c>
      <c r="AV58" s="260" t="s">
        <v>99</v>
      </c>
      <c r="AW58" s="260" t="s">
        <v>100</v>
      </c>
      <c r="AX58" s="260" t="s">
        <v>101</v>
      </c>
      <c r="AY58" s="260" t="s">
        <v>102</v>
      </c>
      <c r="AZ58" s="260" t="s">
        <v>103</v>
      </c>
      <c r="BA58" s="260" t="s">
        <v>104</v>
      </c>
      <c r="BC58" s="260" t="s">
        <v>32</v>
      </c>
      <c r="BD58" s="260" t="s">
        <v>13</v>
      </c>
      <c r="BE58" s="260" t="s">
        <v>89</v>
      </c>
      <c r="BF58" s="260" t="s">
        <v>90</v>
      </c>
      <c r="BG58" s="260" t="s">
        <v>24</v>
      </c>
      <c r="BH58" s="260" t="s">
        <v>9</v>
      </c>
      <c r="BI58" s="260" t="s">
        <v>91</v>
      </c>
      <c r="BJ58" s="260" t="s">
        <v>7</v>
      </c>
      <c r="BK58" s="260" t="s">
        <v>6</v>
      </c>
      <c r="BL58" s="260" t="s">
        <v>5</v>
      </c>
      <c r="BM58" s="260" t="s">
        <v>4</v>
      </c>
      <c r="BN58" s="260" t="s">
        <v>3</v>
      </c>
      <c r="BO58" s="260" t="s">
        <v>2</v>
      </c>
      <c r="BP58" s="260" t="s">
        <v>92</v>
      </c>
      <c r="BQ58" s="260" t="s">
        <v>93</v>
      </c>
      <c r="BR58" s="260" t="s">
        <v>94</v>
      </c>
      <c r="BS58" s="260" t="s">
        <v>95</v>
      </c>
      <c r="BT58" s="260" t="s">
        <v>96</v>
      </c>
      <c r="BU58" s="260" t="s">
        <v>97</v>
      </c>
      <c r="BV58" s="260" t="s">
        <v>98</v>
      </c>
      <c r="BW58" s="260" t="s">
        <v>99</v>
      </c>
      <c r="BX58" s="260" t="s">
        <v>100</v>
      </c>
      <c r="BY58" s="260" t="s">
        <v>101</v>
      </c>
      <c r="BZ58" s="260" t="s">
        <v>102</v>
      </c>
      <c r="CA58" s="260" t="s">
        <v>103</v>
      </c>
      <c r="CB58" s="260" t="s">
        <v>104</v>
      </c>
    </row>
    <row r="59" spans="1:80">
      <c r="A59" s="261" t="s">
        <v>13</v>
      </c>
      <c r="B59" s="262">
        <v>220</v>
      </c>
      <c r="C59" s="262">
        <v>250</v>
      </c>
      <c r="D59" s="262">
        <v>250</v>
      </c>
      <c r="E59" s="262">
        <v>250</v>
      </c>
      <c r="F59" s="262">
        <v>250</v>
      </c>
      <c r="G59" s="262">
        <v>280</v>
      </c>
      <c r="H59" s="262">
        <v>280</v>
      </c>
      <c r="I59" s="262">
        <v>280</v>
      </c>
      <c r="J59" s="262">
        <v>280</v>
      </c>
      <c r="K59" s="262">
        <v>280</v>
      </c>
      <c r="L59" s="262">
        <v>290</v>
      </c>
      <c r="M59" s="262">
        <v>290</v>
      </c>
      <c r="N59" s="262">
        <v>300</v>
      </c>
      <c r="O59" s="262">
        <v>300</v>
      </c>
      <c r="P59" s="262">
        <v>300</v>
      </c>
      <c r="Q59" s="262">
        <v>300</v>
      </c>
      <c r="R59" s="262">
        <v>300</v>
      </c>
      <c r="S59" s="262">
        <v>300</v>
      </c>
      <c r="T59" s="263">
        <v>300</v>
      </c>
      <c r="U59" s="263">
        <v>460</v>
      </c>
      <c r="V59" s="263">
        <v>460</v>
      </c>
      <c r="W59" s="263">
        <v>480</v>
      </c>
      <c r="X59" s="263">
        <v>480</v>
      </c>
      <c r="Y59" s="263">
        <v>490</v>
      </c>
      <c r="Z59" s="263">
        <v>490</v>
      </c>
      <c r="AB59" s="261" t="s">
        <v>13</v>
      </c>
      <c r="AC59" s="262">
        <v>170</v>
      </c>
      <c r="AD59" s="262">
        <v>200</v>
      </c>
      <c r="AE59" s="262">
        <v>200</v>
      </c>
      <c r="AF59" s="262">
        <v>200</v>
      </c>
      <c r="AG59" s="262">
        <v>200</v>
      </c>
      <c r="AH59" s="262">
        <v>230</v>
      </c>
      <c r="AI59" s="262">
        <v>230</v>
      </c>
      <c r="AJ59" s="262">
        <v>230</v>
      </c>
      <c r="AK59" s="262">
        <v>230</v>
      </c>
      <c r="AL59" s="262">
        <v>230</v>
      </c>
      <c r="AM59" s="262">
        <v>240</v>
      </c>
      <c r="AN59" s="262">
        <v>240</v>
      </c>
      <c r="AO59" s="262">
        <v>240</v>
      </c>
      <c r="AP59" s="262">
        <v>240</v>
      </c>
      <c r="AQ59" s="262">
        <v>240</v>
      </c>
      <c r="AR59" s="262">
        <v>250</v>
      </c>
      <c r="AS59" s="262">
        <v>250</v>
      </c>
      <c r="AT59" s="262">
        <v>250</v>
      </c>
      <c r="AU59" s="263">
        <v>250</v>
      </c>
      <c r="AV59" s="263">
        <v>390</v>
      </c>
      <c r="AW59" s="263">
        <v>390</v>
      </c>
      <c r="AX59" s="263">
        <v>410</v>
      </c>
      <c r="AY59" s="263">
        <v>410</v>
      </c>
      <c r="AZ59" s="263">
        <v>410</v>
      </c>
      <c r="BA59" s="263">
        <v>410</v>
      </c>
      <c r="BC59" s="261" t="s">
        <v>13</v>
      </c>
      <c r="BD59" s="262">
        <v>170</v>
      </c>
      <c r="BE59" s="262">
        <v>200</v>
      </c>
      <c r="BF59" s="262">
        <v>200</v>
      </c>
      <c r="BG59" s="262">
        <v>200</v>
      </c>
      <c r="BH59" s="262">
        <v>200</v>
      </c>
      <c r="BI59" s="262">
        <v>230</v>
      </c>
      <c r="BJ59" s="262">
        <v>230</v>
      </c>
      <c r="BK59" s="262">
        <v>230</v>
      </c>
      <c r="BL59" s="262">
        <v>230</v>
      </c>
      <c r="BM59" s="262">
        <v>230</v>
      </c>
      <c r="BN59" s="262">
        <v>240</v>
      </c>
      <c r="BO59" s="262">
        <v>240</v>
      </c>
      <c r="BP59" s="262">
        <v>240</v>
      </c>
      <c r="BQ59" s="262">
        <v>240</v>
      </c>
      <c r="BR59" s="262">
        <v>240</v>
      </c>
      <c r="BS59" s="262">
        <v>250</v>
      </c>
      <c r="BT59" s="262">
        <v>250</v>
      </c>
      <c r="BU59" s="262">
        <v>250</v>
      </c>
      <c r="BV59" s="263">
        <v>250</v>
      </c>
      <c r="BW59" s="263">
        <v>390</v>
      </c>
      <c r="BX59" s="263">
        <v>390</v>
      </c>
      <c r="BY59" s="263">
        <v>410</v>
      </c>
      <c r="BZ59" s="263">
        <v>410</v>
      </c>
      <c r="CA59" s="263">
        <v>410</v>
      </c>
      <c r="CB59" s="263">
        <v>410</v>
      </c>
    </row>
    <row r="60" spans="1:80">
      <c r="A60" s="261" t="s">
        <v>89</v>
      </c>
      <c r="B60" s="262">
        <v>250</v>
      </c>
      <c r="C60" s="262">
        <v>210</v>
      </c>
      <c r="D60" s="262">
        <v>210</v>
      </c>
      <c r="E60" s="262">
        <v>210</v>
      </c>
      <c r="F60" s="262">
        <v>210</v>
      </c>
      <c r="G60" s="262">
        <v>260</v>
      </c>
      <c r="H60" s="262">
        <v>260</v>
      </c>
      <c r="I60" s="262">
        <v>270</v>
      </c>
      <c r="J60" s="262">
        <v>270</v>
      </c>
      <c r="K60" s="262">
        <v>270</v>
      </c>
      <c r="L60" s="262">
        <v>280</v>
      </c>
      <c r="M60" s="262">
        <v>280</v>
      </c>
      <c r="N60" s="262">
        <v>300</v>
      </c>
      <c r="O60" s="262">
        <v>300</v>
      </c>
      <c r="P60" s="262">
        <v>300</v>
      </c>
      <c r="Q60" s="262">
        <v>300</v>
      </c>
      <c r="R60" s="262">
        <v>300</v>
      </c>
      <c r="S60" s="262">
        <v>300</v>
      </c>
      <c r="T60" s="263">
        <v>300</v>
      </c>
      <c r="U60" s="263">
        <v>450</v>
      </c>
      <c r="V60" s="263">
        <v>450</v>
      </c>
      <c r="W60" s="263">
        <v>460</v>
      </c>
      <c r="X60" s="263">
        <v>460</v>
      </c>
      <c r="Y60" s="263">
        <v>460</v>
      </c>
      <c r="Z60" s="263">
        <v>460</v>
      </c>
      <c r="AB60" s="261" t="s">
        <v>89</v>
      </c>
      <c r="AC60" s="262">
        <v>200</v>
      </c>
      <c r="AD60" s="262">
        <v>170</v>
      </c>
      <c r="AE60" s="262">
        <v>170</v>
      </c>
      <c r="AF60" s="262">
        <v>170</v>
      </c>
      <c r="AG60" s="262">
        <v>170</v>
      </c>
      <c r="AH60" s="262">
        <v>210</v>
      </c>
      <c r="AI60" s="262">
        <v>210</v>
      </c>
      <c r="AJ60" s="262">
        <v>230</v>
      </c>
      <c r="AK60" s="262">
        <v>230</v>
      </c>
      <c r="AL60" s="262">
        <v>230</v>
      </c>
      <c r="AM60" s="262">
        <v>230</v>
      </c>
      <c r="AN60" s="262">
        <v>230</v>
      </c>
      <c r="AO60" s="262">
        <v>240</v>
      </c>
      <c r="AP60" s="262">
        <v>240</v>
      </c>
      <c r="AQ60" s="262">
        <v>240</v>
      </c>
      <c r="AR60" s="262">
        <v>240</v>
      </c>
      <c r="AS60" s="262">
        <v>240</v>
      </c>
      <c r="AT60" s="262">
        <v>240</v>
      </c>
      <c r="AU60" s="263">
        <v>240</v>
      </c>
      <c r="AV60" s="263">
        <v>380</v>
      </c>
      <c r="AW60" s="263">
        <v>380</v>
      </c>
      <c r="AX60" s="263">
        <v>390</v>
      </c>
      <c r="AY60" s="263">
        <v>390</v>
      </c>
      <c r="AZ60" s="263">
        <v>390</v>
      </c>
      <c r="BA60" s="263">
        <v>390</v>
      </c>
      <c r="BC60" s="261" t="s">
        <v>89</v>
      </c>
      <c r="BD60" s="262">
        <v>200</v>
      </c>
      <c r="BE60" s="262">
        <v>170</v>
      </c>
      <c r="BF60" s="262">
        <v>170</v>
      </c>
      <c r="BG60" s="262">
        <v>170</v>
      </c>
      <c r="BH60" s="262">
        <v>170</v>
      </c>
      <c r="BI60" s="262">
        <v>210</v>
      </c>
      <c r="BJ60" s="262">
        <v>210</v>
      </c>
      <c r="BK60" s="262">
        <v>230</v>
      </c>
      <c r="BL60" s="262">
        <v>230</v>
      </c>
      <c r="BM60" s="262">
        <v>230</v>
      </c>
      <c r="BN60" s="262">
        <v>230</v>
      </c>
      <c r="BO60" s="262">
        <v>230</v>
      </c>
      <c r="BP60" s="262">
        <v>240</v>
      </c>
      <c r="BQ60" s="262">
        <v>240</v>
      </c>
      <c r="BR60" s="262">
        <v>240</v>
      </c>
      <c r="BS60" s="262">
        <v>240</v>
      </c>
      <c r="BT60" s="262">
        <v>240</v>
      </c>
      <c r="BU60" s="262">
        <v>240</v>
      </c>
      <c r="BV60" s="263">
        <v>240</v>
      </c>
      <c r="BW60" s="263">
        <v>380</v>
      </c>
      <c r="BX60" s="263">
        <v>380</v>
      </c>
      <c r="BY60" s="263">
        <v>390</v>
      </c>
      <c r="BZ60" s="263">
        <v>390</v>
      </c>
      <c r="CA60" s="263">
        <v>390</v>
      </c>
      <c r="CB60" s="263">
        <v>390</v>
      </c>
    </row>
    <row r="61" spans="1:80">
      <c r="A61" s="261" t="s">
        <v>90</v>
      </c>
      <c r="B61" s="262">
        <v>250</v>
      </c>
      <c r="C61" s="262">
        <v>210</v>
      </c>
      <c r="D61" s="262">
        <v>210</v>
      </c>
      <c r="E61" s="262">
        <v>210</v>
      </c>
      <c r="F61" s="262">
        <v>210</v>
      </c>
      <c r="G61" s="262">
        <v>260</v>
      </c>
      <c r="H61" s="262">
        <v>260</v>
      </c>
      <c r="I61" s="262">
        <v>270</v>
      </c>
      <c r="J61" s="262">
        <v>270</v>
      </c>
      <c r="K61" s="262">
        <v>270</v>
      </c>
      <c r="L61" s="262">
        <v>280</v>
      </c>
      <c r="M61" s="262">
        <v>280</v>
      </c>
      <c r="N61" s="262">
        <v>300</v>
      </c>
      <c r="O61" s="262">
        <v>300</v>
      </c>
      <c r="P61" s="262">
        <v>300</v>
      </c>
      <c r="Q61" s="262">
        <v>300</v>
      </c>
      <c r="R61" s="262">
        <v>300</v>
      </c>
      <c r="S61" s="262">
        <v>300</v>
      </c>
      <c r="T61" s="263">
        <v>300</v>
      </c>
      <c r="U61" s="263">
        <v>450</v>
      </c>
      <c r="V61" s="263">
        <v>450</v>
      </c>
      <c r="W61" s="263">
        <v>460</v>
      </c>
      <c r="X61" s="263">
        <v>460</v>
      </c>
      <c r="Y61" s="263">
        <v>460</v>
      </c>
      <c r="Z61" s="263">
        <v>460</v>
      </c>
      <c r="AB61" s="261" t="s">
        <v>90</v>
      </c>
      <c r="AC61" s="262">
        <v>200</v>
      </c>
      <c r="AD61" s="262">
        <v>170</v>
      </c>
      <c r="AE61" s="262">
        <v>170</v>
      </c>
      <c r="AF61" s="262">
        <v>170</v>
      </c>
      <c r="AG61" s="262">
        <v>170</v>
      </c>
      <c r="AH61" s="262">
        <v>210</v>
      </c>
      <c r="AI61" s="262">
        <v>210</v>
      </c>
      <c r="AJ61" s="262">
        <v>230</v>
      </c>
      <c r="AK61" s="262">
        <v>230</v>
      </c>
      <c r="AL61" s="262">
        <v>230</v>
      </c>
      <c r="AM61" s="262">
        <v>230</v>
      </c>
      <c r="AN61" s="262">
        <v>230</v>
      </c>
      <c r="AO61" s="262">
        <v>240</v>
      </c>
      <c r="AP61" s="262">
        <v>240</v>
      </c>
      <c r="AQ61" s="262">
        <v>240</v>
      </c>
      <c r="AR61" s="262">
        <v>240</v>
      </c>
      <c r="AS61" s="262">
        <v>240</v>
      </c>
      <c r="AT61" s="262">
        <v>240</v>
      </c>
      <c r="AU61" s="263">
        <v>240</v>
      </c>
      <c r="AV61" s="263">
        <v>380</v>
      </c>
      <c r="AW61" s="263">
        <v>380</v>
      </c>
      <c r="AX61" s="263">
        <v>390</v>
      </c>
      <c r="AY61" s="263">
        <v>390</v>
      </c>
      <c r="AZ61" s="263">
        <v>390</v>
      </c>
      <c r="BA61" s="263">
        <v>390</v>
      </c>
      <c r="BC61" s="261" t="s">
        <v>90</v>
      </c>
      <c r="BD61" s="262">
        <v>200</v>
      </c>
      <c r="BE61" s="262">
        <v>170</v>
      </c>
      <c r="BF61" s="262">
        <v>170</v>
      </c>
      <c r="BG61" s="262">
        <v>170</v>
      </c>
      <c r="BH61" s="262">
        <v>170</v>
      </c>
      <c r="BI61" s="262">
        <v>210</v>
      </c>
      <c r="BJ61" s="262">
        <v>210</v>
      </c>
      <c r="BK61" s="262">
        <v>230</v>
      </c>
      <c r="BL61" s="262">
        <v>230</v>
      </c>
      <c r="BM61" s="262">
        <v>230</v>
      </c>
      <c r="BN61" s="262">
        <v>230</v>
      </c>
      <c r="BO61" s="262">
        <v>230</v>
      </c>
      <c r="BP61" s="262">
        <v>240</v>
      </c>
      <c r="BQ61" s="262">
        <v>240</v>
      </c>
      <c r="BR61" s="262">
        <v>240</v>
      </c>
      <c r="BS61" s="262">
        <v>240</v>
      </c>
      <c r="BT61" s="262">
        <v>240</v>
      </c>
      <c r="BU61" s="262">
        <v>240</v>
      </c>
      <c r="BV61" s="263">
        <v>240</v>
      </c>
      <c r="BW61" s="263">
        <v>380</v>
      </c>
      <c r="BX61" s="263">
        <v>380</v>
      </c>
      <c r="BY61" s="263">
        <v>390</v>
      </c>
      <c r="BZ61" s="263">
        <v>390</v>
      </c>
      <c r="CA61" s="263">
        <v>390</v>
      </c>
      <c r="CB61" s="263">
        <v>390</v>
      </c>
    </row>
    <row r="62" spans="1:80">
      <c r="A62" s="261" t="s">
        <v>24</v>
      </c>
      <c r="B62" s="262">
        <v>250</v>
      </c>
      <c r="C62" s="262">
        <v>210</v>
      </c>
      <c r="D62" s="262">
        <v>210</v>
      </c>
      <c r="E62" s="262">
        <v>210</v>
      </c>
      <c r="F62" s="262">
        <v>210</v>
      </c>
      <c r="G62" s="262">
        <v>260</v>
      </c>
      <c r="H62" s="262">
        <v>260</v>
      </c>
      <c r="I62" s="262">
        <v>270</v>
      </c>
      <c r="J62" s="262">
        <v>270</v>
      </c>
      <c r="K62" s="262">
        <v>270</v>
      </c>
      <c r="L62" s="262">
        <v>280</v>
      </c>
      <c r="M62" s="262">
        <v>280</v>
      </c>
      <c r="N62" s="262">
        <v>300</v>
      </c>
      <c r="O62" s="262">
        <v>300</v>
      </c>
      <c r="P62" s="262">
        <v>300</v>
      </c>
      <c r="Q62" s="262">
        <v>300</v>
      </c>
      <c r="R62" s="262">
        <v>300</v>
      </c>
      <c r="S62" s="262">
        <v>300</v>
      </c>
      <c r="T62" s="263">
        <v>300</v>
      </c>
      <c r="U62" s="263">
        <v>450</v>
      </c>
      <c r="V62" s="263">
        <v>450</v>
      </c>
      <c r="W62" s="263">
        <v>460</v>
      </c>
      <c r="X62" s="263">
        <v>460</v>
      </c>
      <c r="Y62" s="263">
        <v>460</v>
      </c>
      <c r="Z62" s="263">
        <v>460</v>
      </c>
      <c r="AB62" s="261" t="s">
        <v>24</v>
      </c>
      <c r="AC62" s="262">
        <v>200</v>
      </c>
      <c r="AD62" s="262">
        <v>170</v>
      </c>
      <c r="AE62" s="262">
        <v>170</v>
      </c>
      <c r="AF62" s="262">
        <v>170</v>
      </c>
      <c r="AG62" s="262">
        <v>170</v>
      </c>
      <c r="AH62" s="262">
        <v>210</v>
      </c>
      <c r="AI62" s="262">
        <v>210</v>
      </c>
      <c r="AJ62" s="262">
        <v>230</v>
      </c>
      <c r="AK62" s="262">
        <v>230</v>
      </c>
      <c r="AL62" s="262">
        <v>230</v>
      </c>
      <c r="AM62" s="262">
        <v>230</v>
      </c>
      <c r="AN62" s="262">
        <v>230</v>
      </c>
      <c r="AO62" s="262">
        <v>240</v>
      </c>
      <c r="AP62" s="262">
        <v>240</v>
      </c>
      <c r="AQ62" s="262">
        <v>240</v>
      </c>
      <c r="AR62" s="262">
        <v>240</v>
      </c>
      <c r="AS62" s="262">
        <v>240</v>
      </c>
      <c r="AT62" s="262">
        <v>240</v>
      </c>
      <c r="AU62" s="263">
        <v>240</v>
      </c>
      <c r="AV62" s="263">
        <v>380</v>
      </c>
      <c r="AW62" s="263">
        <v>380</v>
      </c>
      <c r="AX62" s="263">
        <v>390</v>
      </c>
      <c r="AY62" s="263">
        <v>390</v>
      </c>
      <c r="AZ62" s="263">
        <v>390</v>
      </c>
      <c r="BA62" s="263">
        <v>390</v>
      </c>
      <c r="BC62" s="261" t="s">
        <v>24</v>
      </c>
      <c r="BD62" s="262">
        <v>200</v>
      </c>
      <c r="BE62" s="262">
        <v>170</v>
      </c>
      <c r="BF62" s="262">
        <v>170</v>
      </c>
      <c r="BG62" s="262">
        <v>170</v>
      </c>
      <c r="BH62" s="262">
        <v>170</v>
      </c>
      <c r="BI62" s="262">
        <v>210</v>
      </c>
      <c r="BJ62" s="262">
        <v>210</v>
      </c>
      <c r="BK62" s="262">
        <v>230</v>
      </c>
      <c r="BL62" s="262">
        <v>230</v>
      </c>
      <c r="BM62" s="262">
        <v>230</v>
      </c>
      <c r="BN62" s="262">
        <v>230</v>
      </c>
      <c r="BO62" s="262">
        <v>230</v>
      </c>
      <c r="BP62" s="262">
        <v>240</v>
      </c>
      <c r="BQ62" s="262">
        <v>240</v>
      </c>
      <c r="BR62" s="262">
        <v>240</v>
      </c>
      <c r="BS62" s="262">
        <v>240</v>
      </c>
      <c r="BT62" s="262">
        <v>240</v>
      </c>
      <c r="BU62" s="262">
        <v>240</v>
      </c>
      <c r="BV62" s="263">
        <v>240</v>
      </c>
      <c r="BW62" s="263">
        <v>380</v>
      </c>
      <c r="BX62" s="263">
        <v>380</v>
      </c>
      <c r="BY62" s="263">
        <v>390</v>
      </c>
      <c r="BZ62" s="263">
        <v>390</v>
      </c>
      <c r="CA62" s="263">
        <v>390</v>
      </c>
      <c r="CB62" s="263">
        <v>390</v>
      </c>
    </row>
    <row r="63" spans="1:80">
      <c r="A63" s="261" t="s">
        <v>9</v>
      </c>
      <c r="B63" s="262">
        <v>250</v>
      </c>
      <c r="C63" s="262">
        <v>210</v>
      </c>
      <c r="D63" s="262">
        <v>210</v>
      </c>
      <c r="E63" s="262">
        <v>210</v>
      </c>
      <c r="F63" s="262">
        <v>210</v>
      </c>
      <c r="G63" s="262">
        <v>260</v>
      </c>
      <c r="H63" s="262">
        <v>260</v>
      </c>
      <c r="I63" s="262">
        <v>270</v>
      </c>
      <c r="J63" s="262">
        <v>270</v>
      </c>
      <c r="K63" s="262">
        <v>270</v>
      </c>
      <c r="L63" s="262">
        <v>280</v>
      </c>
      <c r="M63" s="262">
        <v>280</v>
      </c>
      <c r="N63" s="262">
        <v>300</v>
      </c>
      <c r="O63" s="262">
        <v>300</v>
      </c>
      <c r="P63" s="262">
        <v>300</v>
      </c>
      <c r="Q63" s="262">
        <v>300</v>
      </c>
      <c r="R63" s="262">
        <v>300</v>
      </c>
      <c r="S63" s="262">
        <v>300</v>
      </c>
      <c r="T63" s="263">
        <v>300</v>
      </c>
      <c r="U63" s="263">
        <v>450</v>
      </c>
      <c r="V63" s="263">
        <v>450</v>
      </c>
      <c r="W63" s="263">
        <v>460</v>
      </c>
      <c r="X63" s="263">
        <v>460</v>
      </c>
      <c r="Y63" s="263">
        <v>460</v>
      </c>
      <c r="Z63" s="263">
        <v>460</v>
      </c>
      <c r="AB63" s="261" t="s">
        <v>9</v>
      </c>
      <c r="AC63" s="262">
        <v>200</v>
      </c>
      <c r="AD63" s="262">
        <v>170</v>
      </c>
      <c r="AE63" s="262">
        <v>170</v>
      </c>
      <c r="AF63" s="262">
        <v>170</v>
      </c>
      <c r="AG63" s="262">
        <v>170</v>
      </c>
      <c r="AH63" s="262">
        <v>210</v>
      </c>
      <c r="AI63" s="262">
        <v>210</v>
      </c>
      <c r="AJ63" s="262">
        <v>230</v>
      </c>
      <c r="AK63" s="262">
        <v>230</v>
      </c>
      <c r="AL63" s="262">
        <v>230</v>
      </c>
      <c r="AM63" s="262">
        <v>230</v>
      </c>
      <c r="AN63" s="262">
        <v>230</v>
      </c>
      <c r="AO63" s="262">
        <v>240</v>
      </c>
      <c r="AP63" s="262">
        <v>240</v>
      </c>
      <c r="AQ63" s="262">
        <v>240</v>
      </c>
      <c r="AR63" s="262">
        <v>240</v>
      </c>
      <c r="AS63" s="262">
        <v>240</v>
      </c>
      <c r="AT63" s="262">
        <v>240</v>
      </c>
      <c r="AU63" s="263">
        <v>240</v>
      </c>
      <c r="AV63" s="263">
        <v>380</v>
      </c>
      <c r="AW63" s="263">
        <v>380</v>
      </c>
      <c r="AX63" s="263">
        <v>390</v>
      </c>
      <c r="AY63" s="263">
        <v>390</v>
      </c>
      <c r="AZ63" s="263">
        <v>390</v>
      </c>
      <c r="BA63" s="263">
        <v>390</v>
      </c>
      <c r="BC63" s="261" t="s">
        <v>9</v>
      </c>
      <c r="BD63" s="262">
        <v>200</v>
      </c>
      <c r="BE63" s="262">
        <v>170</v>
      </c>
      <c r="BF63" s="262">
        <v>170</v>
      </c>
      <c r="BG63" s="262">
        <v>170</v>
      </c>
      <c r="BH63" s="262">
        <v>170</v>
      </c>
      <c r="BI63" s="262">
        <v>210</v>
      </c>
      <c r="BJ63" s="262">
        <v>210</v>
      </c>
      <c r="BK63" s="262">
        <v>230</v>
      </c>
      <c r="BL63" s="262">
        <v>230</v>
      </c>
      <c r="BM63" s="262">
        <v>230</v>
      </c>
      <c r="BN63" s="262">
        <v>230</v>
      </c>
      <c r="BO63" s="262">
        <v>230</v>
      </c>
      <c r="BP63" s="262">
        <v>240</v>
      </c>
      <c r="BQ63" s="262">
        <v>240</v>
      </c>
      <c r="BR63" s="262">
        <v>240</v>
      </c>
      <c r="BS63" s="262">
        <v>240</v>
      </c>
      <c r="BT63" s="262">
        <v>240</v>
      </c>
      <c r="BU63" s="262">
        <v>240</v>
      </c>
      <c r="BV63" s="263">
        <v>240</v>
      </c>
      <c r="BW63" s="263">
        <v>380</v>
      </c>
      <c r="BX63" s="263">
        <v>380</v>
      </c>
      <c r="BY63" s="263">
        <v>390</v>
      </c>
      <c r="BZ63" s="263">
        <v>390</v>
      </c>
      <c r="CA63" s="263">
        <v>390</v>
      </c>
      <c r="CB63" s="263">
        <v>390</v>
      </c>
    </row>
    <row r="64" spans="1:80">
      <c r="A64" s="261" t="s">
        <v>91</v>
      </c>
      <c r="B64" s="262">
        <v>280</v>
      </c>
      <c r="C64" s="262">
        <v>260</v>
      </c>
      <c r="D64" s="262">
        <v>260</v>
      </c>
      <c r="E64" s="262">
        <v>260</v>
      </c>
      <c r="F64" s="262">
        <v>260</v>
      </c>
      <c r="G64" s="262">
        <v>210</v>
      </c>
      <c r="H64" s="262">
        <v>210</v>
      </c>
      <c r="I64" s="262">
        <v>250</v>
      </c>
      <c r="J64" s="262">
        <v>250</v>
      </c>
      <c r="K64" s="262">
        <v>250</v>
      </c>
      <c r="L64" s="262">
        <v>270</v>
      </c>
      <c r="M64" s="262">
        <v>270</v>
      </c>
      <c r="N64" s="262">
        <v>290</v>
      </c>
      <c r="O64" s="262">
        <v>290</v>
      </c>
      <c r="P64" s="262">
        <v>290</v>
      </c>
      <c r="Q64" s="262">
        <v>290</v>
      </c>
      <c r="R64" s="262">
        <v>290</v>
      </c>
      <c r="S64" s="262">
        <v>290</v>
      </c>
      <c r="T64" s="263">
        <v>290</v>
      </c>
      <c r="U64" s="263">
        <v>430</v>
      </c>
      <c r="V64" s="263">
        <v>430</v>
      </c>
      <c r="W64" s="263">
        <v>430</v>
      </c>
      <c r="X64" s="263">
        <v>430</v>
      </c>
      <c r="Y64" s="263">
        <v>440</v>
      </c>
      <c r="Z64" s="263">
        <v>440</v>
      </c>
      <c r="AB64" s="261" t="s">
        <v>91</v>
      </c>
      <c r="AC64" s="262">
        <v>230</v>
      </c>
      <c r="AD64" s="262">
        <v>210</v>
      </c>
      <c r="AE64" s="262">
        <v>210</v>
      </c>
      <c r="AF64" s="262">
        <v>210</v>
      </c>
      <c r="AG64" s="262">
        <v>210</v>
      </c>
      <c r="AH64" s="262">
        <v>170</v>
      </c>
      <c r="AI64" s="262">
        <v>170</v>
      </c>
      <c r="AJ64" s="262">
        <v>200</v>
      </c>
      <c r="AK64" s="262">
        <v>200</v>
      </c>
      <c r="AL64" s="262">
        <v>200</v>
      </c>
      <c r="AM64" s="262">
        <v>230</v>
      </c>
      <c r="AN64" s="262">
        <v>230</v>
      </c>
      <c r="AO64" s="262">
        <v>230</v>
      </c>
      <c r="AP64" s="262">
        <v>230</v>
      </c>
      <c r="AQ64" s="262">
        <v>230</v>
      </c>
      <c r="AR64" s="262">
        <v>230</v>
      </c>
      <c r="AS64" s="262">
        <v>230</v>
      </c>
      <c r="AT64" s="262">
        <v>230</v>
      </c>
      <c r="AU64" s="263">
        <v>230</v>
      </c>
      <c r="AV64" s="263">
        <v>360</v>
      </c>
      <c r="AW64" s="263">
        <v>360</v>
      </c>
      <c r="AX64" s="263">
        <v>360</v>
      </c>
      <c r="AY64" s="263">
        <v>360</v>
      </c>
      <c r="AZ64" s="263">
        <v>370</v>
      </c>
      <c r="BA64" s="263">
        <v>370</v>
      </c>
      <c r="BC64" s="261" t="s">
        <v>91</v>
      </c>
      <c r="BD64" s="262">
        <v>230</v>
      </c>
      <c r="BE64" s="262">
        <v>210</v>
      </c>
      <c r="BF64" s="262">
        <v>210</v>
      </c>
      <c r="BG64" s="262">
        <v>210</v>
      </c>
      <c r="BH64" s="262">
        <v>210</v>
      </c>
      <c r="BI64" s="262">
        <v>170</v>
      </c>
      <c r="BJ64" s="262">
        <v>170</v>
      </c>
      <c r="BK64" s="262">
        <v>200</v>
      </c>
      <c r="BL64" s="262">
        <v>200</v>
      </c>
      <c r="BM64" s="262">
        <v>200</v>
      </c>
      <c r="BN64" s="262">
        <v>230</v>
      </c>
      <c r="BO64" s="262">
        <v>230</v>
      </c>
      <c r="BP64" s="262">
        <v>230</v>
      </c>
      <c r="BQ64" s="262">
        <v>230</v>
      </c>
      <c r="BR64" s="262">
        <v>230</v>
      </c>
      <c r="BS64" s="262">
        <v>230</v>
      </c>
      <c r="BT64" s="262">
        <v>230</v>
      </c>
      <c r="BU64" s="262">
        <v>230</v>
      </c>
      <c r="BV64" s="263">
        <v>230</v>
      </c>
      <c r="BW64" s="263">
        <v>360</v>
      </c>
      <c r="BX64" s="263">
        <v>360</v>
      </c>
      <c r="BY64" s="263">
        <v>360</v>
      </c>
      <c r="BZ64" s="263">
        <v>360</v>
      </c>
      <c r="CA64" s="263">
        <v>370</v>
      </c>
      <c r="CB64" s="263">
        <v>370</v>
      </c>
    </row>
    <row r="65" spans="1:80">
      <c r="A65" s="261" t="s">
        <v>7</v>
      </c>
      <c r="B65" s="262">
        <v>280</v>
      </c>
      <c r="C65" s="262">
        <v>260</v>
      </c>
      <c r="D65" s="262">
        <v>260</v>
      </c>
      <c r="E65" s="262">
        <v>260</v>
      </c>
      <c r="F65" s="262">
        <v>260</v>
      </c>
      <c r="G65" s="262">
        <v>210</v>
      </c>
      <c r="H65" s="262">
        <v>210</v>
      </c>
      <c r="I65" s="262">
        <v>250</v>
      </c>
      <c r="J65" s="262">
        <v>250</v>
      </c>
      <c r="K65" s="262">
        <v>250</v>
      </c>
      <c r="L65" s="262">
        <v>270</v>
      </c>
      <c r="M65" s="262">
        <v>270</v>
      </c>
      <c r="N65" s="262">
        <v>290</v>
      </c>
      <c r="O65" s="262">
        <v>290</v>
      </c>
      <c r="P65" s="262">
        <v>290</v>
      </c>
      <c r="Q65" s="262">
        <v>290</v>
      </c>
      <c r="R65" s="262">
        <v>290</v>
      </c>
      <c r="S65" s="262">
        <v>290</v>
      </c>
      <c r="T65" s="263">
        <v>290</v>
      </c>
      <c r="U65" s="263">
        <v>430</v>
      </c>
      <c r="V65" s="263">
        <v>430</v>
      </c>
      <c r="W65" s="263">
        <v>430</v>
      </c>
      <c r="X65" s="263">
        <v>430</v>
      </c>
      <c r="Y65" s="263">
        <v>440</v>
      </c>
      <c r="Z65" s="263">
        <v>440</v>
      </c>
      <c r="AB65" s="261" t="s">
        <v>7</v>
      </c>
      <c r="AC65" s="262">
        <v>230</v>
      </c>
      <c r="AD65" s="262">
        <v>210</v>
      </c>
      <c r="AE65" s="262">
        <v>210</v>
      </c>
      <c r="AF65" s="262">
        <v>210</v>
      </c>
      <c r="AG65" s="262">
        <v>210</v>
      </c>
      <c r="AH65" s="262">
        <v>170</v>
      </c>
      <c r="AI65" s="262">
        <v>170</v>
      </c>
      <c r="AJ65" s="262">
        <v>200</v>
      </c>
      <c r="AK65" s="262">
        <v>200</v>
      </c>
      <c r="AL65" s="262">
        <v>200</v>
      </c>
      <c r="AM65" s="262">
        <v>230</v>
      </c>
      <c r="AN65" s="262">
        <v>230</v>
      </c>
      <c r="AO65" s="262">
        <v>230</v>
      </c>
      <c r="AP65" s="262">
        <v>230</v>
      </c>
      <c r="AQ65" s="262">
        <v>230</v>
      </c>
      <c r="AR65" s="262">
        <v>230</v>
      </c>
      <c r="AS65" s="262">
        <v>230</v>
      </c>
      <c r="AT65" s="262">
        <v>230</v>
      </c>
      <c r="AU65" s="263">
        <v>230</v>
      </c>
      <c r="AV65" s="263">
        <v>360</v>
      </c>
      <c r="AW65" s="263">
        <v>360</v>
      </c>
      <c r="AX65" s="263">
        <v>360</v>
      </c>
      <c r="AY65" s="263">
        <v>360</v>
      </c>
      <c r="AZ65" s="263">
        <v>370</v>
      </c>
      <c r="BA65" s="263">
        <v>370</v>
      </c>
      <c r="BC65" s="261" t="s">
        <v>7</v>
      </c>
      <c r="BD65" s="262">
        <v>230</v>
      </c>
      <c r="BE65" s="262">
        <v>210</v>
      </c>
      <c r="BF65" s="262">
        <v>210</v>
      </c>
      <c r="BG65" s="262">
        <v>210</v>
      </c>
      <c r="BH65" s="262">
        <v>210</v>
      </c>
      <c r="BI65" s="262">
        <v>170</v>
      </c>
      <c r="BJ65" s="262">
        <v>170</v>
      </c>
      <c r="BK65" s="262">
        <v>200</v>
      </c>
      <c r="BL65" s="262">
        <v>200</v>
      </c>
      <c r="BM65" s="262">
        <v>200</v>
      </c>
      <c r="BN65" s="262">
        <v>230</v>
      </c>
      <c r="BO65" s="262">
        <v>230</v>
      </c>
      <c r="BP65" s="262">
        <v>230</v>
      </c>
      <c r="BQ65" s="262">
        <v>230</v>
      </c>
      <c r="BR65" s="262">
        <v>230</v>
      </c>
      <c r="BS65" s="262">
        <v>230</v>
      </c>
      <c r="BT65" s="262">
        <v>230</v>
      </c>
      <c r="BU65" s="262">
        <v>230</v>
      </c>
      <c r="BV65" s="263">
        <v>230</v>
      </c>
      <c r="BW65" s="263">
        <v>360</v>
      </c>
      <c r="BX65" s="263">
        <v>360</v>
      </c>
      <c r="BY65" s="263">
        <v>360</v>
      </c>
      <c r="BZ65" s="263">
        <v>360</v>
      </c>
      <c r="CA65" s="263">
        <v>370</v>
      </c>
      <c r="CB65" s="263">
        <v>370</v>
      </c>
    </row>
    <row r="66" spans="1:80">
      <c r="A66" s="261" t="s">
        <v>6</v>
      </c>
      <c r="B66" s="262">
        <v>280</v>
      </c>
      <c r="C66" s="262">
        <v>270</v>
      </c>
      <c r="D66" s="262">
        <v>270</v>
      </c>
      <c r="E66" s="262">
        <v>270</v>
      </c>
      <c r="F66" s="262">
        <v>270</v>
      </c>
      <c r="G66" s="262">
        <v>250</v>
      </c>
      <c r="H66" s="262">
        <v>250</v>
      </c>
      <c r="I66" s="262">
        <v>210</v>
      </c>
      <c r="J66" s="262">
        <v>210</v>
      </c>
      <c r="K66" s="262">
        <v>210</v>
      </c>
      <c r="L66" s="262">
        <v>250</v>
      </c>
      <c r="M66" s="262">
        <v>250</v>
      </c>
      <c r="N66" s="262">
        <v>280</v>
      </c>
      <c r="O66" s="262">
        <v>280</v>
      </c>
      <c r="P66" s="262">
        <v>280</v>
      </c>
      <c r="Q66" s="262">
        <v>300</v>
      </c>
      <c r="R66" s="262">
        <v>300</v>
      </c>
      <c r="S66" s="262">
        <v>300</v>
      </c>
      <c r="T66" s="263">
        <v>300</v>
      </c>
      <c r="U66" s="263">
        <v>440</v>
      </c>
      <c r="V66" s="263">
        <v>440</v>
      </c>
      <c r="W66" s="263">
        <v>440</v>
      </c>
      <c r="X66" s="263">
        <v>440</v>
      </c>
      <c r="Y66" s="263">
        <v>450</v>
      </c>
      <c r="Z66" s="263">
        <v>450</v>
      </c>
      <c r="AB66" s="261" t="s">
        <v>6</v>
      </c>
      <c r="AC66" s="262">
        <v>230</v>
      </c>
      <c r="AD66" s="262">
        <v>230</v>
      </c>
      <c r="AE66" s="262">
        <v>230</v>
      </c>
      <c r="AF66" s="262">
        <v>230</v>
      </c>
      <c r="AG66" s="262">
        <v>230</v>
      </c>
      <c r="AH66" s="262">
        <v>200</v>
      </c>
      <c r="AI66" s="262">
        <v>200</v>
      </c>
      <c r="AJ66" s="262">
        <v>170</v>
      </c>
      <c r="AK66" s="262">
        <v>170</v>
      </c>
      <c r="AL66" s="262">
        <v>170</v>
      </c>
      <c r="AM66" s="262">
        <v>200</v>
      </c>
      <c r="AN66" s="262">
        <v>200</v>
      </c>
      <c r="AO66" s="262">
        <v>220</v>
      </c>
      <c r="AP66" s="262">
        <v>220</v>
      </c>
      <c r="AQ66" s="262">
        <v>220</v>
      </c>
      <c r="AR66" s="262">
        <v>240</v>
      </c>
      <c r="AS66" s="262">
        <v>240</v>
      </c>
      <c r="AT66" s="262">
        <v>240</v>
      </c>
      <c r="AU66" s="263">
        <v>240</v>
      </c>
      <c r="AV66" s="263">
        <v>370</v>
      </c>
      <c r="AW66" s="263">
        <v>370</v>
      </c>
      <c r="AX66" s="263">
        <v>370</v>
      </c>
      <c r="AY66" s="263">
        <v>370</v>
      </c>
      <c r="AZ66" s="263">
        <v>380</v>
      </c>
      <c r="BA66" s="263">
        <v>380</v>
      </c>
      <c r="BC66" s="261" t="s">
        <v>6</v>
      </c>
      <c r="BD66" s="262">
        <v>230</v>
      </c>
      <c r="BE66" s="262">
        <v>230</v>
      </c>
      <c r="BF66" s="262">
        <v>230</v>
      </c>
      <c r="BG66" s="262">
        <v>230</v>
      </c>
      <c r="BH66" s="262">
        <v>230</v>
      </c>
      <c r="BI66" s="262">
        <v>200</v>
      </c>
      <c r="BJ66" s="262">
        <v>200</v>
      </c>
      <c r="BK66" s="262">
        <v>170</v>
      </c>
      <c r="BL66" s="262">
        <v>170</v>
      </c>
      <c r="BM66" s="262">
        <v>170</v>
      </c>
      <c r="BN66" s="262">
        <v>200</v>
      </c>
      <c r="BO66" s="262">
        <v>200</v>
      </c>
      <c r="BP66" s="262">
        <v>220</v>
      </c>
      <c r="BQ66" s="262">
        <v>220</v>
      </c>
      <c r="BR66" s="262">
        <v>220</v>
      </c>
      <c r="BS66" s="262">
        <v>240</v>
      </c>
      <c r="BT66" s="262">
        <v>240</v>
      </c>
      <c r="BU66" s="262">
        <v>240</v>
      </c>
      <c r="BV66" s="263">
        <v>240</v>
      </c>
      <c r="BW66" s="263">
        <v>370</v>
      </c>
      <c r="BX66" s="263">
        <v>370</v>
      </c>
      <c r="BY66" s="263">
        <v>370</v>
      </c>
      <c r="BZ66" s="263">
        <v>370</v>
      </c>
      <c r="CA66" s="263">
        <v>380</v>
      </c>
      <c r="CB66" s="263">
        <v>380</v>
      </c>
    </row>
    <row r="67" spans="1:80">
      <c r="A67" s="261" t="s">
        <v>5</v>
      </c>
      <c r="B67" s="262">
        <v>280</v>
      </c>
      <c r="C67" s="262">
        <v>270</v>
      </c>
      <c r="D67" s="262">
        <v>270</v>
      </c>
      <c r="E67" s="262">
        <v>270</v>
      </c>
      <c r="F67" s="262">
        <v>270</v>
      </c>
      <c r="G67" s="262">
        <v>250</v>
      </c>
      <c r="H67" s="262">
        <v>250</v>
      </c>
      <c r="I67" s="262">
        <v>210</v>
      </c>
      <c r="J67" s="262">
        <v>210</v>
      </c>
      <c r="K67" s="262">
        <v>210</v>
      </c>
      <c r="L67" s="262">
        <v>250</v>
      </c>
      <c r="M67" s="262">
        <v>250</v>
      </c>
      <c r="N67" s="262">
        <v>280</v>
      </c>
      <c r="O67" s="262">
        <v>280</v>
      </c>
      <c r="P67" s="262">
        <v>280</v>
      </c>
      <c r="Q67" s="262">
        <v>300</v>
      </c>
      <c r="R67" s="262">
        <v>300</v>
      </c>
      <c r="S67" s="262">
        <v>300</v>
      </c>
      <c r="T67" s="263">
        <v>300</v>
      </c>
      <c r="U67" s="263">
        <v>440</v>
      </c>
      <c r="V67" s="263">
        <v>440</v>
      </c>
      <c r="W67" s="263">
        <v>440</v>
      </c>
      <c r="X67" s="263">
        <v>440</v>
      </c>
      <c r="Y67" s="263">
        <v>450</v>
      </c>
      <c r="Z67" s="263">
        <v>450</v>
      </c>
      <c r="AB67" s="261" t="s">
        <v>5</v>
      </c>
      <c r="AC67" s="262">
        <v>230</v>
      </c>
      <c r="AD67" s="262">
        <v>230</v>
      </c>
      <c r="AE67" s="262">
        <v>230</v>
      </c>
      <c r="AF67" s="262">
        <v>230</v>
      </c>
      <c r="AG67" s="262">
        <v>230</v>
      </c>
      <c r="AH67" s="262">
        <v>200</v>
      </c>
      <c r="AI67" s="262">
        <v>200</v>
      </c>
      <c r="AJ67" s="262">
        <v>170</v>
      </c>
      <c r="AK67" s="262">
        <v>170</v>
      </c>
      <c r="AL67" s="262">
        <v>170</v>
      </c>
      <c r="AM67" s="262">
        <v>200</v>
      </c>
      <c r="AN67" s="262">
        <v>200</v>
      </c>
      <c r="AO67" s="262">
        <v>220</v>
      </c>
      <c r="AP67" s="262">
        <v>220</v>
      </c>
      <c r="AQ67" s="262">
        <v>220</v>
      </c>
      <c r="AR67" s="262">
        <v>240</v>
      </c>
      <c r="AS67" s="262">
        <v>240</v>
      </c>
      <c r="AT67" s="262">
        <v>240</v>
      </c>
      <c r="AU67" s="263">
        <v>240</v>
      </c>
      <c r="AV67" s="263">
        <v>370</v>
      </c>
      <c r="AW67" s="263">
        <v>370</v>
      </c>
      <c r="AX67" s="263">
        <v>370</v>
      </c>
      <c r="AY67" s="263">
        <v>370</v>
      </c>
      <c r="AZ67" s="263">
        <v>380</v>
      </c>
      <c r="BA67" s="263">
        <v>380</v>
      </c>
      <c r="BC67" s="261" t="s">
        <v>5</v>
      </c>
      <c r="BD67" s="262">
        <v>230</v>
      </c>
      <c r="BE67" s="262">
        <v>230</v>
      </c>
      <c r="BF67" s="262">
        <v>230</v>
      </c>
      <c r="BG67" s="262">
        <v>230</v>
      </c>
      <c r="BH67" s="262">
        <v>230</v>
      </c>
      <c r="BI67" s="262">
        <v>200</v>
      </c>
      <c r="BJ67" s="262">
        <v>200</v>
      </c>
      <c r="BK67" s="262">
        <v>170</v>
      </c>
      <c r="BL67" s="262">
        <v>170</v>
      </c>
      <c r="BM67" s="262">
        <v>170</v>
      </c>
      <c r="BN67" s="262">
        <v>200</v>
      </c>
      <c r="BO67" s="262">
        <v>200</v>
      </c>
      <c r="BP67" s="262">
        <v>220</v>
      </c>
      <c r="BQ67" s="262">
        <v>220</v>
      </c>
      <c r="BR67" s="262">
        <v>220</v>
      </c>
      <c r="BS67" s="262">
        <v>240</v>
      </c>
      <c r="BT67" s="262">
        <v>240</v>
      </c>
      <c r="BU67" s="262">
        <v>240</v>
      </c>
      <c r="BV67" s="263">
        <v>240</v>
      </c>
      <c r="BW67" s="263">
        <v>370</v>
      </c>
      <c r="BX67" s="263">
        <v>370</v>
      </c>
      <c r="BY67" s="263">
        <v>370</v>
      </c>
      <c r="BZ67" s="263">
        <v>370</v>
      </c>
      <c r="CA67" s="263">
        <v>380</v>
      </c>
      <c r="CB67" s="263">
        <v>380</v>
      </c>
    </row>
    <row r="68" spans="1:80">
      <c r="A68" s="261" t="s">
        <v>4</v>
      </c>
      <c r="B68" s="262">
        <v>280</v>
      </c>
      <c r="C68" s="262">
        <v>270</v>
      </c>
      <c r="D68" s="262">
        <v>270</v>
      </c>
      <c r="E68" s="262">
        <v>270</v>
      </c>
      <c r="F68" s="262">
        <v>270</v>
      </c>
      <c r="G68" s="262">
        <v>250</v>
      </c>
      <c r="H68" s="262">
        <v>250</v>
      </c>
      <c r="I68" s="262">
        <v>210</v>
      </c>
      <c r="J68" s="262">
        <v>210</v>
      </c>
      <c r="K68" s="262">
        <v>210</v>
      </c>
      <c r="L68" s="262">
        <v>250</v>
      </c>
      <c r="M68" s="262">
        <v>250</v>
      </c>
      <c r="N68" s="262">
        <v>280</v>
      </c>
      <c r="O68" s="262">
        <v>280</v>
      </c>
      <c r="P68" s="262">
        <v>280</v>
      </c>
      <c r="Q68" s="262">
        <v>300</v>
      </c>
      <c r="R68" s="262">
        <v>300</v>
      </c>
      <c r="S68" s="262">
        <v>300</v>
      </c>
      <c r="T68" s="263">
        <v>300</v>
      </c>
      <c r="U68" s="263">
        <v>440</v>
      </c>
      <c r="V68" s="263">
        <v>440</v>
      </c>
      <c r="W68" s="263">
        <v>440</v>
      </c>
      <c r="X68" s="263">
        <v>440</v>
      </c>
      <c r="Y68" s="263">
        <v>450</v>
      </c>
      <c r="Z68" s="263">
        <v>450</v>
      </c>
      <c r="AB68" s="261" t="s">
        <v>4</v>
      </c>
      <c r="AC68" s="262">
        <v>230</v>
      </c>
      <c r="AD68" s="262">
        <v>230</v>
      </c>
      <c r="AE68" s="262">
        <v>230</v>
      </c>
      <c r="AF68" s="262">
        <v>230</v>
      </c>
      <c r="AG68" s="262">
        <v>230</v>
      </c>
      <c r="AH68" s="262">
        <v>200</v>
      </c>
      <c r="AI68" s="262">
        <v>200</v>
      </c>
      <c r="AJ68" s="262">
        <v>170</v>
      </c>
      <c r="AK68" s="262">
        <v>170</v>
      </c>
      <c r="AL68" s="262">
        <v>170</v>
      </c>
      <c r="AM68" s="262">
        <v>200</v>
      </c>
      <c r="AN68" s="262">
        <v>200</v>
      </c>
      <c r="AO68" s="262">
        <v>220</v>
      </c>
      <c r="AP68" s="262">
        <v>220</v>
      </c>
      <c r="AQ68" s="262">
        <v>220</v>
      </c>
      <c r="AR68" s="262">
        <v>240</v>
      </c>
      <c r="AS68" s="262">
        <v>240</v>
      </c>
      <c r="AT68" s="262">
        <v>240</v>
      </c>
      <c r="AU68" s="263">
        <v>240</v>
      </c>
      <c r="AV68" s="263">
        <v>370</v>
      </c>
      <c r="AW68" s="263">
        <v>370</v>
      </c>
      <c r="AX68" s="263">
        <v>370</v>
      </c>
      <c r="AY68" s="263">
        <v>370</v>
      </c>
      <c r="AZ68" s="263">
        <v>380</v>
      </c>
      <c r="BA68" s="263">
        <v>380</v>
      </c>
      <c r="BC68" s="261" t="s">
        <v>4</v>
      </c>
      <c r="BD68" s="262">
        <v>230</v>
      </c>
      <c r="BE68" s="262">
        <v>230</v>
      </c>
      <c r="BF68" s="262">
        <v>230</v>
      </c>
      <c r="BG68" s="262">
        <v>230</v>
      </c>
      <c r="BH68" s="262">
        <v>230</v>
      </c>
      <c r="BI68" s="262">
        <v>200</v>
      </c>
      <c r="BJ68" s="262">
        <v>200</v>
      </c>
      <c r="BK68" s="262">
        <v>170</v>
      </c>
      <c r="BL68" s="262">
        <v>170</v>
      </c>
      <c r="BM68" s="262">
        <v>170</v>
      </c>
      <c r="BN68" s="262">
        <v>200</v>
      </c>
      <c r="BO68" s="262">
        <v>200</v>
      </c>
      <c r="BP68" s="262">
        <v>220</v>
      </c>
      <c r="BQ68" s="262">
        <v>220</v>
      </c>
      <c r="BR68" s="262">
        <v>220</v>
      </c>
      <c r="BS68" s="262">
        <v>240</v>
      </c>
      <c r="BT68" s="262">
        <v>240</v>
      </c>
      <c r="BU68" s="262">
        <v>240</v>
      </c>
      <c r="BV68" s="263">
        <v>240</v>
      </c>
      <c r="BW68" s="263">
        <v>370</v>
      </c>
      <c r="BX68" s="263">
        <v>370</v>
      </c>
      <c r="BY68" s="263">
        <v>370</v>
      </c>
      <c r="BZ68" s="263">
        <v>370</v>
      </c>
      <c r="CA68" s="263">
        <v>380</v>
      </c>
      <c r="CB68" s="263">
        <v>380</v>
      </c>
    </row>
    <row r="69" spans="1:80">
      <c r="A69" s="261" t="s">
        <v>3</v>
      </c>
      <c r="B69" s="262">
        <v>290</v>
      </c>
      <c r="C69" s="262">
        <v>280</v>
      </c>
      <c r="D69" s="262">
        <v>280</v>
      </c>
      <c r="E69" s="262">
        <v>280</v>
      </c>
      <c r="F69" s="262">
        <v>280</v>
      </c>
      <c r="G69" s="262">
        <v>270</v>
      </c>
      <c r="H69" s="262">
        <v>270</v>
      </c>
      <c r="I69" s="262">
        <v>250</v>
      </c>
      <c r="J69" s="262">
        <v>250</v>
      </c>
      <c r="K69" s="262">
        <v>250</v>
      </c>
      <c r="L69" s="262">
        <v>210</v>
      </c>
      <c r="M69" s="262">
        <v>210</v>
      </c>
      <c r="N69" s="262">
        <v>280</v>
      </c>
      <c r="O69" s="262">
        <v>280</v>
      </c>
      <c r="P69" s="262">
        <v>280</v>
      </c>
      <c r="Q69" s="262">
        <v>300</v>
      </c>
      <c r="R69" s="262">
        <v>300</v>
      </c>
      <c r="S69" s="262">
        <v>300</v>
      </c>
      <c r="T69" s="263">
        <v>300</v>
      </c>
      <c r="U69" s="263">
        <v>440</v>
      </c>
      <c r="V69" s="263">
        <v>440</v>
      </c>
      <c r="W69" s="263">
        <v>450</v>
      </c>
      <c r="X69" s="263">
        <v>450</v>
      </c>
      <c r="Y69" s="263">
        <v>460</v>
      </c>
      <c r="Z69" s="263">
        <v>460</v>
      </c>
      <c r="AB69" s="261" t="s">
        <v>3</v>
      </c>
      <c r="AC69" s="262">
        <v>240</v>
      </c>
      <c r="AD69" s="262">
        <v>230</v>
      </c>
      <c r="AE69" s="262">
        <v>230</v>
      </c>
      <c r="AF69" s="262">
        <v>230</v>
      </c>
      <c r="AG69" s="262">
        <v>230</v>
      </c>
      <c r="AH69" s="262">
        <v>230</v>
      </c>
      <c r="AI69" s="262">
        <v>230</v>
      </c>
      <c r="AJ69" s="262">
        <v>200</v>
      </c>
      <c r="AK69" s="262">
        <v>200</v>
      </c>
      <c r="AL69" s="262">
        <v>200</v>
      </c>
      <c r="AM69" s="262">
        <v>170</v>
      </c>
      <c r="AN69" s="262">
        <v>170</v>
      </c>
      <c r="AO69" s="262">
        <v>220</v>
      </c>
      <c r="AP69" s="262">
        <v>220</v>
      </c>
      <c r="AQ69" s="262">
        <v>220</v>
      </c>
      <c r="AR69" s="262">
        <v>240</v>
      </c>
      <c r="AS69" s="262">
        <v>240</v>
      </c>
      <c r="AT69" s="262">
        <v>240</v>
      </c>
      <c r="AU69" s="263">
        <v>240</v>
      </c>
      <c r="AV69" s="263">
        <v>370</v>
      </c>
      <c r="AW69" s="263">
        <v>370</v>
      </c>
      <c r="AX69" s="263">
        <v>380</v>
      </c>
      <c r="AY69" s="263">
        <v>380</v>
      </c>
      <c r="AZ69" s="263">
        <v>390</v>
      </c>
      <c r="BA69" s="263">
        <v>390</v>
      </c>
      <c r="BC69" s="261" t="s">
        <v>3</v>
      </c>
      <c r="BD69" s="262">
        <v>240</v>
      </c>
      <c r="BE69" s="262">
        <v>230</v>
      </c>
      <c r="BF69" s="262">
        <v>230</v>
      </c>
      <c r="BG69" s="262">
        <v>230</v>
      </c>
      <c r="BH69" s="262">
        <v>230</v>
      </c>
      <c r="BI69" s="262">
        <v>230</v>
      </c>
      <c r="BJ69" s="262">
        <v>230</v>
      </c>
      <c r="BK69" s="262">
        <v>200</v>
      </c>
      <c r="BL69" s="262">
        <v>200</v>
      </c>
      <c r="BM69" s="262">
        <v>200</v>
      </c>
      <c r="BN69" s="262">
        <v>170</v>
      </c>
      <c r="BO69" s="262">
        <v>170</v>
      </c>
      <c r="BP69" s="262">
        <v>220</v>
      </c>
      <c r="BQ69" s="262">
        <v>220</v>
      </c>
      <c r="BR69" s="262">
        <v>220</v>
      </c>
      <c r="BS69" s="262">
        <v>240</v>
      </c>
      <c r="BT69" s="262">
        <v>240</v>
      </c>
      <c r="BU69" s="262">
        <v>240</v>
      </c>
      <c r="BV69" s="263">
        <v>240</v>
      </c>
      <c r="BW69" s="263">
        <v>370</v>
      </c>
      <c r="BX69" s="263">
        <v>370</v>
      </c>
      <c r="BY69" s="263">
        <v>380</v>
      </c>
      <c r="BZ69" s="263">
        <v>380</v>
      </c>
      <c r="CA69" s="263">
        <v>390</v>
      </c>
      <c r="CB69" s="263">
        <v>390</v>
      </c>
    </row>
    <row r="70" spans="1:80">
      <c r="A70" s="261" t="s">
        <v>2</v>
      </c>
      <c r="B70" s="262">
        <v>290</v>
      </c>
      <c r="C70" s="262">
        <v>280</v>
      </c>
      <c r="D70" s="262">
        <v>280</v>
      </c>
      <c r="E70" s="262">
        <v>280</v>
      </c>
      <c r="F70" s="262">
        <v>280</v>
      </c>
      <c r="G70" s="262">
        <v>270</v>
      </c>
      <c r="H70" s="262">
        <v>270</v>
      </c>
      <c r="I70" s="262">
        <v>250</v>
      </c>
      <c r="J70" s="262">
        <v>250</v>
      </c>
      <c r="K70" s="262">
        <v>250</v>
      </c>
      <c r="L70" s="262">
        <v>210</v>
      </c>
      <c r="M70" s="262">
        <v>210</v>
      </c>
      <c r="N70" s="262">
        <v>280</v>
      </c>
      <c r="O70" s="262">
        <v>280</v>
      </c>
      <c r="P70" s="262">
        <v>280</v>
      </c>
      <c r="Q70" s="262">
        <v>300</v>
      </c>
      <c r="R70" s="262">
        <v>300</v>
      </c>
      <c r="S70" s="262">
        <v>300</v>
      </c>
      <c r="T70" s="263">
        <v>300</v>
      </c>
      <c r="U70" s="263">
        <v>440</v>
      </c>
      <c r="V70" s="263">
        <v>440</v>
      </c>
      <c r="W70" s="263">
        <v>450</v>
      </c>
      <c r="X70" s="263">
        <v>450</v>
      </c>
      <c r="Y70" s="263">
        <v>460</v>
      </c>
      <c r="Z70" s="263">
        <v>460</v>
      </c>
      <c r="AB70" s="261" t="s">
        <v>2</v>
      </c>
      <c r="AC70" s="262">
        <v>240</v>
      </c>
      <c r="AD70" s="262">
        <v>230</v>
      </c>
      <c r="AE70" s="262">
        <v>230</v>
      </c>
      <c r="AF70" s="262">
        <v>230</v>
      </c>
      <c r="AG70" s="262">
        <v>230</v>
      </c>
      <c r="AH70" s="262">
        <v>230</v>
      </c>
      <c r="AI70" s="262">
        <v>230</v>
      </c>
      <c r="AJ70" s="262">
        <v>200</v>
      </c>
      <c r="AK70" s="262">
        <v>200</v>
      </c>
      <c r="AL70" s="262">
        <v>200</v>
      </c>
      <c r="AM70" s="262">
        <v>170</v>
      </c>
      <c r="AN70" s="262">
        <v>170</v>
      </c>
      <c r="AO70" s="262">
        <v>220</v>
      </c>
      <c r="AP70" s="262">
        <v>220</v>
      </c>
      <c r="AQ70" s="262">
        <v>220</v>
      </c>
      <c r="AR70" s="262">
        <v>240</v>
      </c>
      <c r="AS70" s="262">
        <v>240</v>
      </c>
      <c r="AT70" s="262">
        <v>240</v>
      </c>
      <c r="AU70" s="263">
        <v>240</v>
      </c>
      <c r="AV70" s="263">
        <v>370</v>
      </c>
      <c r="AW70" s="263">
        <v>370</v>
      </c>
      <c r="AX70" s="263">
        <v>380</v>
      </c>
      <c r="AY70" s="263">
        <v>380</v>
      </c>
      <c r="AZ70" s="263">
        <v>390</v>
      </c>
      <c r="BA70" s="263">
        <v>390</v>
      </c>
      <c r="BC70" s="261" t="s">
        <v>2</v>
      </c>
      <c r="BD70" s="262">
        <v>240</v>
      </c>
      <c r="BE70" s="262">
        <v>230</v>
      </c>
      <c r="BF70" s="262">
        <v>230</v>
      </c>
      <c r="BG70" s="262">
        <v>230</v>
      </c>
      <c r="BH70" s="262">
        <v>230</v>
      </c>
      <c r="BI70" s="262">
        <v>230</v>
      </c>
      <c r="BJ70" s="262">
        <v>230</v>
      </c>
      <c r="BK70" s="262">
        <v>200</v>
      </c>
      <c r="BL70" s="262">
        <v>200</v>
      </c>
      <c r="BM70" s="262">
        <v>200</v>
      </c>
      <c r="BN70" s="262">
        <v>170</v>
      </c>
      <c r="BO70" s="262">
        <v>170</v>
      </c>
      <c r="BP70" s="262">
        <v>220</v>
      </c>
      <c r="BQ70" s="262">
        <v>220</v>
      </c>
      <c r="BR70" s="262">
        <v>220</v>
      </c>
      <c r="BS70" s="262">
        <v>240</v>
      </c>
      <c r="BT70" s="262">
        <v>240</v>
      </c>
      <c r="BU70" s="262">
        <v>240</v>
      </c>
      <c r="BV70" s="263">
        <v>240</v>
      </c>
      <c r="BW70" s="263">
        <v>370</v>
      </c>
      <c r="BX70" s="263">
        <v>370</v>
      </c>
      <c r="BY70" s="263">
        <v>380</v>
      </c>
      <c r="BZ70" s="263">
        <v>380</v>
      </c>
      <c r="CA70" s="263">
        <v>390</v>
      </c>
      <c r="CB70" s="263">
        <v>390</v>
      </c>
    </row>
    <row r="71" spans="1:80">
      <c r="A71" s="261" t="s">
        <v>92</v>
      </c>
      <c r="B71" s="262">
        <v>300</v>
      </c>
      <c r="C71" s="262">
        <v>300</v>
      </c>
      <c r="D71" s="262">
        <v>300</v>
      </c>
      <c r="E71" s="262">
        <v>300</v>
      </c>
      <c r="F71" s="262">
        <v>300</v>
      </c>
      <c r="G71" s="262">
        <v>290</v>
      </c>
      <c r="H71" s="262">
        <v>290</v>
      </c>
      <c r="I71" s="262">
        <v>280</v>
      </c>
      <c r="J71" s="262">
        <v>280</v>
      </c>
      <c r="K71" s="262">
        <v>280</v>
      </c>
      <c r="L71" s="262">
        <v>280</v>
      </c>
      <c r="M71" s="262">
        <v>280</v>
      </c>
      <c r="N71" s="262">
        <v>220</v>
      </c>
      <c r="O71" s="262">
        <v>220</v>
      </c>
      <c r="P71" s="262">
        <v>220</v>
      </c>
      <c r="Q71" s="262">
        <v>260</v>
      </c>
      <c r="R71" s="262">
        <v>260</v>
      </c>
      <c r="S71" s="262">
        <v>260</v>
      </c>
      <c r="T71" s="263">
        <v>260</v>
      </c>
      <c r="U71" s="263">
        <v>330</v>
      </c>
      <c r="V71" s="263">
        <v>330</v>
      </c>
      <c r="W71" s="263">
        <v>340</v>
      </c>
      <c r="X71" s="263">
        <v>340</v>
      </c>
      <c r="Y71" s="263">
        <v>400</v>
      </c>
      <c r="Z71" s="263">
        <v>400</v>
      </c>
      <c r="AB71" s="261" t="s">
        <v>92</v>
      </c>
      <c r="AC71" s="262">
        <v>240</v>
      </c>
      <c r="AD71" s="262">
        <v>240</v>
      </c>
      <c r="AE71" s="262">
        <v>240</v>
      </c>
      <c r="AF71" s="262">
        <v>240</v>
      </c>
      <c r="AG71" s="262">
        <v>240</v>
      </c>
      <c r="AH71" s="262">
        <v>230</v>
      </c>
      <c r="AI71" s="262">
        <v>230</v>
      </c>
      <c r="AJ71" s="262">
        <v>220</v>
      </c>
      <c r="AK71" s="262">
        <v>220</v>
      </c>
      <c r="AL71" s="262">
        <v>220</v>
      </c>
      <c r="AM71" s="262">
        <v>220</v>
      </c>
      <c r="AN71" s="262">
        <v>220</v>
      </c>
      <c r="AO71" s="262">
        <v>170</v>
      </c>
      <c r="AP71" s="262">
        <v>170</v>
      </c>
      <c r="AQ71" s="262">
        <v>170</v>
      </c>
      <c r="AR71" s="262">
        <v>210</v>
      </c>
      <c r="AS71" s="262">
        <v>210</v>
      </c>
      <c r="AT71" s="262">
        <v>210</v>
      </c>
      <c r="AU71" s="263">
        <v>210</v>
      </c>
      <c r="AV71" s="263">
        <v>270</v>
      </c>
      <c r="AW71" s="263">
        <v>270</v>
      </c>
      <c r="AX71" s="263">
        <v>280</v>
      </c>
      <c r="AY71" s="263">
        <v>280</v>
      </c>
      <c r="AZ71" s="263">
        <v>340</v>
      </c>
      <c r="BA71" s="263">
        <v>340</v>
      </c>
      <c r="BC71" s="261" t="s">
        <v>92</v>
      </c>
      <c r="BD71" s="262">
        <v>240</v>
      </c>
      <c r="BE71" s="262">
        <v>240</v>
      </c>
      <c r="BF71" s="262">
        <v>240</v>
      </c>
      <c r="BG71" s="262">
        <v>240</v>
      </c>
      <c r="BH71" s="262">
        <v>240</v>
      </c>
      <c r="BI71" s="262">
        <v>230</v>
      </c>
      <c r="BJ71" s="262">
        <v>230</v>
      </c>
      <c r="BK71" s="262">
        <v>220</v>
      </c>
      <c r="BL71" s="262">
        <v>220</v>
      </c>
      <c r="BM71" s="262">
        <v>220</v>
      </c>
      <c r="BN71" s="262">
        <v>220</v>
      </c>
      <c r="BO71" s="262">
        <v>220</v>
      </c>
      <c r="BP71" s="262">
        <v>170</v>
      </c>
      <c r="BQ71" s="262">
        <v>170</v>
      </c>
      <c r="BR71" s="262">
        <v>170</v>
      </c>
      <c r="BS71" s="262">
        <v>210</v>
      </c>
      <c r="BT71" s="262">
        <v>210</v>
      </c>
      <c r="BU71" s="262">
        <v>210</v>
      </c>
      <c r="BV71" s="263">
        <v>210</v>
      </c>
      <c r="BW71" s="263">
        <v>270</v>
      </c>
      <c r="BX71" s="263">
        <v>270</v>
      </c>
      <c r="BY71" s="263">
        <v>280</v>
      </c>
      <c r="BZ71" s="263">
        <v>280</v>
      </c>
      <c r="CA71" s="263">
        <v>340</v>
      </c>
      <c r="CB71" s="263">
        <v>340</v>
      </c>
    </row>
    <row r="72" spans="1:80">
      <c r="A72" s="261" t="s">
        <v>93</v>
      </c>
      <c r="B72" s="262">
        <v>300</v>
      </c>
      <c r="C72" s="262">
        <v>300</v>
      </c>
      <c r="D72" s="262">
        <v>300</v>
      </c>
      <c r="E72" s="262">
        <v>300</v>
      </c>
      <c r="F72" s="262">
        <v>300</v>
      </c>
      <c r="G72" s="262">
        <v>290</v>
      </c>
      <c r="H72" s="262">
        <v>290</v>
      </c>
      <c r="I72" s="262">
        <v>280</v>
      </c>
      <c r="J72" s="262">
        <v>280</v>
      </c>
      <c r="K72" s="262">
        <v>280</v>
      </c>
      <c r="L72" s="262">
        <v>280</v>
      </c>
      <c r="M72" s="262">
        <v>280</v>
      </c>
      <c r="N72" s="262">
        <v>220</v>
      </c>
      <c r="O72" s="262">
        <v>220</v>
      </c>
      <c r="P72" s="262">
        <v>220</v>
      </c>
      <c r="Q72" s="262">
        <v>260</v>
      </c>
      <c r="R72" s="262">
        <v>260</v>
      </c>
      <c r="S72" s="262">
        <v>260</v>
      </c>
      <c r="T72" s="263">
        <v>260</v>
      </c>
      <c r="U72" s="263">
        <v>330</v>
      </c>
      <c r="V72" s="263">
        <v>330</v>
      </c>
      <c r="W72" s="263">
        <v>340</v>
      </c>
      <c r="X72" s="263">
        <v>340</v>
      </c>
      <c r="Y72" s="263">
        <v>400</v>
      </c>
      <c r="Z72" s="263">
        <v>400</v>
      </c>
      <c r="AB72" s="261" t="s">
        <v>93</v>
      </c>
      <c r="AC72" s="262">
        <v>240</v>
      </c>
      <c r="AD72" s="262">
        <v>240</v>
      </c>
      <c r="AE72" s="262">
        <v>240</v>
      </c>
      <c r="AF72" s="262">
        <v>240</v>
      </c>
      <c r="AG72" s="262">
        <v>240</v>
      </c>
      <c r="AH72" s="262">
        <v>230</v>
      </c>
      <c r="AI72" s="262">
        <v>230</v>
      </c>
      <c r="AJ72" s="262">
        <v>220</v>
      </c>
      <c r="AK72" s="262">
        <v>220</v>
      </c>
      <c r="AL72" s="262">
        <v>220</v>
      </c>
      <c r="AM72" s="262">
        <v>220</v>
      </c>
      <c r="AN72" s="262">
        <v>220</v>
      </c>
      <c r="AO72" s="262">
        <v>170</v>
      </c>
      <c r="AP72" s="262">
        <v>170</v>
      </c>
      <c r="AQ72" s="262">
        <v>170</v>
      </c>
      <c r="AR72" s="262">
        <v>210</v>
      </c>
      <c r="AS72" s="262">
        <v>210</v>
      </c>
      <c r="AT72" s="262">
        <v>210</v>
      </c>
      <c r="AU72" s="263">
        <v>210</v>
      </c>
      <c r="AV72" s="263">
        <v>270</v>
      </c>
      <c r="AW72" s="263">
        <v>270</v>
      </c>
      <c r="AX72" s="263">
        <v>280</v>
      </c>
      <c r="AY72" s="263">
        <v>280</v>
      </c>
      <c r="AZ72" s="263">
        <v>340</v>
      </c>
      <c r="BA72" s="263">
        <v>340</v>
      </c>
      <c r="BC72" s="261" t="s">
        <v>93</v>
      </c>
      <c r="BD72" s="262">
        <v>240</v>
      </c>
      <c r="BE72" s="262">
        <v>240</v>
      </c>
      <c r="BF72" s="262">
        <v>240</v>
      </c>
      <c r="BG72" s="262">
        <v>240</v>
      </c>
      <c r="BH72" s="262">
        <v>240</v>
      </c>
      <c r="BI72" s="262">
        <v>230</v>
      </c>
      <c r="BJ72" s="262">
        <v>230</v>
      </c>
      <c r="BK72" s="262">
        <v>220</v>
      </c>
      <c r="BL72" s="262">
        <v>220</v>
      </c>
      <c r="BM72" s="262">
        <v>220</v>
      </c>
      <c r="BN72" s="262">
        <v>220</v>
      </c>
      <c r="BO72" s="262">
        <v>220</v>
      </c>
      <c r="BP72" s="262">
        <v>170</v>
      </c>
      <c r="BQ72" s="262">
        <v>170</v>
      </c>
      <c r="BR72" s="262">
        <v>170</v>
      </c>
      <c r="BS72" s="262">
        <v>210</v>
      </c>
      <c r="BT72" s="262">
        <v>210</v>
      </c>
      <c r="BU72" s="262">
        <v>210</v>
      </c>
      <c r="BV72" s="263">
        <v>210</v>
      </c>
      <c r="BW72" s="263">
        <v>270</v>
      </c>
      <c r="BX72" s="263">
        <v>270</v>
      </c>
      <c r="BY72" s="263">
        <v>280</v>
      </c>
      <c r="BZ72" s="263">
        <v>280</v>
      </c>
      <c r="CA72" s="263">
        <v>340</v>
      </c>
      <c r="CB72" s="263">
        <v>340</v>
      </c>
    </row>
    <row r="73" spans="1:80">
      <c r="A73" s="261" t="s">
        <v>94</v>
      </c>
      <c r="B73" s="262">
        <v>300</v>
      </c>
      <c r="C73" s="262">
        <v>300</v>
      </c>
      <c r="D73" s="262">
        <v>300</v>
      </c>
      <c r="E73" s="262">
        <v>300</v>
      </c>
      <c r="F73" s="262">
        <v>300</v>
      </c>
      <c r="G73" s="262">
        <v>290</v>
      </c>
      <c r="H73" s="262">
        <v>290</v>
      </c>
      <c r="I73" s="262">
        <v>280</v>
      </c>
      <c r="J73" s="262">
        <v>280</v>
      </c>
      <c r="K73" s="262">
        <v>280</v>
      </c>
      <c r="L73" s="262">
        <v>280</v>
      </c>
      <c r="M73" s="262">
        <v>280</v>
      </c>
      <c r="N73" s="262">
        <v>220</v>
      </c>
      <c r="O73" s="262">
        <v>220</v>
      </c>
      <c r="P73" s="262">
        <v>220</v>
      </c>
      <c r="Q73" s="262">
        <v>260</v>
      </c>
      <c r="R73" s="262">
        <v>260</v>
      </c>
      <c r="S73" s="262">
        <v>260</v>
      </c>
      <c r="T73" s="263">
        <v>260</v>
      </c>
      <c r="U73" s="263">
        <v>330</v>
      </c>
      <c r="V73" s="263">
        <v>330</v>
      </c>
      <c r="W73" s="263">
        <v>340</v>
      </c>
      <c r="X73" s="263">
        <v>340</v>
      </c>
      <c r="Y73" s="263">
        <v>400</v>
      </c>
      <c r="Z73" s="263">
        <v>400</v>
      </c>
      <c r="AB73" s="261" t="s">
        <v>94</v>
      </c>
      <c r="AC73" s="262">
        <v>240</v>
      </c>
      <c r="AD73" s="262">
        <v>240</v>
      </c>
      <c r="AE73" s="262">
        <v>240</v>
      </c>
      <c r="AF73" s="262">
        <v>240</v>
      </c>
      <c r="AG73" s="262">
        <v>240</v>
      </c>
      <c r="AH73" s="262">
        <v>230</v>
      </c>
      <c r="AI73" s="262">
        <v>230</v>
      </c>
      <c r="AJ73" s="262">
        <v>220</v>
      </c>
      <c r="AK73" s="262">
        <v>220</v>
      </c>
      <c r="AL73" s="262">
        <v>220</v>
      </c>
      <c r="AM73" s="262">
        <v>220</v>
      </c>
      <c r="AN73" s="262">
        <v>220</v>
      </c>
      <c r="AO73" s="262">
        <v>170</v>
      </c>
      <c r="AP73" s="262">
        <v>170</v>
      </c>
      <c r="AQ73" s="262">
        <v>170</v>
      </c>
      <c r="AR73" s="262">
        <v>210</v>
      </c>
      <c r="AS73" s="262">
        <v>210</v>
      </c>
      <c r="AT73" s="262">
        <v>210</v>
      </c>
      <c r="AU73" s="263">
        <v>210</v>
      </c>
      <c r="AV73" s="263">
        <v>270</v>
      </c>
      <c r="AW73" s="263">
        <v>270</v>
      </c>
      <c r="AX73" s="263">
        <v>280</v>
      </c>
      <c r="AY73" s="263">
        <v>280</v>
      </c>
      <c r="AZ73" s="263">
        <v>340</v>
      </c>
      <c r="BA73" s="263">
        <v>340</v>
      </c>
      <c r="BC73" s="261" t="s">
        <v>94</v>
      </c>
      <c r="BD73" s="262">
        <v>240</v>
      </c>
      <c r="BE73" s="262">
        <v>240</v>
      </c>
      <c r="BF73" s="262">
        <v>240</v>
      </c>
      <c r="BG73" s="262">
        <v>240</v>
      </c>
      <c r="BH73" s="262">
        <v>240</v>
      </c>
      <c r="BI73" s="262">
        <v>230</v>
      </c>
      <c r="BJ73" s="262">
        <v>230</v>
      </c>
      <c r="BK73" s="262">
        <v>220</v>
      </c>
      <c r="BL73" s="262">
        <v>220</v>
      </c>
      <c r="BM73" s="262">
        <v>220</v>
      </c>
      <c r="BN73" s="262">
        <v>220</v>
      </c>
      <c r="BO73" s="262">
        <v>220</v>
      </c>
      <c r="BP73" s="262">
        <v>170</v>
      </c>
      <c r="BQ73" s="262">
        <v>170</v>
      </c>
      <c r="BR73" s="262">
        <v>170</v>
      </c>
      <c r="BS73" s="262">
        <v>210</v>
      </c>
      <c r="BT73" s="262">
        <v>210</v>
      </c>
      <c r="BU73" s="262">
        <v>210</v>
      </c>
      <c r="BV73" s="263">
        <v>210</v>
      </c>
      <c r="BW73" s="263">
        <v>270</v>
      </c>
      <c r="BX73" s="263">
        <v>270</v>
      </c>
      <c r="BY73" s="263">
        <v>280</v>
      </c>
      <c r="BZ73" s="263">
        <v>280</v>
      </c>
      <c r="CA73" s="263">
        <v>340</v>
      </c>
      <c r="CB73" s="263">
        <v>340</v>
      </c>
    </row>
    <row r="74" spans="1:80">
      <c r="A74" s="261" t="s">
        <v>95</v>
      </c>
      <c r="B74" s="262">
        <v>300</v>
      </c>
      <c r="C74" s="262">
        <v>300</v>
      </c>
      <c r="D74" s="262">
        <v>300</v>
      </c>
      <c r="E74" s="262">
        <v>300</v>
      </c>
      <c r="F74" s="262">
        <v>300</v>
      </c>
      <c r="G74" s="262">
        <v>290</v>
      </c>
      <c r="H74" s="262">
        <v>290</v>
      </c>
      <c r="I74" s="262">
        <v>300</v>
      </c>
      <c r="J74" s="262">
        <v>300</v>
      </c>
      <c r="K74" s="262">
        <v>300</v>
      </c>
      <c r="L74" s="262">
        <v>300</v>
      </c>
      <c r="M74" s="262">
        <v>300</v>
      </c>
      <c r="N74" s="262">
        <v>260</v>
      </c>
      <c r="O74" s="262">
        <v>260</v>
      </c>
      <c r="P74" s="262">
        <v>260</v>
      </c>
      <c r="Q74" s="262">
        <v>220</v>
      </c>
      <c r="R74" s="262">
        <v>220</v>
      </c>
      <c r="S74" s="262">
        <v>220</v>
      </c>
      <c r="T74" s="263">
        <v>220</v>
      </c>
      <c r="U74" s="263">
        <v>310</v>
      </c>
      <c r="V74" s="263">
        <v>310</v>
      </c>
      <c r="W74" s="263">
        <v>320</v>
      </c>
      <c r="X74" s="263">
        <v>320</v>
      </c>
      <c r="Y74" s="263">
        <v>330</v>
      </c>
      <c r="Z74" s="263">
        <v>330</v>
      </c>
      <c r="AB74" s="261" t="s">
        <v>95</v>
      </c>
      <c r="AC74" s="262">
        <v>250</v>
      </c>
      <c r="AD74" s="262">
        <v>240</v>
      </c>
      <c r="AE74" s="262">
        <v>240</v>
      </c>
      <c r="AF74" s="262">
        <v>240</v>
      </c>
      <c r="AG74" s="262">
        <v>240</v>
      </c>
      <c r="AH74" s="262">
        <v>230</v>
      </c>
      <c r="AI74" s="262">
        <v>230</v>
      </c>
      <c r="AJ74" s="262">
        <v>240</v>
      </c>
      <c r="AK74" s="262">
        <v>240</v>
      </c>
      <c r="AL74" s="262">
        <v>240</v>
      </c>
      <c r="AM74" s="262">
        <v>240</v>
      </c>
      <c r="AN74" s="262">
        <v>240</v>
      </c>
      <c r="AO74" s="262">
        <v>210</v>
      </c>
      <c r="AP74" s="262">
        <v>210</v>
      </c>
      <c r="AQ74" s="262">
        <v>210</v>
      </c>
      <c r="AR74" s="262">
        <v>170</v>
      </c>
      <c r="AS74" s="262">
        <v>170</v>
      </c>
      <c r="AT74" s="262">
        <v>170</v>
      </c>
      <c r="AU74" s="263">
        <v>170</v>
      </c>
      <c r="AV74" s="263">
        <v>250</v>
      </c>
      <c r="AW74" s="263">
        <v>250</v>
      </c>
      <c r="AX74" s="263">
        <v>260</v>
      </c>
      <c r="AY74" s="263">
        <v>260</v>
      </c>
      <c r="AZ74" s="263">
        <v>270</v>
      </c>
      <c r="BA74" s="263">
        <v>270</v>
      </c>
      <c r="BC74" s="261" t="s">
        <v>95</v>
      </c>
      <c r="BD74" s="262">
        <v>250</v>
      </c>
      <c r="BE74" s="262">
        <v>240</v>
      </c>
      <c r="BF74" s="262">
        <v>240</v>
      </c>
      <c r="BG74" s="262">
        <v>240</v>
      </c>
      <c r="BH74" s="262">
        <v>240</v>
      </c>
      <c r="BI74" s="262">
        <v>230</v>
      </c>
      <c r="BJ74" s="262">
        <v>230</v>
      </c>
      <c r="BK74" s="262">
        <v>240</v>
      </c>
      <c r="BL74" s="262">
        <v>240</v>
      </c>
      <c r="BM74" s="262">
        <v>240</v>
      </c>
      <c r="BN74" s="262">
        <v>240</v>
      </c>
      <c r="BO74" s="262">
        <v>240</v>
      </c>
      <c r="BP74" s="262">
        <v>210</v>
      </c>
      <c r="BQ74" s="262">
        <v>210</v>
      </c>
      <c r="BR74" s="262">
        <v>210</v>
      </c>
      <c r="BS74" s="262">
        <v>170</v>
      </c>
      <c r="BT74" s="262">
        <v>170</v>
      </c>
      <c r="BU74" s="262">
        <v>170</v>
      </c>
      <c r="BV74" s="263">
        <v>170</v>
      </c>
      <c r="BW74" s="263">
        <v>250</v>
      </c>
      <c r="BX74" s="263">
        <v>250</v>
      </c>
      <c r="BY74" s="263">
        <v>260</v>
      </c>
      <c r="BZ74" s="263">
        <v>260</v>
      </c>
      <c r="CA74" s="263">
        <v>270</v>
      </c>
      <c r="CB74" s="263">
        <v>270</v>
      </c>
    </row>
    <row r="75" spans="1:80">
      <c r="A75" s="261" t="s">
        <v>96</v>
      </c>
      <c r="B75" s="262">
        <v>300</v>
      </c>
      <c r="C75" s="262">
        <v>300</v>
      </c>
      <c r="D75" s="262">
        <v>300</v>
      </c>
      <c r="E75" s="262">
        <v>300</v>
      </c>
      <c r="F75" s="262">
        <v>300</v>
      </c>
      <c r="G75" s="262">
        <v>290</v>
      </c>
      <c r="H75" s="262">
        <v>290</v>
      </c>
      <c r="I75" s="262">
        <v>300</v>
      </c>
      <c r="J75" s="262">
        <v>300</v>
      </c>
      <c r="K75" s="262">
        <v>300</v>
      </c>
      <c r="L75" s="262">
        <v>300</v>
      </c>
      <c r="M75" s="262">
        <v>300</v>
      </c>
      <c r="N75" s="262">
        <v>260</v>
      </c>
      <c r="O75" s="262">
        <v>260</v>
      </c>
      <c r="P75" s="262">
        <v>260</v>
      </c>
      <c r="Q75" s="262">
        <v>220</v>
      </c>
      <c r="R75" s="262">
        <v>220</v>
      </c>
      <c r="S75" s="262">
        <v>220</v>
      </c>
      <c r="T75" s="262">
        <v>220</v>
      </c>
      <c r="U75" s="262">
        <v>310</v>
      </c>
      <c r="V75" s="262">
        <v>310</v>
      </c>
      <c r="W75" s="262">
        <v>320</v>
      </c>
      <c r="X75" s="262">
        <v>320</v>
      </c>
      <c r="Y75" s="262">
        <v>330</v>
      </c>
      <c r="Z75" s="262">
        <v>330</v>
      </c>
      <c r="AB75" s="261" t="s">
        <v>96</v>
      </c>
      <c r="AC75" s="262">
        <v>250</v>
      </c>
      <c r="AD75" s="262">
        <v>240</v>
      </c>
      <c r="AE75" s="262">
        <v>240</v>
      </c>
      <c r="AF75" s="262">
        <v>240</v>
      </c>
      <c r="AG75" s="262">
        <v>240</v>
      </c>
      <c r="AH75" s="262">
        <v>230</v>
      </c>
      <c r="AI75" s="262">
        <v>230</v>
      </c>
      <c r="AJ75" s="262">
        <v>240</v>
      </c>
      <c r="AK75" s="262">
        <v>240</v>
      </c>
      <c r="AL75" s="262">
        <v>240</v>
      </c>
      <c r="AM75" s="262">
        <v>240</v>
      </c>
      <c r="AN75" s="262">
        <v>240</v>
      </c>
      <c r="AO75" s="262">
        <v>210</v>
      </c>
      <c r="AP75" s="262">
        <v>210</v>
      </c>
      <c r="AQ75" s="262">
        <v>210</v>
      </c>
      <c r="AR75" s="262">
        <v>170</v>
      </c>
      <c r="AS75" s="262">
        <v>170</v>
      </c>
      <c r="AT75" s="262">
        <v>170</v>
      </c>
      <c r="AU75" s="262">
        <v>170</v>
      </c>
      <c r="AV75" s="262">
        <v>250</v>
      </c>
      <c r="AW75" s="262">
        <v>250</v>
      </c>
      <c r="AX75" s="262">
        <v>260</v>
      </c>
      <c r="AY75" s="262">
        <v>260</v>
      </c>
      <c r="AZ75" s="262">
        <v>270</v>
      </c>
      <c r="BA75" s="262">
        <v>270</v>
      </c>
      <c r="BC75" s="261" t="s">
        <v>96</v>
      </c>
      <c r="BD75" s="262">
        <v>250</v>
      </c>
      <c r="BE75" s="262">
        <v>240</v>
      </c>
      <c r="BF75" s="262">
        <v>240</v>
      </c>
      <c r="BG75" s="262">
        <v>240</v>
      </c>
      <c r="BH75" s="262">
        <v>240</v>
      </c>
      <c r="BI75" s="262">
        <v>230</v>
      </c>
      <c r="BJ75" s="262">
        <v>230</v>
      </c>
      <c r="BK75" s="262">
        <v>240</v>
      </c>
      <c r="BL75" s="262">
        <v>240</v>
      </c>
      <c r="BM75" s="262">
        <v>240</v>
      </c>
      <c r="BN75" s="262">
        <v>240</v>
      </c>
      <c r="BO75" s="262">
        <v>240</v>
      </c>
      <c r="BP75" s="262">
        <v>210</v>
      </c>
      <c r="BQ75" s="262">
        <v>210</v>
      </c>
      <c r="BR75" s="262">
        <v>210</v>
      </c>
      <c r="BS75" s="262">
        <v>170</v>
      </c>
      <c r="BT75" s="262">
        <v>170</v>
      </c>
      <c r="BU75" s="262">
        <v>170</v>
      </c>
      <c r="BV75" s="262">
        <v>170</v>
      </c>
      <c r="BW75" s="262">
        <v>250</v>
      </c>
      <c r="BX75" s="262">
        <v>250</v>
      </c>
      <c r="BY75" s="262">
        <v>260</v>
      </c>
      <c r="BZ75" s="262">
        <v>260</v>
      </c>
      <c r="CA75" s="262">
        <v>270</v>
      </c>
      <c r="CB75" s="262">
        <v>270</v>
      </c>
    </row>
    <row r="76" spans="1:80">
      <c r="A76" s="261" t="s">
        <v>97</v>
      </c>
      <c r="B76" s="262">
        <v>300</v>
      </c>
      <c r="C76" s="262">
        <v>300</v>
      </c>
      <c r="D76" s="262">
        <v>300</v>
      </c>
      <c r="E76" s="262">
        <v>300</v>
      </c>
      <c r="F76" s="262">
        <v>300</v>
      </c>
      <c r="G76" s="262">
        <v>290</v>
      </c>
      <c r="H76" s="262">
        <v>290</v>
      </c>
      <c r="I76" s="262">
        <v>300</v>
      </c>
      <c r="J76" s="262">
        <v>300</v>
      </c>
      <c r="K76" s="262">
        <v>300</v>
      </c>
      <c r="L76" s="262">
        <v>300</v>
      </c>
      <c r="M76" s="262">
        <v>300</v>
      </c>
      <c r="N76" s="262">
        <v>260</v>
      </c>
      <c r="O76" s="262">
        <v>260</v>
      </c>
      <c r="P76" s="262">
        <v>260</v>
      </c>
      <c r="Q76" s="262">
        <v>220</v>
      </c>
      <c r="R76" s="262">
        <v>220</v>
      </c>
      <c r="S76" s="262">
        <v>220</v>
      </c>
      <c r="T76" s="263">
        <v>220</v>
      </c>
      <c r="U76" s="263">
        <v>310</v>
      </c>
      <c r="V76" s="263">
        <v>310</v>
      </c>
      <c r="W76" s="263">
        <v>320</v>
      </c>
      <c r="X76" s="263">
        <v>320</v>
      </c>
      <c r="Y76" s="263">
        <v>330</v>
      </c>
      <c r="Z76" s="263">
        <v>330</v>
      </c>
      <c r="AB76" s="261" t="s">
        <v>97</v>
      </c>
      <c r="AC76" s="262">
        <v>250</v>
      </c>
      <c r="AD76" s="262">
        <v>240</v>
      </c>
      <c r="AE76" s="262">
        <v>240</v>
      </c>
      <c r="AF76" s="262">
        <v>240</v>
      </c>
      <c r="AG76" s="262">
        <v>240</v>
      </c>
      <c r="AH76" s="262">
        <v>230</v>
      </c>
      <c r="AI76" s="262">
        <v>230</v>
      </c>
      <c r="AJ76" s="262">
        <v>240</v>
      </c>
      <c r="AK76" s="262">
        <v>240</v>
      </c>
      <c r="AL76" s="262">
        <v>240</v>
      </c>
      <c r="AM76" s="262">
        <v>240</v>
      </c>
      <c r="AN76" s="262">
        <v>240</v>
      </c>
      <c r="AO76" s="262">
        <v>210</v>
      </c>
      <c r="AP76" s="262">
        <v>210</v>
      </c>
      <c r="AQ76" s="262">
        <v>210</v>
      </c>
      <c r="AR76" s="262">
        <v>170</v>
      </c>
      <c r="AS76" s="262">
        <v>170</v>
      </c>
      <c r="AT76" s="262">
        <v>170</v>
      </c>
      <c r="AU76" s="263">
        <v>170</v>
      </c>
      <c r="AV76" s="263">
        <v>250</v>
      </c>
      <c r="AW76" s="263">
        <v>250</v>
      </c>
      <c r="AX76" s="263">
        <v>260</v>
      </c>
      <c r="AY76" s="263">
        <v>260</v>
      </c>
      <c r="AZ76" s="263">
        <v>270</v>
      </c>
      <c r="BA76" s="263">
        <v>270</v>
      </c>
      <c r="BC76" s="261" t="s">
        <v>97</v>
      </c>
      <c r="BD76" s="262">
        <v>250</v>
      </c>
      <c r="BE76" s="262">
        <v>240</v>
      </c>
      <c r="BF76" s="262">
        <v>240</v>
      </c>
      <c r="BG76" s="262">
        <v>240</v>
      </c>
      <c r="BH76" s="262">
        <v>240</v>
      </c>
      <c r="BI76" s="262">
        <v>230</v>
      </c>
      <c r="BJ76" s="262">
        <v>230</v>
      </c>
      <c r="BK76" s="262">
        <v>240</v>
      </c>
      <c r="BL76" s="262">
        <v>240</v>
      </c>
      <c r="BM76" s="262">
        <v>240</v>
      </c>
      <c r="BN76" s="262">
        <v>240</v>
      </c>
      <c r="BO76" s="262">
        <v>240</v>
      </c>
      <c r="BP76" s="262">
        <v>210</v>
      </c>
      <c r="BQ76" s="262">
        <v>210</v>
      </c>
      <c r="BR76" s="262">
        <v>210</v>
      </c>
      <c r="BS76" s="262">
        <v>170</v>
      </c>
      <c r="BT76" s="262">
        <v>170</v>
      </c>
      <c r="BU76" s="262">
        <v>170</v>
      </c>
      <c r="BV76" s="263">
        <v>170</v>
      </c>
      <c r="BW76" s="263">
        <v>250</v>
      </c>
      <c r="BX76" s="263">
        <v>250</v>
      </c>
      <c r="BY76" s="263">
        <v>260</v>
      </c>
      <c r="BZ76" s="263">
        <v>260</v>
      </c>
      <c r="CA76" s="263">
        <v>270</v>
      </c>
      <c r="CB76" s="263">
        <v>270</v>
      </c>
    </row>
    <row r="77" spans="1:80">
      <c r="A77" s="261" t="s">
        <v>98</v>
      </c>
      <c r="B77" s="262">
        <v>300</v>
      </c>
      <c r="C77" s="262">
        <v>300</v>
      </c>
      <c r="D77" s="262">
        <v>300</v>
      </c>
      <c r="E77" s="262">
        <v>300</v>
      </c>
      <c r="F77" s="262">
        <v>300</v>
      </c>
      <c r="G77" s="262">
        <v>290</v>
      </c>
      <c r="H77" s="262">
        <v>290</v>
      </c>
      <c r="I77" s="262">
        <v>300</v>
      </c>
      <c r="J77" s="262">
        <v>300</v>
      </c>
      <c r="K77" s="262">
        <v>300</v>
      </c>
      <c r="L77" s="262">
        <v>300</v>
      </c>
      <c r="M77" s="262">
        <v>300</v>
      </c>
      <c r="N77" s="262">
        <v>260</v>
      </c>
      <c r="O77" s="262">
        <v>260</v>
      </c>
      <c r="P77" s="262">
        <v>260</v>
      </c>
      <c r="Q77" s="262">
        <v>220</v>
      </c>
      <c r="R77" s="262">
        <v>220</v>
      </c>
      <c r="S77" s="262">
        <v>220</v>
      </c>
      <c r="T77" s="263">
        <v>220</v>
      </c>
      <c r="U77" s="263">
        <v>310</v>
      </c>
      <c r="V77" s="263">
        <v>310</v>
      </c>
      <c r="W77" s="263">
        <v>320</v>
      </c>
      <c r="X77" s="263">
        <v>320</v>
      </c>
      <c r="Y77" s="263">
        <v>330</v>
      </c>
      <c r="Z77" s="263">
        <v>330</v>
      </c>
      <c r="AB77" s="261" t="s">
        <v>98</v>
      </c>
      <c r="AC77" s="262">
        <v>250</v>
      </c>
      <c r="AD77" s="262">
        <v>240</v>
      </c>
      <c r="AE77" s="262">
        <v>240</v>
      </c>
      <c r="AF77" s="262">
        <v>240</v>
      </c>
      <c r="AG77" s="262">
        <v>240</v>
      </c>
      <c r="AH77" s="262">
        <v>230</v>
      </c>
      <c r="AI77" s="262">
        <v>230</v>
      </c>
      <c r="AJ77" s="262">
        <v>240</v>
      </c>
      <c r="AK77" s="262">
        <v>240</v>
      </c>
      <c r="AL77" s="262">
        <v>240</v>
      </c>
      <c r="AM77" s="262">
        <v>240</v>
      </c>
      <c r="AN77" s="262">
        <v>240</v>
      </c>
      <c r="AO77" s="262">
        <v>210</v>
      </c>
      <c r="AP77" s="262">
        <v>210</v>
      </c>
      <c r="AQ77" s="262">
        <v>210</v>
      </c>
      <c r="AR77" s="262">
        <v>170</v>
      </c>
      <c r="AS77" s="262">
        <v>170</v>
      </c>
      <c r="AT77" s="262">
        <v>170</v>
      </c>
      <c r="AU77" s="263">
        <v>170</v>
      </c>
      <c r="AV77" s="263">
        <v>250</v>
      </c>
      <c r="AW77" s="263">
        <v>250</v>
      </c>
      <c r="AX77" s="263">
        <v>260</v>
      </c>
      <c r="AY77" s="263">
        <v>260</v>
      </c>
      <c r="AZ77" s="263">
        <v>270</v>
      </c>
      <c r="BA77" s="263">
        <v>270</v>
      </c>
      <c r="BC77" s="261" t="s">
        <v>98</v>
      </c>
      <c r="BD77" s="262">
        <v>250</v>
      </c>
      <c r="BE77" s="262">
        <v>240</v>
      </c>
      <c r="BF77" s="262">
        <v>240</v>
      </c>
      <c r="BG77" s="262">
        <v>240</v>
      </c>
      <c r="BH77" s="262">
        <v>240</v>
      </c>
      <c r="BI77" s="262">
        <v>230</v>
      </c>
      <c r="BJ77" s="262">
        <v>230</v>
      </c>
      <c r="BK77" s="262">
        <v>240</v>
      </c>
      <c r="BL77" s="262">
        <v>240</v>
      </c>
      <c r="BM77" s="262">
        <v>240</v>
      </c>
      <c r="BN77" s="262">
        <v>240</v>
      </c>
      <c r="BO77" s="262">
        <v>240</v>
      </c>
      <c r="BP77" s="262">
        <v>210</v>
      </c>
      <c r="BQ77" s="262">
        <v>210</v>
      </c>
      <c r="BR77" s="262">
        <v>210</v>
      </c>
      <c r="BS77" s="262">
        <v>170</v>
      </c>
      <c r="BT77" s="262">
        <v>170</v>
      </c>
      <c r="BU77" s="262">
        <v>170</v>
      </c>
      <c r="BV77" s="263">
        <v>170</v>
      </c>
      <c r="BW77" s="263">
        <v>250</v>
      </c>
      <c r="BX77" s="263">
        <v>250</v>
      </c>
      <c r="BY77" s="263">
        <v>260</v>
      </c>
      <c r="BZ77" s="263">
        <v>260</v>
      </c>
      <c r="CA77" s="263">
        <v>270</v>
      </c>
      <c r="CB77" s="263">
        <v>270</v>
      </c>
    </row>
    <row r="78" spans="1:80">
      <c r="A78" s="261" t="s">
        <v>99</v>
      </c>
      <c r="B78" s="262">
        <v>460</v>
      </c>
      <c r="C78" s="262">
        <v>450</v>
      </c>
      <c r="D78" s="262">
        <v>450</v>
      </c>
      <c r="E78" s="262">
        <v>450</v>
      </c>
      <c r="F78" s="262">
        <v>450</v>
      </c>
      <c r="G78" s="262">
        <v>430</v>
      </c>
      <c r="H78" s="262">
        <v>430</v>
      </c>
      <c r="I78" s="262">
        <v>440</v>
      </c>
      <c r="J78" s="262">
        <v>440</v>
      </c>
      <c r="K78" s="262">
        <v>440</v>
      </c>
      <c r="L78" s="262">
        <v>440</v>
      </c>
      <c r="M78" s="262">
        <v>440</v>
      </c>
      <c r="N78" s="262">
        <v>330</v>
      </c>
      <c r="O78" s="262">
        <v>330</v>
      </c>
      <c r="P78" s="262">
        <v>330</v>
      </c>
      <c r="Q78" s="262">
        <v>310</v>
      </c>
      <c r="R78" s="262">
        <v>310</v>
      </c>
      <c r="S78" s="262">
        <v>310</v>
      </c>
      <c r="T78" s="263">
        <v>310</v>
      </c>
      <c r="U78" s="263">
        <v>220</v>
      </c>
      <c r="V78" s="263">
        <v>220</v>
      </c>
      <c r="W78" s="263">
        <v>230</v>
      </c>
      <c r="X78" s="263">
        <v>230</v>
      </c>
      <c r="Y78" s="263">
        <v>270</v>
      </c>
      <c r="Z78" s="263">
        <v>270</v>
      </c>
      <c r="AB78" s="261" t="s">
        <v>99</v>
      </c>
      <c r="AC78" s="262">
        <v>390</v>
      </c>
      <c r="AD78" s="262">
        <v>380</v>
      </c>
      <c r="AE78" s="262">
        <v>380</v>
      </c>
      <c r="AF78" s="262">
        <v>380</v>
      </c>
      <c r="AG78" s="262">
        <v>380</v>
      </c>
      <c r="AH78" s="262">
        <v>360</v>
      </c>
      <c r="AI78" s="262">
        <v>360</v>
      </c>
      <c r="AJ78" s="262">
        <v>370</v>
      </c>
      <c r="AK78" s="262">
        <v>370</v>
      </c>
      <c r="AL78" s="262">
        <v>370</v>
      </c>
      <c r="AM78" s="262">
        <v>370</v>
      </c>
      <c r="AN78" s="262">
        <v>370</v>
      </c>
      <c r="AO78" s="262">
        <v>270</v>
      </c>
      <c r="AP78" s="262">
        <v>270</v>
      </c>
      <c r="AQ78" s="262">
        <v>270</v>
      </c>
      <c r="AR78" s="262">
        <v>250</v>
      </c>
      <c r="AS78" s="262">
        <v>250</v>
      </c>
      <c r="AT78" s="262">
        <v>250</v>
      </c>
      <c r="AU78" s="263">
        <v>250</v>
      </c>
      <c r="AV78" s="263">
        <v>170</v>
      </c>
      <c r="AW78" s="263">
        <v>170</v>
      </c>
      <c r="AX78" s="263">
        <v>180</v>
      </c>
      <c r="AY78" s="263">
        <v>180</v>
      </c>
      <c r="AZ78" s="263">
        <v>220</v>
      </c>
      <c r="BA78" s="263">
        <v>220</v>
      </c>
      <c r="BC78" s="261" t="s">
        <v>99</v>
      </c>
      <c r="BD78" s="262">
        <v>390</v>
      </c>
      <c r="BE78" s="262">
        <v>380</v>
      </c>
      <c r="BF78" s="262">
        <v>380</v>
      </c>
      <c r="BG78" s="262">
        <v>380</v>
      </c>
      <c r="BH78" s="262">
        <v>380</v>
      </c>
      <c r="BI78" s="262">
        <v>360</v>
      </c>
      <c r="BJ78" s="262">
        <v>360</v>
      </c>
      <c r="BK78" s="262">
        <v>370</v>
      </c>
      <c r="BL78" s="262">
        <v>370</v>
      </c>
      <c r="BM78" s="262">
        <v>370</v>
      </c>
      <c r="BN78" s="262">
        <v>370</v>
      </c>
      <c r="BO78" s="262">
        <v>370</v>
      </c>
      <c r="BP78" s="262">
        <v>270</v>
      </c>
      <c r="BQ78" s="262">
        <v>270</v>
      </c>
      <c r="BR78" s="262">
        <v>270</v>
      </c>
      <c r="BS78" s="262">
        <v>250</v>
      </c>
      <c r="BT78" s="262">
        <v>250</v>
      </c>
      <c r="BU78" s="262">
        <v>250</v>
      </c>
      <c r="BV78" s="263">
        <v>250</v>
      </c>
      <c r="BW78" s="263">
        <v>170</v>
      </c>
      <c r="BX78" s="263">
        <v>170</v>
      </c>
      <c r="BY78" s="263">
        <v>180</v>
      </c>
      <c r="BZ78" s="263">
        <v>180</v>
      </c>
      <c r="CA78" s="263">
        <v>220</v>
      </c>
      <c r="CB78" s="263">
        <v>220</v>
      </c>
    </row>
    <row r="79" spans="1:80">
      <c r="A79" s="261" t="s">
        <v>100</v>
      </c>
      <c r="B79" s="262">
        <v>460</v>
      </c>
      <c r="C79" s="262">
        <v>450</v>
      </c>
      <c r="D79" s="262">
        <v>450</v>
      </c>
      <c r="E79" s="262">
        <v>450</v>
      </c>
      <c r="F79" s="262">
        <v>450</v>
      </c>
      <c r="G79" s="262">
        <v>430</v>
      </c>
      <c r="H79" s="262">
        <v>430</v>
      </c>
      <c r="I79" s="262">
        <v>440</v>
      </c>
      <c r="J79" s="262">
        <v>440</v>
      </c>
      <c r="K79" s="262">
        <v>440</v>
      </c>
      <c r="L79" s="262">
        <v>440</v>
      </c>
      <c r="M79" s="262">
        <v>440</v>
      </c>
      <c r="N79" s="262">
        <v>330</v>
      </c>
      <c r="O79" s="262">
        <v>330</v>
      </c>
      <c r="P79" s="262">
        <v>330</v>
      </c>
      <c r="Q79" s="262">
        <v>310</v>
      </c>
      <c r="R79" s="262">
        <v>310</v>
      </c>
      <c r="S79" s="262">
        <v>310</v>
      </c>
      <c r="T79" s="263">
        <v>310</v>
      </c>
      <c r="U79" s="263">
        <v>220</v>
      </c>
      <c r="V79" s="263">
        <v>220</v>
      </c>
      <c r="W79" s="263">
        <v>230</v>
      </c>
      <c r="X79" s="263">
        <v>230</v>
      </c>
      <c r="Y79" s="263">
        <v>270</v>
      </c>
      <c r="Z79" s="263">
        <v>270</v>
      </c>
      <c r="AB79" s="261" t="s">
        <v>100</v>
      </c>
      <c r="AC79" s="262">
        <v>390</v>
      </c>
      <c r="AD79" s="262">
        <v>380</v>
      </c>
      <c r="AE79" s="262">
        <v>380</v>
      </c>
      <c r="AF79" s="262">
        <v>380</v>
      </c>
      <c r="AG79" s="262">
        <v>380</v>
      </c>
      <c r="AH79" s="262">
        <v>360</v>
      </c>
      <c r="AI79" s="262">
        <v>360</v>
      </c>
      <c r="AJ79" s="262">
        <v>370</v>
      </c>
      <c r="AK79" s="262">
        <v>370</v>
      </c>
      <c r="AL79" s="262">
        <v>370</v>
      </c>
      <c r="AM79" s="262">
        <v>370</v>
      </c>
      <c r="AN79" s="262">
        <v>370</v>
      </c>
      <c r="AO79" s="262">
        <v>270</v>
      </c>
      <c r="AP79" s="262">
        <v>270</v>
      </c>
      <c r="AQ79" s="262">
        <v>270</v>
      </c>
      <c r="AR79" s="262">
        <v>250</v>
      </c>
      <c r="AS79" s="262">
        <v>250</v>
      </c>
      <c r="AT79" s="262">
        <v>250</v>
      </c>
      <c r="AU79" s="263">
        <v>250</v>
      </c>
      <c r="AV79" s="263">
        <v>170</v>
      </c>
      <c r="AW79" s="263">
        <v>170</v>
      </c>
      <c r="AX79" s="263">
        <v>180</v>
      </c>
      <c r="AY79" s="263">
        <v>180</v>
      </c>
      <c r="AZ79" s="263">
        <v>220</v>
      </c>
      <c r="BA79" s="263">
        <v>220</v>
      </c>
      <c r="BC79" s="261" t="s">
        <v>100</v>
      </c>
      <c r="BD79" s="262">
        <v>390</v>
      </c>
      <c r="BE79" s="262">
        <v>380</v>
      </c>
      <c r="BF79" s="262">
        <v>380</v>
      </c>
      <c r="BG79" s="262">
        <v>380</v>
      </c>
      <c r="BH79" s="262">
        <v>380</v>
      </c>
      <c r="BI79" s="262">
        <v>360</v>
      </c>
      <c r="BJ79" s="262">
        <v>360</v>
      </c>
      <c r="BK79" s="262">
        <v>370</v>
      </c>
      <c r="BL79" s="262">
        <v>370</v>
      </c>
      <c r="BM79" s="262">
        <v>370</v>
      </c>
      <c r="BN79" s="262">
        <v>370</v>
      </c>
      <c r="BO79" s="262">
        <v>370</v>
      </c>
      <c r="BP79" s="262">
        <v>270</v>
      </c>
      <c r="BQ79" s="262">
        <v>270</v>
      </c>
      <c r="BR79" s="262">
        <v>270</v>
      </c>
      <c r="BS79" s="262">
        <v>250</v>
      </c>
      <c r="BT79" s="262">
        <v>250</v>
      </c>
      <c r="BU79" s="262">
        <v>250</v>
      </c>
      <c r="BV79" s="263">
        <v>250</v>
      </c>
      <c r="BW79" s="263">
        <v>170</v>
      </c>
      <c r="BX79" s="263">
        <v>170</v>
      </c>
      <c r="BY79" s="263">
        <v>180</v>
      </c>
      <c r="BZ79" s="263">
        <v>180</v>
      </c>
      <c r="CA79" s="263">
        <v>220</v>
      </c>
      <c r="CB79" s="263">
        <v>220</v>
      </c>
    </row>
    <row r="80" spans="1:80">
      <c r="A80" s="261" t="s">
        <v>101</v>
      </c>
      <c r="B80" s="262">
        <v>480</v>
      </c>
      <c r="C80" s="262">
        <v>460</v>
      </c>
      <c r="D80" s="262">
        <v>460</v>
      </c>
      <c r="E80" s="262">
        <v>460</v>
      </c>
      <c r="F80" s="262">
        <v>460</v>
      </c>
      <c r="G80" s="262">
        <v>430</v>
      </c>
      <c r="H80" s="262">
        <v>430</v>
      </c>
      <c r="I80" s="262">
        <v>440</v>
      </c>
      <c r="J80" s="262">
        <v>440</v>
      </c>
      <c r="K80" s="262">
        <v>440</v>
      </c>
      <c r="L80" s="262">
        <v>450</v>
      </c>
      <c r="M80" s="262">
        <v>450</v>
      </c>
      <c r="N80" s="262">
        <v>340</v>
      </c>
      <c r="O80" s="262">
        <v>340</v>
      </c>
      <c r="P80" s="262">
        <v>340</v>
      </c>
      <c r="Q80" s="262">
        <v>320</v>
      </c>
      <c r="R80" s="262">
        <v>320</v>
      </c>
      <c r="S80" s="262">
        <v>320</v>
      </c>
      <c r="T80" s="263">
        <v>320</v>
      </c>
      <c r="U80" s="263">
        <v>230</v>
      </c>
      <c r="V80" s="263">
        <v>230</v>
      </c>
      <c r="W80" s="263">
        <v>220</v>
      </c>
      <c r="X80" s="263">
        <v>220</v>
      </c>
      <c r="Y80" s="263">
        <v>230</v>
      </c>
      <c r="Z80" s="263">
        <v>230</v>
      </c>
      <c r="AB80" s="261" t="s">
        <v>101</v>
      </c>
      <c r="AC80" s="262">
        <v>410</v>
      </c>
      <c r="AD80" s="262">
        <v>390</v>
      </c>
      <c r="AE80" s="262">
        <v>390</v>
      </c>
      <c r="AF80" s="262">
        <v>390</v>
      </c>
      <c r="AG80" s="262">
        <v>390</v>
      </c>
      <c r="AH80" s="262">
        <v>360</v>
      </c>
      <c r="AI80" s="262">
        <v>360</v>
      </c>
      <c r="AJ80" s="262">
        <v>370</v>
      </c>
      <c r="AK80" s="262">
        <v>370</v>
      </c>
      <c r="AL80" s="262">
        <v>370</v>
      </c>
      <c r="AM80" s="262">
        <v>380</v>
      </c>
      <c r="AN80" s="262">
        <v>380</v>
      </c>
      <c r="AO80" s="262">
        <v>280</v>
      </c>
      <c r="AP80" s="262">
        <v>280</v>
      </c>
      <c r="AQ80" s="262">
        <v>280</v>
      </c>
      <c r="AR80" s="262">
        <v>260</v>
      </c>
      <c r="AS80" s="262">
        <v>260</v>
      </c>
      <c r="AT80" s="262">
        <v>260</v>
      </c>
      <c r="AU80" s="263">
        <v>260</v>
      </c>
      <c r="AV80" s="263">
        <v>180</v>
      </c>
      <c r="AW80" s="263">
        <v>180</v>
      </c>
      <c r="AX80" s="263">
        <v>170</v>
      </c>
      <c r="AY80" s="263">
        <v>170</v>
      </c>
      <c r="AZ80" s="263">
        <v>180</v>
      </c>
      <c r="BA80" s="263">
        <v>180</v>
      </c>
      <c r="BC80" s="261" t="s">
        <v>101</v>
      </c>
      <c r="BD80" s="262">
        <v>410</v>
      </c>
      <c r="BE80" s="262">
        <v>390</v>
      </c>
      <c r="BF80" s="262">
        <v>390</v>
      </c>
      <c r="BG80" s="262">
        <v>390</v>
      </c>
      <c r="BH80" s="262">
        <v>390</v>
      </c>
      <c r="BI80" s="262">
        <v>360</v>
      </c>
      <c r="BJ80" s="262">
        <v>360</v>
      </c>
      <c r="BK80" s="262">
        <v>370</v>
      </c>
      <c r="BL80" s="262">
        <v>370</v>
      </c>
      <c r="BM80" s="262">
        <v>370</v>
      </c>
      <c r="BN80" s="262">
        <v>380</v>
      </c>
      <c r="BO80" s="262">
        <v>380</v>
      </c>
      <c r="BP80" s="262">
        <v>280</v>
      </c>
      <c r="BQ80" s="262">
        <v>280</v>
      </c>
      <c r="BR80" s="262">
        <v>280</v>
      </c>
      <c r="BS80" s="262">
        <v>260</v>
      </c>
      <c r="BT80" s="262">
        <v>260</v>
      </c>
      <c r="BU80" s="262">
        <v>260</v>
      </c>
      <c r="BV80" s="263">
        <v>260</v>
      </c>
      <c r="BW80" s="263">
        <v>180</v>
      </c>
      <c r="BX80" s="263">
        <v>180</v>
      </c>
      <c r="BY80" s="263">
        <v>170</v>
      </c>
      <c r="BZ80" s="263">
        <v>170</v>
      </c>
      <c r="CA80" s="263">
        <v>180</v>
      </c>
      <c r="CB80" s="263">
        <v>180</v>
      </c>
    </row>
    <row r="81" spans="1:80">
      <c r="A81" s="261" t="s">
        <v>102</v>
      </c>
      <c r="B81" s="262">
        <v>480</v>
      </c>
      <c r="C81" s="262">
        <v>460</v>
      </c>
      <c r="D81" s="262">
        <v>460</v>
      </c>
      <c r="E81" s="262">
        <v>460</v>
      </c>
      <c r="F81" s="262">
        <v>460</v>
      </c>
      <c r="G81" s="262">
        <v>430</v>
      </c>
      <c r="H81" s="262">
        <v>430</v>
      </c>
      <c r="I81" s="262">
        <v>440</v>
      </c>
      <c r="J81" s="262">
        <v>440</v>
      </c>
      <c r="K81" s="262">
        <v>440</v>
      </c>
      <c r="L81" s="262">
        <v>450</v>
      </c>
      <c r="M81" s="262">
        <v>450</v>
      </c>
      <c r="N81" s="262">
        <v>340</v>
      </c>
      <c r="O81" s="262">
        <v>340</v>
      </c>
      <c r="P81" s="262">
        <v>340</v>
      </c>
      <c r="Q81" s="262">
        <v>320</v>
      </c>
      <c r="R81" s="262">
        <v>320</v>
      </c>
      <c r="S81" s="262">
        <v>320</v>
      </c>
      <c r="T81" s="263">
        <v>320</v>
      </c>
      <c r="U81" s="263">
        <v>230</v>
      </c>
      <c r="V81" s="263">
        <v>230</v>
      </c>
      <c r="W81" s="263">
        <v>220</v>
      </c>
      <c r="X81" s="263">
        <v>220</v>
      </c>
      <c r="Y81" s="263">
        <v>230</v>
      </c>
      <c r="Z81" s="263">
        <v>230</v>
      </c>
      <c r="AB81" s="261" t="s">
        <v>102</v>
      </c>
      <c r="AC81" s="262">
        <v>410</v>
      </c>
      <c r="AD81" s="262">
        <v>390</v>
      </c>
      <c r="AE81" s="262">
        <v>390</v>
      </c>
      <c r="AF81" s="262">
        <v>390</v>
      </c>
      <c r="AG81" s="262">
        <v>390</v>
      </c>
      <c r="AH81" s="262">
        <v>360</v>
      </c>
      <c r="AI81" s="262">
        <v>360</v>
      </c>
      <c r="AJ81" s="262">
        <v>370</v>
      </c>
      <c r="AK81" s="262">
        <v>370</v>
      </c>
      <c r="AL81" s="262">
        <v>370</v>
      </c>
      <c r="AM81" s="262">
        <v>380</v>
      </c>
      <c r="AN81" s="262">
        <v>380</v>
      </c>
      <c r="AO81" s="262">
        <v>280</v>
      </c>
      <c r="AP81" s="262">
        <v>280</v>
      </c>
      <c r="AQ81" s="262">
        <v>280</v>
      </c>
      <c r="AR81" s="262">
        <v>260</v>
      </c>
      <c r="AS81" s="262">
        <v>260</v>
      </c>
      <c r="AT81" s="262">
        <v>260</v>
      </c>
      <c r="AU81" s="263">
        <v>260</v>
      </c>
      <c r="AV81" s="263">
        <v>180</v>
      </c>
      <c r="AW81" s="263">
        <v>180</v>
      </c>
      <c r="AX81" s="263">
        <v>170</v>
      </c>
      <c r="AY81" s="263">
        <v>170</v>
      </c>
      <c r="AZ81" s="263">
        <v>180</v>
      </c>
      <c r="BA81" s="263">
        <v>180</v>
      </c>
      <c r="BC81" s="261" t="s">
        <v>102</v>
      </c>
      <c r="BD81" s="262">
        <v>410</v>
      </c>
      <c r="BE81" s="262">
        <v>390</v>
      </c>
      <c r="BF81" s="262">
        <v>390</v>
      </c>
      <c r="BG81" s="262">
        <v>390</v>
      </c>
      <c r="BH81" s="262">
        <v>390</v>
      </c>
      <c r="BI81" s="262">
        <v>360</v>
      </c>
      <c r="BJ81" s="262">
        <v>360</v>
      </c>
      <c r="BK81" s="262">
        <v>370</v>
      </c>
      <c r="BL81" s="262">
        <v>370</v>
      </c>
      <c r="BM81" s="262">
        <v>370</v>
      </c>
      <c r="BN81" s="262">
        <v>380</v>
      </c>
      <c r="BO81" s="262">
        <v>380</v>
      </c>
      <c r="BP81" s="262">
        <v>280</v>
      </c>
      <c r="BQ81" s="262">
        <v>280</v>
      </c>
      <c r="BR81" s="262">
        <v>280</v>
      </c>
      <c r="BS81" s="262">
        <v>260</v>
      </c>
      <c r="BT81" s="262">
        <v>260</v>
      </c>
      <c r="BU81" s="262">
        <v>260</v>
      </c>
      <c r="BV81" s="263">
        <v>260</v>
      </c>
      <c r="BW81" s="263">
        <v>180</v>
      </c>
      <c r="BX81" s="263">
        <v>180</v>
      </c>
      <c r="BY81" s="263">
        <v>170</v>
      </c>
      <c r="BZ81" s="263">
        <v>170</v>
      </c>
      <c r="CA81" s="263">
        <v>180</v>
      </c>
      <c r="CB81" s="263">
        <v>180</v>
      </c>
    </row>
    <row r="82" spans="1:80">
      <c r="A82" s="261" t="s">
        <v>103</v>
      </c>
      <c r="B82" s="262">
        <v>490</v>
      </c>
      <c r="C82" s="262">
        <v>460</v>
      </c>
      <c r="D82" s="262">
        <v>460</v>
      </c>
      <c r="E82" s="262">
        <v>460</v>
      </c>
      <c r="F82" s="262">
        <v>460</v>
      </c>
      <c r="G82" s="262">
        <v>440</v>
      </c>
      <c r="H82" s="262">
        <v>440</v>
      </c>
      <c r="I82" s="262">
        <v>450</v>
      </c>
      <c r="J82" s="262">
        <v>450</v>
      </c>
      <c r="K82" s="262">
        <v>450</v>
      </c>
      <c r="L82" s="262">
        <v>460</v>
      </c>
      <c r="M82" s="262">
        <v>460</v>
      </c>
      <c r="N82" s="262">
        <v>400</v>
      </c>
      <c r="O82" s="262">
        <v>400</v>
      </c>
      <c r="P82" s="262">
        <v>400</v>
      </c>
      <c r="Q82" s="262">
        <v>330</v>
      </c>
      <c r="R82" s="262">
        <v>330</v>
      </c>
      <c r="S82" s="262">
        <v>330</v>
      </c>
      <c r="T82" s="263">
        <v>330</v>
      </c>
      <c r="U82" s="263">
        <v>270</v>
      </c>
      <c r="V82" s="263">
        <v>270</v>
      </c>
      <c r="W82" s="263">
        <v>230</v>
      </c>
      <c r="X82" s="263">
        <v>230</v>
      </c>
      <c r="Y82" s="263">
        <v>220</v>
      </c>
      <c r="Z82" s="263">
        <v>220</v>
      </c>
      <c r="AB82" s="261" t="s">
        <v>103</v>
      </c>
      <c r="AC82" s="262">
        <v>410</v>
      </c>
      <c r="AD82" s="262">
        <v>390</v>
      </c>
      <c r="AE82" s="262">
        <v>390</v>
      </c>
      <c r="AF82" s="262">
        <v>390</v>
      </c>
      <c r="AG82" s="262">
        <v>390</v>
      </c>
      <c r="AH82" s="262">
        <v>370</v>
      </c>
      <c r="AI82" s="262">
        <v>370</v>
      </c>
      <c r="AJ82" s="262">
        <v>380</v>
      </c>
      <c r="AK82" s="262">
        <v>380</v>
      </c>
      <c r="AL82" s="262">
        <v>380</v>
      </c>
      <c r="AM82" s="262">
        <v>390</v>
      </c>
      <c r="AN82" s="262">
        <v>390</v>
      </c>
      <c r="AO82" s="262">
        <v>340</v>
      </c>
      <c r="AP82" s="262">
        <v>340</v>
      </c>
      <c r="AQ82" s="262">
        <v>340</v>
      </c>
      <c r="AR82" s="262">
        <v>270</v>
      </c>
      <c r="AS82" s="262">
        <v>270</v>
      </c>
      <c r="AT82" s="262">
        <v>270</v>
      </c>
      <c r="AU82" s="263">
        <v>270</v>
      </c>
      <c r="AV82" s="263">
        <v>220</v>
      </c>
      <c r="AW82" s="263">
        <v>220</v>
      </c>
      <c r="AX82" s="263">
        <v>180</v>
      </c>
      <c r="AY82" s="263">
        <v>180</v>
      </c>
      <c r="AZ82" s="263">
        <v>170</v>
      </c>
      <c r="BA82" s="263">
        <v>170</v>
      </c>
      <c r="BC82" s="261" t="s">
        <v>103</v>
      </c>
      <c r="BD82" s="262">
        <v>410</v>
      </c>
      <c r="BE82" s="262">
        <v>390</v>
      </c>
      <c r="BF82" s="262">
        <v>390</v>
      </c>
      <c r="BG82" s="262">
        <v>390</v>
      </c>
      <c r="BH82" s="262">
        <v>390</v>
      </c>
      <c r="BI82" s="262">
        <v>370</v>
      </c>
      <c r="BJ82" s="262">
        <v>370</v>
      </c>
      <c r="BK82" s="262">
        <v>380</v>
      </c>
      <c r="BL82" s="262">
        <v>380</v>
      </c>
      <c r="BM82" s="262">
        <v>380</v>
      </c>
      <c r="BN82" s="262">
        <v>390</v>
      </c>
      <c r="BO82" s="262">
        <v>390</v>
      </c>
      <c r="BP82" s="262">
        <v>340</v>
      </c>
      <c r="BQ82" s="262">
        <v>340</v>
      </c>
      <c r="BR82" s="262">
        <v>340</v>
      </c>
      <c r="BS82" s="262">
        <v>270</v>
      </c>
      <c r="BT82" s="262">
        <v>270</v>
      </c>
      <c r="BU82" s="262">
        <v>270</v>
      </c>
      <c r="BV82" s="263">
        <v>270</v>
      </c>
      <c r="BW82" s="263">
        <v>220</v>
      </c>
      <c r="BX82" s="263">
        <v>220</v>
      </c>
      <c r="BY82" s="263">
        <v>180</v>
      </c>
      <c r="BZ82" s="263">
        <v>180</v>
      </c>
      <c r="CA82" s="263">
        <v>170</v>
      </c>
      <c r="CB82" s="263">
        <v>170</v>
      </c>
    </row>
    <row r="83" spans="1:80">
      <c r="A83" s="261" t="s">
        <v>104</v>
      </c>
      <c r="B83" s="262">
        <v>490</v>
      </c>
      <c r="C83" s="262">
        <v>460</v>
      </c>
      <c r="D83" s="262">
        <v>460</v>
      </c>
      <c r="E83" s="262">
        <v>460</v>
      </c>
      <c r="F83" s="262">
        <v>460</v>
      </c>
      <c r="G83" s="262">
        <v>440</v>
      </c>
      <c r="H83" s="262">
        <v>440</v>
      </c>
      <c r="I83" s="262">
        <v>450</v>
      </c>
      <c r="J83" s="262">
        <v>450</v>
      </c>
      <c r="K83" s="262">
        <v>450</v>
      </c>
      <c r="L83" s="262">
        <v>460</v>
      </c>
      <c r="M83" s="262">
        <v>460</v>
      </c>
      <c r="N83" s="262">
        <v>400</v>
      </c>
      <c r="O83" s="262">
        <v>400</v>
      </c>
      <c r="P83" s="262">
        <v>400</v>
      </c>
      <c r="Q83" s="262">
        <v>330</v>
      </c>
      <c r="R83" s="262">
        <v>330</v>
      </c>
      <c r="S83" s="262">
        <v>330</v>
      </c>
      <c r="T83" s="263">
        <v>330</v>
      </c>
      <c r="U83" s="263">
        <v>270</v>
      </c>
      <c r="V83" s="263">
        <v>270</v>
      </c>
      <c r="W83" s="263">
        <v>230</v>
      </c>
      <c r="X83" s="263">
        <v>230</v>
      </c>
      <c r="Y83" s="263">
        <v>220</v>
      </c>
      <c r="Z83" s="263">
        <v>220</v>
      </c>
      <c r="AB83" s="261" t="s">
        <v>104</v>
      </c>
      <c r="AC83" s="262">
        <v>410</v>
      </c>
      <c r="AD83" s="262">
        <v>390</v>
      </c>
      <c r="AE83" s="262">
        <v>390</v>
      </c>
      <c r="AF83" s="262">
        <v>390</v>
      </c>
      <c r="AG83" s="262">
        <v>390</v>
      </c>
      <c r="AH83" s="262">
        <v>370</v>
      </c>
      <c r="AI83" s="262">
        <v>370</v>
      </c>
      <c r="AJ83" s="262">
        <v>380</v>
      </c>
      <c r="AK83" s="262">
        <v>380</v>
      </c>
      <c r="AL83" s="262">
        <v>380</v>
      </c>
      <c r="AM83" s="262">
        <v>390</v>
      </c>
      <c r="AN83" s="262">
        <v>390</v>
      </c>
      <c r="AO83" s="262">
        <v>340</v>
      </c>
      <c r="AP83" s="262">
        <v>340</v>
      </c>
      <c r="AQ83" s="262">
        <v>340</v>
      </c>
      <c r="AR83" s="262">
        <v>270</v>
      </c>
      <c r="AS83" s="262">
        <v>270</v>
      </c>
      <c r="AT83" s="262">
        <v>270</v>
      </c>
      <c r="AU83" s="263">
        <v>270</v>
      </c>
      <c r="AV83" s="263">
        <v>220</v>
      </c>
      <c r="AW83" s="263">
        <v>220</v>
      </c>
      <c r="AX83" s="263">
        <v>180</v>
      </c>
      <c r="AY83" s="263">
        <v>180</v>
      </c>
      <c r="AZ83" s="263">
        <v>170</v>
      </c>
      <c r="BA83" s="263">
        <v>170</v>
      </c>
      <c r="BC83" s="261" t="s">
        <v>104</v>
      </c>
      <c r="BD83" s="262">
        <v>410</v>
      </c>
      <c r="BE83" s="262">
        <v>390</v>
      </c>
      <c r="BF83" s="262">
        <v>390</v>
      </c>
      <c r="BG83" s="262">
        <v>390</v>
      </c>
      <c r="BH83" s="262">
        <v>390</v>
      </c>
      <c r="BI83" s="262">
        <v>370</v>
      </c>
      <c r="BJ83" s="262">
        <v>370</v>
      </c>
      <c r="BK83" s="262">
        <v>380</v>
      </c>
      <c r="BL83" s="262">
        <v>380</v>
      </c>
      <c r="BM83" s="262">
        <v>380</v>
      </c>
      <c r="BN83" s="262">
        <v>390</v>
      </c>
      <c r="BO83" s="262">
        <v>390</v>
      </c>
      <c r="BP83" s="262">
        <v>340</v>
      </c>
      <c r="BQ83" s="262">
        <v>340</v>
      </c>
      <c r="BR83" s="262">
        <v>340</v>
      </c>
      <c r="BS83" s="262">
        <v>270</v>
      </c>
      <c r="BT83" s="262">
        <v>270</v>
      </c>
      <c r="BU83" s="262">
        <v>270</v>
      </c>
      <c r="BV83" s="263">
        <v>270</v>
      </c>
      <c r="BW83" s="263">
        <v>220</v>
      </c>
      <c r="BX83" s="263">
        <v>220</v>
      </c>
      <c r="BY83" s="263">
        <v>180</v>
      </c>
      <c r="BZ83" s="263">
        <v>180</v>
      </c>
      <c r="CA83" s="263">
        <v>170</v>
      </c>
      <c r="CB83" s="263">
        <v>170</v>
      </c>
    </row>
    <row r="84" spans="1:80">
      <c r="Z84" s="100" cm="1">
        <f t="array" ref="Z84">SUMPRODUCT(ABS((B59:Z83)-(TRANSPOSE(B59:Z83))))</f>
        <v>0</v>
      </c>
    </row>
  </sheetData>
  <mergeCells count="9">
    <mergeCell ref="A57:Z57"/>
    <mergeCell ref="AB57:BA57"/>
    <mergeCell ref="BC57:CB57"/>
    <mergeCell ref="A1:Z1"/>
    <mergeCell ref="AB1:BA1"/>
    <mergeCell ref="BC1:CB1"/>
    <mergeCell ref="A29:Z29"/>
    <mergeCell ref="AB29:BA29"/>
    <mergeCell ref="BC29:CB29"/>
  </mergeCells>
  <conditionalFormatting sqref="Z28">
    <cfRule type="containsText" dxfId="2" priority="3" operator="containsText" text="&quot;FALSO&quot;">
      <formula>NOT(ISERROR(SEARCH("""FALSO""",Z28)))</formula>
    </cfRule>
  </conditionalFormatting>
  <conditionalFormatting sqref="Z56">
    <cfRule type="containsText" dxfId="1" priority="2" operator="containsText" text="&quot;FALSO&quot;">
      <formula>NOT(ISERROR(SEARCH("""FALSO""",Z56)))</formula>
    </cfRule>
  </conditionalFormatting>
  <conditionalFormatting sqref="Z84">
    <cfRule type="containsText" dxfId="0" priority="1" operator="containsText" text="&quot;FALSO&quot;">
      <formula>NOT(ISERROR(SEARCH("""FALSO""",Z84)))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1581-1938-48BC-AA4B-1B0F0A1822A5}">
  <dimension ref="A1:W124"/>
  <sheetViews>
    <sheetView zoomScale="80" zoomScaleNormal="80" workbookViewId="0">
      <selection activeCell="M10" sqref="M10"/>
    </sheetView>
  </sheetViews>
  <sheetFormatPr defaultColWidth="11" defaultRowHeight="15.75"/>
  <cols>
    <col min="1" max="1" width="14" style="16" bestFit="1" customWidth="1"/>
    <col min="2" max="23" width="7.5" style="16" bestFit="1" customWidth="1"/>
  </cols>
  <sheetData>
    <row r="1" spans="1:2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23" ht="69.75" thickBot="1">
      <c r="A2" s="264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7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16</v>
      </c>
      <c r="Q2" s="26" t="s">
        <v>17</v>
      </c>
      <c r="R2" s="26" t="s">
        <v>18</v>
      </c>
      <c r="S2" s="26" t="s">
        <v>19</v>
      </c>
      <c r="T2" s="26" t="s">
        <v>20</v>
      </c>
      <c r="U2" s="26" t="s">
        <v>21</v>
      </c>
      <c r="V2" s="26" t="s">
        <v>22</v>
      </c>
      <c r="W2" s="26" t="s">
        <v>23</v>
      </c>
    </row>
    <row r="3" spans="1:23">
      <c r="A3" s="28" t="s">
        <v>2</v>
      </c>
      <c r="B3" s="29">
        <v>0</v>
      </c>
      <c r="C3" s="30">
        <v>550</v>
      </c>
      <c r="D3" s="30">
        <v>550</v>
      </c>
      <c r="E3" s="30">
        <v>550</v>
      </c>
      <c r="F3" s="30">
        <v>550</v>
      </c>
      <c r="G3" s="30">
        <v>550</v>
      </c>
      <c r="H3" s="30">
        <v>550</v>
      </c>
      <c r="I3" s="30">
        <v>550</v>
      </c>
      <c r="J3" s="30">
        <v>550</v>
      </c>
      <c r="K3" s="30">
        <v>550</v>
      </c>
      <c r="L3" s="30">
        <v>550</v>
      </c>
      <c r="M3" s="31">
        <v>550</v>
      </c>
      <c r="N3" s="156">
        <v>1170</v>
      </c>
      <c r="O3" s="265">
        <v>1170</v>
      </c>
      <c r="P3" s="265">
        <v>1300</v>
      </c>
      <c r="Q3" s="265">
        <v>1300</v>
      </c>
      <c r="R3" s="265">
        <v>1300</v>
      </c>
      <c r="S3" s="265">
        <v>1300</v>
      </c>
      <c r="T3" s="265">
        <v>1300</v>
      </c>
      <c r="U3" s="265">
        <v>2030</v>
      </c>
      <c r="V3" s="265">
        <v>2170</v>
      </c>
      <c r="W3" s="265">
        <v>2170</v>
      </c>
    </row>
    <row r="4" spans="1:23">
      <c r="A4" s="28" t="s">
        <v>3</v>
      </c>
      <c r="B4" s="266">
        <v>550</v>
      </c>
      <c r="C4" s="267">
        <v>0</v>
      </c>
      <c r="D4" s="267">
        <v>550</v>
      </c>
      <c r="E4" s="267">
        <v>550</v>
      </c>
      <c r="F4" s="267">
        <v>550</v>
      </c>
      <c r="G4" s="267">
        <v>550</v>
      </c>
      <c r="H4" s="267">
        <v>550</v>
      </c>
      <c r="I4" s="267">
        <v>550</v>
      </c>
      <c r="J4" s="267">
        <v>550</v>
      </c>
      <c r="K4" s="267">
        <v>550</v>
      </c>
      <c r="L4" s="267">
        <v>550</v>
      </c>
      <c r="M4" s="268">
        <v>550</v>
      </c>
      <c r="N4" s="156">
        <v>1170</v>
      </c>
      <c r="O4" s="265">
        <v>1170</v>
      </c>
      <c r="P4" s="265">
        <v>1300</v>
      </c>
      <c r="Q4" s="265">
        <v>1300</v>
      </c>
      <c r="R4" s="265">
        <v>1300</v>
      </c>
      <c r="S4" s="265">
        <v>1300</v>
      </c>
      <c r="T4" s="265">
        <v>1300</v>
      </c>
      <c r="U4" s="265">
        <v>2030</v>
      </c>
      <c r="V4" s="265">
        <v>2170</v>
      </c>
      <c r="W4" s="265">
        <v>2170</v>
      </c>
    </row>
    <row r="5" spans="1:23">
      <c r="A5" s="28" t="s">
        <v>4</v>
      </c>
      <c r="B5" s="266">
        <v>550</v>
      </c>
      <c r="C5" s="267">
        <v>550</v>
      </c>
      <c r="D5" s="267">
        <v>0</v>
      </c>
      <c r="E5" s="267">
        <v>550</v>
      </c>
      <c r="F5" s="267">
        <v>550</v>
      </c>
      <c r="G5" s="267">
        <v>550</v>
      </c>
      <c r="H5" s="267">
        <v>550</v>
      </c>
      <c r="I5" s="267">
        <v>550</v>
      </c>
      <c r="J5" s="267">
        <v>550</v>
      </c>
      <c r="K5" s="267">
        <v>550</v>
      </c>
      <c r="L5" s="267">
        <v>550</v>
      </c>
      <c r="M5" s="268">
        <v>550</v>
      </c>
      <c r="N5" s="156">
        <v>1170</v>
      </c>
      <c r="O5" s="265">
        <v>1170</v>
      </c>
      <c r="P5" s="265">
        <v>1300</v>
      </c>
      <c r="Q5" s="265">
        <v>1300</v>
      </c>
      <c r="R5" s="265">
        <v>1300</v>
      </c>
      <c r="S5" s="265">
        <v>1300</v>
      </c>
      <c r="T5" s="265">
        <v>1300</v>
      </c>
      <c r="U5" s="265">
        <v>2030</v>
      </c>
      <c r="V5" s="265">
        <v>2170</v>
      </c>
      <c r="W5" s="265">
        <v>2170</v>
      </c>
    </row>
    <row r="6" spans="1:23">
      <c r="A6" s="28" t="s">
        <v>5</v>
      </c>
      <c r="B6" s="266">
        <v>550</v>
      </c>
      <c r="C6" s="267">
        <v>550</v>
      </c>
      <c r="D6" s="267">
        <v>550</v>
      </c>
      <c r="E6" s="267">
        <v>0</v>
      </c>
      <c r="F6" s="267">
        <v>550</v>
      </c>
      <c r="G6" s="267">
        <v>550</v>
      </c>
      <c r="H6" s="267">
        <v>550</v>
      </c>
      <c r="I6" s="267">
        <v>550</v>
      </c>
      <c r="J6" s="267">
        <v>550</v>
      </c>
      <c r="K6" s="267">
        <v>550</v>
      </c>
      <c r="L6" s="267">
        <v>550</v>
      </c>
      <c r="M6" s="268">
        <v>550</v>
      </c>
      <c r="N6" s="156">
        <v>1170</v>
      </c>
      <c r="O6" s="265">
        <v>1170</v>
      </c>
      <c r="P6" s="265">
        <v>1300</v>
      </c>
      <c r="Q6" s="265">
        <v>1300</v>
      </c>
      <c r="R6" s="265">
        <v>1300</v>
      </c>
      <c r="S6" s="265">
        <v>1300</v>
      </c>
      <c r="T6" s="265">
        <v>1300</v>
      </c>
      <c r="U6" s="265">
        <v>2030</v>
      </c>
      <c r="V6" s="265">
        <v>2170</v>
      </c>
      <c r="W6" s="265">
        <v>2170</v>
      </c>
    </row>
    <row r="7" spans="1:23">
      <c r="A7" s="28" t="s">
        <v>6</v>
      </c>
      <c r="B7" s="266">
        <v>550</v>
      </c>
      <c r="C7" s="267">
        <v>550</v>
      </c>
      <c r="D7" s="267">
        <v>550</v>
      </c>
      <c r="E7" s="267">
        <v>550</v>
      </c>
      <c r="F7" s="267">
        <v>0</v>
      </c>
      <c r="G7" s="267">
        <v>550</v>
      </c>
      <c r="H7" s="267">
        <v>550</v>
      </c>
      <c r="I7" s="267">
        <v>550</v>
      </c>
      <c r="J7" s="267">
        <v>550</v>
      </c>
      <c r="K7" s="267">
        <v>550</v>
      </c>
      <c r="L7" s="267">
        <v>550</v>
      </c>
      <c r="M7" s="268">
        <v>550</v>
      </c>
      <c r="N7" s="156">
        <v>1170</v>
      </c>
      <c r="O7" s="265">
        <v>1170</v>
      </c>
      <c r="P7" s="265">
        <v>1300</v>
      </c>
      <c r="Q7" s="265">
        <v>1300</v>
      </c>
      <c r="R7" s="265">
        <v>1300</v>
      </c>
      <c r="S7" s="265">
        <v>1300</v>
      </c>
      <c r="T7" s="265">
        <v>1300</v>
      </c>
      <c r="U7" s="265">
        <v>2030</v>
      </c>
      <c r="V7" s="265">
        <v>2170</v>
      </c>
      <c r="W7" s="265">
        <v>2170</v>
      </c>
    </row>
    <row r="8" spans="1:23">
      <c r="A8" s="28" t="s">
        <v>7</v>
      </c>
      <c r="B8" s="266">
        <v>550</v>
      </c>
      <c r="C8" s="267">
        <v>550</v>
      </c>
      <c r="D8" s="267">
        <v>550</v>
      </c>
      <c r="E8" s="267">
        <v>550</v>
      </c>
      <c r="F8" s="267">
        <v>550</v>
      </c>
      <c r="G8" s="267">
        <v>0</v>
      </c>
      <c r="H8" s="267">
        <v>550</v>
      </c>
      <c r="I8" s="267">
        <v>550</v>
      </c>
      <c r="J8" s="267">
        <v>550</v>
      </c>
      <c r="K8" s="267">
        <v>550</v>
      </c>
      <c r="L8" s="267">
        <v>550</v>
      </c>
      <c r="M8" s="268">
        <v>550</v>
      </c>
      <c r="N8" s="156">
        <v>1170</v>
      </c>
      <c r="O8" s="265">
        <v>1170</v>
      </c>
      <c r="P8" s="265">
        <v>1300</v>
      </c>
      <c r="Q8" s="265">
        <v>1300</v>
      </c>
      <c r="R8" s="265">
        <v>1300</v>
      </c>
      <c r="S8" s="265">
        <v>1300</v>
      </c>
      <c r="T8" s="265">
        <v>1300</v>
      </c>
      <c r="U8" s="265">
        <v>2030</v>
      </c>
      <c r="V8" s="265">
        <v>2170</v>
      </c>
      <c r="W8" s="265">
        <v>2170</v>
      </c>
    </row>
    <row r="9" spans="1:23">
      <c r="A9" s="28" t="s">
        <v>8</v>
      </c>
      <c r="B9" s="266">
        <v>550</v>
      </c>
      <c r="C9" s="267">
        <v>550</v>
      </c>
      <c r="D9" s="267">
        <v>550</v>
      </c>
      <c r="E9" s="267">
        <v>550</v>
      </c>
      <c r="F9" s="267">
        <v>550</v>
      </c>
      <c r="G9" s="267">
        <v>550</v>
      </c>
      <c r="H9" s="267">
        <v>0</v>
      </c>
      <c r="I9" s="267">
        <v>550</v>
      </c>
      <c r="J9" s="267">
        <v>550</v>
      </c>
      <c r="K9" s="267">
        <v>550</v>
      </c>
      <c r="L9" s="267">
        <v>550</v>
      </c>
      <c r="M9" s="268">
        <v>550</v>
      </c>
      <c r="N9" s="156">
        <v>1170</v>
      </c>
      <c r="O9" s="265">
        <v>1170</v>
      </c>
      <c r="P9" s="265">
        <v>1300</v>
      </c>
      <c r="Q9" s="265">
        <v>1300</v>
      </c>
      <c r="R9" s="265">
        <v>1300</v>
      </c>
      <c r="S9" s="265">
        <v>1300</v>
      </c>
      <c r="T9" s="265">
        <v>1300</v>
      </c>
      <c r="U9" s="265">
        <v>2030</v>
      </c>
      <c r="V9" s="265">
        <v>2170</v>
      </c>
      <c r="W9" s="265">
        <v>2170</v>
      </c>
    </row>
    <row r="10" spans="1:23">
      <c r="A10" s="28" t="s">
        <v>9</v>
      </c>
      <c r="B10" s="266">
        <v>550</v>
      </c>
      <c r="C10" s="267">
        <v>550</v>
      </c>
      <c r="D10" s="267">
        <v>550</v>
      </c>
      <c r="E10" s="267">
        <v>550</v>
      </c>
      <c r="F10" s="267">
        <v>550</v>
      </c>
      <c r="G10" s="267">
        <v>550</v>
      </c>
      <c r="H10" s="267">
        <v>550</v>
      </c>
      <c r="I10" s="267">
        <v>0</v>
      </c>
      <c r="J10" s="267">
        <v>550</v>
      </c>
      <c r="K10" s="267">
        <v>550</v>
      </c>
      <c r="L10" s="267">
        <v>550</v>
      </c>
      <c r="M10" s="268">
        <v>550</v>
      </c>
      <c r="N10" s="156">
        <v>1170</v>
      </c>
      <c r="O10" s="265">
        <v>1170</v>
      </c>
      <c r="P10" s="265">
        <v>1300</v>
      </c>
      <c r="Q10" s="265">
        <v>1300</v>
      </c>
      <c r="R10" s="265">
        <v>1300</v>
      </c>
      <c r="S10" s="265">
        <v>1300</v>
      </c>
      <c r="T10" s="265">
        <v>1300</v>
      </c>
      <c r="U10" s="265">
        <v>2030</v>
      </c>
      <c r="V10" s="265">
        <v>2170</v>
      </c>
      <c r="W10" s="265">
        <v>2170</v>
      </c>
    </row>
    <row r="11" spans="1:23">
      <c r="A11" s="28" t="s">
        <v>24</v>
      </c>
      <c r="B11" s="266">
        <v>550</v>
      </c>
      <c r="C11" s="267">
        <v>550</v>
      </c>
      <c r="D11" s="267">
        <v>550</v>
      </c>
      <c r="E11" s="267">
        <v>550</v>
      </c>
      <c r="F11" s="267">
        <v>550</v>
      </c>
      <c r="G11" s="267">
        <v>550</v>
      </c>
      <c r="H11" s="267">
        <v>550</v>
      </c>
      <c r="I11" s="267">
        <v>550</v>
      </c>
      <c r="J11" s="267">
        <v>0</v>
      </c>
      <c r="K11" s="267">
        <v>550</v>
      </c>
      <c r="L11" s="267">
        <v>550</v>
      </c>
      <c r="M11" s="268">
        <v>550</v>
      </c>
      <c r="N11" s="156">
        <v>1170</v>
      </c>
      <c r="O11" s="265">
        <v>1170</v>
      </c>
      <c r="P11" s="265">
        <v>1300</v>
      </c>
      <c r="Q11" s="265">
        <v>1300</v>
      </c>
      <c r="R11" s="265">
        <v>1300</v>
      </c>
      <c r="S11" s="265">
        <v>1300</v>
      </c>
      <c r="T11" s="265">
        <v>1300</v>
      </c>
      <c r="U11" s="265">
        <v>2030</v>
      </c>
      <c r="V11" s="265">
        <v>2170</v>
      </c>
      <c r="W11" s="265">
        <v>2170</v>
      </c>
    </row>
    <row r="12" spans="1:23">
      <c r="A12" s="28" t="s">
        <v>11</v>
      </c>
      <c r="B12" s="266">
        <v>550</v>
      </c>
      <c r="C12" s="267">
        <v>550</v>
      </c>
      <c r="D12" s="267">
        <v>550</v>
      </c>
      <c r="E12" s="267">
        <v>550</v>
      </c>
      <c r="F12" s="267">
        <v>550</v>
      </c>
      <c r="G12" s="267">
        <v>550</v>
      </c>
      <c r="H12" s="267">
        <v>550</v>
      </c>
      <c r="I12" s="267">
        <v>550</v>
      </c>
      <c r="J12" s="267">
        <v>550</v>
      </c>
      <c r="K12" s="267">
        <v>0</v>
      </c>
      <c r="L12" s="267">
        <v>550</v>
      </c>
      <c r="M12" s="268">
        <v>550</v>
      </c>
      <c r="N12" s="156">
        <v>1170</v>
      </c>
      <c r="O12" s="265">
        <v>1170</v>
      </c>
      <c r="P12" s="265">
        <v>1300</v>
      </c>
      <c r="Q12" s="265">
        <v>1300</v>
      </c>
      <c r="R12" s="265">
        <v>1300</v>
      </c>
      <c r="S12" s="265">
        <v>1300</v>
      </c>
      <c r="T12" s="265">
        <v>1300</v>
      </c>
      <c r="U12" s="265">
        <v>2030</v>
      </c>
      <c r="V12" s="265">
        <v>2170</v>
      </c>
      <c r="W12" s="265">
        <v>2170</v>
      </c>
    </row>
    <row r="13" spans="1:23">
      <c r="A13" s="28" t="s">
        <v>25</v>
      </c>
      <c r="B13" s="266">
        <v>550</v>
      </c>
      <c r="C13" s="267">
        <v>550</v>
      </c>
      <c r="D13" s="267">
        <v>550</v>
      </c>
      <c r="E13" s="267">
        <v>550</v>
      </c>
      <c r="F13" s="267">
        <v>550</v>
      </c>
      <c r="G13" s="267">
        <v>550</v>
      </c>
      <c r="H13" s="267">
        <v>550</v>
      </c>
      <c r="I13" s="267">
        <v>550</v>
      </c>
      <c r="J13" s="267">
        <v>550</v>
      </c>
      <c r="K13" s="267">
        <v>550</v>
      </c>
      <c r="L13" s="267">
        <v>0</v>
      </c>
      <c r="M13" s="268">
        <v>550</v>
      </c>
      <c r="N13" s="156">
        <v>1170</v>
      </c>
      <c r="O13" s="265">
        <v>1170</v>
      </c>
      <c r="P13" s="265">
        <v>1300</v>
      </c>
      <c r="Q13" s="265">
        <v>1300</v>
      </c>
      <c r="R13" s="265">
        <v>1300</v>
      </c>
      <c r="S13" s="265">
        <v>1300</v>
      </c>
      <c r="T13" s="265">
        <v>1300</v>
      </c>
      <c r="U13" s="265">
        <v>2030</v>
      </c>
      <c r="V13" s="265">
        <v>2170</v>
      </c>
      <c r="W13" s="265">
        <v>2170</v>
      </c>
    </row>
    <row r="14" spans="1:23" ht="16.5" thickBot="1">
      <c r="A14" s="28" t="s">
        <v>13</v>
      </c>
      <c r="B14" s="269">
        <v>550</v>
      </c>
      <c r="C14" s="270">
        <v>550</v>
      </c>
      <c r="D14" s="270">
        <v>550</v>
      </c>
      <c r="E14" s="270">
        <v>550</v>
      </c>
      <c r="F14" s="270">
        <v>550</v>
      </c>
      <c r="G14" s="270">
        <v>550</v>
      </c>
      <c r="H14" s="270">
        <v>550</v>
      </c>
      <c r="I14" s="270">
        <v>550</v>
      </c>
      <c r="J14" s="270">
        <v>550</v>
      </c>
      <c r="K14" s="270">
        <v>550</v>
      </c>
      <c r="L14" s="270">
        <v>550</v>
      </c>
      <c r="M14" s="271">
        <v>0</v>
      </c>
      <c r="N14" s="156">
        <v>650</v>
      </c>
      <c r="O14" s="265">
        <v>650</v>
      </c>
      <c r="P14" s="265">
        <v>1300</v>
      </c>
      <c r="Q14" s="265">
        <v>1300</v>
      </c>
      <c r="R14" s="265">
        <v>1300</v>
      </c>
      <c r="S14" s="265">
        <v>1300</v>
      </c>
      <c r="T14" s="265">
        <v>1300</v>
      </c>
      <c r="U14" s="265">
        <v>2030</v>
      </c>
      <c r="V14" s="265">
        <v>2170</v>
      </c>
      <c r="W14" s="265">
        <v>2170</v>
      </c>
    </row>
    <row r="15" spans="1:23">
      <c r="A15" s="28" t="s">
        <v>14</v>
      </c>
      <c r="B15" s="33">
        <v>1170</v>
      </c>
      <c r="C15" s="33">
        <v>1170</v>
      </c>
      <c r="D15" s="33">
        <v>1170</v>
      </c>
      <c r="E15" s="33">
        <v>1170</v>
      </c>
      <c r="F15" s="33">
        <v>1170</v>
      </c>
      <c r="G15" s="33">
        <v>1170</v>
      </c>
      <c r="H15" s="33">
        <v>1170</v>
      </c>
      <c r="I15" s="33">
        <v>1170</v>
      </c>
      <c r="J15" s="33">
        <v>1170</v>
      </c>
      <c r="K15" s="33">
        <v>1170</v>
      </c>
      <c r="L15" s="33">
        <v>1170</v>
      </c>
      <c r="M15" s="33">
        <v>650</v>
      </c>
      <c r="N15" s="265">
        <v>0</v>
      </c>
      <c r="O15" s="265">
        <v>650</v>
      </c>
      <c r="P15" s="265">
        <v>650</v>
      </c>
      <c r="Q15" s="265">
        <v>1200</v>
      </c>
      <c r="R15" s="265">
        <v>1200</v>
      </c>
      <c r="S15" s="265">
        <v>1200</v>
      </c>
      <c r="T15" s="265">
        <v>1200</v>
      </c>
      <c r="U15" s="265">
        <v>1840</v>
      </c>
      <c r="V15" s="265">
        <v>1840</v>
      </c>
      <c r="W15" s="265">
        <v>1840</v>
      </c>
    </row>
    <row r="16" spans="1:23">
      <c r="A16" s="28" t="s">
        <v>15</v>
      </c>
      <c r="B16" s="265">
        <v>1170</v>
      </c>
      <c r="C16" s="265">
        <v>1170</v>
      </c>
      <c r="D16" s="265">
        <v>1170</v>
      </c>
      <c r="E16" s="265">
        <v>1170</v>
      </c>
      <c r="F16" s="265">
        <v>1170</v>
      </c>
      <c r="G16" s="265">
        <v>1170</v>
      </c>
      <c r="H16" s="265">
        <v>1170</v>
      </c>
      <c r="I16" s="265">
        <v>1170</v>
      </c>
      <c r="J16" s="265">
        <v>1170</v>
      </c>
      <c r="K16" s="265">
        <v>1170</v>
      </c>
      <c r="L16" s="265">
        <v>1170</v>
      </c>
      <c r="M16" s="265">
        <v>650</v>
      </c>
      <c r="N16" s="265">
        <v>650</v>
      </c>
      <c r="O16" s="265">
        <v>0</v>
      </c>
      <c r="P16" s="265">
        <v>650</v>
      </c>
      <c r="Q16" s="265">
        <v>650</v>
      </c>
      <c r="R16" s="265">
        <v>1200</v>
      </c>
      <c r="S16" s="265">
        <v>1200</v>
      </c>
      <c r="T16" s="265">
        <v>1200</v>
      </c>
      <c r="U16" s="265">
        <v>1200</v>
      </c>
      <c r="V16" s="265">
        <v>1840</v>
      </c>
      <c r="W16" s="265">
        <v>1840</v>
      </c>
    </row>
    <row r="17" spans="1:23">
      <c r="A17" s="28" t="s">
        <v>16</v>
      </c>
      <c r="B17" s="265">
        <v>1300</v>
      </c>
      <c r="C17" s="265">
        <v>1300</v>
      </c>
      <c r="D17" s="265">
        <v>1300</v>
      </c>
      <c r="E17" s="265">
        <v>1300</v>
      </c>
      <c r="F17" s="265">
        <v>1300</v>
      </c>
      <c r="G17" s="265">
        <v>1300</v>
      </c>
      <c r="H17" s="265">
        <v>1300</v>
      </c>
      <c r="I17" s="265">
        <v>1300</v>
      </c>
      <c r="J17" s="265">
        <v>1300</v>
      </c>
      <c r="K17" s="265">
        <v>1300</v>
      </c>
      <c r="L17" s="265">
        <v>1300</v>
      </c>
      <c r="M17" s="265">
        <v>1300</v>
      </c>
      <c r="N17" s="265">
        <v>650</v>
      </c>
      <c r="O17" s="265">
        <v>650</v>
      </c>
      <c r="P17" s="265">
        <v>0</v>
      </c>
      <c r="Q17" s="265">
        <v>650</v>
      </c>
      <c r="R17" s="265">
        <v>650</v>
      </c>
      <c r="S17" s="265">
        <v>650</v>
      </c>
      <c r="T17" s="265">
        <v>1200</v>
      </c>
      <c r="U17" s="265">
        <v>1200</v>
      </c>
      <c r="V17" s="265">
        <v>1200</v>
      </c>
      <c r="W17" s="265">
        <v>1200</v>
      </c>
    </row>
    <row r="18" spans="1:23">
      <c r="A18" s="28" t="s">
        <v>17</v>
      </c>
      <c r="B18" s="265">
        <v>1300</v>
      </c>
      <c r="C18" s="265">
        <v>1300</v>
      </c>
      <c r="D18" s="265">
        <v>1300</v>
      </c>
      <c r="E18" s="265">
        <v>1300</v>
      </c>
      <c r="F18" s="265">
        <v>1300</v>
      </c>
      <c r="G18" s="265">
        <v>1300</v>
      </c>
      <c r="H18" s="265">
        <v>1300</v>
      </c>
      <c r="I18" s="265">
        <v>1300</v>
      </c>
      <c r="J18" s="265">
        <v>1300</v>
      </c>
      <c r="K18" s="265">
        <v>1300</v>
      </c>
      <c r="L18" s="265">
        <v>1300</v>
      </c>
      <c r="M18" s="265">
        <v>1300</v>
      </c>
      <c r="N18" s="265">
        <v>1200</v>
      </c>
      <c r="O18" s="265">
        <v>650</v>
      </c>
      <c r="P18" s="265">
        <v>650</v>
      </c>
      <c r="Q18" s="265">
        <v>0</v>
      </c>
      <c r="R18" s="265">
        <v>650</v>
      </c>
      <c r="S18" s="265">
        <v>650</v>
      </c>
      <c r="T18" s="265">
        <v>1200</v>
      </c>
      <c r="U18" s="265">
        <v>1200</v>
      </c>
      <c r="V18" s="265">
        <v>1200</v>
      </c>
      <c r="W18" s="265">
        <v>1200</v>
      </c>
    </row>
    <row r="19" spans="1:23">
      <c r="A19" s="28" t="s">
        <v>18</v>
      </c>
      <c r="B19" s="265">
        <v>1300</v>
      </c>
      <c r="C19" s="265">
        <v>1300</v>
      </c>
      <c r="D19" s="265">
        <v>1300</v>
      </c>
      <c r="E19" s="265">
        <v>1300</v>
      </c>
      <c r="F19" s="265">
        <v>1300</v>
      </c>
      <c r="G19" s="265">
        <v>1300</v>
      </c>
      <c r="H19" s="265">
        <v>1300</v>
      </c>
      <c r="I19" s="265">
        <v>1300</v>
      </c>
      <c r="J19" s="265">
        <v>1300</v>
      </c>
      <c r="K19" s="265">
        <v>1300</v>
      </c>
      <c r="L19" s="265">
        <v>1300</v>
      </c>
      <c r="M19" s="265">
        <v>1300</v>
      </c>
      <c r="N19" s="265">
        <v>1200</v>
      </c>
      <c r="O19" s="265">
        <v>1200</v>
      </c>
      <c r="P19" s="265">
        <v>650</v>
      </c>
      <c r="Q19" s="265">
        <v>650</v>
      </c>
      <c r="R19" s="265">
        <v>0</v>
      </c>
      <c r="S19" s="265">
        <v>650</v>
      </c>
      <c r="T19" s="265">
        <v>650</v>
      </c>
      <c r="U19" s="265">
        <v>1200</v>
      </c>
      <c r="V19" s="265">
        <v>1200</v>
      </c>
      <c r="W19" s="265">
        <v>1200</v>
      </c>
    </row>
    <row r="20" spans="1:23">
      <c r="A20" s="28" t="s">
        <v>19</v>
      </c>
      <c r="B20" s="265">
        <v>1300</v>
      </c>
      <c r="C20" s="265">
        <v>1300</v>
      </c>
      <c r="D20" s="265">
        <v>1300</v>
      </c>
      <c r="E20" s="265">
        <v>1300</v>
      </c>
      <c r="F20" s="265">
        <v>1300</v>
      </c>
      <c r="G20" s="265">
        <v>1300</v>
      </c>
      <c r="H20" s="265">
        <v>1300</v>
      </c>
      <c r="I20" s="265">
        <v>1300</v>
      </c>
      <c r="J20" s="265">
        <v>1300</v>
      </c>
      <c r="K20" s="265">
        <v>1300</v>
      </c>
      <c r="L20" s="265">
        <v>1300</v>
      </c>
      <c r="M20" s="265">
        <v>1300</v>
      </c>
      <c r="N20" s="265">
        <v>1200</v>
      </c>
      <c r="O20" s="265">
        <v>1200</v>
      </c>
      <c r="P20" s="265">
        <v>650</v>
      </c>
      <c r="Q20" s="265">
        <v>650</v>
      </c>
      <c r="R20" s="265">
        <v>650</v>
      </c>
      <c r="S20" s="265">
        <v>0</v>
      </c>
      <c r="T20" s="265">
        <v>650</v>
      </c>
      <c r="U20" s="265">
        <v>1200</v>
      </c>
      <c r="V20" s="265">
        <v>1200</v>
      </c>
      <c r="W20" s="265">
        <v>1200</v>
      </c>
    </row>
    <row r="21" spans="1:23">
      <c r="A21" s="28" t="s">
        <v>20</v>
      </c>
      <c r="B21" s="265">
        <v>1300</v>
      </c>
      <c r="C21" s="265">
        <v>1300</v>
      </c>
      <c r="D21" s="265">
        <v>1300</v>
      </c>
      <c r="E21" s="265">
        <v>1300</v>
      </c>
      <c r="F21" s="265">
        <v>1300</v>
      </c>
      <c r="G21" s="265">
        <v>1300</v>
      </c>
      <c r="H21" s="265">
        <v>1300</v>
      </c>
      <c r="I21" s="265">
        <v>1300</v>
      </c>
      <c r="J21" s="265">
        <v>1300</v>
      </c>
      <c r="K21" s="265">
        <v>1300</v>
      </c>
      <c r="L21" s="265">
        <v>1300</v>
      </c>
      <c r="M21" s="265">
        <v>1300</v>
      </c>
      <c r="N21" s="265">
        <v>1200</v>
      </c>
      <c r="O21" s="265">
        <v>1200</v>
      </c>
      <c r="P21" s="265">
        <v>1200</v>
      </c>
      <c r="Q21" s="265">
        <v>1200</v>
      </c>
      <c r="R21" s="265">
        <v>650</v>
      </c>
      <c r="S21" s="265">
        <v>650</v>
      </c>
      <c r="T21" s="265">
        <v>0</v>
      </c>
      <c r="U21" s="265">
        <v>650</v>
      </c>
      <c r="V21" s="265">
        <v>1200</v>
      </c>
      <c r="W21" s="265">
        <v>1200</v>
      </c>
    </row>
    <row r="22" spans="1:23">
      <c r="A22" s="28" t="s">
        <v>21</v>
      </c>
      <c r="B22" s="265">
        <v>2030</v>
      </c>
      <c r="C22" s="265">
        <v>2030</v>
      </c>
      <c r="D22" s="265">
        <v>2030</v>
      </c>
      <c r="E22" s="265">
        <v>2030</v>
      </c>
      <c r="F22" s="265">
        <v>2030</v>
      </c>
      <c r="G22" s="265">
        <v>2030</v>
      </c>
      <c r="H22" s="265">
        <v>2030</v>
      </c>
      <c r="I22" s="265">
        <v>2030</v>
      </c>
      <c r="J22" s="265">
        <v>2030</v>
      </c>
      <c r="K22" s="265">
        <v>2030</v>
      </c>
      <c r="L22" s="265">
        <v>2030</v>
      </c>
      <c r="M22" s="265">
        <v>2030</v>
      </c>
      <c r="N22" s="265">
        <v>1840</v>
      </c>
      <c r="O22" s="265">
        <v>1200</v>
      </c>
      <c r="P22" s="265">
        <v>1200</v>
      </c>
      <c r="Q22" s="265">
        <v>1200</v>
      </c>
      <c r="R22" s="265">
        <v>1200</v>
      </c>
      <c r="S22" s="265">
        <v>1200</v>
      </c>
      <c r="T22" s="265">
        <v>650</v>
      </c>
      <c r="U22" s="265">
        <v>0</v>
      </c>
      <c r="V22" s="265">
        <v>650</v>
      </c>
      <c r="W22" s="265">
        <v>1200</v>
      </c>
    </row>
    <row r="23" spans="1:23">
      <c r="A23" s="28" t="s">
        <v>22</v>
      </c>
      <c r="B23" s="265">
        <v>2170</v>
      </c>
      <c r="C23" s="265">
        <v>2170</v>
      </c>
      <c r="D23" s="265">
        <v>2170</v>
      </c>
      <c r="E23" s="265">
        <v>2170</v>
      </c>
      <c r="F23" s="265">
        <v>2170</v>
      </c>
      <c r="G23" s="265">
        <v>2170</v>
      </c>
      <c r="H23" s="265">
        <v>2170</v>
      </c>
      <c r="I23" s="265">
        <v>2170</v>
      </c>
      <c r="J23" s="265">
        <v>2170</v>
      </c>
      <c r="K23" s="265">
        <v>2170</v>
      </c>
      <c r="L23" s="265">
        <v>2170</v>
      </c>
      <c r="M23" s="265">
        <v>2170</v>
      </c>
      <c r="N23" s="265">
        <v>1840</v>
      </c>
      <c r="O23" s="265">
        <v>1840</v>
      </c>
      <c r="P23" s="265">
        <v>1200</v>
      </c>
      <c r="Q23" s="265">
        <v>1200</v>
      </c>
      <c r="R23" s="265">
        <v>1200</v>
      </c>
      <c r="S23" s="265">
        <v>1200</v>
      </c>
      <c r="T23" s="265">
        <v>1200</v>
      </c>
      <c r="U23" s="265">
        <v>650</v>
      </c>
      <c r="V23" s="265">
        <v>0</v>
      </c>
      <c r="W23" s="265">
        <v>650</v>
      </c>
    </row>
    <row r="24" spans="1:23">
      <c r="A24" s="28" t="s">
        <v>23</v>
      </c>
      <c r="B24" s="265">
        <v>2170</v>
      </c>
      <c r="C24" s="265">
        <v>2170</v>
      </c>
      <c r="D24" s="265">
        <v>2170</v>
      </c>
      <c r="E24" s="265">
        <v>2170</v>
      </c>
      <c r="F24" s="265">
        <v>2170</v>
      </c>
      <c r="G24" s="265">
        <v>2170</v>
      </c>
      <c r="H24" s="265">
        <v>2170</v>
      </c>
      <c r="I24" s="265">
        <v>2170</v>
      </c>
      <c r="J24" s="265">
        <v>2170</v>
      </c>
      <c r="K24" s="265">
        <v>2170</v>
      </c>
      <c r="L24" s="265">
        <v>2170</v>
      </c>
      <c r="M24" s="265">
        <v>2170</v>
      </c>
      <c r="N24" s="265">
        <v>1840</v>
      </c>
      <c r="O24" s="265">
        <v>1840</v>
      </c>
      <c r="P24" s="265">
        <v>1200</v>
      </c>
      <c r="Q24" s="265">
        <v>1200</v>
      </c>
      <c r="R24" s="265">
        <v>1200</v>
      </c>
      <c r="S24" s="265">
        <v>1200</v>
      </c>
      <c r="T24" s="265">
        <v>1200</v>
      </c>
      <c r="U24" s="265">
        <v>1200</v>
      </c>
      <c r="V24" s="265">
        <v>650</v>
      </c>
      <c r="W24" s="265">
        <v>0</v>
      </c>
    </row>
    <row r="25" spans="1:23">
      <c r="A25" s="34">
        <v>0.5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>
      <c r="A26" s="119" t="s">
        <v>26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</row>
    <row r="27" spans="1:23" ht="69.75" thickBot="1">
      <c r="A27" s="264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6" t="s">
        <v>9</v>
      </c>
      <c r="J27" s="26" t="s">
        <v>10</v>
      </c>
      <c r="K27" s="27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6" t="s">
        <v>16</v>
      </c>
      <c r="Q27" s="26" t="s">
        <v>17</v>
      </c>
      <c r="R27" s="26" t="s">
        <v>18</v>
      </c>
      <c r="S27" s="26" t="s">
        <v>19</v>
      </c>
      <c r="T27" s="26" t="s">
        <v>20</v>
      </c>
      <c r="U27" s="26" t="s">
        <v>21</v>
      </c>
      <c r="V27" s="26" t="s">
        <v>22</v>
      </c>
      <c r="W27" s="26" t="s">
        <v>23</v>
      </c>
    </row>
    <row r="28" spans="1:23">
      <c r="A28" s="28" t="s">
        <v>2</v>
      </c>
      <c r="B28" s="36">
        <f t="shared" ref="B28:W39" si="0">MROUND(B3*$A$25,10)</f>
        <v>0</v>
      </c>
      <c r="C28" s="37">
        <f t="shared" si="0"/>
        <v>280</v>
      </c>
      <c r="D28" s="37">
        <f t="shared" si="0"/>
        <v>280</v>
      </c>
      <c r="E28" s="37">
        <f t="shared" si="0"/>
        <v>280</v>
      </c>
      <c r="F28" s="37">
        <f t="shared" si="0"/>
        <v>280</v>
      </c>
      <c r="G28" s="37">
        <f t="shared" si="0"/>
        <v>280</v>
      </c>
      <c r="H28" s="37">
        <f t="shared" si="0"/>
        <v>280</v>
      </c>
      <c r="I28" s="37">
        <f t="shared" si="0"/>
        <v>280</v>
      </c>
      <c r="J28" s="37">
        <f t="shared" si="0"/>
        <v>280</v>
      </c>
      <c r="K28" s="37">
        <f t="shared" si="0"/>
        <v>280</v>
      </c>
      <c r="L28" s="37">
        <f t="shared" si="0"/>
        <v>280</v>
      </c>
      <c r="M28" s="38">
        <f t="shared" si="0"/>
        <v>280</v>
      </c>
      <c r="N28" s="156">
        <f t="shared" si="0"/>
        <v>590</v>
      </c>
      <c r="O28" s="265">
        <f t="shared" si="0"/>
        <v>590</v>
      </c>
      <c r="P28" s="265">
        <f t="shared" si="0"/>
        <v>650</v>
      </c>
      <c r="Q28" s="265">
        <f t="shared" si="0"/>
        <v>650</v>
      </c>
      <c r="R28" s="265">
        <f t="shared" si="0"/>
        <v>650</v>
      </c>
      <c r="S28" s="265">
        <f t="shared" si="0"/>
        <v>650</v>
      </c>
      <c r="T28" s="265">
        <f t="shared" si="0"/>
        <v>650</v>
      </c>
      <c r="U28" s="265">
        <f t="shared" si="0"/>
        <v>1020</v>
      </c>
      <c r="V28" s="265">
        <f t="shared" si="0"/>
        <v>1090</v>
      </c>
      <c r="W28" s="265">
        <f t="shared" si="0"/>
        <v>1090</v>
      </c>
    </row>
    <row r="29" spans="1:23">
      <c r="A29" s="28" t="s">
        <v>3</v>
      </c>
      <c r="B29" s="272">
        <f t="shared" si="0"/>
        <v>280</v>
      </c>
      <c r="C29" s="265">
        <f t="shared" si="0"/>
        <v>0</v>
      </c>
      <c r="D29" s="265">
        <f t="shared" si="0"/>
        <v>280</v>
      </c>
      <c r="E29" s="265">
        <f t="shared" si="0"/>
        <v>280</v>
      </c>
      <c r="F29" s="265">
        <f t="shared" si="0"/>
        <v>280</v>
      </c>
      <c r="G29" s="265">
        <f t="shared" si="0"/>
        <v>280</v>
      </c>
      <c r="H29" s="265">
        <f t="shared" si="0"/>
        <v>280</v>
      </c>
      <c r="I29" s="265">
        <f t="shared" si="0"/>
        <v>280</v>
      </c>
      <c r="J29" s="265">
        <f t="shared" si="0"/>
        <v>280</v>
      </c>
      <c r="K29" s="265">
        <f t="shared" si="0"/>
        <v>280</v>
      </c>
      <c r="L29" s="265">
        <f t="shared" si="0"/>
        <v>280</v>
      </c>
      <c r="M29" s="273">
        <f t="shared" si="0"/>
        <v>280</v>
      </c>
      <c r="N29" s="156">
        <f t="shared" si="0"/>
        <v>590</v>
      </c>
      <c r="O29" s="265">
        <f t="shared" si="0"/>
        <v>590</v>
      </c>
      <c r="P29" s="265">
        <f t="shared" si="0"/>
        <v>650</v>
      </c>
      <c r="Q29" s="265">
        <f t="shared" si="0"/>
        <v>650</v>
      </c>
      <c r="R29" s="265">
        <f t="shared" si="0"/>
        <v>650</v>
      </c>
      <c r="S29" s="265">
        <f t="shared" si="0"/>
        <v>650</v>
      </c>
      <c r="T29" s="265">
        <f t="shared" si="0"/>
        <v>650</v>
      </c>
      <c r="U29" s="265">
        <f t="shared" si="0"/>
        <v>1020</v>
      </c>
      <c r="V29" s="265">
        <f t="shared" si="0"/>
        <v>1090</v>
      </c>
      <c r="W29" s="265">
        <f t="shared" si="0"/>
        <v>1090</v>
      </c>
    </row>
    <row r="30" spans="1:23">
      <c r="A30" s="28" t="s">
        <v>4</v>
      </c>
      <c r="B30" s="272">
        <f t="shared" si="0"/>
        <v>280</v>
      </c>
      <c r="C30" s="265">
        <f t="shared" si="0"/>
        <v>280</v>
      </c>
      <c r="D30" s="265">
        <f t="shared" si="0"/>
        <v>0</v>
      </c>
      <c r="E30" s="265">
        <f t="shared" si="0"/>
        <v>280</v>
      </c>
      <c r="F30" s="265">
        <f t="shared" si="0"/>
        <v>280</v>
      </c>
      <c r="G30" s="265">
        <f t="shared" si="0"/>
        <v>280</v>
      </c>
      <c r="H30" s="265">
        <f t="shared" si="0"/>
        <v>280</v>
      </c>
      <c r="I30" s="265">
        <f t="shared" si="0"/>
        <v>280</v>
      </c>
      <c r="J30" s="265">
        <f t="shared" si="0"/>
        <v>280</v>
      </c>
      <c r="K30" s="265">
        <f t="shared" si="0"/>
        <v>280</v>
      </c>
      <c r="L30" s="265">
        <f t="shared" si="0"/>
        <v>280</v>
      </c>
      <c r="M30" s="273">
        <f t="shared" si="0"/>
        <v>280</v>
      </c>
      <c r="N30" s="156">
        <f t="shared" si="0"/>
        <v>590</v>
      </c>
      <c r="O30" s="265">
        <f t="shared" si="0"/>
        <v>590</v>
      </c>
      <c r="P30" s="265">
        <f t="shared" si="0"/>
        <v>650</v>
      </c>
      <c r="Q30" s="265">
        <f t="shared" si="0"/>
        <v>650</v>
      </c>
      <c r="R30" s="265">
        <f t="shared" si="0"/>
        <v>650</v>
      </c>
      <c r="S30" s="265">
        <f t="shared" si="0"/>
        <v>650</v>
      </c>
      <c r="T30" s="265">
        <f t="shared" si="0"/>
        <v>650</v>
      </c>
      <c r="U30" s="265">
        <f t="shared" si="0"/>
        <v>1020</v>
      </c>
      <c r="V30" s="265">
        <f t="shared" si="0"/>
        <v>1090</v>
      </c>
      <c r="W30" s="265">
        <f t="shared" si="0"/>
        <v>1090</v>
      </c>
    </row>
    <row r="31" spans="1:23">
      <c r="A31" s="28" t="s">
        <v>5</v>
      </c>
      <c r="B31" s="272">
        <f t="shared" si="0"/>
        <v>280</v>
      </c>
      <c r="C31" s="265">
        <f t="shared" si="0"/>
        <v>280</v>
      </c>
      <c r="D31" s="265">
        <f t="shared" si="0"/>
        <v>280</v>
      </c>
      <c r="E31" s="265">
        <f t="shared" si="0"/>
        <v>0</v>
      </c>
      <c r="F31" s="265">
        <f t="shared" si="0"/>
        <v>280</v>
      </c>
      <c r="G31" s="265">
        <f t="shared" si="0"/>
        <v>280</v>
      </c>
      <c r="H31" s="265">
        <f t="shared" si="0"/>
        <v>280</v>
      </c>
      <c r="I31" s="265">
        <f t="shared" si="0"/>
        <v>280</v>
      </c>
      <c r="J31" s="265">
        <f t="shared" si="0"/>
        <v>280</v>
      </c>
      <c r="K31" s="265">
        <f t="shared" si="0"/>
        <v>280</v>
      </c>
      <c r="L31" s="265">
        <f t="shared" si="0"/>
        <v>280</v>
      </c>
      <c r="M31" s="273">
        <f t="shared" si="0"/>
        <v>280</v>
      </c>
      <c r="N31" s="156">
        <f t="shared" si="0"/>
        <v>590</v>
      </c>
      <c r="O31" s="265">
        <f t="shared" si="0"/>
        <v>590</v>
      </c>
      <c r="P31" s="265">
        <f t="shared" si="0"/>
        <v>650</v>
      </c>
      <c r="Q31" s="265">
        <f t="shared" si="0"/>
        <v>650</v>
      </c>
      <c r="R31" s="265">
        <f t="shared" si="0"/>
        <v>650</v>
      </c>
      <c r="S31" s="265">
        <f t="shared" si="0"/>
        <v>650</v>
      </c>
      <c r="T31" s="265">
        <f t="shared" si="0"/>
        <v>650</v>
      </c>
      <c r="U31" s="265">
        <f t="shared" si="0"/>
        <v>1020</v>
      </c>
      <c r="V31" s="265">
        <f t="shared" si="0"/>
        <v>1090</v>
      </c>
      <c r="W31" s="265">
        <f t="shared" si="0"/>
        <v>1090</v>
      </c>
    </row>
    <row r="32" spans="1:23">
      <c r="A32" s="28" t="s">
        <v>6</v>
      </c>
      <c r="B32" s="272">
        <f t="shared" si="0"/>
        <v>280</v>
      </c>
      <c r="C32" s="265">
        <f t="shared" si="0"/>
        <v>280</v>
      </c>
      <c r="D32" s="265">
        <f t="shared" si="0"/>
        <v>280</v>
      </c>
      <c r="E32" s="265">
        <f t="shared" si="0"/>
        <v>280</v>
      </c>
      <c r="F32" s="265">
        <f t="shared" si="0"/>
        <v>0</v>
      </c>
      <c r="G32" s="265">
        <f t="shared" si="0"/>
        <v>280</v>
      </c>
      <c r="H32" s="265">
        <f t="shared" si="0"/>
        <v>280</v>
      </c>
      <c r="I32" s="265">
        <f t="shared" si="0"/>
        <v>280</v>
      </c>
      <c r="J32" s="265">
        <f t="shared" si="0"/>
        <v>280</v>
      </c>
      <c r="K32" s="265">
        <f t="shared" si="0"/>
        <v>280</v>
      </c>
      <c r="L32" s="265">
        <f t="shared" si="0"/>
        <v>280</v>
      </c>
      <c r="M32" s="273">
        <f t="shared" si="0"/>
        <v>280</v>
      </c>
      <c r="N32" s="156">
        <f t="shared" si="0"/>
        <v>590</v>
      </c>
      <c r="O32" s="265">
        <f t="shared" si="0"/>
        <v>590</v>
      </c>
      <c r="P32" s="265">
        <f t="shared" si="0"/>
        <v>650</v>
      </c>
      <c r="Q32" s="265">
        <f t="shared" si="0"/>
        <v>650</v>
      </c>
      <c r="R32" s="265">
        <f t="shared" si="0"/>
        <v>650</v>
      </c>
      <c r="S32" s="265">
        <f t="shared" si="0"/>
        <v>650</v>
      </c>
      <c r="T32" s="265">
        <f t="shared" si="0"/>
        <v>650</v>
      </c>
      <c r="U32" s="265">
        <f t="shared" si="0"/>
        <v>1020</v>
      </c>
      <c r="V32" s="265">
        <f t="shared" si="0"/>
        <v>1090</v>
      </c>
      <c r="W32" s="265">
        <f t="shared" si="0"/>
        <v>1090</v>
      </c>
    </row>
    <row r="33" spans="1:23">
      <c r="A33" s="28" t="s">
        <v>7</v>
      </c>
      <c r="B33" s="272">
        <f t="shared" si="0"/>
        <v>280</v>
      </c>
      <c r="C33" s="265">
        <f t="shared" si="0"/>
        <v>280</v>
      </c>
      <c r="D33" s="265">
        <f t="shared" si="0"/>
        <v>280</v>
      </c>
      <c r="E33" s="265">
        <f t="shared" si="0"/>
        <v>280</v>
      </c>
      <c r="F33" s="265">
        <f t="shared" si="0"/>
        <v>280</v>
      </c>
      <c r="G33" s="265">
        <f t="shared" si="0"/>
        <v>0</v>
      </c>
      <c r="H33" s="265">
        <f t="shared" si="0"/>
        <v>280</v>
      </c>
      <c r="I33" s="265">
        <f t="shared" si="0"/>
        <v>280</v>
      </c>
      <c r="J33" s="265">
        <f t="shared" si="0"/>
        <v>280</v>
      </c>
      <c r="K33" s="265">
        <f t="shared" si="0"/>
        <v>280</v>
      </c>
      <c r="L33" s="265">
        <f t="shared" si="0"/>
        <v>280</v>
      </c>
      <c r="M33" s="273">
        <f t="shared" si="0"/>
        <v>280</v>
      </c>
      <c r="N33" s="156">
        <f t="shared" si="0"/>
        <v>590</v>
      </c>
      <c r="O33" s="265">
        <f t="shared" si="0"/>
        <v>590</v>
      </c>
      <c r="P33" s="265">
        <f t="shared" si="0"/>
        <v>650</v>
      </c>
      <c r="Q33" s="265">
        <f t="shared" si="0"/>
        <v>650</v>
      </c>
      <c r="R33" s="265">
        <f t="shared" si="0"/>
        <v>650</v>
      </c>
      <c r="S33" s="265">
        <f t="shared" si="0"/>
        <v>650</v>
      </c>
      <c r="T33" s="265">
        <f t="shared" si="0"/>
        <v>650</v>
      </c>
      <c r="U33" s="265">
        <f t="shared" si="0"/>
        <v>1020</v>
      </c>
      <c r="V33" s="265">
        <f t="shared" si="0"/>
        <v>1090</v>
      </c>
      <c r="W33" s="265">
        <f t="shared" si="0"/>
        <v>1090</v>
      </c>
    </row>
    <row r="34" spans="1:23">
      <c r="A34" s="28" t="s">
        <v>8</v>
      </c>
      <c r="B34" s="272">
        <f t="shared" si="0"/>
        <v>280</v>
      </c>
      <c r="C34" s="265">
        <f t="shared" si="0"/>
        <v>280</v>
      </c>
      <c r="D34" s="265">
        <f t="shared" si="0"/>
        <v>280</v>
      </c>
      <c r="E34" s="265">
        <f t="shared" si="0"/>
        <v>280</v>
      </c>
      <c r="F34" s="265">
        <f t="shared" si="0"/>
        <v>280</v>
      </c>
      <c r="G34" s="265">
        <f t="shared" si="0"/>
        <v>280</v>
      </c>
      <c r="H34" s="265">
        <f t="shared" si="0"/>
        <v>0</v>
      </c>
      <c r="I34" s="265">
        <f t="shared" si="0"/>
        <v>280</v>
      </c>
      <c r="J34" s="265">
        <f t="shared" si="0"/>
        <v>280</v>
      </c>
      <c r="K34" s="265">
        <f t="shared" si="0"/>
        <v>280</v>
      </c>
      <c r="L34" s="265">
        <f t="shared" si="0"/>
        <v>280</v>
      </c>
      <c r="M34" s="273">
        <f t="shared" si="0"/>
        <v>280</v>
      </c>
      <c r="N34" s="156">
        <f t="shared" si="0"/>
        <v>590</v>
      </c>
      <c r="O34" s="265">
        <f t="shared" si="0"/>
        <v>590</v>
      </c>
      <c r="P34" s="265">
        <f t="shared" si="0"/>
        <v>650</v>
      </c>
      <c r="Q34" s="265">
        <f t="shared" si="0"/>
        <v>650</v>
      </c>
      <c r="R34" s="265">
        <f t="shared" si="0"/>
        <v>650</v>
      </c>
      <c r="S34" s="265">
        <f t="shared" si="0"/>
        <v>650</v>
      </c>
      <c r="T34" s="265">
        <f t="shared" si="0"/>
        <v>650</v>
      </c>
      <c r="U34" s="265">
        <f t="shared" si="0"/>
        <v>1020</v>
      </c>
      <c r="V34" s="265">
        <f t="shared" si="0"/>
        <v>1090</v>
      </c>
      <c r="W34" s="265">
        <f t="shared" si="0"/>
        <v>1090</v>
      </c>
    </row>
    <row r="35" spans="1:23">
      <c r="A35" s="28" t="s">
        <v>9</v>
      </c>
      <c r="B35" s="272">
        <f t="shared" si="0"/>
        <v>280</v>
      </c>
      <c r="C35" s="265">
        <f t="shared" si="0"/>
        <v>280</v>
      </c>
      <c r="D35" s="265">
        <f t="shared" si="0"/>
        <v>280</v>
      </c>
      <c r="E35" s="265">
        <f t="shared" si="0"/>
        <v>280</v>
      </c>
      <c r="F35" s="265">
        <f t="shared" si="0"/>
        <v>280</v>
      </c>
      <c r="G35" s="265">
        <f t="shared" si="0"/>
        <v>280</v>
      </c>
      <c r="H35" s="265">
        <f t="shared" si="0"/>
        <v>280</v>
      </c>
      <c r="I35" s="265">
        <f t="shared" si="0"/>
        <v>0</v>
      </c>
      <c r="J35" s="265">
        <f t="shared" si="0"/>
        <v>280</v>
      </c>
      <c r="K35" s="265">
        <f t="shared" si="0"/>
        <v>280</v>
      </c>
      <c r="L35" s="265">
        <f t="shared" si="0"/>
        <v>280</v>
      </c>
      <c r="M35" s="273">
        <f t="shared" si="0"/>
        <v>280</v>
      </c>
      <c r="N35" s="156">
        <f t="shared" si="0"/>
        <v>590</v>
      </c>
      <c r="O35" s="265">
        <f t="shared" si="0"/>
        <v>590</v>
      </c>
      <c r="P35" s="265">
        <f t="shared" si="0"/>
        <v>650</v>
      </c>
      <c r="Q35" s="265">
        <f t="shared" si="0"/>
        <v>650</v>
      </c>
      <c r="R35" s="265">
        <f t="shared" si="0"/>
        <v>650</v>
      </c>
      <c r="S35" s="265">
        <f t="shared" si="0"/>
        <v>650</v>
      </c>
      <c r="T35" s="265">
        <f t="shared" si="0"/>
        <v>650</v>
      </c>
      <c r="U35" s="265">
        <f t="shared" si="0"/>
        <v>1020</v>
      </c>
      <c r="V35" s="265">
        <f t="shared" si="0"/>
        <v>1090</v>
      </c>
      <c r="W35" s="265">
        <f t="shared" si="0"/>
        <v>1090</v>
      </c>
    </row>
    <row r="36" spans="1:23">
      <c r="A36" s="28" t="s">
        <v>24</v>
      </c>
      <c r="B36" s="272">
        <f t="shared" si="0"/>
        <v>280</v>
      </c>
      <c r="C36" s="265">
        <f t="shared" si="0"/>
        <v>280</v>
      </c>
      <c r="D36" s="265">
        <f t="shared" si="0"/>
        <v>280</v>
      </c>
      <c r="E36" s="265">
        <f t="shared" si="0"/>
        <v>280</v>
      </c>
      <c r="F36" s="265">
        <f t="shared" si="0"/>
        <v>280</v>
      </c>
      <c r="G36" s="265">
        <f t="shared" si="0"/>
        <v>280</v>
      </c>
      <c r="H36" s="265">
        <f t="shared" si="0"/>
        <v>280</v>
      </c>
      <c r="I36" s="265">
        <f t="shared" si="0"/>
        <v>280</v>
      </c>
      <c r="J36" s="265">
        <f t="shared" si="0"/>
        <v>0</v>
      </c>
      <c r="K36" s="265">
        <f t="shared" si="0"/>
        <v>280</v>
      </c>
      <c r="L36" s="265">
        <f t="shared" si="0"/>
        <v>280</v>
      </c>
      <c r="M36" s="273">
        <f t="shared" si="0"/>
        <v>280</v>
      </c>
      <c r="N36" s="156">
        <f t="shared" si="0"/>
        <v>590</v>
      </c>
      <c r="O36" s="265">
        <f t="shared" si="0"/>
        <v>590</v>
      </c>
      <c r="P36" s="265">
        <f t="shared" si="0"/>
        <v>650</v>
      </c>
      <c r="Q36" s="265">
        <f t="shared" si="0"/>
        <v>650</v>
      </c>
      <c r="R36" s="265">
        <f t="shared" si="0"/>
        <v>650</v>
      </c>
      <c r="S36" s="265">
        <f t="shared" si="0"/>
        <v>650</v>
      </c>
      <c r="T36" s="265">
        <f t="shared" si="0"/>
        <v>650</v>
      </c>
      <c r="U36" s="265">
        <f t="shared" si="0"/>
        <v>1020</v>
      </c>
      <c r="V36" s="265">
        <f t="shared" si="0"/>
        <v>1090</v>
      </c>
      <c r="W36" s="265">
        <f t="shared" si="0"/>
        <v>1090</v>
      </c>
    </row>
    <row r="37" spans="1:23">
      <c r="A37" s="28" t="s">
        <v>11</v>
      </c>
      <c r="B37" s="272">
        <f t="shared" si="0"/>
        <v>280</v>
      </c>
      <c r="C37" s="265">
        <f t="shared" si="0"/>
        <v>280</v>
      </c>
      <c r="D37" s="265">
        <f t="shared" si="0"/>
        <v>280</v>
      </c>
      <c r="E37" s="265">
        <f t="shared" si="0"/>
        <v>280</v>
      </c>
      <c r="F37" s="265">
        <f t="shared" si="0"/>
        <v>280</v>
      </c>
      <c r="G37" s="265">
        <f t="shared" si="0"/>
        <v>280</v>
      </c>
      <c r="H37" s="265">
        <f t="shared" si="0"/>
        <v>280</v>
      </c>
      <c r="I37" s="265">
        <f t="shared" si="0"/>
        <v>280</v>
      </c>
      <c r="J37" s="265">
        <f t="shared" si="0"/>
        <v>280</v>
      </c>
      <c r="K37" s="265">
        <f t="shared" si="0"/>
        <v>0</v>
      </c>
      <c r="L37" s="265">
        <f t="shared" si="0"/>
        <v>280</v>
      </c>
      <c r="M37" s="273">
        <f t="shared" si="0"/>
        <v>280</v>
      </c>
      <c r="N37" s="156">
        <f t="shared" si="0"/>
        <v>590</v>
      </c>
      <c r="O37" s="265">
        <f t="shared" si="0"/>
        <v>590</v>
      </c>
      <c r="P37" s="265">
        <f t="shared" si="0"/>
        <v>650</v>
      </c>
      <c r="Q37" s="265">
        <f t="shared" si="0"/>
        <v>650</v>
      </c>
      <c r="R37" s="265">
        <f t="shared" si="0"/>
        <v>650</v>
      </c>
      <c r="S37" s="265">
        <f t="shared" si="0"/>
        <v>650</v>
      </c>
      <c r="T37" s="265">
        <f t="shared" si="0"/>
        <v>650</v>
      </c>
      <c r="U37" s="265">
        <f t="shared" si="0"/>
        <v>1020</v>
      </c>
      <c r="V37" s="265">
        <f t="shared" si="0"/>
        <v>1090</v>
      </c>
      <c r="W37" s="265">
        <f t="shared" si="0"/>
        <v>1090</v>
      </c>
    </row>
    <row r="38" spans="1:23">
      <c r="A38" s="28" t="s">
        <v>25</v>
      </c>
      <c r="B38" s="272">
        <f t="shared" si="0"/>
        <v>280</v>
      </c>
      <c r="C38" s="265">
        <f t="shared" si="0"/>
        <v>280</v>
      </c>
      <c r="D38" s="265">
        <f t="shared" si="0"/>
        <v>280</v>
      </c>
      <c r="E38" s="265">
        <f t="shared" si="0"/>
        <v>280</v>
      </c>
      <c r="F38" s="265">
        <f t="shared" si="0"/>
        <v>280</v>
      </c>
      <c r="G38" s="265">
        <f t="shared" si="0"/>
        <v>280</v>
      </c>
      <c r="H38" s="265">
        <f t="shared" si="0"/>
        <v>280</v>
      </c>
      <c r="I38" s="265">
        <f t="shared" si="0"/>
        <v>280</v>
      </c>
      <c r="J38" s="265">
        <f t="shared" si="0"/>
        <v>280</v>
      </c>
      <c r="K38" s="265">
        <f t="shared" si="0"/>
        <v>280</v>
      </c>
      <c r="L38" s="265">
        <f t="shared" si="0"/>
        <v>0</v>
      </c>
      <c r="M38" s="273">
        <f t="shared" si="0"/>
        <v>280</v>
      </c>
      <c r="N38" s="156">
        <f t="shared" si="0"/>
        <v>590</v>
      </c>
      <c r="O38" s="265">
        <f t="shared" si="0"/>
        <v>590</v>
      </c>
      <c r="P38" s="265">
        <f t="shared" si="0"/>
        <v>650</v>
      </c>
      <c r="Q38" s="265">
        <f t="shared" si="0"/>
        <v>650</v>
      </c>
      <c r="R38" s="265">
        <f t="shared" si="0"/>
        <v>650</v>
      </c>
      <c r="S38" s="265">
        <f t="shared" si="0"/>
        <v>650</v>
      </c>
      <c r="T38" s="265">
        <f t="shared" si="0"/>
        <v>650</v>
      </c>
      <c r="U38" s="265">
        <f t="shared" si="0"/>
        <v>1020</v>
      </c>
      <c r="V38" s="265">
        <f t="shared" si="0"/>
        <v>1090</v>
      </c>
      <c r="W38" s="265">
        <f t="shared" si="0"/>
        <v>1090</v>
      </c>
    </row>
    <row r="39" spans="1:23" ht="16.5" thickBot="1">
      <c r="A39" s="28" t="s">
        <v>13</v>
      </c>
      <c r="B39" s="274">
        <f t="shared" si="0"/>
        <v>280</v>
      </c>
      <c r="C39" s="275">
        <f t="shared" si="0"/>
        <v>280</v>
      </c>
      <c r="D39" s="275">
        <f t="shared" si="0"/>
        <v>280</v>
      </c>
      <c r="E39" s="275">
        <f t="shared" si="0"/>
        <v>280</v>
      </c>
      <c r="F39" s="275">
        <f t="shared" si="0"/>
        <v>280</v>
      </c>
      <c r="G39" s="275">
        <f t="shared" si="0"/>
        <v>280</v>
      </c>
      <c r="H39" s="275">
        <f t="shared" si="0"/>
        <v>280</v>
      </c>
      <c r="I39" s="275">
        <f t="shared" si="0"/>
        <v>280</v>
      </c>
      <c r="J39" s="275">
        <f t="shared" si="0"/>
        <v>280</v>
      </c>
      <c r="K39" s="275">
        <f t="shared" si="0"/>
        <v>280</v>
      </c>
      <c r="L39" s="275">
        <f t="shared" si="0"/>
        <v>280</v>
      </c>
      <c r="M39" s="276">
        <f t="shared" si="0"/>
        <v>0</v>
      </c>
      <c r="N39" s="156">
        <f t="shared" si="0"/>
        <v>330</v>
      </c>
      <c r="O39" s="265">
        <f t="shared" ref="O39:W49" si="1">MROUND(O14*$A$25,10)</f>
        <v>330</v>
      </c>
      <c r="P39" s="265">
        <f t="shared" si="1"/>
        <v>650</v>
      </c>
      <c r="Q39" s="265">
        <f t="shared" si="1"/>
        <v>650</v>
      </c>
      <c r="R39" s="265">
        <f t="shared" si="1"/>
        <v>650</v>
      </c>
      <c r="S39" s="265">
        <f t="shared" si="1"/>
        <v>650</v>
      </c>
      <c r="T39" s="265">
        <f t="shared" si="1"/>
        <v>650</v>
      </c>
      <c r="U39" s="265">
        <f t="shared" si="1"/>
        <v>1020</v>
      </c>
      <c r="V39" s="265">
        <f t="shared" si="1"/>
        <v>1090</v>
      </c>
      <c r="W39" s="265">
        <f t="shared" si="1"/>
        <v>1090</v>
      </c>
    </row>
    <row r="40" spans="1:23">
      <c r="A40" s="28" t="s">
        <v>14</v>
      </c>
      <c r="B40" s="33">
        <f t="shared" ref="B40:T49" si="2">MROUND(B15*$A$25,10)</f>
        <v>590</v>
      </c>
      <c r="C40" s="33">
        <f t="shared" si="2"/>
        <v>590</v>
      </c>
      <c r="D40" s="33">
        <f t="shared" si="2"/>
        <v>590</v>
      </c>
      <c r="E40" s="33">
        <f t="shared" si="2"/>
        <v>590</v>
      </c>
      <c r="F40" s="33">
        <f t="shared" si="2"/>
        <v>590</v>
      </c>
      <c r="G40" s="33">
        <f t="shared" si="2"/>
        <v>590</v>
      </c>
      <c r="H40" s="33">
        <f t="shared" si="2"/>
        <v>590</v>
      </c>
      <c r="I40" s="33">
        <f t="shared" si="2"/>
        <v>590</v>
      </c>
      <c r="J40" s="33">
        <f t="shared" si="2"/>
        <v>590</v>
      </c>
      <c r="K40" s="33">
        <f t="shared" si="2"/>
        <v>590</v>
      </c>
      <c r="L40" s="33">
        <f t="shared" si="2"/>
        <v>590</v>
      </c>
      <c r="M40" s="33">
        <f t="shared" si="2"/>
        <v>330</v>
      </c>
      <c r="N40" s="265">
        <f t="shared" si="2"/>
        <v>0</v>
      </c>
      <c r="O40" s="265">
        <f t="shared" si="2"/>
        <v>330</v>
      </c>
      <c r="P40" s="265">
        <f t="shared" si="2"/>
        <v>330</v>
      </c>
      <c r="Q40" s="265">
        <f t="shared" si="2"/>
        <v>600</v>
      </c>
      <c r="R40" s="265">
        <f t="shared" si="2"/>
        <v>600</v>
      </c>
      <c r="S40" s="265">
        <f t="shared" si="2"/>
        <v>600</v>
      </c>
      <c r="T40" s="265">
        <f t="shared" si="2"/>
        <v>600</v>
      </c>
      <c r="U40" s="265">
        <f t="shared" si="1"/>
        <v>920</v>
      </c>
      <c r="V40" s="265">
        <f t="shared" si="1"/>
        <v>920</v>
      </c>
      <c r="W40" s="265">
        <f t="shared" si="1"/>
        <v>920</v>
      </c>
    </row>
    <row r="41" spans="1:23">
      <c r="A41" s="28" t="s">
        <v>15</v>
      </c>
      <c r="B41" s="265">
        <f t="shared" si="2"/>
        <v>590</v>
      </c>
      <c r="C41" s="265">
        <f t="shared" si="2"/>
        <v>590</v>
      </c>
      <c r="D41" s="265">
        <f t="shared" si="2"/>
        <v>590</v>
      </c>
      <c r="E41" s="265">
        <f t="shared" si="2"/>
        <v>590</v>
      </c>
      <c r="F41" s="265">
        <f t="shared" si="2"/>
        <v>590</v>
      </c>
      <c r="G41" s="265">
        <f t="shared" si="2"/>
        <v>590</v>
      </c>
      <c r="H41" s="265">
        <f t="shared" si="2"/>
        <v>590</v>
      </c>
      <c r="I41" s="265">
        <f t="shared" si="2"/>
        <v>590</v>
      </c>
      <c r="J41" s="265">
        <f t="shared" si="2"/>
        <v>590</v>
      </c>
      <c r="K41" s="265">
        <f t="shared" si="2"/>
        <v>590</v>
      </c>
      <c r="L41" s="265">
        <f t="shared" si="2"/>
        <v>590</v>
      </c>
      <c r="M41" s="265">
        <f t="shared" si="2"/>
        <v>330</v>
      </c>
      <c r="N41" s="265">
        <f t="shared" si="2"/>
        <v>330</v>
      </c>
      <c r="O41" s="265">
        <f t="shared" si="2"/>
        <v>0</v>
      </c>
      <c r="P41" s="265">
        <f t="shared" si="2"/>
        <v>330</v>
      </c>
      <c r="Q41" s="265">
        <f t="shared" si="2"/>
        <v>330</v>
      </c>
      <c r="R41" s="265">
        <f t="shared" si="2"/>
        <v>600</v>
      </c>
      <c r="S41" s="265">
        <f t="shared" si="2"/>
        <v>600</v>
      </c>
      <c r="T41" s="265">
        <f t="shared" si="2"/>
        <v>600</v>
      </c>
      <c r="U41" s="265">
        <f t="shared" si="1"/>
        <v>600</v>
      </c>
      <c r="V41" s="265">
        <f t="shared" si="1"/>
        <v>920</v>
      </c>
      <c r="W41" s="265">
        <f t="shared" si="1"/>
        <v>920</v>
      </c>
    </row>
    <row r="42" spans="1:23">
      <c r="A42" s="28" t="s">
        <v>16</v>
      </c>
      <c r="B42" s="265">
        <f t="shared" si="2"/>
        <v>650</v>
      </c>
      <c r="C42" s="265">
        <f t="shared" si="2"/>
        <v>650</v>
      </c>
      <c r="D42" s="265">
        <f t="shared" si="2"/>
        <v>650</v>
      </c>
      <c r="E42" s="265">
        <f t="shared" si="2"/>
        <v>650</v>
      </c>
      <c r="F42" s="265">
        <f t="shared" si="2"/>
        <v>650</v>
      </c>
      <c r="G42" s="265">
        <f t="shared" si="2"/>
        <v>650</v>
      </c>
      <c r="H42" s="265">
        <f t="shared" si="2"/>
        <v>650</v>
      </c>
      <c r="I42" s="265">
        <f t="shared" si="2"/>
        <v>650</v>
      </c>
      <c r="J42" s="265">
        <f t="shared" si="2"/>
        <v>650</v>
      </c>
      <c r="K42" s="265">
        <f t="shared" si="2"/>
        <v>650</v>
      </c>
      <c r="L42" s="265">
        <f t="shared" si="2"/>
        <v>650</v>
      </c>
      <c r="M42" s="265">
        <f t="shared" si="2"/>
        <v>650</v>
      </c>
      <c r="N42" s="265">
        <f t="shared" si="2"/>
        <v>330</v>
      </c>
      <c r="O42" s="265">
        <f t="shared" si="2"/>
        <v>330</v>
      </c>
      <c r="P42" s="265">
        <f t="shared" si="2"/>
        <v>0</v>
      </c>
      <c r="Q42" s="265">
        <f t="shared" si="2"/>
        <v>330</v>
      </c>
      <c r="R42" s="265">
        <f t="shared" si="2"/>
        <v>330</v>
      </c>
      <c r="S42" s="265">
        <f t="shared" si="2"/>
        <v>330</v>
      </c>
      <c r="T42" s="265">
        <f t="shared" si="2"/>
        <v>600</v>
      </c>
      <c r="U42" s="265">
        <f t="shared" si="1"/>
        <v>600</v>
      </c>
      <c r="V42" s="265">
        <f t="shared" si="1"/>
        <v>600</v>
      </c>
      <c r="W42" s="265">
        <f t="shared" si="1"/>
        <v>600</v>
      </c>
    </row>
    <row r="43" spans="1:23">
      <c r="A43" s="28" t="s">
        <v>17</v>
      </c>
      <c r="B43" s="265">
        <f t="shared" si="2"/>
        <v>650</v>
      </c>
      <c r="C43" s="265">
        <f t="shared" si="2"/>
        <v>650</v>
      </c>
      <c r="D43" s="265">
        <f t="shared" si="2"/>
        <v>650</v>
      </c>
      <c r="E43" s="265">
        <f t="shared" si="2"/>
        <v>650</v>
      </c>
      <c r="F43" s="265">
        <f t="shared" si="2"/>
        <v>650</v>
      </c>
      <c r="G43" s="265">
        <f t="shared" si="2"/>
        <v>650</v>
      </c>
      <c r="H43" s="265">
        <f t="shared" si="2"/>
        <v>650</v>
      </c>
      <c r="I43" s="265">
        <f t="shared" si="2"/>
        <v>650</v>
      </c>
      <c r="J43" s="265">
        <f t="shared" si="2"/>
        <v>650</v>
      </c>
      <c r="K43" s="265">
        <f t="shared" si="2"/>
        <v>650</v>
      </c>
      <c r="L43" s="265">
        <f t="shared" si="2"/>
        <v>650</v>
      </c>
      <c r="M43" s="265">
        <f t="shared" si="2"/>
        <v>650</v>
      </c>
      <c r="N43" s="265">
        <f t="shared" si="2"/>
        <v>600</v>
      </c>
      <c r="O43" s="265">
        <f t="shared" si="2"/>
        <v>330</v>
      </c>
      <c r="P43" s="265">
        <f t="shared" si="2"/>
        <v>330</v>
      </c>
      <c r="Q43" s="265">
        <f t="shared" si="2"/>
        <v>0</v>
      </c>
      <c r="R43" s="265">
        <f t="shared" si="2"/>
        <v>330</v>
      </c>
      <c r="S43" s="265">
        <f t="shared" si="2"/>
        <v>330</v>
      </c>
      <c r="T43" s="265">
        <f t="shared" si="2"/>
        <v>600</v>
      </c>
      <c r="U43" s="265">
        <f t="shared" si="1"/>
        <v>600</v>
      </c>
      <c r="V43" s="265">
        <f t="shared" si="1"/>
        <v>600</v>
      </c>
      <c r="W43" s="265">
        <f t="shared" si="1"/>
        <v>600</v>
      </c>
    </row>
    <row r="44" spans="1:23">
      <c r="A44" s="28" t="s">
        <v>18</v>
      </c>
      <c r="B44" s="265">
        <f t="shared" si="2"/>
        <v>650</v>
      </c>
      <c r="C44" s="265">
        <f t="shared" si="2"/>
        <v>650</v>
      </c>
      <c r="D44" s="265">
        <f t="shared" si="2"/>
        <v>650</v>
      </c>
      <c r="E44" s="265">
        <f t="shared" si="2"/>
        <v>650</v>
      </c>
      <c r="F44" s="265">
        <f t="shared" si="2"/>
        <v>650</v>
      </c>
      <c r="G44" s="265">
        <f t="shared" si="2"/>
        <v>650</v>
      </c>
      <c r="H44" s="265">
        <f t="shared" si="2"/>
        <v>650</v>
      </c>
      <c r="I44" s="265">
        <f t="shared" si="2"/>
        <v>650</v>
      </c>
      <c r="J44" s="265">
        <f t="shared" si="2"/>
        <v>650</v>
      </c>
      <c r="K44" s="265">
        <f t="shared" si="2"/>
        <v>650</v>
      </c>
      <c r="L44" s="265">
        <f t="shared" si="2"/>
        <v>650</v>
      </c>
      <c r="M44" s="265">
        <f t="shared" si="2"/>
        <v>650</v>
      </c>
      <c r="N44" s="265">
        <f t="shared" si="2"/>
        <v>600</v>
      </c>
      <c r="O44" s="265">
        <f t="shared" si="2"/>
        <v>600</v>
      </c>
      <c r="P44" s="265">
        <f t="shared" si="2"/>
        <v>330</v>
      </c>
      <c r="Q44" s="265">
        <f t="shared" si="2"/>
        <v>330</v>
      </c>
      <c r="R44" s="265">
        <f t="shared" si="2"/>
        <v>0</v>
      </c>
      <c r="S44" s="265">
        <f t="shared" si="2"/>
        <v>330</v>
      </c>
      <c r="T44" s="265">
        <f t="shared" si="2"/>
        <v>330</v>
      </c>
      <c r="U44" s="265">
        <f t="shared" si="1"/>
        <v>600</v>
      </c>
      <c r="V44" s="265">
        <f t="shared" si="1"/>
        <v>600</v>
      </c>
      <c r="W44" s="265">
        <f t="shared" si="1"/>
        <v>600</v>
      </c>
    </row>
    <row r="45" spans="1:23">
      <c r="A45" s="28" t="s">
        <v>19</v>
      </c>
      <c r="B45" s="265">
        <f t="shared" si="2"/>
        <v>650</v>
      </c>
      <c r="C45" s="265">
        <f t="shared" si="2"/>
        <v>650</v>
      </c>
      <c r="D45" s="265">
        <f t="shared" si="2"/>
        <v>650</v>
      </c>
      <c r="E45" s="265">
        <f t="shared" si="2"/>
        <v>650</v>
      </c>
      <c r="F45" s="265">
        <f t="shared" si="2"/>
        <v>650</v>
      </c>
      <c r="G45" s="265">
        <f t="shared" si="2"/>
        <v>650</v>
      </c>
      <c r="H45" s="265">
        <f t="shared" si="2"/>
        <v>650</v>
      </c>
      <c r="I45" s="265">
        <f t="shared" si="2"/>
        <v>650</v>
      </c>
      <c r="J45" s="265">
        <f t="shared" si="2"/>
        <v>650</v>
      </c>
      <c r="K45" s="265">
        <f t="shared" si="2"/>
        <v>650</v>
      </c>
      <c r="L45" s="265">
        <f t="shared" si="2"/>
        <v>650</v>
      </c>
      <c r="M45" s="265">
        <f t="shared" si="2"/>
        <v>650</v>
      </c>
      <c r="N45" s="265">
        <f t="shared" si="2"/>
        <v>600</v>
      </c>
      <c r="O45" s="265">
        <f t="shared" si="2"/>
        <v>600</v>
      </c>
      <c r="P45" s="265">
        <f t="shared" si="2"/>
        <v>330</v>
      </c>
      <c r="Q45" s="265">
        <f t="shared" si="2"/>
        <v>330</v>
      </c>
      <c r="R45" s="265">
        <f t="shared" si="2"/>
        <v>330</v>
      </c>
      <c r="S45" s="265">
        <f t="shared" si="2"/>
        <v>0</v>
      </c>
      <c r="T45" s="265">
        <f t="shared" si="2"/>
        <v>330</v>
      </c>
      <c r="U45" s="265">
        <f t="shared" si="1"/>
        <v>600</v>
      </c>
      <c r="V45" s="265">
        <f t="shared" si="1"/>
        <v>600</v>
      </c>
      <c r="W45" s="265">
        <f t="shared" si="1"/>
        <v>600</v>
      </c>
    </row>
    <row r="46" spans="1:23">
      <c r="A46" s="28" t="s">
        <v>20</v>
      </c>
      <c r="B46" s="265">
        <f t="shared" si="2"/>
        <v>650</v>
      </c>
      <c r="C46" s="265">
        <f t="shared" si="2"/>
        <v>650</v>
      </c>
      <c r="D46" s="265">
        <f t="shared" si="2"/>
        <v>650</v>
      </c>
      <c r="E46" s="265">
        <f t="shared" si="2"/>
        <v>650</v>
      </c>
      <c r="F46" s="265">
        <f t="shared" si="2"/>
        <v>650</v>
      </c>
      <c r="G46" s="265">
        <f t="shared" si="2"/>
        <v>650</v>
      </c>
      <c r="H46" s="265">
        <f t="shared" si="2"/>
        <v>650</v>
      </c>
      <c r="I46" s="265">
        <f t="shared" si="2"/>
        <v>650</v>
      </c>
      <c r="J46" s="265">
        <f t="shared" si="2"/>
        <v>650</v>
      </c>
      <c r="K46" s="265">
        <f t="shared" si="2"/>
        <v>650</v>
      </c>
      <c r="L46" s="265">
        <f t="shared" si="2"/>
        <v>650</v>
      </c>
      <c r="M46" s="265">
        <f t="shared" si="2"/>
        <v>650</v>
      </c>
      <c r="N46" s="265">
        <f t="shared" si="2"/>
        <v>600</v>
      </c>
      <c r="O46" s="265">
        <f t="shared" si="2"/>
        <v>600</v>
      </c>
      <c r="P46" s="265">
        <f t="shared" si="2"/>
        <v>600</v>
      </c>
      <c r="Q46" s="265">
        <f t="shared" si="2"/>
        <v>600</v>
      </c>
      <c r="R46" s="265">
        <f t="shared" si="2"/>
        <v>330</v>
      </c>
      <c r="S46" s="265">
        <f t="shared" si="2"/>
        <v>330</v>
      </c>
      <c r="T46" s="265">
        <f t="shared" si="2"/>
        <v>0</v>
      </c>
      <c r="U46" s="265">
        <f t="shared" si="1"/>
        <v>330</v>
      </c>
      <c r="V46" s="265">
        <f t="shared" si="1"/>
        <v>600</v>
      </c>
      <c r="W46" s="265">
        <f t="shared" si="1"/>
        <v>600</v>
      </c>
    </row>
    <row r="47" spans="1:23">
      <c r="A47" s="28" t="s">
        <v>21</v>
      </c>
      <c r="B47" s="265">
        <f t="shared" si="2"/>
        <v>1020</v>
      </c>
      <c r="C47" s="265">
        <f t="shared" si="2"/>
        <v>1020</v>
      </c>
      <c r="D47" s="265">
        <f t="shared" si="2"/>
        <v>1020</v>
      </c>
      <c r="E47" s="265">
        <f t="shared" si="2"/>
        <v>1020</v>
      </c>
      <c r="F47" s="265">
        <f t="shared" si="2"/>
        <v>1020</v>
      </c>
      <c r="G47" s="265">
        <f t="shared" si="2"/>
        <v>1020</v>
      </c>
      <c r="H47" s="265">
        <f t="shared" si="2"/>
        <v>1020</v>
      </c>
      <c r="I47" s="265">
        <f t="shared" si="2"/>
        <v>1020</v>
      </c>
      <c r="J47" s="265">
        <f t="shared" si="2"/>
        <v>1020</v>
      </c>
      <c r="K47" s="265">
        <f t="shared" si="2"/>
        <v>1020</v>
      </c>
      <c r="L47" s="265">
        <f t="shared" si="2"/>
        <v>1020</v>
      </c>
      <c r="M47" s="265">
        <f t="shared" si="2"/>
        <v>1020</v>
      </c>
      <c r="N47" s="265">
        <f t="shared" si="2"/>
        <v>920</v>
      </c>
      <c r="O47" s="265">
        <f t="shared" si="2"/>
        <v>600</v>
      </c>
      <c r="P47" s="265">
        <f t="shared" si="2"/>
        <v>600</v>
      </c>
      <c r="Q47" s="265">
        <f t="shared" si="2"/>
        <v>600</v>
      </c>
      <c r="R47" s="265">
        <f t="shared" si="2"/>
        <v>600</v>
      </c>
      <c r="S47" s="265">
        <f t="shared" si="2"/>
        <v>600</v>
      </c>
      <c r="T47" s="265">
        <f t="shared" si="2"/>
        <v>330</v>
      </c>
      <c r="U47" s="265">
        <f t="shared" si="1"/>
        <v>0</v>
      </c>
      <c r="V47" s="265">
        <f t="shared" si="1"/>
        <v>330</v>
      </c>
      <c r="W47" s="265">
        <f t="shared" si="1"/>
        <v>600</v>
      </c>
    </row>
    <row r="48" spans="1:23">
      <c r="A48" s="28" t="s">
        <v>22</v>
      </c>
      <c r="B48" s="265">
        <f t="shared" si="2"/>
        <v>1090</v>
      </c>
      <c r="C48" s="265">
        <f t="shared" si="2"/>
        <v>1090</v>
      </c>
      <c r="D48" s="265">
        <f t="shared" si="2"/>
        <v>1090</v>
      </c>
      <c r="E48" s="265">
        <f t="shared" si="2"/>
        <v>1090</v>
      </c>
      <c r="F48" s="265">
        <f t="shared" si="2"/>
        <v>1090</v>
      </c>
      <c r="G48" s="265">
        <f t="shared" si="2"/>
        <v>1090</v>
      </c>
      <c r="H48" s="265">
        <f t="shared" si="2"/>
        <v>1090</v>
      </c>
      <c r="I48" s="265">
        <f t="shared" si="2"/>
        <v>1090</v>
      </c>
      <c r="J48" s="265">
        <f t="shared" si="2"/>
        <v>1090</v>
      </c>
      <c r="K48" s="265">
        <f t="shared" si="2"/>
        <v>1090</v>
      </c>
      <c r="L48" s="265">
        <f t="shared" si="2"/>
        <v>1090</v>
      </c>
      <c r="M48" s="265">
        <f t="shared" si="2"/>
        <v>1090</v>
      </c>
      <c r="N48" s="265">
        <f t="shared" si="2"/>
        <v>920</v>
      </c>
      <c r="O48" s="265">
        <f t="shared" si="2"/>
        <v>920</v>
      </c>
      <c r="P48" s="265">
        <f t="shared" si="2"/>
        <v>600</v>
      </c>
      <c r="Q48" s="265">
        <f t="shared" si="2"/>
        <v>600</v>
      </c>
      <c r="R48" s="265">
        <f t="shared" si="2"/>
        <v>600</v>
      </c>
      <c r="S48" s="265">
        <f t="shared" si="2"/>
        <v>600</v>
      </c>
      <c r="T48" s="265">
        <f t="shared" si="2"/>
        <v>600</v>
      </c>
      <c r="U48" s="265">
        <f t="shared" si="1"/>
        <v>330</v>
      </c>
      <c r="V48" s="265">
        <f t="shared" si="1"/>
        <v>0</v>
      </c>
      <c r="W48" s="265">
        <f t="shared" si="1"/>
        <v>330</v>
      </c>
    </row>
    <row r="49" spans="1:23">
      <c r="A49" s="28" t="s">
        <v>23</v>
      </c>
      <c r="B49" s="265">
        <f t="shared" si="2"/>
        <v>1090</v>
      </c>
      <c r="C49" s="265">
        <f t="shared" si="2"/>
        <v>1090</v>
      </c>
      <c r="D49" s="265">
        <f t="shared" si="2"/>
        <v>1090</v>
      </c>
      <c r="E49" s="265">
        <f t="shared" si="2"/>
        <v>1090</v>
      </c>
      <c r="F49" s="265">
        <f t="shared" si="2"/>
        <v>1090</v>
      </c>
      <c r="G49" s="265">
        <f t="shared" si="2"/>
        <v>1090</v>
      </c>
      <c r="H49" s="265">
        <f t="shared" si="2"/>
        <v>1090</v>
      </c>
      <c r="I49" s="265">
        <f t="shared" si="2"/>
        <v>1090</v>
      </c>
      <c r="J49" s="265">
        <f t="shared" si="2"/>
        <v>1090</v>
      </c>
      <c r="K49" s="265">
        <f t="shared" si="2"/>
        <v>1090</v>
      </c>
      <c r="L49" s="265">
        <f t="shared" si="2"/>
        <v>1090</v>
      </c>
      <c r="M49" s="265">
        <f t="shared" si="2"/>
        <v>1090</v>
      </c>
      <c r="N49" s="265">
        <f t="shared" si="2"/>
        <v>920</v>
      </c>
      <c r="O49" s="265">
        <f t="shared" si="2"/>
        <v>920</v>
      </c>
      <c r="P49" s="265">
        <f t="shared" si="2"/>
        <v>600</v>
      </c>
      <c r="Q49" s="265">
        <f t="shared" si="2"/>
        <v>600</v>
      </c>
      <c r="R49" s="265">
        <f t="shared" si="2"/>
        <v>600</v>
      </c>
      <c r="S49" s="265">
        <f t="shared" si="2"/>
        <v>600</v>
      </c>
      <c r="T49" s="265">
        <f t="shared" si="2"/>
        <v>600</v>
      </c>
      <c r="U49" s="265">
        <f t="shared" si="1"/>
        <v>600</v>
      </c>
      <c r="V49" s="265">
        <f t="shared" si="1"/>
        <v>330</v>
      </c>
      <c r="W49" s="265">
        <f t="shared" si="1"/>
        <v>0</v>
      </c>
    </row>
    <row r="50" spans="1:2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1:23">
      <c r="A51" s="119" t="s">
        <v>27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</row>
    <row r="52" spans="1:23" ht="69.75" thickBot="1">
      <c r="A52" s="264" t="s">
        <v>1</v>
      </c>
      <c r="B52" s="26" t="s">
        <v>2</v>
      </c>
      <c r="C52" s="26" t="s">
        <v>3</v>
      </c>
      <c r="D52" s="26" t="s">
        <v>4</v>
      </c>
      <c r="E52" s="26" t="s">
        <v>5</v>
      </c>
      <c r="F52" s="26" t="s">
        <v>6</v>
      </c>
      <c r="G52" s="26" t="s">
        <v>7</v>
      </c>
      <c r="H52" s="26" t="s">
        <v>8</v>
      </c>
      <c r="I52" s="26" t="s">
        <v>9</v>
      </c>
      <c r="J52" s="26" t="s">
        <v>10</v>
      </c>
      <c r="K52" s="27" t="s">
        <v>11</v>
      </c>
      <c r="L52" s="26" t="s">
        <v>12</v>
      </c>
      <c r="M52" s="26" t="s">
        <v>13</v>
      </c>
      <c r="N52" s="26" t="s">
        <v>14</v>
      </c>
      <c r="O52" s="26" t="s">
        <v>15</v>
      </c>
      <c r="P52" s="26" t="s">
        <v>16</v>
      </c>
      <c r="Q52" s="26" t="s">
        <v>17</v>
      </c>
      <c r="R52" s="26" t="s">
        <v>18</v>
      </c>
      <c r="S52" s="26" t="s">
        <v>19</v>
      </c>
      <c r="T52" s="26" t="s">
        <v>20</v>
      </c>
      <c r="U52" s="26" t="s">
        <v>21</v>
      </c>
      <c r="V52" s="26" t="s">
        <v>22</v>
      </c>
      <c r="W52" s="26" t="s">
        <v>23</v>
      </c>
    </row>
    <row r="53" spans="1:23">
      <c r="A53" s="28" t="s">
        <v>2</v>
      </c>
      <c r="B53" s="36">
        <f t="shared" ref="B53:W64" si="3">MROUND(B3*$A$25,10)</f>
        <v>0</v>
      </c>
      <c r="C53" s="37">
        <f t="shared" si="3"/>
        <v>280</v>
      </c>
      <c r="D53" s="37">
        <f t="shared" si="3"/>
        <v>280</v>
      </c>
      <c r="E53" s="37">
        <f t="shared" si="3"/>
        <v>280</v>
      </c>
      <c r="F53" s="37">
        <f t="shared" si="3"/>
        <v>280</v>
      </c>
      <c r="G53" s="37">
        <f t="shared" si="3"/>
        <v>280</v>
      </c>
      <c r="H53" s="37">
        <f t="shared" si="3"/>
        <v>280</v>
      </c>
      <c r="I53" s="37">
        <f t="shared" si="3"/>
        <v>280</v>
      </c>
      <c r="J53" s="37">
        <f t="shared" si="3"/>
        <v>280</v>
      </c>
      <c r="K53" s="37">
        <f t="shared" si="3"/>
        <v>280</v>
      </c>
      <c r="L53" s="37">
        <f t="shared" si="3"/>
        <v>280</v>
      </c>
      <c r="M53" s="38">
        <f t="shared" si="3"/>
        <v>280</v>
      </c>
      <c r="N53" s="156">
        <f t="shared" si="3"/>
        <v>590</v>
      </c>
      <c r="O53" s="265">
        <f t="shared" si="3"/>
        <v>590</v>
      </c>
      <c r="P53" s="265">
        <f t="shared" si="3"/>
        <v>650</v>
      </c>
      <c r="Q53" s="265">
        <f t="shared" si="3"/>
        <v>650</v>
      </c>
      <c r="R53" s="265">
        <f t="shared" si="3"/>
        <v>650</v>
      </c>
      <c r="S53" s="265">
        <f t="shared" si="3"/>
        <v>650</v>
      </c>
      <c r="T53" s="265">
        <f t="shared" si="3"/>
        <v>650</v>
      </c>
      <c r="U53" s="265">
        <f t="shared" si="3"/>
        <v>1020</v>
      </c>
      <c r="V53" s="265">
        <f t="shared" si="3"/>
        <v>1090</v>
      </c>
      <c r="W53" s="265">
        <f t="shared" si="3"/>
        <v>1090</v>
      </c>
    </row>
    <row r="54" spans="1:23">
      <c r="A54" s="28" t="s">
        <v>3</v>
      </c>
      <c r="B54" s="272">
        <f t="shared" si="3"/>
        <v>280</v>
      </c>
      <c r="C54" s="265">
        <f t="shared" si="3"/>
        <v>0</v>
      </c>
      <c r="D54" s="265">
        <f t="shared" si="3"/>
        <v>280</v>
      </c>
      <c r="E54" s="265">
        <f t="shared" si="3"/>
        <v>280</v>
      </c>
      <c r="F54" s="265">
        <f t="shared" si="3"/>
        <v>280</v>
      </c>
      <c r="G54" s="265">
        <f t="shared" si="3"/>
        <v>280</v>
      </c>
      <c r="H54" s="265">
        <f t="shared" si="3"/>
        <v>280</v>
      </c>
      <c r="I54" s="265">
        <f t="shared" si="3"/>
        <v>280</v>
      </c>
      <c r="J54" s="265">
        <f t="shared" si="3"/>
        <v>280</v>
      </c>
      <c r="K54" s="265">
        <f t="shared" si="3"/>
        <v>280</v>
      </c>
      <c r="L54" s="265">
        <f t="shared" si="3"/>
        <v>280</v>
      </c>
      <c r="M54" s="273">
        <f t="shared" si="3"/>
        <v>280</v>
      </c>
      <c r="N54" s="156">
        <f t="shared" si="3"/>
        <v>590</v>
      </c>
      <c r="O54" s="265">
        <f t="shared" si="3"/>
        <v>590</v>
      </c>
      <c r="P54" s="265">
        <f t="shared" si="3"/>
        <v>650</v>
      </c>
      <c r="Q54" s="265">
        <f t="shared" si="3"/>
        <v>650</v>
      </c>
      <c r="R54" s="265">
        <f t="shared" si="3"/>
        <v>650</v>
      </c>
      <c r="S54" s="265">
        <f t="shared" si="3"/>
        <v>650</v>
      </c>
      <c r="T54" s="265">
        <f t="shared" si="3"/>
        <v>650</v>
      </c>
      <c r="U54" s="265">
        <f t="shared" si="3"/>
        <v>1020</v>
      </c>
      <c r="V54" s="265">
        <f t="shared" si="3"/>
        <v>1090</v>
      </c>
      <c r="W54" s="265">
        <f t="shared" si="3"/>
        <v>1090</v>
      </c>
    </row>
    <row r="55" spans="1:23">
      <c r="A55" s="28" t="s">
        <v>4</v>
      </c>
      <c r="B55" s="272">
        <f t="shared" si="3"/>
        <v>280</v>
      </c>
      <c r="C55" s="265">
        <f t="shared" si="3"/>
        <v>280</v>
      </c>
      <c r="D55" s="265">
        <f t="shared" si="3"/>
        <v>0</v>
      </c>
      <c r="E55" s="265">
        <f t="shared" si="3"/>
        <v>280</v>
      </c>
      <c r="F55" s="265">
        <f t="shared" si="3"/>
        <v>280</v>
      </c>
      <c r="G55" s="265">
        <f t="shared" si="3"/>
        <v>280</v>
      </c>
      <c r="H55" s="265">
        <f t="shared" si="3"/>
        <v>280</v>
      </c>
      <c r="I55" s="265">
        <f t="shared" si="3"/>
        <v>280</v>
      </c>
      <c r="J55" s="265">
        <f t="shared" si="3"/>
        <v>280</v>
      </c>
      <c r="K55" s="265">
        <f t="shared" si="3"/>
        <v>280</v>
      </c>
      <c r="L55" s="265">
        <f t="shared" si="3"/>
        <v>280</v>
      </c>
      <c r="M55" s="273">
        <f t="shared" si="3"/>
        <v>280</v>
      </c>
      <c r="N55" s="156">
        <f t="shared" si="3"/>
        <v>590</v>
      </c>
      <c r="O55" s="265">
        <f t="shared" si="3"/>
        <v>590</v>
      </c>
      <c r="P55" s="265">
        <f t="shared" si="3"/>
        <v>650</v>
      </c>
      <c r="Q55" s="265">
        <f t="shared" si="3"/>
        <v>650</v>
      </c>
      <c r="R55" s="265">
        <f t="shared" si="3"/>
        <v>650</v>
      </c>
      <c r="S55" s="265">
        <f t="shared" si="3"/>
        <v>650</v>
      </c>
      <c r="T55" s="265">
        <f t="shared" si="3"/>
        <v>650</v>
      </c>
      <c r="U55" s="265">
        <f t="shared" si="3"/>
        <v>1020</v>
      </c>
      <c r="V55" s="265">
        <f t="shared" si="3"/>
        <v>1090</v>
      </c>
      <c r="W55" s="265">
        <f t="shared" si="3"/>
        <v>1090</v>
      </c>
    </row>
    <row r="56" spans="1:23">
      <c r="A56" s="28" t="s">
        <v>5</v>
      </c>
      <c r="B56" s="272">
        <f t="shared" si="3"/>
        <v>280</v>
      </c>
      <c r="C56" s="265">
        <f t="shared" si="3"/>
        <v>280</v>
      </c>
      <c r="D56" s="265">
        <f t="shared" si="3"/>
        <v>280</v>
      </c>
      <c r="E56" s="265">
        <f t="shared" si="3"/>
        <v>0</v>
      </c>
      <c r="F56" s="265">
        <f t="shared" si="3"/>
        <v>280</v>
      </c>
      <c r="G56" s="265">
        <f t="shared" si="3"/>
        <v>280</v>
      </c>
      <c r="H56" s="265">
        <f t="shared" si="3"/>
        <v>280</v>
      </c>
      <c r="I56" s="265">
        <f t="shared" si="3"/>
        <v>280</v>
      </c>
      <c r="J56" s="265">
        <f t="shared" si="3"/>
        <v>280</v>
      </c>
      <c r="K56" s="265">
        <f t="shared" si="3"/>
        <v>280</v>
      </c>
      <c r="L56" s="265">
        <f t="shared" si="3"/>
        <v>280</v>
      </c>
      <c r="M56" s="273">
        <f t="shared" si="3"/>
        <v>280</v>
      </c>
      <c r="N56" s="156">
        <f t="shared" si="3"/>
        <v>590</v>
      </c>
      <c r="O56" s="265">
        <f t="shared" si="3"/>
        <v>590</v>
      </c>
      <c r="P56" s="265">
        <f t="shared" si="3"/>
        <v>650</v>
      </c>
      <c r="Q56" s="265">
        <f t="shared" si="3"/>
        <v>650</v>
      </c>
      <c r="R56" s="265">
        <f t="shared" si="3"/>
        <v>650</v>
      </c>
      <c r="S56" s="265">
        <f t="shared" si="3"/>
        <v>650</v>
      </c>
      <c r="T56" s="265">
        <f t="shared" si="3"/>
        <v>650</v>
      </c>
      <c r="U56" s="265">
        <f t="shared" si="3"/>
        <v>1020</v>
      </c>
      <c r="V56" s="265">
        <f t="shared" si="3"/>
        <v>1090</v>
      </c>
      <c r="W56" s="265">
        <f t="shared" si="3"/>
        <v>1090</v>
      </c>
    </row>
    <row r="57" spans="1:23">
      <c r="A57" s="28" t="s">
        <v>6</v>
      </c>
      <c r="B57" s="272">
        <f t="shared" si="3"/>
        <v>280</v>
      </c>
      <c r="C57" s="265">
        <f t="shared" si="3"/>
        <v>280</v>
      </c>
      <c r="D57" s="265">
        <f t="shared" si="3"/>
        <v>280</v>
      </c>
      <c r="E57" s="265">
        <f t="shared" si="3"/>
        <v>280</v>
      </c>
      <c r="F57" s="265">
        <f t="shared" si="3"/>
        <v>0</v>
      </c>
      <c r="G57" s="265">
        <f t="shared" si="3"/>
        <v>280</v>
      </c>
      <c r="H57" s="265">
        <f t="shared" si="3"/>
        <v>280</v>
      </c>
      <c r="I57" s="265">
        <f t="shared" si="3"/>
        <v>280</v>
      </c>
      <c r="J57" s="265">
        <f t="shared" si="3"/>
        <v>280</v>
      </c>
      <c r="K57" s="265">
        <f t="shared" si="3"/>
        <v>280</v>
      </c>
      <c r="L57" s="265">
        <f t="shared" si="3"/>
        <v>280</v>
      </c>
      <c r="M57" s="273">
        <f t="shared" si="3"/>
        <v>280</v>
      </c>
      <c r="N57" s="156">
        <f t="shared" si="3"/>
        <v>590</v>
      </c>
      <c r="O57" s="265">
        <f t="shared" si="3"/>
        <v>590</v>
      </c>
      <c r="P57" s="265">
        <f t="shared" si="3"/>
        <v>650</v>
      </c>
      <c r="Q57" s="265">
        <f t="shared" si="3"/>
        <v>650</v>
      </c>
      <c r="R57" s="265">
        <f t="shared" si="3"/>
        <v>650</v>
      </c>
      <c r="S57" s="265">
        <f t="shared" si="3"/>
        <v>650</v>
      </c>
      <c r="T57" s="265">
        <f t="shared" si="3"/>
        <v>650</v>
      </c>
      <c r="U57" s="265">
        <f t="shared" si="3"/>
        <v>1020</v>
      </c>
      <c r="V57" s="265">
        <f t="shared" si="3"/>
        <v>1090</v>
      </c>
      <c r="W57" s="265">
        <f t="shared" si="3"/>
        <v>1090</v>
      </c>
    </row>
    <row r="58" spans="1:23">
      <c r="A58" s="28" t="s">
        <v>7</v>
      </c>
      <c r="B58" s="272">
        <f t="shared" si="3"/>
        <v>280</v>
      </c>
      <c r="C58" s="265">
        <f t="shared" si="3"/>
        <v>280</v>
      </c>
      <c r="D58" s="265">
        <f t="shared" si="3"/>
        <v>280</v>
      </c>
      <c r="E58" s="265">
        <f t="shared" si="3"/>
        <v>280</v>
      </c>
      <c r="F58" s="265">
        <f t="shared" si="3"/>
        <v>280</v>
      </c>
      <c r="G58" s="265">
        <f t="shared" si="3"/>
        <v>0</v>
      </c>
      <c r="H58" s="265">
        <f t="shared" si="3"/>
        <v>280</v>
      </c>
      <c r="I58" s="265">
        <f t="shared" si="3"/>
        <v>280</v>
      </c>
      <c r="J58" s="265">
        <f t="shared" si="3"/>
        <v>280</v>
      </c>
      <c r="K58" s="265">
        <f t="shared" si="3"/>
        <v>280</v>
      </c>
      <c r="L58" s="265">
        <f t="shared" si="3"/>
        <v>280</v>
      </c>
      <c r="M58" s="273">
        <f t="shared" si="3"/>
        <v>280</v>
      </c>
      <c r="N58" s="156">
        <f t="shared" si="3"/>
        <v>590</v>
      </c>
      <c r="O58" s="265">
        <f t="shared" si="3"/>
        <v>590</v>
      </c>
      <c r="P58" s="265">
        <f t="shared" si="3"/>
        <v>650</v>
      </c>
      <c r="Q58" s="265">
        <f t="shared" si="3"/>
        <v>650</v>
      </c>
      <c r="R58" s="265">
        <f t="shared" si="3"/>
        <v>650</v>
      </c>
      <c r="S58" s="265">
        <f t="shared" si="3"/>
        <v>650</v>
      </c>
      <c r="T58" s="265">
        <f t="shared" si="3"/>
        <v>650</v>
      </c>
      <c r="U58" s="265">
        <f t="shared" si="3"/>
        <v>1020</v>
      </c>
      <c r="V58" s="265">
        <f t="shared" si="3"/>
        <v>1090</v>
      </c>
      <c r="W58" s="265">
        <f t="shared" si="3"/>
        <v>1090</v>
      </c>
    </row>
    <row r="59" spans="1:23">
      <c r="A59" s="28" t="s">
        <v>8</v>
      </c>
      <c r="B59" s="272">
        <f t="shared" si="3"/>
        <v>280</v>
      </c>
      <c r="C59" s="265">
        <f t="shared" si="3"/>
        <v>280</v>
      </c>
      <c r="D59" s="265">
        <f t="shared" si="3"/>
        <v>280</v>
      </c>
      <c r="E59" s="265">
        <f t="shared" si="3"/>
        <v>280</v>
      </c>
      <c r="F59" s="265">
        <f t="shared" si="3"/>
        <v>280</v>
      </c>
      <c r="G59" s="265">
        <f t="shared" si="3"/>
        <v>280</v>
      </c>
      <c r="H59" s="265">
        <f t="shared" si="3"/>
        <v>0</v>
      </c>
      <c r="I59" s="265">
        <f t="shared" si="3"/>
        <v>280</v>
      </c>
      <c r="J59" s="265">
        <f t="shared" si="3"/>
        <v>280</v>
      </c>
      <c r="K59" s="265">
        <f t="shared" si="3"/>
        <v>280</v>
      </c>
      <c r="L59" s="265">
        <f t="shared" si="3"/>
        <v>280</v>
      </c>
      <c r="M59" s="273">
        <f t="shared" si="3"/>
        <v>280</v>
      </c>
      <c r="N59" s="156">
        <f t="shared" si="3"/>
        <v>590</v>
      </c>
      <c r="O59" s="265">
        <f t="shared" si="3"/>
        <v>590</v>
      </c>
      <c r="P59" s="265">
        <f t="shared" si="3"/>
        <v>650</v>
      </c>
      <c r="Q59" s="265">
        <f t="shared" si="3"/>
        <v>650</v>
      </c>
      <c r="R59" s="265">
        <f t="shared" si="3"/>
        <v>650</v>
      </c>
      <c r="S59" s="265">
        <f t="shared" si="3"/>
        <v>650</v>
      </c>
      <c r="T59" s="265">
        <f t="shared" si="3"/>
        <v>650</v>
      </c>
      <c r="U59" s="265">
        <f t="shared" si="3"/>
        <v>1020</v>
      </c>
      <c r="V59" s="265">
        <f t="shared" si="3"/>
        <v>1090</v>
      </c>
      <c r="W59" s="265">
        <f t="shared" si="3"/>
        <v>1090</v>
      </c>
    </row>
    <row r="60" spans="1:23">
      <c r="A60" s="28" t="s">
        <v>9</v>
      </c>
      <c r="B60" s="272">
        <f t="shared" si="3"/>
        <v>280</v>
      </c>
      <c r="C60" s="265">
        <f t="shared" si="3"/>
        <v>280</v>
      </c>
      <c r="D60" s="265">
        <f t="shared" si="3"/>
        <v>280</v>
      </c>
      <c r="E60" s="265">
        <f t="shared" si="3"/>
        <v>280</v>
      </c>
      <c r="F60" s="265">
        <f t="shared" si="3"/>
        <v>280</v>
      </c>
      <c r="G60" s="265">
        <f t="shared" si="3"/>
        <v>280</v>
      </c>
      <c r="H60" s="265">
        <f t="shared" si="3"/>
        <v>280</v>
      </c>
      <c r="I60" s="265">
        <f t="shared" si="3"/>
        <v>0</v>
      </c>
      <c r="J60" s="265">
        <f t="shared" si="3"/>
        <v>280</v>
      </c>
      <c r="K60" s="265">
        <f t="shared" si="3"/>
        <v>280</v>
      </c>
      <c r="L60" s="265">
        <f t="shared" si="3"/>
        <v>280</v>
      </c>
      <c r="M60" s="273">
        <f t="shared" si="3"/>
        <v>280</v>
      </c>
      <c r="N60" s="156">
        <f t="shared" si="3"/>
        <v>590</v>
      </c>
      <c r="O60" s="265">
        <f t="shared" si="3"/>
        <v>590</v>
      </c>
      <c r="P60" s="265">
        <f t="shared" si="3"/>
        <v>650</v>
      </c>
      <c r="Q60" s="265">
        <f t="shared" si="3"/>
        <v>650</v>
      </c>
      <c r="R60" s="265">
        <f t="shared" si="3"/>
        <v>650</v>
      </c>
      <c r="S60" s="265">
        <f t="shared" si="3"/>
        <v>650</v>
      </c>
      <c r="T60" s="265">
        <f t="shared" si="3"/>
        <v>650</v>
      </c>
      <c r="U60" s="265">
        <f t="shared" si="3"/>
        <v>1020</v>
      </c>
      <c r="V60" s="265">
        <f t="shared" si="3"/>
        <v>1090</v>
      </c>
      <c r="W60" s="265">
        <f t="shared" si="3"/>
        <v>1090</v>
      </c>
    </row>
    <row r="61" spans="1:23">
      <c r="A61" s="28" t="s">
        <v>24</v>
      </c>
      <c r="B61" s="272">
        <f t="shared" si="3"/>
        <v>280</v>
      </c>
      <c r="C61" s="265">
        <f t="shared" si="3"/>
        <v>280</v>
      </c>
      <c r="D61" s="265">
        <f t="shared" si="3"/>
        <v>280</v>
      </c>
      <c r="E61" s="265">
        <f t="shared" si="3"/>
        <v>280</v>
      </c>
      <c r="F61" s="265">
        <f t="shared" si="3"/>
        <v>280</v>
      </c>
      <c r="G61" s="265">
        <f t="shared" si="3"/>
        <v>280</v>
      </c>
      <c r="H61" s="265">
        <f t="shared" si="3"/>
        <v>280</v>
      </c>
      <c r="I61" s="265">
        <f t="shared" si="3"/>
        <v>280</v>
      </c>
      <c r="J61" s="265">
        <f t="shared" si="3"/>
        <v>0</v>
      </c>
      <c r="K61" s="265">
        <f t="shared" si="3"/>
        <v>280</v>
      </c>
      <c r="L61" s="265">
        <f t="shared" si="3"/>
        <v>280</v>
      </c>
      <c r="M61" s="273">
        <f t="shared" si="3"/>
        <v>280</v>
      </c>
      <c r="N61" s="156">
        <f t="shared" si="3"/>
        <v>590</v>
      </c>
      <c r="O61" s="265">
        <f t="shared" si="3"/>
        <v>590</v>
      </c>
      <c r="P61" s="265">
        <f t="shared" si="3"/>
        <v>650</v>
      </c>
      <c r="Q61" s="265">
        <f t="shared" si="3"/>
        <v>650</v>
      </c>
      <c r="R61" s="265">
        <f t="shared" si="3"/>
        <v>650</v>
      </c>
      <c r="S61" s="265">
        <f t="shared" si="3"/>
        <v>650</v>
      </c>
      <c r="T61" s="265">
        <f t="shared" si="3"/>
        <v>650</v>
      </c>
      <c r="U61" s="265">
        <f t="shared" si="3"/>
        <v>1020</v>
      </c>
      <c r="V61" s="265">
        <f t="shared" si="3"/>
        <v>1090</v>
      </c>
      <c r="W61" s="265">
        <f t="shared" si="3"/>
        <v>1090</v>
      </c>
    </row>
    <row r="62" spans="1:23">
      <c r="A62" s="28" t="s">
        <v>11</v>
      </c>
      <c r="B62" s="272">
        <f t="shared" si="3"/>
        <v>280</v>
      </c>
      <c r="C62" s="265">
        <f t="shared" si="3"/>
        <v>280</v>
      </c>
      <c r="D62" s="265">
        <f t="shared" si="3"/>
        <v>280</v>
      </c>
      <c r="E62" s="265">
        <f t="shared" si="3"/>
        <v>280</v>
      </c>
      <c r="F62" s="265">
        <f t="shared" si="3"/>
        <v>280</v>
      </c>
      <c r="G62" s="265">
        <f t="shared" si="3"/>
        <v>280</v>
      </c>
      <c r="H62" s="265">
        <f t="shared" si="3"/>
        <v>280</v>
      </c>
      <c r="I62" s="265">
        <f t="shared" si="3"/>
        <v>280</v>
      </c>
      <c r="J62" s="265">
        <f t="shared" si="3"/>
        <v>280</v>
      </c>
      <c r="K62" s="265">
        <f t="shared" si="3"/>
        <v>0</v>
      </c>
      <c r="L62" s="265">
        <f t="shared" si="3"/>
        <v>280</v>
      </c>
      <c r="M62" s="273">
        <f t="shared" si="3"/>
        <v>280</v>
      </c>
      <c r="N62" s="156">
        <f t="shared" si="3"/>
        <v>590</v>
      </c>
      <c r="O62" s="265">
        <f t="shared" si="3"/>
        <v>590</v>
      </c>
      <c r="P62" s="265">
        <f t="shared" si="3"/>
        <v>650</v>
      </c>
      <c r="Q62" s="265">
        <f t="shared" si="3"/>
        <v>650</v>
      </c>
      <c r="R62" s="265">
        <f t="shared" si="3"/>
        <v>650</v>
      </c>
      <c r="S62" s="265">
        <f t="shared" si="3"/>
        <v>650</v>
      </c>
      <c r="T62" s="265">
        <f t="shared" si="3"/>
        <v>650</v>
      </c>
      <c r="U62" s="265">
        <f t="shared" si="3"/>
        <v>1020</v>
      </c>
      <c r="V62" s="265">
        <f t="shared" si="3"/>
        <v>1090</v>
      </c>
      <c r="W62" s="265">
        <f t="shared" si="3"/>
        <v>1090</v>
      </c>
    </row>
    <row r="63" spans="1:23">
      <c r="A63" s="28" t="s">
        <v>25</v>
      </c>
      <c r="B63" s="272">
        <f t="shared" si="3"/>
        <v>280</v>
      </c>
      <c r="C63" s="265">
        <f t="shared" si="3"/>
        <v>280</v>
      </c>
      <c r="D63" s="265">
        <f t="shared" si="3"/>
        <v>280</v>
      </c>
      <c r="E63" s="265">
        <f t="shared" si="3"/>
        <v>280</v>
      </c>
      <c r="F63" s="265">
        <f t="shared" si="3"/>
        <v>280</v>
      </c>
      <c r="G63" s="265">
        <f t="shared" si="3"/>
        <v>280</v>
      </c>
      <c r="H63" s="265">
        <f t="shared" si="3"/>
        <v>280</v>
      </c>
      <c r="I63" s="265">
        <f t="shared" si="3"/>
        <v>280</v>
      </c>
      <c r="J63" s="265">
        <f t="shared" si="3"/>
        <v>280</v>
      </c>
      <c r="K63" s="265">
        <f t="shared" si="3"/>
        <v>280</v>
      </c>
      <c r="L63" s="265">
        <f t="shared" si="3"/>
        <v>0</v>
      </c>
      <c r="M63" s="273">
        <f t="shared" si="3"/>
        <v>280</v>
      </c>
      <c r="N63" s="156">
        <f t="shared" si="3"/>
        <v>590</v>
      </c>
      <c r="O63" s="265">
        <f t="shared" si="3"/>
        <v>590</v>
      </c>
      <c r="P63" s="265">
        <f t="shared" si="3"/>
        <v>650</v>
      </c>
      <c r="Q63" s="265">
        <f t="shared" si="3"/>
        <v>650</v>
      </c>
      <c r="R63" s="265">
        <f t="shared" si="3"/>
        <v>650</v>
      </c>
      <c r="S63" s="265">
        <f t="shared" si="3"/>
        <v>650</v>
      </c>
      <c r="T63" s="265">
        <f t="shared" si="3"/>
        <v>650</v>
      </c>
      <c r="U63" s="265">
        <f t="shared" si="3"/>
        <v>1020</v>
      </c>
      <c r="V63" s="265">
        <f t="shared" si="3"/>
        <v>1090</v>
      </c>
      <c r="W63" s="265">
        <f t="shared" si="3"/>
        <v>1090</v>
      </c>
    </row>
    <row r="64" spans="1:23" ht="16.5" thickBot="1">
      <c r="A64" s="28" t="s">
        <v>13</v>
      </c>
      <c r="B64" s="274">
        <f t="shared" si="3"/>
        <v>280</v>
      </c>
      <c r="C64" s="275">
        <f t="shared" si="3"/>
        <v>280</v>
      </c>
      <c r="D64" s="275">
        <f t="shared" si="3"/>
        <v>280</v>
      </c>
      <c r="E64" s="275">
        <f t="shared" si="3"/>
        <v>280</v>
      </c>
      <c r="F64" s="275">
        <f t="shared" si="3"/>
        <v>280</v>
      </c>
      <c r="G64" s="275">
        <f t="shared" si="3"/>
        <v>280</v>
      </c>
      <c r="H64" s="275">
        <f t="shared" si="3"/>
        <v>280</v>
      </c>
      <c r="I64" s="275">
        <f t="shared" si="3"/>
        <v>280</v>
      </c>
      <c r="J64" s="275">
        <f t="shared" si="3"/>
        <v>280</v>
      </c>
      <c r="K64" s="275">
        <f t="shared" si="3"/>
        <v>280</v>
      </c>
      <c r="L64" s="275">
        <f t="shared" si="3"/>
        <v>280</v>
      </c>
      <c r="M64" s="276">
        <f t="shared" si="3"/>
        <v>0</v>
      </c>
      <c r="N64" s="156">
        <f t="shared" si="3"/>
        <v>330</v>
      </c>
      <c r="O64" s="265">
        <f t="shared" ref="O64:W74" si="4">MROUND(O14*$A$25,10)</f>
        <v>330</v>
      </c>
      <c r="P64" s="265">
        <f t="shared" si="4"/>
        <v>650</v>
      </c>
      <c r="Q64" s="265">
        <f t="shared" si="4"/>
        <v>650</v>
      </c>
      <c r="R64" s="265">
        <f t="shared" si="4"/>
        <v>650</v>
      </c>
      <c r="S64" s="265">
        <f t="shared" si="4"/>
        <v>650</v>
      </c>
      <c r="T64" s="265">
        <f t="shared" si="4"/>
        <v>650</v>
      </c>
      <c r="U64" s="265">
        <f t="shared" si="4"/>
        <v>1020</v>
      </c>
      <c r="V64" s="265">
        <f t="shared" si="4"/>
        <v>1090</v>
      </c>
      <c r="W64" s="265">
        <f t="shared" si="4"/>
        <v>1090</v>
      </c>
    </row>
    <row r="65" spans="1:23">
      <c r="A65" s="28" t="s">
        <v>14</v>
      </c>
      <c r="B65" s="33">
        <f t="shared" ref="B65:T74" si="5">MROUND(B15*$A$25,10)</f>
        <v>590</v>
      </c>
      <c r="C65" s="33">
        <f t="shared" si="5"/>
        <v>590</v>
      </c>
      <c r="D65" s="33">
        <f t="shared" si="5"/>
        <v>590</v>
      </c>
      <c r="E65" s="33">
        <f t="shared" si="5"/>
        <v>590</v>
      </c>
      <c r="F65" s="33">
        <f t="shared" si="5"/>
        <v>590</v>
      </c>
      <c r="G65" s="33">
        <f t="shared" si="5"/>
        <v>590</v>
      </c>
      <c r="H65" s="33">
        <f t="shared" si="5"/>
        <v>590</v>
      </c>
      <c r="I65" s="33">
        <f t="shared" si="5"/>
        <v>590</v>
      </c>
      <c r="J65" s="33">
        <f t="shared" si="5"/>
        <v>590</v>
      </c>
      <c r="K65" s="33">
        <f t="shared" si="5"/>
        <v>590</v>
      </c>
      <c r="L65" s="33">
        <f t="shared" si="5"/>
        <v>590</v>
      </c>
      <c r="M65" s="33">
        <f t="shared" si="5"/>
        <v>330</v>
      </c>
      <c r="N65" s="265">
        <f t="shared" si="5"/>
        <v>0</v>
      </c>
      <c r="O65" s="265">
        <f t="shared" si="5"/>
        <v>330</v>
      </c>
      <c r="P65" s="265">
        <f t="shared" si="5"/>
        <v>330</v>
      </c>
      <c r="Q65" s="265">
        <f t="shared" si="5"/>
        <v>600</v>
      </c>
      <c r="R65" s="265">
        <f t="shared" si="5"/>
        <v>600</v>
      </c>
      <c r="S65" s="265">
        <f t="shared" si="5"/>
        <v>600</v>
      </c>
      <c r="T65" s="265">
        <f t="shared" si="5"/>
        <v>600</v>
      </c>
      <c r="U65" s="265">
        <f t="shared" si="4"/>
        <v>920</v>
      </c>
      <c r="V65" s="265">
        <f t="shared" si="4"/>
        <v>920</v>
      </c>
      <c r="W65" s="265">
        <f t="shared" si="4"/>
        <v>920</v>
      </c>
    </row>
    <row r="66" spans="1:23">
      <c r="A66" s="28" t="s">
        <v>15</v>
      </c>
      <c r="B66" s="265">
        <f t="shared" si="5"/>
        <v>590</v>
      </c>
      <c r="C66" s="265">
        <f t="shared" si="5"/>
        <v>590</v>
      </c>
      <c r="D66" s="265">
        <f t="shared" si="5"/>
        <v>590</v>
      </c>
      <c r="E66" s="265">
        <f t="shared" si="5"/>
        <v>590</v>
      </c>
      <c r="F66" s="265">
        <f t="shared" si="5"/>
        <v>590</v>
      </c>
      <c r="G66" s="265">
        <f t="shared" si="5"/>
        <v>590</v>
      </c>
      <c r="H66" s="265">
        <f t="shared" si="5"/>
        <v>590</v>
      </c>
      <c r="I66" s="265">
        <f t="shared" si="5"/>
        <v>590</v>
      </c>
      <c r="J66" s="265">
        <f t="shared" si="5"/>
        <v>590</v>
      </c>
      <c r="K66" s="265">
        <f t="shared" si="5"/>
        <v>590</v>
      </c>
      <c r="L66" s="265">
        <f t="shared" si="5"/>
        <v>590</v>
      </c>
      <c r="M66" s="265">
        <f t="shared" si="5"/>
        <v>330</v>
      </c>
      <c r="N66" s="265">
        <f t="shared" si="5"/>
        <v>330</v>
      </c>
      <c r="O66" s="265">
        <f t="shared" si="5"/>
        <v>0</v>
      </c>
      <c r="P66" s="265">
        <f t="shared" si="5"/>
        <v>330</v>
      </c>
      <c r="Q66" s="265">
        <f t="shared" si="5"/>
        <v>330</v>
      </c>
      <c r="R66" s="265">
        <f t="shared" si="5"/>
        <v>600</v>
      </c>
      <c r="S66" s="265">
        <f t="shared" si="5"/>
        <v>600</v>
      </c>
      <c r="T66" s="265">
        <f t="shared" si="5"/>
        <v>600</v>
      </c>
      <c r="U66" s="265">
        <f t="shared" si="4"/>
        <v>600</v>
      </c>
      <c r="V66" s="265">
        <f t="shared" si="4"/>
        <v>920</v>
      </c>
      <c r="W66" s="265">
        <f t="shared" si="4"/>
        <v>920</v>
      </c>
    </row>
    <row r="67" spans="1:23">
      <c r="A67" s="28" t="s">
        <v>16</v>
      </c>
      <c r="B67" s="265">
        <f t="shared" si="5"/>
        <v>650</v>
      </c>
      <c r="C67" s="265">
        <f t="shared" si="5"/>
        <v>650</v>
      </c>
      <c r="D67" s="265">
        <f t="shared" si="5"/>
        <v>650</v>
      </c>
      <c r="E67" s="265">
        <f t="shared" si="5"/>
        <v>650</v>
      </c>
      <c r="F67" s="265">
        <f t="shared" si="5"/>
        <v>650</v>
      </c>
      <c r="G67" s="265">
        <f t="shared" si="5"/>
        <v>650</v>
      </c>
      <c r="H67" s="265">
        <f t="shared" si="5"/>
        <v>650</v>
      </c>
      <c r="I67" s="265">
        <f t="shared" si="5"/>
        <v>650</v>
      </c>
      <c r="J67" s="265">
        <f t="shared" si="5"/>
        <v>650</v>
      </c>
      <c r="K67" s="265">
        <f t="shared" si="5"/>
        <v>650</v>
      </c>
      <c r="L67" s="265">
        <f t="shared" si="5"/>
        <v>650</v>
      </c>
      <c r="M67" s="265">
        <f t="shared" si="5"/>
        <v>650</v>
      </c>
      <c r="N67" s="265">
        <f t="shared" si="5"/>
        <v>330</v>
      </c>
      <c r="O67" s="265">
        <f t="shared" si="5"/>
        <v>330</v>
      </c>
      <c r="P67" s="265">
        <f t="shared" si="5"/>
        <v>0</v>
      </c>
      <c r="Q67" s="265">
        <f t="shared" si="5"/>
        <v>330</v>
      </c>
      <c r="R67" s="265">
        <f t="shared" si="5"/>
        <v>330</v>
      </c>
      <c r="S67" s="265">
        <f t="shared" si="5"/>
        <v>330</v>
      </c>
      <c r="T67" s="265">
        <f t="shared" si="5"/>
        <v>600</v>
      </c>
      <c r="U67" s="265">
        <f t="shared" si="4"/>
        <v>600</v>
      </c>
      <c r="V67" s="265">
        <f t="shared" si="4"/>
        <v>600</v>
      </c>
      <c r="W67" s="265">
        <f t="shared" si="4"/>
        <v>600</v>
      </c>
    </row>
    <row r="68" spans="1:23">
      <c r="A68" s="28" t="s">
        <v>17</v>
      </c>
      <c r="B68" s="265">
        <f t="shared" si="5"/>
        <v>650</v>
      </c>
      <c r="C68" s="265">
        <f t="shared" si="5"/>
        <v>650</v>
      </c>
      <c r="D68" s="265">
        <f t="shared" si="5"/>
        <v>650</v>
      </c>
      <c r="E68" s="265">
        <f t="shared" si="5"/>
        <v>650</v>
      </c>
      <c r="F68" s="265">
        <f t="shared" si="5"/>
        <v>650</v>
      </c>
      <c r="G68" s="265">
        <f t="shared" si="5"/>
        <v>650</v>
      </c>
      <c r="H68" s="265">
        <f t="shared" si="5"/>
        <v>650</v>
      </c>
      <c r="I68" s="265">
        <f t="shared" si="5"/>
        <v>650</v>
      </c>
      <c r="J68" s="265">
        <f t="shared" si="5"/>
        <v>650</v>
      </c>
      <c r="K68" s="265">
        <f t="shared" si="5"/>
        <v>650</v>
      </c>
      <c r="L68" s="265">
        <f t="shared" si="5"/>
        <v>650</v>
      </c>
      <c r="M68" s="265">
        <f t="shared" si="5"/>
        <v>650</v>
      </c>
      <c r="N68" s="265">
        <f t="shared" si="5"/>
        <v>600</v>
      </c>
      <c r="O68" s="265">
        <f t="shared" si="5"/>
        <v>330</v>
      </c>
      <c r="P68" s="265">
        <f t="shared" si="5"/>
        <v>330</v>
      </c>
      <c r="Q68" s="265">
        <f t="shared" si="5"/>
        <v>0</v>
      </c>
      <c r="R68" s="265">
        <f t="shared" si="5"/>
        <v>330</v>
      </c>
      <c r="S68" s="265">
        <f t="shared" si="5"/>
        <v>330</v>
      </c>
      <c r="T68" s="265">
        <f t="shared" si="5"/>
        <v>600</v>
      </c>
      <c r="U68" s="265">
        <f t="shared" si="4"/>
        <v>600</v>
      </c>
      <c r="V68" s="265">
        <f t="shared" si="4"/>
        <v>600</v>
      </c>
      <c r="W68" s="265">
        <f t="shared" si="4"/>
        <v>600</v>
      </c>
    </row>
    <row r="69" spans="1:23">
      <c r="A69" s="28" t="s">
        <v>18</v>
      </c>
      <c r="B69" s="265">
        <f t="shared" si="5"/>
        <v>650</v>
      </c>
      <c r="C69" s="265">
        <f t="shared" si="5"/>
        <v>650</v>
      </c>
      <c r="D69" s="265">
        <f t="shared" si="5"/>
        <v>650</v>
      </c>
      <c r="E69" s="265">
        <f t="shared" si="5"/>
        <v>650</v>
      </c>
      <c r="F69" s="265">
        <f t="shared" si="5"/>
        <v>650</v>
      </c>
      <c r="G69" s="265">
        <f t="shared" si="5"/>
        <v>650</v>
      </c>
      <c r="H69" s="265">
        <f t="shared" si="5"/>
        <v>650</v>
      </c>
      <c r="I69" s="265">
        <f t="shared" si="5"/>
        <v>650</v>
      </c>
      <c r="J69" s="265">
        <f t="shared" si="5"/>
        <v>650</v>
      </c>
      <c r="K69" s="265">
        <f t="shared" si="5"/>
        <v>650</v>
      </c>
      <c r="L69" s="265">
        <f t="shared" si="5"/>
        <v>650</v>
      </c>
      <c r="M69" s="265">
        <f t="shared" si="5"/>
        <v>650</v>
      </c>
      <c r="N69" s="265">
        <f t="shared" si="5"/>
        <v>600</v>
      </c>
      <c r="O69" s="265">
        <f t="shared" si="5"/>
        <v>600</v>
      </c>
      <c r="P69" s="265">
        <f t="shared" si="5"/>
        <v>330</v>
      </c>
      <c r="Q69" s="265">
        <f t="shared" si="5"/>
        <v>330</v>
      </c>
      <c r="R69" s="265">
        <f t="shared" si="5"/>
        <v>0</v>
      </c>
      <c r="S69" s="265">
        <f t="shared" si="5"/>
        <v>330</v>
      </c>
      <c r="T69" s="265">
        <f t="shared" si="5"/>
        <v>330</v>
      </c>
      <c r="U69" s="265">
        <f t="shared" si="4"/>
        <v>600</v>
      </c>
      <c r="V69" s="265">
        <f t="shared" si="4"/>
        <v>600</v>
      </c>
      <c r="W69" s="265">
        <f t="shared" si="4"/>
        <v>600</v>
      </c>
    </row>
    <row r="70" spans="1:23">
      <c r="A70" s="28" t="s">
        <v>19</v>
      </c>
      <c r="B70" s="265">
        <f t="shared" si="5"/>
        <v>650</v>
      </c>
      <c r="C70" s="265">
        <f t="shared" si="5"/>
        <v>650</v>
      </c>
      <c r="D70" s="265">
        <f t="shared" si="5"/>
        <v>650</v>
      </c>
      <c r="E70" s="265">
        <f t="shared" si="5"/>
        <v>650</v>
      </c>
      <c r="F70" s="265">
        <f t="shared" si="5"/>
        <v>650</v>
      </c>
      <c r="G70" s="265">
        <f t="shared" si="5"/>
        <v>650</v>
      </c>
      <c r="H70" s="265">
        <f t="shared" si="5"/>
        <v>650</v>
      </c>
      <c r="I70" s="265">
        <f t="shared" si="5"/>
        <v>650</v>
      </c>
      <c r="J70" s="265">
        <f t="shared" si="5"/>
        <v>650</v>
      </c>
      <c r="K70" s="265">
        <f t="shared" si="5"/>
        <v>650</v>
      </c>
      <c r="L70" s="265">
        <f t="shared" si="5"/>
        <v>650</v>
      </c>
      <c r="M70" s="265">
        <f t="shared" si="5"/>
        <v>650</v>
      </c>
      <c r="N70" s="265">
        <f t="shared" si="5"/>
        <v>600</v>
      </c>
      <c r="O70" s="265">
        <f t="shared" si="5"/>
        <v>600</v>
      </c>
      <c r="P70" s="265">
        <f t="shared" si="5"/>
        <v>330</v>
      </c>
      <c r="Q70" s="265">
        <f t="shared" si="5"/>
        <v>330</v>
      </c>
      <c r="R70" s="265">
        <f t="shared" si="5"/>
        <v>330</v>
      </c>
      <c r="S70" s="265">
        <f t="shared" si="5"/>
        <v>0</v>
      </c>
      <c r="T70" s="265">
        <f t="shared" si="5"/>
        <v>330</v>
      </c>
      <c r="U70" s="265">
        <f t="shared" si="4"/>
        <v>600</v>
      </c>
      <c r="V70" s="265">
        <f t="shared" si="4"/>
        <v>600</v>
      </c>
      <c r="W70" s="265">
        <f t="shared" si="4"/>
        <v>600</v>
      </c>
    </row>
    <row r="71" spans="1:23">
      <c r="A71" s="28" t="s">
        <v>20</v>
      </c>
      <c r="B71" s="265">
        <f t="shared" si="5"/>
        <v>650</v>
      </c>
      <c r="C71" s="265">
        <f t="shared" si="5"/>
        <v>650</v>
      </c>
      <c r="D71" s="265">
        <f t="shared" si="5"/>
        <v>650</v>
      </c>
      <c r="E71" s="265">
        <f t="shared" si="5"/>
        <v>650</v>
      </c>
      <c r="F71" s="265">
        <f t="shared" si="5"/>
        <v>650</v>
      </c>
      <c r="G71" s="265">
        <f t="shared" si="5"/>
        <v>650</v>
      </c>
      <c r="H71" s="265">
        <f t="shared" si="5"/>
        <v>650</v>
      </c>
      <c r="I71" s="265">
        <f t="shared" si="5"/>
        <v>650</v>
      </c>
      <c r="J71" s="265">
        <f t="shared" si="5"/>
        <v>650</v>
      </c>
      <c r="K71" s="265">
        <f t="shared" si="5"/>
        <v>650</v>
      </c>
      <c r="L71" s="265">
        <f t="shared" si="5"/>
        <v>650</v>
      </c>
      <c r="M71" s="265">
        <f t="shared" si="5"/>
        <v>650</v>
      </c>
      <c r="N71" s="265">
        <f t="shared" si="5"/>
        <v>600</v>
      </c>
      <c r="O71" s="265">
        <f t="shared" si="5"/>
        <v>600</v>
      </c>
      <c r="P71" s="265">
        <f t="shared" si="5"/>
        <v>600</v>
      </c>
      <c r="Q71" s="265">
        <f t="shared" si="5"/>
        <v>600</v>
      </c>
      <c r="R71" s="265">
        <f t="shared" si="5"/>
        <v>330</v>
      </c>
      <c r="S71" s="265">
        <f t="shared" si="5"/>
        <v>330</v>
      </c>
      <c r="T71" s="265">
        <f t="shared" si="5"/>
        <v>0</v>
      </c>
      <c r="U71" s="265">
        <f t="shared" si="4"/>
        <v>330</v>
      </c>
      <c r="V71" s="265">
        <f t="shared" si="4"/>
        <v>600</v>
      </c>
      <c r="W71" s="265">
        <f t="shared" si="4"/>
        <v>600</v>
      </c>
    </row>
    <row r="72" spans="1:23">
      <c r="A72" s="28" t="s">
        <v>21</v>
      </c>
      <c r="B72" s="265">
        <f t="shared" si="5"/>
        <v>1020</v>
      </c>
      <c r="C72" s="265">
        <f t="shared" si="5"/>
        <v>1020</v>
      </c>
      <c r="D72" s="265">
        <f t="shared" si="5"/>
        <v>1020</v>
      </c>
      <c r="E72" s="265">
        <f t="shared" si="5"/>
        <v>1020</v>
      </c>
      <c r="F72" s="265">
        <f t="shared" si="5"/>
        <v>1020</v>
      </c>
      <c r="G72" s="265">
        <f t="shared" si="5"/>
        <v>1020</v>
      </c>
      <c r="H72" s="265">
        <f t="shared" si="5"/>
        <v>1020</v>
      </c>
      <c r="I72" s="265">
        <f t="shared" si="5"/>
        <v>1020</v>
      </c>
      <c r="J72" s="265">
        <f t="shared" si="5"/>
        <v>1020</v>
      </c>
      <c r="K72" s="265">
        <f t="shared" si="5"/>
        <v>1020</v>
      </c>
      <c r="L72" s="265">
        <f t="shared" si="5"/>
        <v>1020</v>
      </c>
      <c r="M72" s="265">
        <f t="shared" si="5"/>
        <v>1020</v>
      </c>
      <c r="N72" s="265">
        <f t="shared" si="5"/>
        <v>920</v>
      </c>
      <c r="O72" s="265">
        <f t="shared" si="5"/>
        <v>600</v>
      </c>
      <c r="P72" s="265">
        <f t="shared" si="5"/>
        <v>600</v>
      </c>
      <c r="Q72" s="265">
        <f t="shared" si="5"/>
        <v>600</v>
      </c>
      <c r="R72" s="265">
        <f t="shared" si="5"/>
        <v>600</v>
      </c>
      <c r="S72" s="265">
        <f t="shared" si="5"/>
        <v>600</v>
      </c>
      <c r="T72" s="265">
        <f t="shared" si="5"/>
        <v>330</v>
      </c>
      <c r="U72" s="265">
        <f t="shared" si="4"/>
        <v>0</v>
      </c>
      <c r="V72" s="265">
        <f t="shared" si="4"/>
        <v>330</v>
      </c>
      <c r="W72" s="265">
        <f t="shared" si="4"/>
        <v>600</v>
      </c>
    </row>
    <row r="73" spans="1:23">
      <c r="A73" s="28" t="s">
        <v>22</v>
      </c>
      <c r="B73" s="265">
        <f t="shared" si="5"/>
        <v>1090</v>
      </c>
      <c r="C73" s="265">
        <f t="shared" si="5"/>
        <v>1090</v>
      </c>
      <c r="D73" s="265">
        <f t="shared" si="5"/>
        <v>1090</v>
      </c>
      <c r="E73" s="265">
        <f t="shared" si="5"/>
        <v>1090</v>
      </c>
      <c r="F73" s="265">
        <f t="shared" si="5"/>
        <v>1090</v>
      </c>
      <c r="G73" s="265">
        <f t="shared" si="5"/>
        <v>1090</v>
      </c>
      <c r="H73" s="265">
        <f t="shared" si="5"/>
        <v>1090</v>
      </c>
      <c r="I73" s="265">
        <f t="shared" si="5"/>
        <v>1090</v>
      </c>
      <c r="J73" s="265">
        <f t="shared" si="5"/>
        <v>1090</v>
      </c>
      <c r="K73" s="265">
        <f t="shared" si="5"/>
        <v>1090</v>
      </c>
      <c r="L73" s="265">
        <f t="shared" si="5"/>
        <v>1090</v>
      </c>
      <c r="M73" s="265">
        <f t="shared" si="5"/>
        <v>1090</v>
      </c>
      <c r="N73" s="265">
        <f t="shared" si="5"/>
        <v>920</v>
      </c>
      <c r="O73" s="265">
        <f t="shared" si="5"/>
        <v>920</v>
      </c>
      <c r="P73" s="265">
        <f t="shared" si="5"/>
        <v>600</v>
      </c>
      <c r="Q73" s="265">
        <f t="shared" si="5"/>
        <v>600</v>
      </c>
      <c r="R73" s="265">
        <f t="shared" si="5"/>
        <v>600</v>
      </c>
      <c r="S73" s="265">
        <f t="shared" si="5"/>
        <v>600</v>
      </c>
      <c r="T73" s="265">
        <f t="shared" si="5"/>
        <v>600</v>
      </c>
      <c r="U73" s="265">
        <f t="shared" si="4"/>
        <v>330</v>
      </c>
      <c r="V73" s="265">
        <f t="shared" si="4"/>
        <v>0</v>
      </c>
      <c r="W73" s="265">
        <f t="shared" si="4"/>
        <v>330</v>
      </c>
    </row>
    <row r="74" spans="1:23">
      <c r="A74" s="28" t="s">
        <v>23</v>
      </c>
      <c r="B74" s="265">
        <f t="shared" si="5"/>
        <v>1090</v>
      </c>
      <c r="C74" s="265">
        <f t="shared" si="5"/>
        <v>1090</v>
      </c>
      <c r="D74" s="265">
        <f t="shared" si="5"/>
        <v>1090</v>
      </c>
      <c r="E74" s="265">
        <f t="shared" si="5"/>
        <v>1090</v>
      </c>
      <c r="F74" s="265">
        <f t="shared" si="5"/>
        <v>1090</v>
      </c>
      <c r="G74" s="265">
        <f t="shared" si="5"/>
        <v>1090</v>
      </c>
      <c r="H74" s="265">
        <f t="shared" si="5"/>
        <v>1090</v>
      </c>
      <c r="I74" s="265">
        <f t="shared" si="5"/>
        <v>1090</v>
      </c>
      <c r="J74" s="265">
        <f t="shared" si="5"/>
        <v>1090</v>
      </c>
      <c r="K74" s="265">
        <f t="shared" si="5"/>
        <v>1090</v>
      </c>
      <c r="L74" s="265">
        <f t="shared" si="5"/>
        <v>1090</v>
      </c>
      <c r="M74" s="265">
        <f t="shared" si="5"/>
        <v>1090</v>
      </c>
      <c r="N74" s="265">
        <f t="shared" si="5"/>
        <v>920</v>
      </c>
      <c r="O74" s="265">
        <f t="shared" si="5"/>
        <v>920</v>
      </c>
      <c r="P74" s="265">
        <f t="shared" si="5"/>
        <v>600</v>
      </c>
      <c r="Q74" s="265">
        <f t="shared" si="5"/>
        <v>600</v>
      </c>
      <c r="R74" s="265">
        <f t="shared" si="5"/>
        <v>600</v>
      </c>
      <c r="S74" s="265">
        <f t="shared" si="5"/>
        <v>600</v>
      </c>
      <c r="T74" s="265">
        <f t="shared" si="5"/>
        <v>600</v>
      </c>
      <c r="U74" s="265">
        <f t="shared" si="4"/>
        <v>600</v>
      </c>
      <c r="V74" s="265">
        <f t="shared" si="4"/>
        <v>330</v>
      </c>
      <c r="W74" s="265">
        <f t="shared" si="4"/>
        <v>0</v>
      </c>
    </row>
    <row r="75" spans="1:23">
      <c r="A75" s="40">
        <v>0.9</v>
      </c>
    </row>
    <row r="76" spans="1:23">
      <c r="A76" s="119" t="s">
        <v>28</v>
      </c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</row>
    <row r="77" spans="1:23" ht="69.75" thickBot="1">
      <c r="A77" s="264" t="s">
        <v>1</v>
      </c>
      <c r="B77" s="26" t="s">
        <v>2</v>
      </c>
      <c r="C77" s="26" t="s">
        <v>3</v>
      </c>
      <c r="D77" s="26" t="s">
        <v>4</v>
      </c>
      <c r="E77" s="26" t="s">
        <v>5</v>
      </c>
      <c r="F77" s="26" t="s">
        <v>6</v>
      </c>
      <c r="G77" s="26" t="s">
        <v>7</v>
      </c>
      <c r="H77" s="26" t="s">
        <v>8</v>
      </c>
      <c r="I77" s="26" t="s">
        <v>9</v>
      </c>
      <c r="J77" s="26" t="s">
        <v>10</v>
      </c>
      <c r="K77" s="27" t="s">
        <v>11</v>
      </c>
      <c r="L77" s="26" t="s">
        <v>12</v>
      </c>
      <c r="M77" s="26" t="s">
        <v>13</v>
      </c>
      <c r="N77" s="26" t="s">
        <v>14</v>
      </c>
      <c r="O77" s="26" t="s">
        <v>15</v>
      </c>
      <c r="P77" s="26" t="s">
        <v>16</v>
      </c>
      <c r="Q77" s="26" t="s">
        <v>17</v>
      </c>
      <c r="R77" s="26" t="s">
        <v>18</v>
      </c>
      <c r="S77" s="26" t="s">
        <v>19</v>
      </c>
      <c r="T77" s="26" t="s">
        <v>20</v>
      </c>
      <c r="U77" s="26" t="s">
        <v>21</v>
      </c>
      <c r="V77" s="26" t="s">
        <v>22</v>
      </c>
      <c r="W77" s="26" t="s">
        <v>23</v>
      </c>
    </row>
    <row r="78" spans="1:23">
      <c r="A78" s="28" t="s">
        <v>2</v>
      </c>
      <c r="B78" s="36">
        <f t="shared" ref="B78:W89" si="6">MROUND(B3*2*$A$75,10)</f>
        <v>0</v>
      </c>
      <c r="C78" s="37">
        <f t="shared" si="6"/>
        <v>990</v>
      </c>
      <c r="D78" s="37">
        <f t="shared" si="6"/>
        <v>990</v>
      </c>
      <c r="E78" s="37">
        <f t="shared" si="6"/>
        <v>990</v>
      </c>
      <c r="F78" s="37">
        <f t="shared" si="6"/>
        <v>990</v>
      </c>
      <c r="G78" s="37">
        <f t="shared" si="6"/>
        <v>990</v>
      </c>
      <c r="H78" s="37">
        <f t="shared" si="6"/>
        <v>990</v>
      </c>
      <c r="I78" s="37">
        <f t="shared" si="6"/>
        <v>990</v>
      </c>
      <c r="J78" s="37">
        <f t="shared" si="6"/>
        <v>990</v>
      </c>
      <c r="K78" s="37">
        <f t="shared" si="6"/>
        <v>990</v>
      </c>
      <c r="L78" s="37">
        <f t="shared" si="6"/>
        <v>990</v>
      </c>
      <c r="M78" s="38">
        <f t="shared" si="6"/>
        <v>990</v>
      </c>
      <c r="N78" s="156">
        <f t="shared" si="6"/>
        <v>2110</v>
      </c>
      <c r="O78" s="265">
        <f t="shared" si="6"/>
        <v>2110</v>
      </c>
      <c r="P78" s="265">
        <f t="shared" si="6"/>
        <v>2340</v>
      </c>
      <c r="Q78" s="265">
        <f t="shared" si="6"/>
        <v>2340</v>
      </c>
      <c r="R78" s="265">
        <f t="shared" si="6"/>
        <v>2340</v>
      </c>
      <c r="S78" s="265">
        <f t="shared" si="6"/>
        <v>2340</v>
      </c>
      <c r="T78" s="265">
        <f t="shared" si="6"/>
        <v>2340</v>
      </c>
      <c r="U78" s="265">
        <f t="shared" si="6"/>
        <v>3650</v>
      </c>
      <c r="V78" s="265">
        <f t="shared" si="6"/>
        <v>3910</v>
      </c>
      <c r="W78" s="265">
        <f t="shared" si="6"/>
        <v>3910</v>
      </c>
    </row>
    <row r="79" spans="1:23">
      <c r="A79" s="28" t="s">
        <v>3</v>
      </c>
      <c r="B79" s="272">
        <f t="shared" si="6"/>
        <v>990</v>
      </c>
      <c r="C79" s="265">
        <f t="shared" si="6"/>
        <v>0</v>
      </c>
      <c r="D79" s="265">
        <f t="shared" si="6"/>
        <v>990</v>
      </c>
      <c r="E79" s="265">
        <f t="shared" si="6"/>
        <v>990</v>
      </c>
      <c r="F79" s="265">
        <f t="shared" si="6"/>
        <v>990</v>
      </c>
      <c r="G79" s="265">
        <f t="shared" si="6"/>
        <v>990</v>
      </c>
      <c r="H79" s="265">
        <f t="shared" si="6"/>
        <v>990</v>
      </c>
      <c r="I79" s="265">
        <f t="shared" si="6"/>
        <v>990</v>
      </c>
      <c r="J79" s="265">
        <f t="shared" si="6"/>
        <v>990</v>
      </c>
      <c r="K79" s="265">
        <f t="shared" si="6"/>
        <v>990</v>
      </c>
      <c r="L79" s="265">
        <f t="shared" si="6"/>
        <v>990</v>
      </c>
      <c r="M79" s="273">
        <f t="shared" si="6"/>
        <v>990</v>
      </c>
      <c r="N79" s="156">
        <f t="shared" si="6"/>
        <v>2110</v>
      </c>
      <c r="O79" s="265">
        <f t="shared" si="6"/>
        <v>2110</v>
      </c>
      <c r="P79" s="265">
        <f t="shared" si="6"/>
        <v>2340</v>
      </c>
      <c r="Q79" s="265">
        <f t="shared" si="6"/>
        <v>2340</v>
      </c>
      <c r="R79" s="265">
        <f t="shared" si="6"/>
        <v>2340</v>
      </c>
      <c r="S79" s="265">
        <f t="shared" si="6"/>
        <v>2340</v>
      </c>
      <c r="T79" s="265">
        <f t="shared" si="6"/>
        <v>2340</v>
      </c>
      <c r="U79" s="265">
        <f t="shared" si="6"/>
        <v>3650</v>
      </c>
      <c r="V79" s="265">
        <f t="shared" si="6"/>
        <v>3910</v>
      </c>
      <c r="W79" s="265">
        <f t="shared" si="6"/>
        <v>3910</v>
      </c>
    </row>
    <row r="80" spans="1:23">
      <c r="A80" s="28" t="s">
        <v>4</v>
      </c>
      <c r="B80" s="272">
        <f t="shared" si="6"/>
        <v>990</v>
      </c>
      <c r="C80" s="265">
        <f t="shared" si="6"/>
        <v>990</v>
      </c>
      <c r="D80" s="265">
        <f t="shared" si="6"/>
        <v>0</v>
      </c>
      <c r="E80" s="265">
        <f t="shared" si="6"/>
        <v>990</v>
      </c>
      <c r="F80" s="265">
        <f t="shared" si="6"/>
        <v>990</v>
      </c>
      <c r="G80" s="265">
        <f t="shared" si="6"/>
        <v>990</v>
      </c>
      <c r="H80" s="265">
        <f t="shared" si="6"/>
        <v>990</v>
      </c>
      <c r="I80" s="265">
        <f t="shared" si="6"/>
        <v>990</v>
      </c>
      <c r="J80" s="265">
        <f t="shared" si="6"/>
        <v>990</v>
      </c>
      <c r="K80" s="265">
        <f t="shared" si="6"/>
        <v>990</v>
      </c>
      <c r="L80" s="265">
        <f t="shared" si="6"/>
        <v>990</v>
      </c>
      <c r="M80" s="273">
        <f t="shared" si="6"/>
        <v>990</v>
      </c>
      <c r="N80" s="156">
        <f t="shared" si="6"/>
        <v>2110</v>
      </c>
      <c r="O80" s="265">
        <f t="shared" si="6"/>
        <v>2110</v>
      </c>
      <c r="P80" s="265">
        <f t="shared" si="6"/>
        <v>2340</v>
      </c>
      <c r="Q80" s="265">
        <f t="shared" si="6"/>
        <v>2340</v>
      </c>
      <c r="R80" s="265">
        <f t="shared" si="6"/>
        <v>2340</v>
      </c>
      <c r="S80" s="265">
        <f t="shared" si="6"/>
        <v>2340</v>
      </c>
      <c r="T80" s="265">
        <f t="shared" si="6"/>
        <v>2340</v>
      </c>
      <c r="U80" s="265">
        <f t="shared" si="6"/>
        <v>3650</v>
      </c>
      <c r="V80" s="265">
        <f t="shared" si="6"/>
        <v>3910</v>
      </c>
      <c r="W80" s="265">
        <f t="shared" si="6"/>
        <v>3910</v>
      </c>
    </row>
    <row r="81" spans="1:23">
      <c r="A81" s="28" t="s">
        <v>5</v>
      </c>
      <c r="B81" s="272">
        <f t="shared" si="6"/>
        <v>990</v>
      </c>
      <c r="C81" s="265">
        <f t="shared" si="6"/>
        <v>990</v>
      </c>
      <c r="D81" s="265">
        <f t="shared" si="6"/>
        <v>990</v>
      </c>
      <c r="E81" s="265">
        <f t="shared" si="6"/>
        <v>0</v>
      </c>
      <c r="F81" s="265">
        <f t="shared" si="6"/>
        <v>990</v>
      </c>
      <c r="G81" s="265">
        <f t="shared" si="6"/>
        <v>990</v>
      </c>
      <c r="H81" s="265">
        <f t="shared" si="6"/>
        <v>990</v>
      </c>
      <c r="I81" s="265">
        <f t="shared" si="6"/>
        <v>990</v>
      </c>
      <c r="J81" s="265">
        <f t="shared" si="6"/>
        <v>990</v>
      </c>
      <c r="K81" s="265">
        <f t="shared" si="6"/>
        <v>990</v>
      </c>
      <c r="L81" s="265">
        <f t="shared" si="6"/>
        <v>990</v>
      </c>
      <c r="M81" s="273">
        <f t="shared" si="6"/>
        <v>990</v>
      </c>
      <c r="N81" s="156">
        <f t="shared" si="6"/>
        <v>2110</v>
      </c>
      <c r="O81" s="265">
        <f t="shared" si="6"/>
        <v>2110</v>
      </c>
      <c r="P81" s="265">
        <f t="shared" si="6"/>
        <v>2340</v>
      </c>
      <c r="Q81" s="265">
        <f t="shared" si="6"/>
        <v>2340</v>
      </c>
      <c r="R81" s="265">
        <f t="shared" si="6"/>
        <v>2340</v>
      </c>
      <c r="S81" s="265">
        <f t="shared" si="6"/>
        <v>2340</v>
      </c>
      <c r="T81" s="265">
        <f t="shared" si="6"/>
        <v>2340</v>
      </c>
      <c r="U81" s="265">
        <f t="shared" si="6"/>
        <v>3650</v>
      </c>
      <c r="V81" s="265">
        <f t="shared" si="6"/>
        <v>3910</v>
      </c>
      <c r="W81" s="265">
        <f t="shared" si="6"/>
        <v>3910</v>
      </c>
    </row>
    <row r="82" spans="1:23">
      <c r="A82" s="28" t="s">
        <v>6</v>
      </c>
      <c r="B82" s="272">
        <f t="shared" si="6"/>
        <v>990</v>
      </c>
      <c r="C82" s="265">
        <f t="shared" si="6"/>
        <v>990</v>
      </c>
      <c r="D82" s="265">
        <f t="shared" si="6"/>
        <v>990</v>
      </c>
      <c r="E82" s="265">
        <f t="shared" si="6"/>
        <v>990</v>
      </c>
      <c r="F82" s="265">
        <f t="shared" si="6"/>
        <v>0</v>
      </c>
      <c r="G82" s="265">
        <f t="shared" si="6"/>
        <v>990</v>
      </c>
      <c r="H82" s="265">
        <f t="shared" si="6"/>
        <v>990</v>
      </c>
      <c r="I82" s="265">
        <f t="shared" si="6"/>
        <v>990</v>
      </c>
      <c r="J82" s="265">
        <f t="shared" si="6"/>
        <v>990</v>
      </c>
      <c r="K82" s="265">
        <f t="shared" si="6"/>
        <v>990</v>
      </c>
      <c r="L82" s="265">
        <f t="shared" si="6"/>
        <v>990</v>
      </c>
      <c r="M82" s="273">
        <f t="shared" si="6"/>
        <v>990</v>
      </c>
      <c r="N82" s="156">
        <f t="shared" si="6"/>
        <v>2110</v>
      </c>
      <c r="O82" s="265">
        <f t="shared" si="6"/>
        <v>2110</v>
      </c>
      <c r="P82" s="265">
        <f t="shared" si="6"/>
        <v>2340</v>
      </c>
      <c r="Q82" s="265">
        <f t="shared" si="6"/>
        <v>2340</v>
      </c>
      <c r="R82" s="265">
        <f t="shared" si="6"/>
        <v>2340</v>
      </c>
      <c r="S82" s="265">
        <f t="shared" si="6"/>
        <v>2340</v>
      </c>
      <c r="T82" s="265">
        <f t="shared" si="6"/>
        <v>2340</v>
      </c>
      <c r="U82" s="265">
        <f t="shared" si="6"/>
        <v>3650</v>
      </c>
      <c r="V82" s="265">
        <f t="shared" si="6"/>
        <v>3910</v>
      </c>
      <c r="W82" s="265">
        <f t="shared" si="6"/>
        <v>3910</v>
      </c>
    </row>
    <row r="83" spans="1:23">
      <c r="A83" s="28" t="s">
        <v>7</v>
      </c>
      <c r="B83" s="272">
        <f t="shared" si="6"/>
        <v>990</v>
      </c>
      <c r="C83" s="265">
        <f t="shared" si="6"/>
        <v>990</v>
      </c>
      <c r="D83" s="265">
        <f t="shared" si="6"/>
        <v>990</v>
      </c>
      <c r="E83" s="265">
        <f t="shared" si="6"/>
        <v>990</v>
      </c>
      <c r="F83" s="265">
        <f t="shared" si="6"/>
        <v>990</v>
      </c>
      <c r="G83" s="265">
        <f t="shared" si="6"/>
        <v>0</v>
      </c>
      <c r="H83" s="265">
        <f t="shared" si="6"/>
        <v>990</v>
      </c>
      <c r="I83" s="265">
        <f t="shared" si="6"/>
        <v>990</v>
      </c>
      <c r="J83" s="265">
        <f t="shared" si="6"/>
        <v>990</v>
      </c>
      <c r="K83" s="265">
        <f t="shared" si="6"/>
        <v>990</v>
      </c>
      <c r="L83" s="265">
        <f t="shared" si="6"/>
        <v>990</v>
      </c>
      <c r="M83" s="273">
        <f t="shared" si="6"/>
        <v>990</v>
      </c>
      <c r="N83" s="156">
        <f t="shared" si="6"/>
        <v>2110</v>
      </c>
      <c r="O83" s="265">
        <f t="shared" si="6"/>
        <v>2110</v>
      </c>
      <c r="P83" s="265">
        <f t="shared" si="6"/>
        <v>2340</v>
      </c>
      <c r="Q83" s="265">
        <f t="shared" si="6"/>
        <v>2340</v>
      </c>
      <c r="R83" s="265">
        <f t="shared" si="6"/>
        <v>2340</v>
      </c>
      <c r="S83" s="265">
        <f t="shared" si="6"/>
        <v>2340</v>
      </c>
      <c r="T83" s="265">
        <f t="shared" si="6"/>
        <v>2340</v>
      </c>
      <c r="U83" s="265">
        <f t="shared" si="6"/>
        <v>3650</v>
      </c>
      <c r="V83" s="265">
        <f t="shared" si="6"/>
        <v>3910</v>
      </c>
      <c r="W83" s="265">
        <f t="shared" si="6"/>
        <v>3910</v>
      </c>
    </row>
    <row r="84" spans="1:23">
      <c r="A84" s="28" t="s">
        <v>8</v>
      </c>
      <c r="B84" s="272">
        <f t="shared" si="6"/>
        <v>990</v>
      </c>
      <c r="C84" s="265">
        <f t="shared" si="6"/>
        <v>990</v>
      </c>
      <c r="D84" s="265">
        <f t="shared" si="6"/>
        <v>990</v>
      </c>
      <c r="E84" s="265">
        <f t="shared" si="6"/>
        <v>990</v>
      </c>
      <c r="F84" s="265">
        <f t="shared" si="6"/>
        <v>990</v>
      </c>
      <c r="G84" s="265">
        <f t="shared" si="6"/>
        <v>990</v>
      </c>
      <c r="H84" s="265">
        <f t="shared" si="6"/>
        <v>0</v>
      </c>
      <c r="I84" s="265">
        <f t="shared" si="6"/>
        <v>990</v>
      </c>
      <c r="J84" s="265">
        <f t="shared" si="6"/>
        <v>990</v>
      </c>
      <c r="K84" s="265">
        <f t="shared" si="6"/>
        <v>990</v>
      </c>
      <c r="L84" s="265">
        <f t="shared" si="6"/>
        <v>990</v>
      </c>
      <c r="M84" s="273">
        <f t="shared" si="6"/>
        <v>990</v>
      </c>
      <c r="N84" s="156">
        <f t="shared" si="6"/>
        <v>2110</v>
      </c>
      <c r="O84" s="265">
        <f t="shared" si="6"/>
        <v>2110</v>
      </c>
      <c r="P84" s="265">
        <f t="shared" si="6"/>
        <v>2340</v>
      </c>
      <c r="Q84" s="265">
        <f t="shared" si="6"/>
        <v>2340</v>
      </c>
      <c r="R84" s="265">
        <f t="shared" si="6"/>
        <v>2340</v>
      </c>
      <c r="S84" s="265">
        <f t="shared" si="6"/>
        <v>2340</v>
      </c>
      <c r="T84" s="265">
        <f t="shared" si="6"/>
        <v>2340</v>
      </c>
      <c r="U84" s="265">
        <f t="shared" si="6"/>
        <v>3650</v>
      </c>
      <c r="V84" s="265">
        <f t="shared" si="6"/>
        <v>3910</v>
      </c>
      <c r="W84" s="265">
        <f t="shared" si="6"/>
        <v>3910</v>
      </c>
    </row>
    <row r="85" spans="1:23">
      <c r="A85" s="28" t="s">
        <v>9</v>
      </c>
      <c r="B85" s="272">
        <f t="shared" si="6"/>
        <v>990</v>
      </c>
      <c r="C85" s="265">
        <f t="shared" si="6"/>
        <v>990</v>
      </c>
      <c r="D85" s="265">
        <f t="shared" si="6"/>
        <v>990</v>
      </c>
      <c r="E85" s="265">
        <f t="shared" si="6"/>
        <v>990</v>
      </c>
      <c r="F85" s="265">
        <f t="shared" si="6"/>
        <v>990</v>
      </c>
      <c r="G85" s="265">
        <f t="shared" si="6"/>
        <v>990</v>
      </c>
      <c r="H85" s="265">
        <f t="shared" si="6"/>
        <v>990</v>
      </c>
      <c r="I85" s="265">
        <f t="shared" si="6"/>
        <v>0</v>
      </c>
      <c r="J85" s="265">
        <f t="shared" si="6"/>
        <v>990</v>
      </c>
      <c r="K85" s="265">
        <f t="shared" si="6"/>
        <v>990</v>
      </c>
      <c r="L85" s="265">
        <f t="shared" si="6"/>
        <v>990</v>
      </c>
      <c r="M85" s="273">
        <f t="shared" si="6"/>
        <v>990</v>
      </c>
      <c r="N85" s="156">
        <f t="shared" si="6"/>
        <v>2110</v>
      </c>
      <c r="O85" s="265">
        <f t="shared" si="6"/>
        <v>2110</v>
      </c>
      <c r="P85" s="265">
        <f t="shared" si="6"/>
        <v>2340</v>
      </c>
      <c r="Q85" s="265">
        <f t="shared" si="6"/>
        <v>2340</v>
      </c>
      <c r="R85" s="265">
        <f t="shared" si="6"/>
        <v>2340</v>
      </c>
      <c r="S85" s="265">
        <f t="shared" si="6"/>
        <v>2340</v>
      </c>
      <c r="T85" s="265">
        <f t="shared" si="6"/>
        <v>2340</v>
      </c>
      <c r="U85" s="265">
        <f t="shared" si="6"/>
        <v>3650</v>
      </c>
      <c r="V85" s="265">
        <f t="shared" si="6"/>
        <v>3910</v>
      </c>
      <c r="W85" s="265">
        <f t="shared" si="6"/>
        <v>3910</v>
      </c>
    </row>
    <row r="86" spans="1:23">
      <c r="A86" s="28" t="s">
        <v>24</v>
      </c>
      <c r="B86" s="272">
        <f t="shared" si="6"/>
        <v>990</v>
      </c>
      <c r="C86" s="265">
        <f t="shared" si="6"/>
        <v>990</v>
      </c>
      <c r="D86" s="265">
        <f t="shared" si="6"/>
        <v>990</v>
      </c>
      <c r="E86" s="265">
        <f t="shared" si="6"/>
        <v>990</v>
      </c>
      <c r="F86" s="265">
        <f t="shared" si="6"/>
        <v>990</v>
      </c>
      <c r="G86" s="265">
        <f t="shared" si="6"/>
        <v>990</v>
      </c>
      <c r="H86" s="265">
        <f t="shared" si="6"/>
        <v>990</v>
      </c>
      <c r="I86" s="265">
        <f t="shared" si="6"/>
        <v>990</v>
      </c>
      <c r="J86" s="265">
        <f t="shared" si="6"/>
        <v>0</v>
      </c>
      <c r="K86" s="265">
        <f t="shared" si="6"/>
        <v>990</v>
      </c>
      <c r="L86" s="265">
        <f t="shared" si="6"/>
        <v>990</v>
      </c>
      <c r="M86" s="273">
        <f t="shared" si="6"/>
        <v>990</v>
      </c>
      <c r="N86" s="156">
        <f t="shared" si="6"/>
        <v>2110</v>
      </c>
      <c r="O86" s="265">
        <f t="shared" si="6"/>
        <v>2110</v>
      </c>
      <c r="P86" s="265">
        <f t="shared" si="6"/>
        <v>2340</v>
      </c>
      <c r="Q86" s="265">
        <f t="shared" si="6"/>
        <v>2340</v>
      </c>
      <c r="R86" s="265">
        <f t="shared" si="6"/>
        <v>2340</v>
      </c>
      <c r="S86" s="265">
        <f t="shared" si="6"/>
        <v>2340</v>
      </c>
      <c r="T86" s="265">
        <f t="shared" si="6"/>
        <v>2340</v>
      </c>
      <c r="U86" s="265">
        <f t="shared" si="6"/>
        <v>3650</v>
      </c>
      <c r="V86" s="265">
        <f t="shared" si="6"/>
        <v>3910</v>
      </c>
      <c r="W86" s="265">
        <f t="shared" si="6"/>
        <v>3910</v>
      </c>
    </row>
    <row r="87" spans="1:23">
      <c r="A87" s="28" t="s">
        <v>11</v>
      </c>
      <c r="B87" s="272">
        <f t="shared" si="6"/>
        <v>990</v>
      </c>
      <c r="C87" s="265">
        <f t="shared" si="6"/>
        <v>990</v>
      </c>
      <c r="D87" s="265">
        <f t="shared" si="6"/>
        <v>990</v>
      </c>
      <c r="E87" s="265">
        <f t="shared" si="6"/>
        <v>990</v>
      </c>
      <c r="F87" s="265">
        <f t="shared" si="6"/>
        <v>990</v>
      </c>
      <c r="G87" s="265">
        <f t="shared" si="6"/>
        <v>990</v>
      </c>
      <c r="H87" s="265">
        <f t="shared" si="6"/>
        <v>990</v>
      </c>
      <c r="I87" s="265">
        <f t="shared" si="6"/>
        <v>990</v>
      </c>
      <c r="J87" s="265">
        <f t="shared" si="6"/>
        <v>990</v>
      </c>
      <c r="K87" s="265">
        <f t="shared" si="6"/>
        <v>0</v>
      </c>
      <c r="L87" s="265">
        <f t="shared" si="6"/>
        <v>990</v>
      </c>
      <c r="M87" s="273">
        <f t="shared" si="6"/>
        <v>990</v>
      </c>
      <c r="N87" s="156">
        <f t="shared" si="6"/>
        <v>2110</v>
      </c>
      <c r="O87" s="265">
        <f t="shared" si="6"/>
        <v>2110</v>
      </c>
      <c r="P87" s="265">
        <f t="shared" si="6"/>
        <v>2340</v>
      </c>
      <c r="Q87" s="265">
        <f t="shared" si="6"/>
        <v>2340</v>
      </c>
      <c r="R87" s="265">
        <f t="shared" si="6"/>
        <v>2340</v>
      </c>
      <c r="S87" s="265">
        <f t="shared" si="6"/>
        <v>2340</v>
      </c>
      <c r="T87" s="265">
        <f t="shared" si="6"/>
        <v>2340</v>
      </c>
      <c r="U87" s="265">
        <f t="shared" si="6"/>
        <v>3650</v>
      </c>
      <c r="V87" s="265">
        <f t="shared" si="6"/>
        <v>3910</v>
      </c>
      <c r="W87" s="265">
        <f t="shared" si="6"/>
        <v>3910</v>
      </c>
    </row>
    <row r="88" spans="1:23">
      <c r="A88" s="28" t="s">
        <v>25</v>
      </c>
      <c r="B88" s="272">
        <f t="shared" si="6"/>
        <v>990</v>
      </c>
      <c r="C88" s="265">
        <f t="shared" si="6"/>
        <v>990</v>
      </c>
      <c r="D88" s="265">
        <f t="shared" si="6"/>
        <v>990</v>
      </c>
      <c r="E88" s="265">
        <f t="shared" si="6"/>
        <v>990</v>
      </c>
      <c r="F88" s="265">
        <f t="shared" si="6"/>
        <v>990</v>
      </c>
      <c r="G88" s="265">
        <f t="shared" si="6"/>
        <v>990</v>
      </c>
      <c r="H88" s="265">
        <f t="shared" si="6"/>
        <v>990</v>
      </c>
      <c r="I88" s="265">
        <f t="shared" si="6"/>
        <v>990</v>
      </c>
      <c r="J88" s="265">
        <f t="shared" si="6"/>
        <v>990</v>
      </c>
      <c r="K88" s="265">
        <f t="shared" si="6"/>
        <v>990</v>
      </c>
      <c r="L88" s="265">
        <f t="shared" si="6"/>
        <v>0</v>
      </c>
      <c r="M88" s="273">
        <f t="shared" si="6"/>
        <v>990</v>
      </c>
      <c r="N88" s="156">
        <f t="shared" si="6"/>
        <v>2110</v>
      </c>
      <c r="O88" s="265">
        <f t="shared" si="6"/>
        <v>2110</v>
      </c>
      <c r="P88" s="265">
        <f t="shared" si="6"/>
        <v>2340</v>
      </c>
      <c r="Q88" s="265">
        <f t="shared" si="6"/>
        <v>2340</v>
      </c>
      <c r="R88" s="265">
        <f t="shared" si="6"/>
        <v>2340</v>
      </c>
      <c r="S88" s="265">
        <f t="shared" si="6"/>
        <v>2340</v>
      </c>
      <c r="T88" s="265">
        <f t="shared" si="6"/>
        <v>2340</v>
      </c>
      <c r="U88" s="265">
        <f t="shared" si="6"/>
        <v>3650</v>
      </c>
      <c r="V88" s="265">
        <f t="shared" si="6"/>
        <v>3910</v>
      </c>
      <c r="W88" s="265">
        <f t="shared" si="6"/>
        <v>3910</v>
      </c>
    </row>
    <row r="89" spans="1:23" ht="16.5" thickBot="1">
      <c r="A89" s="28" t="s">
        <v>13</v>
      </c>
      <c r="B89" s="274">
        <f t="shared" si="6"/>
        <v>990</v>
      </c>
      <c r="C89" s="275">
        <f t="shared" si="6"/>
        <v>990</v>
      </c>
      <c r="D89" s="275">
        <f t="shared" si="6"/>
        <v>990</v>
      </c>
      <c r="E89" s="275">
        <f t="shared" si="6"/>
        <v>990</v>
      </c>
      <c r="F89" s="275">
        <f t="shared" si="6"/>
        <v>990</v>
      </c>
      <c r="G89" s="275">
        <f t="shared" si="6"/>
        <v>990</v>
      </c>
      <c r="H89" s="275">
        <f t="shared" si="6"/>
        <v>990</v>
      </c>
      <c r="I89" s="275">
        <f t="shared" si="6"/>
        <v>990</v>
      </c>
      <c r="J89" s="275">
        <f t="shared" si="6"/>
        <v>990</v>
      </c>
      <c r="K89" s="275">
        <f t="shared" si="6"/>
        <v>990</v>
      </c>
      <c r="L89" s="275">
        <f t="shared" si="6"/>
        <v>990</v>
      </c>
      <c r="M89" s="276">
        <f t="shared" si="6"/>
        <v>0</v>
      </c>
      <c r="N89" s="156">
        <f t="shared" si="6"/>
        <v>1170</v>
      </c>
      <c r="O89" s="265">
        <f t="shared" ref="O89:W99" si="7">MROUND(O14*2*$A$75,10)</f>
        <v>1170</v>
      </c>
      <c r="P89" s="265">
        <f t="shared" si="7"/>
        <v>2340</v>
      </c>
      <c r="Q89" s="265">
        <f t="shared" si="7"/>
        <v>2340</v>
      </c>
      <c r="R89" s="265">
        <f t="shared" si="7"/>
        <v>2340</v>
      </c>
      <c r="S89" s="265">
        <f t="shared" si="7"/>
        <v>2340</v>
      </c>
      <c r="T89" s="265">
        <f t="shared" si="7"/>
        <v>2340</v>
      </c>
      <c r="U89" s="265">
        <f t="shared" si="7"/>
        <v>3650</v>
      </c>
      <c r="V89" s="265">
        <f t="shared" si="7"/>
        <v>3910</v>
      </c>
      <c r="W89" s="265">
        <f t="shared" si="7"/>
        <v>3910</v>
      </c>
    </row>
    <row r="90" spans="1:23">
      <c r="A90" s="28" t="s">
        <v>14</v>
      </c>
      <c r="B90" s="33">
        <f t="shared" ref="B90:T99" si="8">MROUND(B15*2*$A$75,10)</f>
        <v>2110</v>
      </c>
      <c r="C90" s="33">
        <f t="shared" si="8"/>
        <v>2110</v>
      </c>
      <c r="D90" s="33">
        <f t="shared" si="8"/>
        <v>2110</v>
      </c>
      <c r="E90" s="33">
        <f t="shared" si="8"/>
        <v>2110</v>
      </c>
      <c r="F90" s="33">
        <f t="shared" si="8"/>
        <v>2110</v>
      </c>
      <c r="G90" s="33">
        <f t="shared" si="8"/>
        <v>2110</v>
      </c>
      <c r="H90" s="33">
        <f t="shared" si="8"/>
        <v>2110</v>
      </c>
      <c r="I90" s="33">
        <f t="shared" si="8"/>
        <v>2110</v>
      </c>
      <c r="J90" s="33">
        <f t="shared" si="8"/>
        <v>2110</v>
      </c>
      <c r="K90" s="33">
        <f t="shared" si="8"/>
        <v>2110</v>
      </c>
      <c r="L90" s="33">
        <f t="shared" si="8"/>
        <v>2110</v>
      </c>
      <c r="M90" s="33">
        <f t="shared" si="8"/>
        <v>1170</v>
      </c>
      <c r="N90" s="265">
        <f t="shared" si="8"/>
        <v>0</v>
      </c>
      <c r="O90" s="265">
        <f t="shared" si="8"/>
        <v>1170</v>
      </c>
      <c r="P90" s="265">
        <f t="shared" si="8"/>
        <v>1170</v>
      </c>
      <c r="Q90" s="265">
        <f t="shared" si="8"/>
        <v>2160</v>
      </c>
      <c r="R90" s="265">
        <f t="shared" si="8"/>
        <v>2160</v>
      </c>
      <c r="S90" s="265">
        <f t="shared" si="8"/>
        <v>2160</v>
      </c>
      <c r="T90" s="265">
        <f t="shared" si="8"/>
        <v>2160</v>
      </c>
      <c r="U90" s="265">
        <f t="shared" si="7"/>
        <v>3310</v>
      </c>
      <c r="V90" s="265">
        <f t="shared" si="7"/>
        <v>3310</v>
      </c>
      <c r="W90" s="265">
        <f t="shared" si="7"/>
        <v>3310</v>
      </c>
    </row>
    <row r="91" spans="1:23">
      <c r="A91" s="28" t="s">
        <v>15</v>
      </c>
      <c r="B91" s="265">
        <f t="shared" si="8"/>
        <v>2110</v>
      </c>
      <c r="C91" s="265">
        <f t="shared" si="8"/>
        <v>2110</v>
      </c>
      <c r="D91" s="265">
        <f t="shared" si="8"/>
        <v>2110</v>
      </c>
      <c r="E91" s="265">
        <f t="shared" si="8"/>
        <v>2110</v>
      </c>
      <c r="F91" s="265">
        <f t="shared" si="8"/>
        <v>2110</v>
      </c>
      <c r="G91" s="265">
        <f t="shared" si="8"/>
        <v>2110</v>
      </c>
      <c r="H91" s="265">
        <f t="shared" si="8"/>
        <v>2110</v>
      </c>
      <c r="I91" s="265">
        <f t="shared" si="8"/>
        <v>2110</v>
      </c>
      <c r="J91" s="265">
        <f t="shared" si="8"/>
        <v>2110</v>
      </c>
      <c r="K91" s="265">
        <f t="shared" si="8"/>
        <v>2110</v>
      </c>
      <c r="L91" s="265">
        <f t="shared" si="8"/>
        <v>2110</v>
      </c>
      <c r="M91" s="265">
        <f t="shared" si="8"/>
        <v>1170</v>
      </c>
      <c r="N91" s="265">
        <f t="shared" si="8"/>
        <v>1170</v>
      </c>
      <c r="O91" s="265">
        <f t="shared" si="8"/>
        <v>0</v>
      </c>
      <c r="P91" s="265">
        <f t="shared" si="8"/>
        <v>1170</v>
      </c>
      <c r="Q91" s="265">
        <f t="shared" si="8"/>
        <v>1170</v>
      </c>
      <c r="R91" s="265">
        <f t="shared" si="8"/>
        <v>2160</v>
      </c>
      <c r="S91" s="265">
        <f t="shared" si="8"/>
        <v>2160</v>
      </c>
      <c r="T91" s="265">
        <f t="shared" si="8"/>
        <v>2160</v>
      </c>
      <c r="U91" s="265">
        <f t="shared" si="7"/>
        <v>2160</v>
      </c>
      <c r="V91" s="265">
        <f t="shared" si="7"/>
        <v>3310</v>
      </c>
      <c r="W91" s="265">
        <f t="shared" si="7"/>
        <v>3310</v>
      </c>
    </row>
    <row r="92" spans="1:23">
      <c r="A92" s="28" t="s">
        <v>16</v>
      </c>
      <c r="B92" s="265">
        <f t="shared" si="8"/>
        <v>2340</v>
      </c>
      <c r="C92" s="265">
        <f t="shared" si="8"/>
        <v>2340</v>
      </c>
      <c r="D92" s="265">
        <f t="shared" si="8"/>
        <v>2340</v>
      </c>
      <c r="E92" s="265">
        <f t="shared" si="8"/>
        <v>2340</v>
      </c>
      <c r="F92" s="265">
        <f t="shared" si="8"/>
        <v>2340</v>
      </c>
      <c r="G92" s="265">
        <f t="shared" si="8"/>
        <v>2340</v>
      </c>
      <c r="H92" s="265">
        <f t="shared" si="8"/>
        <v>2340</v>
      </c>
      <c r="I92" s="265">
        <f t="shared" si="8"/>
        <v>2340</v>
      </c>
      <c r="J92" s="265">
        <f t="shared" si="8"/>
        <v>2340</v>
      </c>
      <c r="K92" s="265">
        <f t="shared" si="8"/>
        <v>2340</v>
      </c>
      <c r="L92" s="265">
        <f t="shared" si="8"/>
        <v>2340</v>
      </c>
      <c r="M92" s="265">
        <f t="shared" si="8"/>
        <v>2340</v>
      </c>
      <c r="N92" s="265">
        <f t="shared" si="8"/>
        <v>1170</v>
      </c>
      <c r="O92" s="265">
        <f t="shared" si="8"/>
        <v>1170</v>
      </c>
      <c r="P92" s="265">
        <f t="shared" si="8"/>
        <v>0</v>
      </c>
      <c r="Q92" s="265">
        <f t="shared" si="8"/>
        <v>1170</v>
      </c>
      <c r="R92" s="265">
        <f t="shared" si="8"/>
        <v>1170</v>
      </c>
      <c r="S92" s="265">
        <f t="shared" si="8"/>
        <v>1170</v>
      </c>
      <c r="T92" s="265">
        <f t="shared" si="8"/>
        <v>2160</v>
      </c>
      <c r="U92" s="265">
        <f t="shared" si="7"/>
        <v>2160</v>
      </c>
      <c r="V92" s="265">
        <f t="shared" si="7"/>
        <v>2160</v>
      </c>
      <c r="W92" s="265">
        <f t="shared" si="7"/>
        <v>2160</v>
      </c>
    </row>
    <row r="93" spans="1:23">
      <c r="A93" s="28" t="s">
        <v>17</v>
      </c>
      <c r="B93" s="265">
        <f t="shared" si="8"/>
        <v>2340</v>
      </c>
      <c r="C93" s="265">
        <f t="shared" si="8"/>
        <v>2340</v>
      </c>
      <c r="D93" s="265">
        <f t="shared" si="8"/>
        <v>2340</v>
      </c>
      <c r="E93" s="265">
        <f t="shared" si="8"/>
        <v>2340</v>
      </c>
      <c r="F93" s="265">
        <f t="shared" si="8"/>
        <v>2340</v>
      </c>
      <c r="G93" s="265">
        <f t="shared" si="8"/>
        <v>2340</v>
      </c>
      <c r="H93" s="265">
        <f t="shared" si="8"/>
        <v>2340</v>
      </c>
      <c r="I93" s="265">
        <f t="shared" si="8"/>
        <v>2340</v>
      </c>
      <c r="J93" s="265">
        <f t="shared" si="8"/>
        <v>2340</v>
      </c>
      <c r="K93" s="265">
        <f t="shared" si="8"/>
        <v>2340</v>
      </c>
      <c r="L93" s="265">
        <f t="shared" si="8"/>
        <v>2340</v>
      </c>
      <c r="M93" s="265">
        <f t="shared" si="8"/>
        <v>2340</v>
      </c>
      <c r="N93" s="265">
        <f t="shared" si="8"/>
        <v>2160</v>
      </c>
      <c r="O93" s="265">
        <f t="shared" si="8"/>
        <v>1170</v>
      </c>
      <c r="P93" s="265">
        <f t="shared" si="8"/>
        <v>1170</v>
      </c>
      <c r="Q93" s="265">
        <f t="shared" si="8"/>
        <v>0</v>
      </c>
      <c r="R93" s="265">
        <f t="shared" si="8"/>
        <v>1170</v>
      </c>
      <c r="S93" s="265">
        <f t="shared" si="8"/>
        <v>1170</v>
      </c>
      <c r="T93" s="265">
        <f t="shared" si="8"/>
        <v>2160</v>
      </c>
      <c r="U93" s="265">
        <f t="shared" si="7"/>
        <v>2160</v>
      </c>
      <c r="V93" s="265">
        <f t="shared" si="7"/>
        <v>2160</v>
      </c>
      <c r="W93" s="265">
        <f t="shared" si="7"/>
        <v>2160</v>
      </c>
    </row>
    <row r="94" spans="1:23">
      <c r="A94" s="28" t="s">
        <v>18</v>
      </c>
      <c r="B94" s="265">
        <f t="shared" si="8"/>
        <v>2340</v>
      </c>
      <c r="C94" s="265">
        <f t="shared" si="8"/>
        <v>2340</v>
      </c>
      <c r="D94" s="265">
        <f t="shared" si="8"/>
        <v>2340</v>
      </c>
      <c r="E94" s="265">
        <f t="shared" si="8"/>
        <v>2340</v>
      </c>
      <c r="F94" s="265">
        <f t="shared" si="8"/>
        <v>2340</v>
      </c>
      <c r="G94" s="265">
        <f t="shared" si="8"/>
        <v>2340</v>
      </c>
      <c r="H94" s="265">
        <f t="shared" si="8"/>
        <v>2340</v>
      </c>
      <c r="I94" s="265">
        <f t="shared" si="8"/>
        <v>2340</v>
      </c>
      <c r="J94" s="265">
        <f t="shared" si="8"/>
        <v>2340</v>
      </c>
      <c r="K94" s="265">
        <f t="shared" si="8"/>
        <v>2340</v>
      </c>
      <c r="L94" s="265">
        <f t="shared" si="8"/>
        <v>2340</v>
      </c>
      <c r="M94" s="265">
        <f t="shared" si="8"/>
        <v>2340</v>
      </c>
      <c r="N94" s="265">
        <f t="shared" si="8"/>
        <v>2160</v>
      </c>
      <c r="O94" s="265">
        <f t="shared" si="8"/>
        <v>2160</v>
      </c>
      <c r="P94" s="265">
        <f t="shared" si="8"/>
        <v>1170</v>
      </c>
      <c r="Q94" s="265">
        <f t="shared" si="8"/>
        <v>1170</v>
      </c>
      <c r="R94" s="265">
        <f t="shared" si="8"/>
        <v>0</v>
      </c>
      <c r="S94" s="265">
        <f t="shared" si="8"/>
        <v>1170</v>
      </c>
      <c r="T94" s="265">
        <f t="shared" si="8"/>
        <v>1170</v>
      </c>
      <c r="U94" s="265">
        <f t="shared" si="7"/>
        <v>2160</v>
      </c>
      <c r="V94" s="265">
        <f t="shared" si="7"/>
        <v>2160</v>
      </c>
      <c r="W94" s="265">
        <f t="shared" si="7"/>
        <v>2160</v>
      </c>
    </row>
    <row r="95" spans="1:23">
      <c r="A95" s="28" t="s">
        <v>19</v>
      </c>
      <c r="B95" s="265">
        <f t="shared" si="8"/>
        <v>2340</v>
      </c>
      <c r="C95" s="265">
        <f t="shared" si="8"/>
        <v>2340</v>
      </c>
      <c r="D95" s="265">
        <f t="shared" si="8"/>
        <v>2340</v>
      </c>
      <c r="E95" s="265">
        <f t="shared" si="8"/>
        <v>2340</v>
      </c>
      <c r="F95" s="265">
        <f t="shared" si="8"/>
        <v>2340</v>
      </c>
      <c r="G95" s="265">
        <f t="shared" si="8"/>
        <v>2340</v>
      </c>
      <c r="H95" s="265">
        <f t="shared" si="8"/>
        <v>2340</v>
      </c>
      <c r="I95" s="265">
        <f t="shared" si="8"/>
        <v>2340</v>
      </c>
      <c r="J95" s="265">
        <f t="shared" si="8"/>
        <v>2340</v>
      </c>
      <c r="K95" s="265">
        <f t="shared" si="8"/>
        <v>2340</v>
      </c>
      <c r="L95" s="265">
        <f t="shared" si="8"/>
        <v>2340</v>
      </c>
      <c r="M95" s="265">
        <f t="shared" si="8"/>
        <v>2340</v>
      </c>
      <c r="N95" s="265">
        <f t="shared" si="8"/>
        <v>2160</v>
      </c>
      <c r="O95" s="265">
        <f t="shared" si="8"/>
        <v>2160</v>
      </c>
      <c r="P95" s="265">
        <f t="shared" si="8"/>
        <v>1170</v>
      </c>
      <c r="Q95" s="265">
        <f t="shared" si="8"/>
        <v>1170</v>
      </c>
      <c r="R95" s="265">
        <f t="shared" si="8"/>
        <v>1170</v>
      </c>
      <c r="S95" s="265">
        <f t="shared" si="8"/>
        <v>0</v>
      </c>
      <c r="T95" s="265">
        <f t="shared" si="8"/>
        <v>1170</v>
      </c>
      <c r="U95" s="265">
        <f t="shared" si="7"/>
        <v>2160</v>
      </c>
      <c r="V95" s="265">
        <f t="shared" si="7"/>
        <v>2160</v>
      </c>
      <c r="W95" s="265">
        <f t="shared" si="7"/>
        <v>2160</v>
      </c>
    </row>
    <row r="96" spans="1:23">
      <c r="A96" s="28" t="s">
        <v>20</v>
      </c>
      <c r="B96" s="265">
        <f t="shared" si="8"/>
        <v>2340</v>
      </c>
      <c r="C96" s="265">
        <f t="shared" si="8"/>
        <v>2340</v>
      </c>
      <c r="D96" s="265">
        <f t="shared" si="8"/>
        <v>2340</v>
      </c>
      <c r="E96" s="265">
        <f t="shared" si="8"/>
        <v>2340</v>
      </c>
      <c r="F96" s="265">
        <f t="shared" si="8"/>
        <v>2340</v>
      </c>
      <c r="G96" s="265">
        <f t="shared" si="8"/>
        <v>2340</v>
      </c>
      <c r="H96" s="265">
        <f t="shared" si="8"/>
        <v>2340</v>
      </c>
      <c r="I96" s="265">
        <f t="shared" si="8"/>
        <v>2340</v>
      </c>
      <c r="J96" s="265">
        <f t="shared" si="8"/>
        <v>2340</v>
      </c>
      <c r="K96" s="265">
        <f t="shared" si="8"/>
        <v>2340</v>
      </c>
      <c r="L96" s="265">
        <f t="shared" si="8"/>
        <v>2340</v>
      </c>
      <c r="M96" s="265">
        <f t="shared" si="8"/>
        <v>2340</v>
      </c>
      <c r="N96" s="265">
        <f t="shared" si="8"/>
        <v>2160</v>
      </c>
      <c r="O96" s="265">
        <f t="shared" si="8"/>
        <v>2160</v>
      </c>
      <c r="P96" s="265">
        <f t="shared" si="8"/>
        <v>2160</v>
      </c>
      <c r="Q96" s="265">
        <f t="shared" si="8"/>
        <v>2160</v>
      </c>
      <c r="R96" s="265">
        <f t="shared" si="8"/>
        <v>1170</v>
      </c>
      <c r="S96" s="265">
        <f t="shared" si="8"/>
        <v>1170</v>
      </c>
      <c r="T96" s="265">
        <f t="shared" si="8"/>
        <v>0</v>
      </c>
      <c r="U96" s="265">
        <f t="shared" si="7"/>
        <v>1170</v>
      </c>
      <c r="V96" s="265">
        <f t="shared" si="7"/>
        <v>2160</v>
      </c>
      <c r="W96" s="265">
        <f t="shared" si="7"/>
        <v>2160</v>
      </c>
    </row>
    <row r="97" spans="1:23">
      <c r="A97" s="28" t="s">
        <v>21</v>
      </c>
      <c r="B97" s="265">
        <f t="shared" si="8"/>
        <v>3650</v>
      </c>
      <c r="C97" s="265">
        <f t="shared" si="8"/>
        <v>3650</v>
      </c>
      <c r="D97" s="265">
        <f t="shared" si="8"/>
        <v>3650</v>
      </c>
      <c r="E97" s="265">
        <f t="shared" si="8"/>
        <v>3650</v>
      </c>
      <c r="F97" s="265">
        <f t="shared" si="8"/>
        <v>3650</v>
      </c>
      <c r="G97" s="265">
        <f t="shared" si="8"/>
        <v>3650</v>
      </c>
      <c r="H97" s="265">
        <f t="shared" si="8"/>
        <v>3650</v>
      </c>
      <c r="I97" s="265">
        <f t="shared" si="8"/>
        <v>3650</v>
      </c>
      <c r="J97" s="265">
        <f t="shared" si="8"/>
        <v>3650</v>
      </c>
      <c r="K97" s="265">
        <f t="shared" si="8"/>
        <v>3650</v>
      </c>
      <c r="L97" s="265">
        <f t="shared" si="8"/>
        <v>3650</v>
      </c>
      <c r="M97" s="265">
        <f t="shared" si="8"/>
        <v>3650</v>
      </c>
      <c r="N97" s="265">
        <f t="shared" si="8"/>
        <v>3310</v>
      </c>
      <c r="O97" s="265">
        <f t="shared" si="8"/>
        <v>2160</v>
      </c>
      <c r="P97" s="265">
        <f t="shared" si="8"/>
        <v>2160</v>
      </c>
      <c r="Q97" s="265">
        <f t="shared" si="8"/>
        <v>2160</v>
      </c>
      <c r="R97" s="265">
        <f t="shared" si="8"/>
        <v>2160</v>
      </c>
      <c r="S97" s="265">
        <f t="shared" si="8"/>
        <v>2160</v>
      </c>
      <c r="T97" s="265">
        <f t="shared" si="8"/>
        <v>1170</v>
      </c>
      <c r="U97" s="265">
        <f t="shared" si="7"/>
        <v>0</v>
      </c>
      <c r="V97" s="265">
        <f t="shared" si="7"/>
        <v>1170</v>
      </c>
      <c r="W97" s="265">
        <f t="shared" si="7"/>
        <v>2160</v>
      </c>
    </row>
    <row r="98" spans="1:23">
      <c r="A98" s="28" t="s">
        <v>22</v>
      </c>
      <c r="B98" s="265">
        <f t="shared" si="8"/>
        <v>3910</v>
      </c>
      <c r="C98" s="265">
        <f t="shared" si="8"/>
        <v>3910</v>
      </c>
      <c r="D98" s="265">
        <f t="shared" si="8"/>
        <v>3910</v>
      </c>
      <c r="E98" s="265">
        <f t="shared" si="8"/>
        <v>3910</v>
      </c>
      <c r="F98" s="265">
        <f t="shared" si="8"/>
        <v>3910</v>
      </c>
      <c r="G98" s="265">
        <f t="shared" si="8"/>
        <v>3910</v>
      </c>
      <c r="H98" s="265">
        <f t="shared" si="8"/>
        <v>3910</v>
      </c>
      <c r="I98" s="265">
        <f t="shared" si="8"/>
        <v>3910</v>
      </c>
      <c r="J98" s="265">
        <f t="shared" si="8"/>
        <v>3910</v>
      </c>
      <c r="K98" s="265">
        <f t="shared" si="8"/>
        <v>3910</v>
      </c>
      <c r="L98" s="265">
        <f t="shared" si="8"/>
        <v>3910</v>
      </c>
      <c r="M98" s="265">
        <f t="shared" si="8"/>
        <v>3910</v>
      </c>
      <c r="N98" s="265">
        <f t="shared" si="8"/>
        <v>3310</v>
      </c>
      <c r="O98" s="265">
        <f t="shared" si="8"/>
        <v>3310</v>
      </c>
      <c r="P98" s="265">
        <f t="shared" si="8"/>
        <v>2160</v>
      </c>
      <c r="Q98" s="265">
        <f t="shared" si="8"/>
        <v>2160</v>
      </c>
      <c r="R98" s="265">
        <f t="shared" si="8"/>
        <v>2160</v>
      </c>
      <c r="S98" s="265">
        <f t="shared" si="8"/>
        <v>2160</v>
      </c>
      <c r="T98" s="265">
        <f t="shared" si="8"/>
        <v>2160</v>
      </c>
      <c r="U98" s="265">
        <f t="shared" si="7"/>
        <v>1170</v>
      </c>
      <c r="V98" s="265">
        <f t="shared" si="7"/>
        <v>0</v>
      </c>
      <c r="W98" s="265">
        <f t="shared" si="7"/>
        <v>1170</v>
      </c>
    </row>
    <row r="99" spans="1:23">
      <c r="A99" s="28" t="s">
        <v>23</v>
      </c>
      <c r="B99" s="265">
        <f t="shared" si="8"/>
        <v>3910</v>
      </c>
      <c r="C99" s="265">
        <f t="shared" si="8"/>
        <v>3910</v>
      </c>
      <c r="D99" s="265">
        <f t="shared" si="8"/>
        <v>3910</v>
      </c>
      <c r="E99" s="265">
        <f t="shared" si="8"/>
        <v>3910</v>
      </c>
      <c r="F99" s="265">
        <f t="shared" si="8"/>
        <v>3910</v>
      </c>
      <c r="G99" s="265">
        <f t="shared" si="8"/>
        <v>3910</v>
      </c>
      <c r="H99" s="265">
        <f t="shared" si="8"/>
        <v>3910</v>
      </c>
      <c r="I99" s="265">
        <f t="shared" si="8"/>
        <v>3910</v>
      </c>
      <c r="J99" s="265">
        <f t="shared" si="8"/>
        <v>3910</v>
      </c>
      <c r="K99" s="265">
        <f t="shared" si="8"/>
        <v>3910</v>
      </c>
      <c r="L99" s="265">
        <f t="shared" si="8"/>
        <v>3910</v>
      </c>
      <c r="M99" s="265">
        <f t="shared" si="8"/>
        <v>3910</v>
      </c>
      <c r="N99" s="265">
        <f t="shared" si="8"/>
        <v>3310</v>
      </c>
      <c r="O99" s="265">
        <f t="shared" si="8"/>
        <v>3310</v>
      </c>
      <c r="P99" s="265">
        <f t="shared" si="8"/>
        <v>2160</v>
      </c>
      <c r="Q99" s="265">
        <f t="shared" si="8"/>
        <v>2160</v>
      </c>
      <c r="R99" s="265">
        <f t="shared" si="8"/>
        <v>2160</v>
      </c>
      <c r="S99" s="265">
        <f t="shared" si="8"/>
        <v>2160</v>
      </c>
      <c r="T99" s="265">
        <f t="shared" si="8"/>
        <v>2160</v>
      </c>
      <c r="U99" s="265">
        <f t="shared" si="7"/>
        <v>2160</v>
      </c>
      <c r="V99" s="265">
        <f t="shared" si="7"/>
        <v>1170</v>
      </c>
      <c r="W99" s="265">
        <f t="shared" si="7"/>
        <v>0</v>
      </c>
    </row>
    <row r="100" spans="1:23">
      <c r="A100" s="40">
        <v>0.7</v>
      </c>
    </row>
    <row r="101" spans="1:23">
      <c r="A101" s="119" t="s">
        <v>29</v>
      </c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</row>
    <row r="102" spans="1:23" ht="69.75" thickBot="1">
      <c r="A102" s="264" t="s">
        <v>1</v>
      </c>
      <c r="B102" s="26" t="s">
        <v>2</v>
      </c>
      <c r="C102" s="26" t="s">
        <v>3</v>
      </c>
      <c r="D102" s="26" t="s">
        <v>4</v>
      </c>
      <c r="E102" s="26" t="s">
        <v>5</v>
      </c>
      <c r="F102" s="26" t="s">
        <v>6</v>
      </c>
      <c r="G102" s="26" t="s">
        <v>7</v>
      </c>
      <c r="H102" s="26" t="s">
        <v>8</v>
      </c>
      <c r="I102" s="26" t="s">
        <v>9</v>
      </c>
      <c r="J102" s="26" t="s">
        <v>10</v>
      </c>
      <c r="K102" s="27" t="s">
        <v>11</v>
      </c>
      <c r="L102" s="26" t="s">
        <v>12</v>
      </c>
      <c r="M102" s="26" t="s">
        <v>13</v>
      </c>
      <c r="N102" s="26" t="s">
        <v>14</v>
      </c>
      <c r="O102" s="26" t="s">
        <v>15</v>
      </c>
      <c r="P102" s="26" t="s">
        <v>16</v>
      </c>
      <c r="Q102" s="26" t="s">
        <v>17</v>
      </c>
      <c r="R102" s="26" t="s">
        <v>18</v>
      </c>
      <c r="S102" s="26" t="s">
        <v>19</v>
      </c>
      <c r="T102" s="26" t="s">
        <v>20</v>
      </c>
      <c r="U102" s="26" t="s">
        <v>21</v>
      </c>
      <c r="V102" s="26" t="s">
        <v>22</v>
      </c>
      <c r="W102" s="26" t="s">
        <v>23</v>
      </c>
    </row>
    <row r="103" spans="1:23">
      <c r="A103" s="28" t="s">
        <v>2</v>
      </c>
      <c r="B103" s="36">
        <f t="shared" ref="B103:W114" si="9">MROUND(B3*$A$100,10)</f>
        <v>0</v>
      </c>
      <c r="C103" s="37">
        <f t="shared" si="9"/>
        <v>390</v>
      </c>
      <c r="D103" s="37">
        <f t="shared" si="9"/>
        <v>390</v>
      </c>
      <c r="E103" s="37">
        <f t="shared" si="9"/>
        <v>390</v>
      </c>
      <c r="F103" s="37">
        <f t="shared" si="9"/>
        <v>390</v>
      </c>
      <c r="G103" s="37">
        <f t="shared" si="9"/>
        <v>390</v>
      </c>
      <c r="H103" s="37">
        <f t="shared" si="9"/>
        <v>390</v>
      </c>
      <c r="I103" s="37">
        <f t="shared" si="9"/>
        <v>390</v>
      </c>
      <c r="J103" s="37">
        <f t="shared" si="9"/>
        <v>390</v>
      </c>
      <c r="K103" s="37">
        <f t="shared" si="9"/>
        <v>390</v>
      </c>
      <c r="L103" s="37">
        <f t="shared" si="9"/>
        <v>390</v>
      </c>
      <c r="M103" s="38">
        <f t="shared" si="9"/>
        <v>390</v>
      </c>
      <c r="N103" s="156">
        <f t="shared" si="9"/>
        <v>820</v>
      </c>
      <c r="O103" s="265">
        <f t="shared" si="9"/>
        <v>820</v>
      </c>
      <c r="P103" s="265">
        <f t="shared" si="9"/>
        <v>910</v>
      </c>
      <c r="Q103" s="265">
        <f t="shared" si="9"/>
        <v>910</v>
      </c>
      <c r="R103" s="265">
        <f t="shared" si="9"/>
        <v>910</v>
      </c>
      <c r="S103" s="265">
        <f t="shared" si="9"/>
        <v>910</v>
      </c>
      <c r="T103" s="265">
        <f t="shared" si="9"/>
        <v>910</v>
      </c>
      <c r="U103" s="265">
        <f t="shared" si="9"/>
        <v>1420</v>
      </c>
      <c r="V103" s="265">
        <f t="shared" si="9"/>
        <v>1520</v>
      </c>
      <c r="W103" s="265">
        <f t="shared" si="9"/>
        <v>1520</v>
      </c>
    </row>
    <row r="104" spans="1:23">
      <c r="A104" s="28" t="s">
        <v>3</v>
      </c>
      <c r="B104" s="272">
        <f t="shared" si="9"/>
        <v>390</v>
      </c>
      <c r="C104" s="265">
        <f t="shared" si="9"/>
        <v>0</v>
      </c>
      <c r="D104" s="265">
        <f t="shared" si="9"/>
        <v>390</v>
      </c>
      <c r="E104" s="265">
        <f t="shared" si="9"/>
        <v>390</v>
      </c>
      <c r="F104" s="265">
        <f t="shared" si="9"/>
        <v>390</v>
      </c>
      <c r="G104" s="265">
        <f t="shared" si="9"/>
        <v>390</v>
      </c>
      <c r="H104" s="265">
        <f t="shared" si="9"/>
        <v>390</v>
      </c>
      <c r="I104" s="265">
        <f t="shared" si="9"/>
        <v>390</v>
      </c>
      <c r="J104" s="265">
        <f t="shared" si="9"/>
        <v>390</v>
      </c>
      <c r="K104" s="265">
        <f t="shared" si="9"/>
        <v>390</v>
      </c>
      <c r="L104" s="265">
        <f t="shared" si="9"/>
        <v>390</v>
      </c>
      <c r="M104" s="273">
        <f t="shared" si="9"/>
        <v>390</v>
      </c>
      <c r="N104" s="156">
        <f t="shared" si="9"/>
        <v>820</v>
      </c>
      <c r="O104" s="265">
        <f t="shared" si="9"/>
        <v>820</v>
      </c>
      <c r="P104" s="265">
        <f t="shared" si="9"/>
        <v>910</v>
      </c>
      <c r="Q104" s="265">
        <f t="shared" si="9"/>
        <v>910</v>
      </c>
      <c r="R104" s="265">
        <f t="shared" si="9"/>
        <v>910</v>
      </c>
      <c r="S104" s="265">
        <f t="shared" si="9"/>
        <v>910</v>
      </c>
      <c r="T104" s="265">
        <f t="shared" si="9"/>
        <v>910</v>
      </c>
      <c r="U104" s="265">
        <f t="shared" si="9"/>
        <v>1420</v>
      </c>
      <c r="V104" s="265">
        <f t="shared" si="9"/>
        <v>1520</v>
      </c>
      <c r="W104" s="265">
        <f t="shared" si="9"/>
        <v>1520</v>
      </c>
    </row>
    <row r="105" spans="1:23">
      <c r="A105" s="28" t="s">
        <v>4</v>
      </c>
      <c r="B105" s="272">
        <f t="shared" si="9"/>
        <v>390</v>
      </c>
      <c r="C105" s="265">
        <f t="shared" si="9"/>
        <v>390</v>
      </c>
      <c r="D105" s="265">
        <f t="shared" si="9"/>
        <v>0</v>
      </c>
      <c r="E105" s="265">
        <f t="shared" si="9"/>
        <v>390</v>
      </c>
      <c r="F105" s="265">
        <f t="shared" si="9"/>
        <v>390</v>
      </c>
      <c r="G105" s="265">
        <f t="shared" si="9"/>
        <v>390</v>
      </c>
      <c r="H105" s="265">
        <f t="shared" si="9"/>
        <v>390</v>
      </c>
      <c r="I105" s="265">
        <f t="shared" si="9"/>
        <v>390</v>
      </c>
      <c r="J105" s="265">
        <f t="shared" si="9"/>
        <v>390</v>
      </c>
      <c r="K105" s="265">
        <f t="shared" si="9"/>
        <v>390</v>
      </c>
      <c r="L105" s="265">
        <f t="shared" si="9"/>
        <v>390</v>
      </c>
      <c r="M105" s="273">
        <f t="shared" si="9"/>
        <v>390</v>
      </c>
      <c r="N105" s="156">
        <f t="shared" si="9"/>
        <v>820</v>
      </c>
      <c r="O105" s="265">
        <f t="shared" si="9"/>
        <v>820</v>
      </c>
      <c r="P105" s="265">
        <f t="shared" si="9"/>
        <v>910</v>
      </c>
      <c r="Q105" s="265">
        <f t="shared" si="9"/>
        <v>910</v>
      </c>
      <c r="R105" s="265">
        <f t="shared" si="9"/>
        <v>910</v>
      </c>
      <c r="S105" s="265">
        <f t="shared" si="9"/>
        <v>910</v>
      </c>
      <c r="T105" s="265">
        <f t="shared" si="9"/>
        <v>910</v>
      </c>
      <c r="U105" s="265">
        <f t="shared" si="9"/>
        <v>1420</v>
      </c>
      <c r="V105" s="265">
        <f t="shared" si="9"/>
        <v>1520</v>
      </c>
      <c r="W105" s="265">
        <f t="shared" si="9"/>
        <v>1520</v>
      </c>
    </row>
    <row r="106" spans="1:23">
      <c r="A106" s="28" t="s">
        <v>5</v>
      </c>
      <c r="B106" s="272">
        <f t="shared" si="9"/>
        <v>390</v>
      </c>
      <c r="C106" s="265">
        <f t="shared" si="9"/>
        <v>390</v>
      </c>
      <c r="D106" s="265">
        <f t="shared" si="9"/>
        <v>390</v>
      </c>
      <c r="E106" s="265">
        <f t="shared" si="9"/>
        <v>0</v>
      </c>
      <c r="F106" s="265">
        <f t="shared" si="9"/>
        <v>390</v>
      </c>
      <c r="G106" s="265">
        <f t="shared" si="9"/>
        <v>390</v>
      </c>
      <c r="H106" s="265">
        <f t="shared" si="9"/>
        <v>390</v>
      </c>
      <c r="I106" s="265">
        <f t="shared" si="9"/>
        <v>390</v>
      </c>
      <c r="J106" s="265">
        <f t="shared" si="9"/>
        <v>390</v>
      </c>
      <c r="K106" s="265">
        <f t="shared" si="9"/>
        <v>390</v>
      </c>
      <c r="L106" s="265">
        <f t="shared" si="9"/>
        <v>390</v>
      </c>
      <c r="M106" s="273">
        <f t="shared" si="9"/>
        <v>390</v>
      </c>
      <c r="N106" s="156">
        <f t="shared" si="9"/>
        <v>820</v>
      </c>
      <c r="O106" s="265">
        <f t="shared" si="9"/>
        <v>820</v>
      </c>
      <c r="P106" s="265">
        <f t="shared" si="9"/>
        <v>910</v>
      </c>
      <c r="Q106" s="265">
        <f t="shared" si="9"/>
        <v>910</v>
      </c>
      <c r="R106" s="265">
        <f t="shared" si="9"/>
        <v>910</v>
      </c>
      <c r="S106" s="265">
        <f t="shared" si="9"/>
        <v>910</v>
      </c>
      <c r="T106" s="265">
        <f t="shared" si="9"/>
        <v>910</v>
      </c>
      <c r="U106" s="265">
        <f t="shared" si="9"/>
        <v>1420</v>
      </c>
      <c r="V106" s="265">
        <f t="shared" si="9"/>
        <v>1520</v>
      </c>
      <c r="W106" s="265">
        <f t="shared" si="9"/>
        <v>1520</v>
      </c>
    </row>
    <row r="107" spans="1:23">
      <c r="A107" s="28" t="s">
        <v>6</v>
      </c>
      <c r="B107" s="272">
        <f t="shared" si="9"/>
        <v>390</v>
      </c>
      <c r="C107" s="265">
        <f t="shared" si="9"/>
        <v>390</v>
      </c>
      <c r="D107" s="265">
        <f t="shared" si="9"/>
        <v>390</v>
      </c>
      <c r="E107" s="265">
        <f t="shared" si="9"/>
        <v>390</v>
      </c>
      <c r="F107" s="265">
        <f t="shared" si="9"/>
        <v>0</v>
      </c>
      <c r="G107" s="265">
        <f t="shared" si="9"/>
        <v>390</v>
      </c>
      <c r="H107" s="265">
        <f t="shared" si="9"/>
        <v>390</v>
      </c>
      <c r="I107" s="265">
        <f t="shared" si="9"/>
        <v>390</v>
      </c>
      <c r="J107" s="265">
        <f t="shared" si="9"/>
        <v>390</v>
      </c>
      <c r="K107" s="265">
        <f t="shared" si="9"/>
        <v>390</v>
      </c>
      <c r="L107" s="265">
        <f t="shared" si="9"/>
        <v>390</v>
      </c>
      <c r="M107" s="273">
        <f t="shared" si="9"/>
        <v>390</v>
      </c>
      <c r="N107" s="156">
        <f t="shared" si="9"/>
        <v>820</v>
      </c>
      <c r="O107" s="265">
        <f t="shared" si="9"/>
        <v>820</v>
      </c>
      <c r="P107" s="265">
        <f t="shared" si="9"/>
        <v>910</v>
      </c>
      <c r="Q107" s="265">
        <f t="shared" si="9"/>
        <v>910</v>
      </c>
      <c r="R107" s="265">
        <f t="shared" si="9"/>
        <v>910</v>
      </c>
      <c r="S107" s="265">
        <f t="shared" si="9"/>
        <v>910</v>
      </c>
      <c r="T107" s="265">
        <f t="shared" si="9"/>
        <v>910</v>
      </c>
      <c r="U107" s="265">
        <f t="shared" si="9"/>
        <v>1420</v>
      </c>
      <c r="V107" s="265">
        <f t="shared" si="9"/>
        <v>1520</v>
      </c>
      <c r="W107" s="265">
        <f t="shared" si="9"/>
        <v>1520</v>
      </c>
    </row>
    <row r="108" spans="1:23">
      <c r="A108" s="28" t="s">
        <v>7</v>
      </c>
      <c r="B108" s="272">
        <f t="shared" si="9"/>
        <v>390</v>
      </c>
      <c r="C108" s="265">
        <f t="shared" si="9"/>
        <v>390</v>
      </c>
      <c r="D108" s="265">
        <f t="shared" si="9"/>
        <v>390</v>
      </c>
      <c r="E108" s="265">
        <f t="shared" si="9"/>
        <v>390</v>
      </c>
      <c r="F108" s="265">
        <f t="shared" si="9"/>
        <v>390</v>
      </c>
      <c r="G108" s="265">
        <f t="shared" si="9"/>
        <v>0</v>
      </c>
      <c r="H108" s="265">
        <f t="shared" si="9"/>
        <v>390</v>
      </c>
      <c r="I108" s="265">
        <f t="shared" si="9"/>
        <v>390</v>
      </c>
      <c r="J108" s="265">
        <f t="shared" si="9"/>
        <v>390</v>
      </c>
      <c r="K108" s="265">
        <f t="shared" si="9"/>
        <v>390</v>
      </c>
      <c r="L108" s="265">
        <f t="shared" si="9"/>
        <v>390</v>
      </c>
      <c r="M108" s="273">
        <f t="shared" si="9"/>
        <v>390</v>
      </c>
      <c r="N108" s="156">
        <f t="shared" si="9"/>
        <v>820</v>
      </c>
      <c r="O108" s="265">
        <f t="shared" si="9"/>
        <v>820</v>
      </c>
      <c r="P108" s="265">
        <f t="shared" si="9"/>
        <v>910</v>
      </c>
      <c r="Q108" s="265">
        <f t="shared" si="9"/>
        <v>910</v>
      </c>
      <c r="R108" s="265">
        <f t="shared" si="9"/>
        <v>910</v>
      </c>
      <c r="S108" s="265">
        <f t="shared" si="9"/>
        <v>910</v>
      </c>
      <c r="T108" s="265">
        <f t="shared" si="9"/>
        <v>910</v>
      </c>
      <c r="U108" s="265">
        <f t="shared" si="9"/>
        <v>1420</v>
      </c>
      <c r="V108" s="265">
        <f t="shared" si="9"/>
        <v>1520</v>
      </c>
      <c r="W108" s="265">
        <f t="shared" si="9"/>
        <v>1520</v>
      </c>
    </row>
    <row r="109" spans="1:23">
      <c r="A109" s="28" t="s">
        <v>8</v>
      </c>
      <c r="B109" s="272">
        <f t="shared" si="9"/>
        <v>390</v>
      </c>
      <c r="C109" s="265">
        <f t="shared" si="9"/>
        <v>390</v>
      </c>
      <c r="D109" s="265">
        <f t="shared" si="9"/>
        <v>390</v>
      </c>
      <c r="E109" s="265">
        <f t="shared" si="9"/>
        <v>390</v>
      </c>
      <c r="F109" s="265">
        <f t="shared" si="9"/>
        <v>390</v>
      </c>
      <c r="G109" s="265">
        <f t="shared" si="9"/>
        <v>390</v>
      </c>
      <c r="H109" s="265">
        <f t="shared" si="9"/>
        <v>0</v>
      </c>
      <c r="I109" s="265">
        <f t="shared" si="9"/>
        <v>390</v>
      </c>
      <c r="J109" s="265">
        <f t="shared" si="9"/>
        <v>390</v>
      </c>
      <c r="K109" s="265">
        <f t="shared" si="9"/>
        <v>390</v>
      </c>
      <c r="L109" s="265">
        <f t="shared" si="9"/>
        <v>390</v>
      </c>
      <c r="M109" s="273">
        <f t="shared" si="9"/>
        <v>390</v>
      </c>
      <c r="N109" s="156">
        <f t="shared" si="9"/>
        <v>820</v>
      </c>
      <c r="O109" s="265">
        <f t="shared" si="9"/>
        <v>820</v>
      </c>
      <c r="P109" s="265">
        <f t="shared" si="9"/>
        <v>910</v>
      </c>
      <c r="Q109" s="265">
        <f t="shared" si="9"/>
        <v>910</v>
      </c>
      <c r="R109" s="265">
        <f t="shared" si="9"/>
        <v>910</v>
      </c>
      <c r="S109" s="265">
        <f t="shared" si="9"/>
        <v>910</v>
      </c>
      <c r="T109" s="265">
        <f t="shared" si="9"/>
        <v>910</v>
      </c>
      <c r="U109" s="265">
        <f t="shared" si="9"/>
        <v>1420</v>
      </c>
      <c r="V109" s="265">
        <f t="shared" si="9"/>
        <v>1520</v>
      </c>
      <c r="W109" s="265">
        <f t="shared" si="9"/>
        <v>1520</v>
      </c>
    </row>
    <row r="110" spans="1:23">
      <c r="A110" s="28" t="s">
        <v>9</v>
      </c>
      <c r="B110" s="272">
        <f t="shared" si="9"/>
        <v>390</v>
      </c>
      <c r="C110" s="265">
        <f t="shared" si="9"/>
        <v>390</v>
      </c>
      <c r="D110" s="265">
        <f t="shared" si="9"/>
        <v>390</v>
      </c>
      <c r="E110" s="265">
        <f t="shared" si="9"/>
        <v>390</v>
      </c>
      <c r="F110" s="265">
        <f t="shared" si="9"/>
        <v>390</v>
      </c>
      <c r="G110" s="265">
        <f t="shared" si="9"/>
        <v>390</v>
      </c>
      <c r="H110" s="265">
        <f t="shared" si="9"/>
        <v>390</v>
      </c>
      <c r="I110" s="265">
        <f t="shared" si="9"/>
        <v>0</v>
      </c>
      <c r="J110" s="265">
        <f t="shared" si="9"/>
        <v>390</v>
      </c>
      <c r="K110" s="265">
        <f t="shared" si="9"/>
        <v>390</v>
      </c>
      <c r="L110" s="265">
        <f t="shared" si="9"/>
        <v>390</v>
      </c>
      <c r="M110" s="273">
        <f t="shared" si="9"/>
        <v>390</v>
      </c>
      <c r="N110" s="156">
        <f t="shared" si="9"/>
        <v>820</v>
      </c>
      <c r="O110" s="265">
        <f t="shared" si="9"/>
        <v>820</v>
      </c>
      <c r="P110" s="265">
        <f t="shared" si="9"/>
        <v>910</v>
      </c>
      <c r="Q110" s="265">
        <f t="shared" si="9"/>
        <v>910</v>
      </c>
      <c r="R110" s="265">
        <f t="shared" si="9"/>
        <v>910</v>
      </c>
      <c r="S110" s="265">
        <f t="shared" si="9"/>
        <v>910</v>
      </c>
      <c r="T110" s="265">
        <f t="shared" si="9"/>
        <v>910</v>
      </c>
      <c r="U110" s="265">
        <f t="shared" si="9"/>
        <v>1420</v>
      </c>
      <c r="V110" s="265">
        <f t="shared" si="9"/>
        <v>1520</v>
      </c>
      <c r="W110" s="265">
        <f t="shared" si="9"/>
        <v>1520</v>
      </c>
    </row>
    <row r="111" spans="1:23">
      <c r="A111" s="28" t="s">
        <v>24</v>
      </c>
      <c r="B111" s="272">
        <f t="shared" si="9"/>
        <v>390</v>
      </c>
      <c r="C111" s="265">
        <f t="shared" si="9"/>
        <v>390</v>
      </c>
      <c r="D111" s="265">
        <f t="shared" si="9"/>
        <v>390</v>
      </c>
      <c r="E111" s="265">
        <f t="shared" si="9"/>
        <v>390</v>
      </c>
      <c r="F111" s="265">
        <f t="shared" si="9"/>
        <v>390</v>
      </c>
      <c r="G111" s="265">
        <f t="shared" si="9"/>
        <v>390</v>
      </c>
      <c r="H111" s="265">
        <f t="shared" si="9"/>
        <v>390</v>
      </c>
      <c r="I111" s="265">
        <f t="shared" si="9"/>
        <v>390</v>
      </c>
      <c r="J111" s="265">
        <f t="shared" si="9"/>
        <v>0</v>
      </c>
      <c r="K111" s="265">
        <f t="shared" si="9"/>
        <v>390</v>
      </c>
      <c r="L111" s="265">
        <f t="shared" si="9"/>
        <v>390</v>
      </c>
      <c r="M111" s="273">
        <f t="shared" si="9"/>
        <v>390</v>
      </c>
      <c r="N111" s="156">
        <f t="shared" si="9"/>
        <v>820</v>
      </c>
      <c r="O111" s="265">
        <f t="shared" si="9"/>
        <v>820</v>
      </c>
      <c r="P111" s="265">
        <f t="shared" si="9"/>
        <v>910</v>
      </c>
      <c r="Q111" s="265">
        <f t="shared" si="9"/>
        <v>910</v>
      </c>
      <c r="R111" s="265">
        <f t="shared" si="9"/>
        <v>910</v>
      </c>
      <c r="S111" s="265">
        <f t="shared" si="9"/>
        <v>910</v>
      </c>
      <c r="T111" s="265">
        <f t="shared" si="9"/>
        <v>910</v>
      </c>
      <c r="U111" s="265">
        <f t="shared" si="9"/>
        <v>1420</v>
      </c>
      <c r="V111" s="265">
        <f t="shared" si="9"/>
        <v>1520</v>
      </c>
      <c r="W111" s="265">
        <f t="shared" si="9"/>
        <v>1520</v>
      </c>
    </row>
    <row r="112" spans="1:23">
      <c r="A112" s="28" t="s">
        <v>11</v>
      </c>
      <c r="B112" s="272">
        <f t="shared" si="9"/>
        <v>390</v>
      </c>
      <c r="C112" s="265">
        <f t="shared" si="9"/>
        <v>390</v>
      </c>
      <c r="D112" s="265">
        <f t="shared" si="9"/>
        <v>390</v>
      </c>
      <c r="E112" s="265">
        <f t="shared" si="9"/>
        <v>390</v>
      </c>
      <c r="F112" s="265">
        <f t="shared" si="9"/>
        <v>390</v>
      </c>
      <c r="G112" s="265">
        <f t="shared" si="9"/>
        <v>390</v>
      </c>
      <c r="H112" s="265">
        <f t="shared" si="9"/>
        <v>390</v>
      </c>
      <c r="I112" s="265">
        <f t="shared" si="9"/>
        <v>390</v>
      </c>
      <c r="J112" s="265">
        <f t="shared" si="9"/>
        <v>390</v>
      </c>
      <c r="K112" s="265">
        <f t="shared" si="9"/>
        <v>0</v>
      </c>
      <c r="L112" s="265">
        <f t="shared" si="9"/>
        <v>390</v>
      </c>
      <c r="M112" s="273">
        <f t="shared" si="9"/>
        <v>390</v>
      </c>
      <c r="N112" s="156">
        <f t="shared" si="9"/>
        <v>820</v>
      </c>
      <c r="O112" s="265">
        <f t="shared" si="9"/>
        <v>820</v>
      </c>
      <c r="P112" s="265">
        <f t="shared" si="9"/>
        <v>910</v>
      </c>
      <c r="Q112" s="265">
        <f t="shared" si="9"/>
        <v>910</v>
      </c>
      <c r="R112" s="265">
        <f t="shared" si="9"/>
        <v>910</v>
      </c>
      <c r="S112" s="265">
        <f t="shared" si="9"/>
        <v>910</v>
      </c>
      <c r="T112" s="265">
        <f t="shared" si="9"/>
        <v>910</v>
      </c>
      <c r="U112" s="265">
        <f t="shared" si="9"/>
        <v>1420</v>
      </c>
      <c r="V112" s="265">
        <f t="shared" si="9"/>
        <v>1520</v>
      </c>
      <c r="W112" s="265">
        <f t="shared" si="9"/>
        <v>1520</v>
      </c>
    </row>
    <row r="113" spans="1:23">
      <c r="A113" s="28" t="s">
        <v>25</v>
      </c>
      <c r="B113" s="272">
        <f t="shared" si="9"/>
        <v>390</v>
      </c>
      <c r="C113" s="265">
        <f t="shared" si="9"/>
        <v>390</v>
      </c>
      <c r="D113" s="265">
        <f t="shared" si="9"/>
        <v>390</v>
      </c>
      <c r="E113" s="265">
        <f t="shared" si="9"/>
        <v>390</v>
      </c>
      <c r="F113" s="265">
        <f t="shared" si="9"/>
        <v>390</v>
      </c>
      <c r="G113" s="265">
        <f t="shared" si="9"/>
        <v>390</v>
      </c>
      <c r="H113" s="265">
        <f t="shared" si="9"/>
        <v>390</v>
      </c>
      <c r="I113" s="265">
        <f t="shared" si="9"/>
        <v>390</v>
      </c>
      <c r="J113" s="265">
        <f t="shared" si="9"/>
        <v>390</v>
      </c>
      <c r="K113" s="265">
        <f t="shared" si="9"/>
        <v>390</v>
      </c>
      <c r="L113" s="265">
        <f t="shared" si="9"/>
        <v>0</v>
      </c>
      <c r="M113" s="273">
        <f t="shared" si="9"/>
        <v>390</v>
      </c>
      <c r="N113" s="156">
        <f t="shared" si="9"/>
        <v>820</v>
      </c>
      <c r="O113" s="265">
        <f t="shared" si="9"/>
        <v>820</v>
      </c>
      <c r="P113" s="265">
        <f t="shared" si="9"/>
        <v>910</v>
      </c>
      <c r="Q113" s="265">
        <f t="shared" si="9"/>
        <v>910</v>
      </c>
      <c r="R113" s="265">
        <f t="shared" si="9"/>
        <v>910</v>
      </c>
      <c r="S113" s="265">
        <f t="shared" si="9"/>
        <v>910</v>
      </c>
      <c r="T113" s="265">
        <f t="shared" si="9"/>
        <v>910</v>
      </c>
      <c r="U113" s="265">
        <f t="shared" si="9"/>
        <v>1420</v>
      </c>
      <c r="V113" s="265">
        <f t="shared" si="9"/>
        <v>1520</v>
      </c>
      <c r="W113" s="265">
        <f t="shared" si="9"/>
        <v>1520</v>
      </c>
    </row>
    <row r="114" spans="1:23" ht="16.5" thickBot="1">
      <c r="A114" s="28" t="s">
        <v>13</v>
      </c>
      <c r="B114" s="274">
        <f t="shared" si="9"/>
        <v>390</v>
      </c>
      <c r="C114" s="275">
        <f t="shared" si="9"/>
        <v>390</v>
      </c>
      <c r="D114" s="275">
        <f t="shared" si="9"/>
        <v>390</v>
      </c>
      <c r="E114" s="275">
        <f t="shared" si="9"/>
        <v>390</v>
      </c>
      <c r="F114" s="275">
        <f t="shared" si="9"/>
        <v>390</v>
      </c>
      <c r="G114" s="275">
        <f t="shared" si="9"/>
        <v>390</v>
      </c>
      <c r="H114" s="275">
        <f t="shared" si="9"/>
        <v>390</v>
      </c>
      <c r="I114" s="275">
        <f t="shared" si="9"/>
        <v>390</v>
      </c>
      <c r="J114" s="275">
        <f t="shared" si="9"/>
        <v>390</v>
      </c>
      <c r="K114" s="275">
        <f t="shared" si="9"/>
        <v>390</v>
      </c>
      <c r="L114" s="275">
        <f t="shared" si="9"/>
        <v>390</v>
      </c>
      <c r="M114" s="276">
        <f t="shared" si="9"/>
        <v>0</v>
      </c>
      <c r="N114" s="156">
        <f t="shared" si="9"/>
        <v>450</v>
      </c>
      <c r="O114" s="265">
        <f t="shared" ref="O114:W124" si="10">MROUND(O14*$A$100,10)</f>
        <v>450</v>
      </c>
      <c r="P114" s="265">
        <f t="shared" si="10"/>
        <v>910</v>
      </c>
      <c r="Q114" s="265">
        <f t="shared" si="10"/>
        <v>910</v>
      </c>
      <c r="R114" s="265">
        <f t="shared" si="10"/>
        <v>910</v>
      </c>
      <c r="S114" s="265">
        <f t="shared" si="10"/>
        <v>910</v>
      </c>
      <c r="T114" s="265">
        <f t="shared" si="10"/>
        <v>910</v>
      </c>
      <c r="U114" s="265">
        <f t="shared" si="10"/>
        <v>1420</v>
      </c>
      <c r="V114" s="265">
        <f t="shared" si="10"/>
        <v>1520</v>
      </c>
      <c r="W114" s="265">
        <f t="shared" si="10"/>
        <v>1520</v>
      </c>
    </row>
    <row r="115" spans="1:23">
      <c r="A115" s="28" t="s">
        <v>14</v>
      </c>
      <c r="B115" s="33">
        <f t="shared" ref="B115:T124" si="11">MROUND(B15*$A$100,10)</f>
        <v>820</v>
      </c>
      <c r="C115" s="33">
        <f t="shared" si="11"/>
        <v>820</v>
      </c>
      <c r="D115" s="33">
        <f t="shared" si="11"/>
        <v>820</v>
      </c>
      <c r="E115" s="33">
        <f t="shared" si="11"/>
        <v>820</v>
      </c>
      <c r="F115" s="33">
        <f t="shared" si="11"/>
        <v>820</v>
      </c>
      <c r="G115" s="33">
        <f t="shared" si="11"/>
        <v>820</v>
      </c>
      <c r="H115" s="33">
        <f t="shared" si="11"/>
        <v>820</v>
      </c>
      <c r="I115" s="33">
        <f t="shared" si="11"/>
        <v>820</v>
      </c>
      <c r="J115" s="33">
        <f t="shared" si="11"/>
        <v>820</v>
      </c>
      <c r="K115" s="33">
        <f t="shared" si="11"/>
        <v>820</v>
      </c>
      <c r="L115" s="33">
        <f t="shared" si="11"/>
        <v>820</v>
      </c>
      <c r="M115" s="33">
        <f t="shared" si="11"/>
        <v>450</v>
      </c>
      <c r="N115" s="265">
        <f t="shared" si="11"/>
        <v>0</v>
      </c>
      <c r="O115" s="265">
        <f t="shared" si="11"/>
        <v>450</v>
      </c>
      <c r="P115" s="265">
        <f t="shared" si="11"/>
        <v>450</v>
      </c>
      <c r="Q115" s="265">
        <f t="shared" si="11"/>
        <v>840</v>
      </c>
      <c r="R115" s="265">
        <f t="shared" si="11"/>
        <v>840</v>
      </c>
      <c r="S115" s="265">
        <f t="shared" si="11"/>
        <v>840</v>
      </c>
      <c r="T115" s="265">
        <f t="shared" si="11"/>
        <v>840</v>
      </c>
      <c r="U115" s="265">
        <f t="shared" si="10"/>
        <v>1290</v>
      </c>
      <c r="V115" s="265">
        <f t="shared" si="10"/>
        <v>1290</v>
      </c>
      <c r="W115" s="265">
        <f t="shared" si="10"/>
        <v>1290</v>
      </c>
    </row>
    <row r="116" spans="1:23">
      <c r="A116" s="28" t="s">
        <v>15</v>
      </c>
      <c r="B116" s="265">
        <f t="shared" si="11"/>
        <v>820</v>
      </c>
      <c r="C116" s="265">
        <f t="shared" si="11"/>
        <v>820</v>
      </c>
      <c r="D116" s="265">
        <f t="shared" si="11"/>
        <v>820</v>
      </c>
      <c r="E116" s="265">
        <f t="shared" si="11"/>
        <v>820</v>
      </c>
      <c r="F116" s="265">
        <f t="shared" si="11"/>
        <v>820</v>
      </c>
      <c r="G116" s="265">
        <f t="shared" si="11"/>
        <v>820</v>
      </c>
      <c r="H116" s="265">
        <f t="shared" si="11"/>
        <v>820</v>
      </c>
      <c r="I116" s="265">
        <f t="shared" si="11"/>
        <v>820</v>
      </c>
      <c r="J116" s="265">
        <f t="shared" si="11"/>
        <v>820</v>
      </c>
      <c r="K116" s="265">
        <f t="shared" si="11"/>
        <v>820</v>
      </c>
      <c r="L116" s="265">
        <f t="shared" si="11"/>
        <v>820</v>
      </c>
      <c r="M116" s="265">
        <f t="shared" si="11"/>
        <v>450</v>
      </c>
      <c r="N116" s="265">
        <f t="shared" si="11"/>
        <v>450</v>
      </c>
      <c r="O116" s="265">
        <f t="shared" si="11"/>
        <v>0</v>
      </c>
      <c r="P116" s="265">
        <f t="shared" si="11"/>
        <v>450</v>
      </c>
      <c r="Q116" s="265">
        <f t="shared" si="11"/>
        <v>450</v>
      </c>
      <c r="R116" s="265">
        <f t="shared" si="11"/>
        <v>840</v>
      </c>
      <c r="S116" s="265">
        <f t="shared" si="11"/>
        <v>840</v>
      </c>
      <c r="T116" s="265">
        <f t="shared" si="11"/>
        <v>840</v>
      </c>
      <c r="U116" s="265">
        <f t="shared" si="10"/>
        <v>840</v>
      </c>
      <c r="V116" s="265">
        <f t="shared" si="10"/>
        <v>1290</v>
      </c>
      <c r="W116" s="265">
        <f t="shared" si="10"/>
        <v>1290</v>
      </c>
    </row>
    <row r="117" spans="1:23">
      <c r="A117" s="28" t="s">
        <v>16</v>
      </c>
      <c r="B117" s="265">
        <f t="shared" si="11"/>
        <v>910</v>
      </c>
      <c r="C117" s="265">
        <f t="shared" si="11"/>
        <v>910</v>
      </c>
      <c r="D117" s="265">
        <f t="shared" si="11"/>
        <v>910</v>
      </c>
      <c r="E117" s="265">
        <f t="shared" si="11"/>
        <v>910</v>
      </c>
      <c r="F117" s="265">
        <f t="shared" si="11"/>
        <v>910</v>
      </c>
      <c r="G117" s="265">
        <f t="shared" si="11"/>
        <v>910</v>
      </c>
      <c r="H117" s="265">
        <f t="shared" si="11"/>
        <v>910</v>
      </c>
      <c r="I117" s="265">
        <f t="shared" si="11"/>
        <v>910</v>
      </c>
      <c r="J117" s="265">
        <f t="shared" si="11"/>
        <v>910</v>
      </c>
      <c r="K117" s="265">
        <f t="shared" si="11"/>
        <v>910</v>
      </c>
      <c r="L117" s="265">
        <f t="shared" si="11"/>
        <v>910</v>
      </c>
      <c r="M117" s="265">
        <f t="shared" si="11"/>
        <v>910</v>
      </c>
      <c r="N117" s="265">
        <f t="shared" si="11"/>
        <v>450</v>
      </c>
      <c r="O117" s="265">
        <f t="shared" si="11"/>
        <v>450</v>
      </c>
      <c r="P117" s="265">
        <f t="shared" si="11"/>
        <v>0</v>
      </c>
      <c r="Q117" s="265">
        <f t="shared" si="11"/>
        <v>450</v>
      </c>
      <c r="R117" s="265">
        <f t="shared" si="11"/>
        <v>450</v>
      </c>
      <c r="S117" s="265">
        <f t="shared" si="11"/>
        <v>450</v>
      </c>
      <c r="T117" s="265">
        <f t="shared" si="11"/>
        <v>840</v>
      </c>
      <c r="U117" s="265">
        <f t="shared" si="10"/>
        <v>840</v>
      </c>
      <c r="V117" s="265">
        <f t="shared" si="10"/>
        <v>840</v>
      </c>
      <c r="W117" s="265">
        <f t="shared" si="10"/>
        <v>840</v>
      </c>
    </row>
    <row r="118" spans="1:23">
      <c r="A118" s="28" t="s">
        <v>17</v>
      </c>
      <c r="B118" s="265">
        <f t="shared" si="11"/>
        <v>910</v>
      </c>
      <c r="C118" s="265">
        <f t="shared" si="11"/>
        <v>910</v>
      </c>
      <c r="D118" s="265">
        <f t="shared" si="11"/>
        <v>910</v>
      </c>
      <c r="E118" s="265">
        <f t="shared" si="11"/>
        <v>910</v>
      </c>
      <c r="F118" s="265">
        <f t="shared" si="11"/>
        <v>910</v>
      </c>
      <c r="G118" s="265">
        <f t="shared" si="11"/>
        <v>910</v>
      </c>
      <c r="H118" s="265">
        <f t="shared" si="11"/>
        <v>910</v>
      </c>
      <c r="I118" s="265">
        <f t="shared" si="11"/>
        <v>910</v>
      </c>
      <c r="J118" s="265">
        <f t="shared" si="11"/>
        <v>910</v>
      </c>
      <c r="K118" s="265">
        <f t="shared" si="11"/>
        <v>910</v>
      </c>
      <c r="L118" s="265">
        <f t="shared" si="11"/>
        <v>910</v>
      </c>
      <c r="M118" s="265">
        <f t="shared" si="11"/>
        <v>910</v>
      </c>
      <c r="N118" s="265">
        <f t="shared" si="11"/>
        <v>840</v>
      </c>
      <c r="O118" s="265">
        <f t="shared" si="11"/>
        <v>450</v>
      </c>
      <c r="P118" s="265">
        <f t="shared" si="11"/>
        <v>450</v>
      </c>
      <c r="Q118" s="265">
        <f t="shared" si="11"/>
        <v>0</v>
      </c>
      <c r="R118" s="265">
        <f t="shared" si="11"/>
        <v>450</v>
      </c>
      <c r="S118" s="265">
        <f t="shared" si="11"/>
        <v>450</v>
      </c>
      <c r="T118" s="265">
        <f t="shared" si="11"/>
        <v>840</v>
      </c>
      <c r="U118" s="265">
        <f t="shared" si="10"/>
        <v>840</v>
      </c>
      <c r="V118" s="265">
        <f t="shared" si="10"/>
        <v>840</v>
      </c>
      <c r="W118" s="265">
        <f t="shared" si="10"/>
        <v>840</v>
      </c>
    </row>
    <row r="119" spans="1:23">
      <c r="A119" s="28" t="s">
        <v>18</v>
      </c>
      <c r="B119" s="265">
        <f t="shared" si="11"/>
        <v>910</v>
      </c>
      <c r="C119" s="265">
        <f t="shared" si="11"/>
        <v>910</v>
      </c>
      <c r="D119" s="265">
        <f t="shared" si="11"/>
        <v>910</v>
      </c>
      <c r="E119" s="265">
        <f t="shared" si="11"/>
        <v>910</v>
      </c>
      <c r="F119" s="265">
        <f t="shared" si="11"/>
        <v>910</v>
      </c>
      <c r="G119" s="265">
        <f t="shared" si="11"/>
        <v>910</v>
      </c>
      <c r="H119" s="265">
        <f t="shared" si="11"/>
        <v>910</v>
      </c>
      <c r="I119" s="265">
        <f t="shared" si="11"/>
        <v>910</v>
      </c>
      <c r="J119" s="265">
        <f t="shared" si="11"/>
        <v>910</v>
      </c>
      <c r="K119" s="265">
        <f t="shared" si="11"/>
        <v>910</v>
      </c>
      <c r="L119" s="265">
        <f t="shared" si="11"/>
        <v>910</v>
      </c>
      <c r="M119" s="265">
        <f t="shared" si="11"/>
        <v>910</v>
      </c>
      <c r="N119" s="265">
        <f t="shared" si="11"/>
        <v>840</v>
      </c>
      <c r="O119" s="265">
        <f t="shared" si="11"/>
        <v>840</v>
      </c>
      <c r="P119" s="265">
        <f t="shared" si="11"/>
        <v>450</v>
      </c>
      <c r="Q119" s="265">
        <f t="shared" si="11"/>
        <v>450</v>
      </c>
      <c r="R119" s="265">
        <f t="shared" si="11"/>
        <v>0</v>
      </c>
      <c r="S119" s="265">
        <f t="shared" si="11"/>
        <v>450</v>
      </c>
      <c r="T119" s="265">
        <f t="shared" si="11"/>
        <v>450</v>
      </c>
      <c r="U119" s="265">
        <f t="shared" si="10"/>
        <v>840</v>
      </c>
      <c r="V119" s="265">
        <f t="shared" si="10"/>
        <v>840</v>
      </c>
      <c r="W119" s="265">
        <f t="shared" si="10"/>
        <v>840</v>
      </c>
    </row>
    <row r="120" spans="1:23">
      <c r="A120" s="28" t="s">
        <v>19</v>
      </c>
      <c r="B120" s="265">
        <f t="shared" si="11"/>
        <v>910</v>
      </c>
      <c r="C120" s="265">
        <f t="shared" si="11"/>
        <v>910</v>
      </c>
      <c r="D120" s="265">
        <f t="shared" si="11"/>
        <v>910</v>
      </c>
      <c r="E120" s="265">
        <f t="shared" si="11"/>
        <v>910</v>
      </c>
      <c r="F120" s="265">
        <f t="shared" si="11"/>
        <v>910</v>
      </c>
      <c r="G120" s="265">
        <f t="shared" si="11"/>
        <v>910</v>
      </c>
      <c r="H120" s="265">
        <f t="shared" si="11"/>
        <v>910</v>
      </c>
      <c r="I120" s="265">
        <f t="shared" si="11"/>
        <v>910</v>
      </c>
      <c r="J120" s="265">
        <f t="shared" si="11"/>
        <v>910</v>
      </c>
      <c r="K120" s="265">
        <f t="shared" si="11"/>
        <v>910</v>
      </c>
      <c r="L120" s="265">
        <f t="shared" si="11"/>
        <v>910</v>
      </c>
      <c r="M120" s="265">
        <f t="shared" si="11"/>
        <v>910</v>
      </c>
      <c r="N120" s="265">
        <f t="shared" si="11"/>
        <v>840</v>
      </c>
      <c r="O120" s="265">
        <f t="shared" si="11"/>
        <v>840</v>
      </c>
      <c r="P120" s="265">
        <f t="shared" si="11"/>
        <v>450</v>
      </c>
      <c r="Q120" s="265">
        <f t="shared" si="11"/>
        <v>450</v>
      </c>
      <c r="R120" s="265">
        <f t="shared" si="11"/>
        <v>450</v>
      </c>
      <c r="S120" s="265">
        <f t="shared" si="11"/>
        <v>0</v>
      </c>
      <c r="T120" s="265">
        <f t="shared" si="11"/>
        <v>450</v>
      </c>
      <c r="U120" s="265">
        <f t="shared" si="10"/>
        <v>840</v>
      </c>
      <c r="V120" s="265">
        <f t="shared" si="10"/>
        <v>840</v>
      </c>
      <c r="W120" s="265">
        <f t="shared" si="10"/>
        <v>840</v>
      </c>
    </row>
    <row r="121" spans="1:23">
      <c r="A121" s="28" t="s">
        <v>20</v>
      </c>
      <c r="B121" s="265">
        <f t="shared" si="11"/>
        <v>910</v>
      </c>
      <c r="C121" s="265">
        <f t="shared" si="11"/>
        <v>910</v>
      </c>
      <c r="D121" s="265">
        <f t="shared" si="11"/>
        <v>910</v>
      </c>
      <c r="E121" s="265">
        <f t="shared" si="11"/>
        <v>910</v>
      </c>
      <c r="F121" s="265">
        <f t="shared" si="11"/>
        <v>910</v>
      </c>
      <c r="G121" s="265">
        <f t="shared" si="11"/>
        <v>910</v>
      </c>
      <c r="H121" s="265">
        <f t="shared" si="11"/>
        <v>910</v>
      </c>
      <c r="I121" s="265">
        <f t="shared" si="11"/>
        <v>910</v>
      </c>
      <c r="J121" s="265">
        <f t="shared" si="11"/>
        <v>910</v>
      </c>
      <c r="K121" s="265">
        <f t="shared" si="11"/>
        <v>910</v>
      </c>
      <c r="L121" s="265">
        <f t="shared" si="11"/>
        <v>910</v>
      </c>
      <c r="M121" s="265">
        <f t="shared" si="11"/>
        <v>910</v>
      </c>
      <c r="N121" s="265">
        <f t="shared" si="11"/>
        <v>840</v>
      </c>
      <c r="O121" s="265">
        <f t="shared" si="11"/>
        <v>840</v>
      </c>
      <c r="P121" s="265">
        <f t="shared" si="11"/>
        <v>840</v>
      </c>
      <c r="Q121" s="265">
        <f t="shared" si="11"/>
        <v>840</v>
      </c>
      <c r="R121" s="265">
        <f t="shared" si="11"/>
        <v>450</v>
      </c>
      <c r="S121" s="265">
        <f t="shared" si="11"/>
        <v>450</v>
      </c>
      <c r="T121" s="265">
        <f t="shared" si="11"/>
        <v>0</v>
      </c>
      <c r="U121" s="265">
        <f t="shared" si="10"/>
        <v>450</v>
      </c>
      <c r="V121" s="265">
        <f t="shared" si="10"/>
        <v>840</v>
      </c>
      <c r="W121" s="265">
        <f t="shared" si="10"/>
        <v>840</v>
      </c>
    </row>
    <row r="122" spans="1:23">
      <c r="A122" s="28" t="s">
        <v>21</v>
      </c>
      <c r="B122" s="265">
        <f t="shared" si="11"/>
        <v>1420</v>
      </c>
      <c r="C122" s="265">
        <f t="shared" si="11"/>
        <v>1420</v>
      </c>
      <c r="D122" s="265">
        <f t="shared" si="11"/>
        <v>1420</v>
      </c>
      <c r="E122" s="265">
        <f t="shared" si="11"/>
        <v>1420</v>
      </c>
      <c r="F122" s="265">
        <f t="shared" si="11"/>
        <v>1420</v>
      </c>
      <c r="G122" s="265">
        <f t="shared" si="11"/>
        <v>1420</v>
      </c>
      <c r="H122" s="265">
        <f t="shared" si="11"/>
        <v>1420</v>
      </c>
      <c r="I122" s="265">
        <f t="shared" si="11"/>
        <v>1420</v>
      </c>
      <c r="J122" s="265">
        <f t="shared" si="11"/>
        <v>1420</v>
      </c>
      <c r="K122" s="265">
        <f t="shared" si="11"/>
        <v>1420</v>
      </c>
      <c r="L122" s="265">
        <f t="shared" si="11"/>
        <v>1420</v>
      </c>
      <c r="M122" s="265">
        <f t="shared" si="11"/>
        <v>1420</v>
      </c>
      <c r="N122" s="265">
        <f t="shared" si="11"/>
        <v>1290</v>
      </c>
      <c r="O122" s="265">
        <f t="shared" si="11"/>
        <v>840</v>
      </c>
      <c r="P122" s="265">
        <f t="shared" si="11"/>
        <v>840</v>
      </c>
      <c r="Q122" s="265">
        <f t="shared" si="11"/>
        <v>840</v>
      </c>
      <c r="R122" s="265">
        <f t="shared" si="11"/>
        <v>840</v>
      </c>
      <c r="S122" s="265">
        <f t="shared" si="11"/>
        <v>840</v>
      </c>
      <c r="T122" s="265">
        <f t="shared" si="11"/>
        <v>450</v>
      </c>
      <c r="U122" s="265">
        <f t="shared" si="10"/>
        <v>0</v>
      </c>
      <c r="V122" s="265">
        <f t="shared" si="10"/>
        <v>450</v>
      </c>
      <c r="W122" s="265">
        <f t="shared" si="10"/>
        <v>840</v>
      </c>
    </row>
    <row r="123" spans="1:23">
      <c r="A123" s="28" t="s">
        <v>22</v>
      </c>
      <c r="B123" s="265">
        <f t="shared" si="11"/>
        <v>1520</v>
      </c>
      <c r="C123" s="265">
        <f t="shared" si="11"/>
        <v>1520</v>
      </c>
      <c r="D123" s="265">
        <f t="shared" si="11"/>
        <v>1520</v>
      </c>
      <c r="E123" s="265">
        <f t="shared" si="11"/>
        <v>1520</v>
      </c>
      <c r="F123" s="265">
        <f t="shared" si="11"/>
        <v>1520</v>
      </c>
      <c r="G123" s="265">
        <f t="shared" si="11"/>
        <v>1520</v>
      </c>
      <c r="H123" s="265">
        <f t="shared" si="11"/>
        <v>1520</v>
      </c>
      <c r="I123" s="265">
        <f t="shared" si="11"/>
        <v>1520</v>
      </c>
      <c r="J123" s="265">
        <f t="shared" si="11"/>
        <v>1520</v>
      </c>
      <c r="K123" s="265">
        <f t="shared" si="11"/>
        <v>1520</v>
      </c>
      <c r="L123" s="265">
        <f t="shared" si="11"/>
        <v>1520</v>
      </c>
      <c r="M123" s="265">
        <f t="shared" si="11"/>
        <v>1520</v>
      </c>
      <c r="N123" s="265">
        <f t="shared" si="11"/>
        <v>1290</v>
      </c>
      <c r="O123" s="265">
        <f t="shared" si="11"/>
        <v>1290</v>
      </c>
      <c r="P123" s="265">
        <f t="shared" si="11"/>
        <v>840</v>
      </c>
      <c r="Q123" s="265">
        <f t="shared" si="11"/>
        <v>840</v>
      </c>
      <c r="R123" s="265">
        <f t="shared" si="11"/>
        <v>840</v>
      </c>
      <c r="S123" s="265">
        <f t="shared" si="11"/>
        <v>840</v>
      </c>
      <c r="T123" s="265">
        <f t="shared" si="11"/>
        <v>840</v>
      </c>
      <c r="U123" s="265">
        <f t="shared" si="10"/>
        <v>450</v>
      </c>
      <c r="V123" s="265">
        <f t="shared" si="10"/>
        <v>0</v>
      </c>
      <c r="W123" s="265">
        <f t="shared" si="10"/>
        <v>450</v>
      </c>
    </row>
    <row r="124" spans="1:23">
      <c r="A124" s="28" t="s">
        <v>23</v>
      </c>
      <c r="B124" s="265">
        <f t="shared" si="11"/>
        <v>1520</v>
      </c>
      <c r="C124" s="265">
        <f t="shared" si="11"/>
        <v>1520</v>
      </c>
      <c r="D124" s="265">
        <f t="shared" si="11"/>
        <v>1520</v>
      </c>
      <c r="E124" s="265">
        <f t="shared" si="11"/>
        <v>1520</v>
      </c>
      <c r="F124" s="265">
        <f t="shared" si="11"/>
        <v>1520</v>
      </c>
      <c r="G124" s="265">
        <f t="shared" si="11"/>
        <v>1520</v>
      </c>
      <c r="H124" s="265">
        <f t="shared" si="11"/>
        <v>1520</v>
      </c>
      <c r="I124" s="265">
        <f t="shared" si="11"/>
        <v>1520</v>
      </c>
      <c r="J124" s="265">
        <f t="shared" si="11"/>
        <v>1520</v>
      </c>
      <c r="K124" s="265">
        <f t="shared" si="11"/>
        <v>1520</v>
      </c>
      <c r="L124" s="265">
        <f t="shared" si="11"/>
        <v>1520</v>
      </c>
      <c r="M124" s="265">
        <f t="shared" si="11"/>
        <v>1520</v>
      </c>
      <c r="N124" s="265">
        <f t="shared" si="11"/>
        <v>1290</v>
      </c>
      <c r="O124" s="265">
        <f t="shared" si="11"/>
        <v>1290</v>
      </c>
      <c r="P124" s="265">
        <f t="shared" si="11"/>
        <v>840</v>
      </c>
      <c r="Q124" s="265">
        <f t="shared" si="11"/>
        <v>840</v>
      </c>
      <c r="R124" s="265">
        <f t="shared" si="11"/>
        <v>840</v>
      </c>
      <c r="S124" s="265">
        <f t="shared" si="11"/>
        <v>840</v>
      </c>
      <c r="T124" s="265">
        <f t="shared" si="11"/>
        <v>840</v>
      </c>
      <c r="U124" s="265">
        <f t="shared" si="10"/>
        <v>840</v>
      </c>
      <c r="V124" s="265">
        <f t="shared" si="10"/>
        <v>450</v>
      </c>
      <c r="W124" s="265">
        <f t="shared" si="10"/>
        <v>0</v>
      </c>
    </row>
  </sheetData>
  <mergeCells count="5">
    <mergeCell ref="A1:W1"/>
    <mergeCell ref="A26:W26"/>
    <mergeCell ref="A51:W51"/>
    <mergeCell ref="A76:W76"/>
    <mergeCell ref="A101:W101"/>
  </mergeCells>
  <pageMargins left="0.75" right="0.75" top="1" bottom="1" header="0.5" footer="0.5"/>
  <pageSetup paperSize="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Estefanía Alejandra Gajardo Rozas</dc:creator>
  <cp:keywords/>
  <dc:description/>
  <cp:lastModifiedBy>Jorge Ignacio Ortiz Araneda</cp:lastModifiedBy>
  <cp:revision/>
  <dcterms:created xsi:type="dcterms:W3CDTF">2023-12-28T18:32:19Z</dcterms:created>
  <dcterms:modified xsi:type="dcterms:W3CDTF">2026-06-10T03:23:35Z</dcterms:modified>
  <cp:category/>
  <cp:contentStatus/>
</cp:coreProperties>
</file>